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My Drive\Financial\"/>
    </mc:Choice>
  </mc:AlternateContent>
  <xr:revisionPtr revIDLastSave="0" documentId="8_{D3A782A1-60E0-4F1C-A126-E9A69A267BE1}" xr6:coauthVersionLast="47" xr6:coauthVersionMax="47" xr10:uidLastSave="{00000000-0000-0000-0000-000000000000}"/>
  <bookViews>
    <workbookView xWindow="-103" yWindow="-103" windowWidth="22149" windowHeight="13200" activeTab="1" xr2:uid="{0D42FB5E-D111-4596-88F1-1655A416D3C1}"/>
  </bookViews>
  <sheets>
    <sheet name="RAW" sheetId="3" r:id="rId1"/>
    <sheet name="Dashboard" sheetId="1" r:id="rId2"/>
  </sheets>
  <definedNames>
    <definedName name="EndDate">Dashboard!$C$7</definedName>
    <definedName name="ExternalData_1" localSheetId="0" hidden="1">RAW!$A$1:$G$1440</definedName>
    <definedName name="solver_adj" localSheetId="1" hidden="1">Dashboard!$J$6</definedName>
    <definedName name="solver_eng" localSheetId="1" hidden="1">1</definedName>
    <definedName name="solver_neg" localSheetId="1" hidden="1">1</definedName>
    <definedName name="solver_num" localSheetId="1" hidden="1">0</definedName>
    <definedName name="solver_opt" localSheetId="1" hidden="1">Dashboard!$J$7</definedName>
    <definedName name="solver_typ" localSheetId="1" hidden="1">3</definedName>
    <definedName name="solver_val" localSheetId="1" hidden="1">1247</definedName>
    <definedName name="solver_ver" localSheetId="1" hidden="1">3</definedName>
    <definedName name="StartDate">Dashboard!$C$6</definedName>
    <definedName name="Ticker">Dashboard!$C$5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" i="3" l="1"/>
  <c r="H3" i="3"/>
  <c r="H4" i="3"/>
  <c r="H5" i="3"/>
  <c r="H6" i="3"/>
  <c r="H7" i="3"/>
  <c r="H8" i="3"/>
  <c r="H9" i="3"/>
  <c r="H10" i="3"/>
  <c r="K11" i="3" s="1"/>
  <c r="H11" i="3"/>
  <c r="H12" i="3"/>
  <c r="H13" i="3"/>
  <c r="H14" i="3"/>
  <c r="K14" i="3" s="1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K32" i="3" s="1"/>
  <c r="H33" i="3"/>
  <c r="H34" i="3"/>
  <c r="H35" i="3"/>
  <c r="H36" i="3"/>
  <c r="H37" i="3"/>
  <c r="H38" i="3"/>
  <c r="H39" i="3"/>
  <c r="H40" i="3"/>
  <c r="H41" i="3"/>
  <c r="H42" i="3"/>
  <c r="H43" i="3"/>
  <c r="K43" i="3" s="1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K62" i="3" s="1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K77" i="3" s="1"/>
  <c r="H78" i="3"/>
  <c r="H79" i="3"/>
  <c r="H80" i="3"/>
  <c r="H81" i="3"/>
  <c r="H82" i="3"/>
  <c r="H83" i="3"/>
  <c r="H84" i="3"/>
  <c r="K84" i="3" s="1"/>
  <c r="H85" i="3"/>
  <c r="H86" i="3"/>
  <c r="K86" i="3" s="1"/>
  <c r="H87" i="3"/>
  <c r="H88" i="3"/>
  <c r="K88" i="3" s="1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K103" i="3" s="1"/>
  <c r="H104" i="3"/>
  <c r="K104" i="3" s="1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K121" i="3" s="1"/>
  <c r="H122" i="3"/>
  <c r="K122" i="3" s="1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K156" i="3" s="1"/>
  <c r="H157" i="3"/>
  <c r="K157" i="3" s="1"/>
  <c r="H158" i="3"/>
  <c r="K158" i="3" s="1"/>
  <c r="H159" i="3"/>
  <c r="K159" i="3" s="1"/>
  <c r="H160" i="3"/>
  <c r="K160" i="3" s="1"/>
  <c r="H161" i="3"/>
  <c r="H162" i="3"/>
  <c r="H163" i="3"/>
  <c r="H164" i="3"/>
  <c r="H165" i="3"/>
  <c r="K165" i="3" s="1"/>
  <c r="H166" i="3"/>
  <c r="H167" i="3"/>
  <c r="H168" i="3"/>
  <c r="H169" i="3"/>
  <c r="H170" i="3"/>
  <c r="H171" i="3"/>
  <c r="H172" i="3"/>
  <c r="H173" i="3"/>
  <c r="H174" i="3"/>
  <c r="K174" i="3" s="1"/>
  <c r="H175" i="3"/>
  <c r="H176" i="3"/>
  <c r="K176" i="3" s="1"/>
  <c r="H177" i="3"/>
  <c r="H178" i="3"/>
  <c r="K178" i="3" s="1"/>
  <c r="H179" i="3"/>
  <c r="H180" i="3"/>
  <c r="H181" i="3"/>
  <c r="H182" i="3"/>
  <c r="H183" i="3"/>
  <c r="H184" i="3"/>
  <c r="H185" i="3"/>
  <c r="H186" i="3"/>
  <c r="H187" i="3"/>
  <c r="K187" i="3" s="1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K210" i="3" s="1"/>
  <c r="H211" i="3"/>
  <c r="K211" i="3" s="1"/>
  <c r="H212" i="3"/>
  <c r="K212" i="3" s="1"/>
  <c r="H213" i="3"/>
  <c r="H214" i="3"/>
  <c r="K214" i="3" s="1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232" i="3" s="1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K246" i="3" s="1"/>
  <c r="H247" i="3"/>
  <c r="H248" i="3"/>
  <c r="H249" i="3"/>
  <c r="K249" i="3" s="1"/>
  <c r="H250" i="3"/>
  <c r="H251" i="3"/>
  <c r="H252" i="3"/>
  <c r="H253" i="3"/>
  <c r="H254" i="3"/>
  <c r="H255" i="3"/>
  <c r="H256" i="3"/>
  <c r="H257" i="3"/>
  <c r="K257" i="3" s="1"/>
  <c r="H258" i="3"/>
  <c r="H259" i="3"/>
  <c r="H260" i="3"/>
  <c r="H261" i="3"/>
  <c r="H262" i="3"/>
  <c r="H263" i="3"/>
  <c r="H264" i="3"/>
  <c r="K264" i="3" s="1"/>
  <c r="H265" i="3"/>
  <c r="K265" i="3" s="1"/>
  <c r="H266" i="3"/>
  <c r="H267" i="3"/>
  <c r="H268" i="3"/>
  <c r="K268" i="3" s="1"/>
  <c r="H269" i="3"/>
  <c r="H270" i="3"/>
  <c r="H271" i="3"/>
  <c r="K271" i="3" s="1"/>
  <c r="H272" i="3"/>
  <c r="H273" i="3"/>
  <c r="H274" i="3"/>
  <c r="H275" i="3"/>
  <c r="H276" i="3"/>
  <c r="H277" i="3"/>
  <c r="H278" i="3"/>
  <c r="H279" i="3"/>
  <c r="H280" i="3"/>
  <c r="H281" i="3"/>
  <c r="H282" i="3"/>
  <c r="H283" i="3"/>
  <c r="K283" i="3" s="1"/>
  <c r="H284" i="3"/>
  <c r="K284" i="3" s="1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K300" i="3" s="1"/>
  <c r="H301" i="3"/>
  <c r="K301" i="3" s="1"/>
  <c r="H302" i="3"/>
  <c r="K302" i="3" s="1"/>
  <c r="H303" i="3"/>
  <c r="H304" i="3"/>
  <c r="H305" i="3"/>
  <c r="H306" i="3"/>
  <c r="H307" i="3"/>
  <c r="H308" i="3"/>
  <c r="H309" i="3"/>
  <c r="K309" i="3" s="1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K328" i="3" s="1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K345" i="3" s="1"/>
  <c r="H346" i="3"/>
  <c r="H347" i="3"/>
  <c r="H348" i="3"/>
  <c r="H349" i="3"/>
  <c r="H350" i="3"/>
  <c r="H351" i="3"/>
  <c r="H352" i="3"/>
  <c r="H353" i="3"/>
  <c r="H354" i="3"/>
  <c r="K354" i="3" s="1"/>
  <c r="H355" i="3"/>
  <c r="K355" i="3" s="1"/>
  <c r="H356" i="3"/>
  <c r="K356" i="3" s="1"/>
  <c r="H357" i="3"/>
  <c r="H358" i="3"/>
  <c r="H359" i="3"/>
  <c r="H360" i="3"/>
  <c r="H361" i="3"/>
  <c r="H362" i="3"/>
  <c r="H363" i="3"/>
  <c r="H364" i="3"/>
  <c r="H365" i="3"/>
  <c r="H366" i="3"/>
  <c r="H367" i="3"/>
  <c r="K367" i="3" s="1"/>
  <c r="H368" i="3"/>
  <c r="H369" i="3"/>
  <c r="H370" i="3"/>
  <c r="H371" i="3"/>
  <c r="H372" i="3"/>
  <c r="H373" i="3"/>
  <c r="H374" i="3"/>
  <c r="K374" i="3" s="1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K391" i="3" s="1"/>
  <c r="H392" i="3"/>
  <c r="K392" i="3" s="1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K415" i="3" s="1"/>
  <c r="H416" i="3"/>
  <c r="H417" i="3"/>
  <c r="H418" i="3"/>
  <c r="K418" i="3" s="1"/>
  <c r="H419" i="3"/>
  <c r="H420" i="3"/>
  <c r="H421" i="3"/>
  <c r="H422" i="3"/>
  <c r="H423" i="3"/>
  <c r="H424" i="3"/>
  <c r="H425" i="3"/>
  <c r="H426" i="3"/>
  <c r="H427" i="3"/>
  <c r="H428" i="3"/>
  <c r="H429" i="3"/>
  <c r="H430" i="3"/>
  <c r="K430" i="3" s="1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K444" i="3" s="1"/>
  <c r="H445" i="3"/>
  <c r="K445" i="3" s="1"/>
  <c r="H446" i="3"/>
  <c r="K446" i="3" s="1"/>
  <c r="H447" i="3"/>
  <c r="K447" i="3" s="1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K468" i="3" s="1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K497" i="3" s="1"/>
  <c r="H497" i="3"/>
  <c r="H498" i="3"/>
  <c r="H499" i="3"/>
  <c r="K499" i="3" s="1"/>
  <c r="H500" i="3"/>
  <c r="H501" i="3"/>
  <c r="H502" i="3"/>
  <c r="H503" i="3"/>
  <c r="H504" i="3"/>
  <c r="H505" i="3"/>
  <c r="H506" i="3"/>
  <c r="H507" i="3"/>
  <c r="H508" i="3"/>
  <c r="H509" i="3"/>
  <c r="H510" i="3"/>
  <c r="H511" i="3"/>
  <c r="H512" i="3"/>
  <c r="H513" i="3"/>
  <c r="H514" i="3"/>
  <c r="H515" i="3"/>
  <c r="H516" i="3"/>
  <c r="H517" i="3"/>
  <c r="H518" i="3"/>
  <c r="K518" i="3" s="1"/>
  <c r="H519" i="3"/>
  <c r="H520" i="3"/>
  <c r="H521" i="3"/>
  <c r="H522" i="3"/>
  <c r="H523" i="3"/>
  <c r="H524" i="3"/>
  <c r="H525" i="3"/>
  <c r="H526" i="3"/>
  <c r="H527" i="3"/>
  <c r="H528" i="3"/>
  <c r="H529" i="3"/>
  <c r="H530" i="3"/>
  <c r="H531" i="3"/>
  <c r="H532" i="3"/>
  <c r="H533" i="3"/>
  <c r="H534" i="3"/>
  <c r="H535" i="3"/>
  <c r="K535" i="3" s="1"/>
  <c r="H536" i="3"/>
  <c r="K536" i="3" s="1"/>
  <c r="H537" i="3"/>
  <c r="H538" i="3"/>
  <c r="H539" i="3"/>
  <c r="H540" i="3"/>
  <c r="H541" i="3"/>
  <c r="H542" i="3"/>
  <c r="H543" i="3"/>
  <c r="H544" i="3"/>
  <c r="H545" i="3"/>
  <c r="H546" i="3"/>
  <c r="H547" i="3"/>
  <c r="K547" i="3" s="1"/>
  <c r="H548" i="3"/>
  <c r="H549" i="3"/>
  <c r="H550" i="3"/>
  <c r="H551" i="3"/>
  <c r="H552" i="3"/>
  <c r="K552" i="3" s="1"/>
  <c r="H553" i="3"/>
  <c r="K553" i="3" s="1"/>
  <c r="H554" i="3"/>
  <c r="H555" i="3"/>
  <c r="H556" i="3"/>
  <c r="H557" i="3"/>
  <c r="H558" i="3"/>
  <c r="H559" i="3"/>
  <c r="H560" i="3"/>
  <c r="H561" i="3"/>
  <c r="H562" i="3"/>
  <c r="H563" i="3"/>
  <c r="H564" i="3"/>
  <c r="K564" i="3" s="1"/>
  <c r="H565" i="3"/>
  <c r="K565" i="3" s="1"/>
  <c r="H566" i="3"/>
  <c r="H567" i="3"/>
  <c r="H568" i="3"/>
  <c r="H569" i="3"/>
  <c r="H570" i="3"/>
  <c r="H571" i="3"/>
  <c r="H572" i="3"/>
  <c r="K572" i="3" s="1"/>
  <c r="H573" i="3"/>
  <c r="H574" i="3"/>
  <c r="H575" i="3"/>
  <c r="H576" i="3"/>
  <c r="H577" i="3"/>
  <c r="H578" i="3"/>
  <c r="H579" i="3"/>
  <c r="H580" i="3"/>
  <c r="H581" i="3"/>
  <c r="H582" i="3"/>
  <c r="H583" i="3"/>
  <c r="H584" i="3"/>
  <c r="H585" i="3"/>
  <c r="H586" i="3"/>
  <c r="H587" i="3"/>
  <c r="H588" i="3"/>
  <c r="H589" i="3"/>
  <c r="H590" i="3"/>
  <c r="H591" i="3"/>
  <c r="H592" i="3"/>
  <c r="K592" i="3" s="1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K606" i="3" s="1"/>
  <c r="H607" i="3"/>
  <c r="K607" i="3" s="1"/>
  <c r="H608" i="3"/>
  <c r="K608" i="3" s="1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K625" i="3" s="1"/>
  <c r="H626" i="3"/>
  <c r="K626" i="3" s="1"/>
  <c r="H627" i="3"/>
  <c r="H628" i="3"/>
  <c r="H629" i="3"/>
  <c r="H630" i="3"/>
  <c r="H631" i="3"/>
  <c r="H632" i="3"/>
  <c r="H633" i="3"/>
  <c r="H634" i="3"/>
  <c r="H635" i="3"/>
  <c r="H636" i="3"/>
  <c r="H637" i="3"/>
  <c r="H638" i="3"/>
  <c r="H639" i="3"/>
  <c r="H640" i="3"/>
  <c r="H641" i="3"/>
  <c r="H642" i="3"/>
  <c r="H643" i="3"/>
  <c r="H644" i="3"/>
  <c r="H645" i="3"/>
  <c r="H646" i="3"/>
  <c r="H647" i="3"/>
  <c r="H648" i="3"/>
  <c r="H649" i="3"/>
  <c r="H650" i="3"/>
  <c r="H651" i="3"/>
  <c r="H652" i="3"/>
  <c r="H653" i="3"/>
  <c r="H654" i="3"/>
  <c r="H655" i="3"/>
  <c r="H656" i="3"/>
  <c r="H657" i="3"/>
  <c r="H658" i="3"/>
  <c r="H659" i="3"/>
  <c r="H660" i="3"/>
  <c r="H661" i="3"/>
  <c r="H662" i="3"/>
  <c r="H663" i="3"/>
  <c r="H664" i="3"/>
  <c r="H665" i="3"/>
  <c r="H666" i="3"/>
  <c r="H667" i="3"/>
  <c r="H668" i="3"/>
  <c r="H669" i="3"/>
  <c r="H670" i="3"/>
  <c r="H671" i="3"/>
  <c r="H672" i="3"/>
  <c r="H673" i="3"/>
  <c r="H674" i="3"/>
  <c r="H675" i="3"/>
  <c r="H676" i="3"/>
  <c r="H677" i="3"/>
  <c r="H678" i="3"/>
  <c r="H679" i="3"/>
  <c r="K679" i="3" s="1"/>
  <c r="H680" i="3"/>
  <c r="K680" i="3" s="1"/>
  <c r="H681" i="3"/>
  <c r="H682" i="3"/>
  <c r="K682" i="3" s="1"/>
  <c r="H683" i="3"/>
  <c r="H684" i="3"/>
  <c r="H685" i="3"/>
  <c r="H686" i="3"/>
  <c r="H687" i="3"/>
  <c r="K687" i="3" s="1"/>
  <c r="H688" i="3"/>
  <c r="H689" i="3"/>
  <c r="H690" i="3"/>
  <c r="H691" i="3"/>
  <c r="H692" i="3"/>
  <c r="H693" i="3"/>
  <c r="H694" i="3"/>
  <c r="H695" i="3"/>
  <c r="H696" i="3"/>
  <c r="H697" i="3"/>
  <c r="H698" i="3"/>
  <c r="K698" i="3" s="1"/>
  <c r="H699" i="3"/>
  <c r="H700" i="3"/>
  <c r="H701" i="3"/>
  <c r="H702" i="3"/>
  <c r="H703" i="3"/>
  <c r="H704" i="3"/>
  <c r="H705" i="3"/>
  <c r="H706" i="3"/>
  <c r="H707" i="3"/>
  <c r="H708" i="3"/>
  <c r="H709" i="3"/>
  <c r="H710" i="3"/>
  <c r="H711" i="3"/>
  <c r="H712" i="3"/>
  <c r="H713" i="3"/>
  <c r="H714" i="3"/>
  <c r="K714" i="3" s="1"/>
  <c r="H715" i="3"/>
  <c r="K715" i="3" s="1"/>
  <c r="H716" i="3"/>
  <c r="H717" i="3"/>
  <c r="H718" i="3"/>
  <c r="H719" i="3"/>
  <c r="H720" i="3"/>
  <c r="H721" i="3"/>
  <c r="H722" i="3"/>
  <c r="H723" i="3"/>
  <c r="H724" i="3"/>
  <c r="H725" i="3"/>
  <c r="H726" i="3"/>
  <c r="H727" i="3"/>
  <c r="H728" i="3"/>
  <c r="H729" i="3"/>
  <c r="H730" i="3"/>
  <c r="H731" i="3"/>
  <c r="H732" i="3"/>
  <c r="H733" i="3"/>
  <c r="K733" i="3" s="1"/>
  <c r="H734" i="3"/>
  <c r="K734" i="3" s="1"/>
  <c r="H735" i="3"/>
  <c r="H736" i="3"/>
  <c r="K736" i="3" s="1"/>
  <c r="H737" i="3"/>
  <c r="H738" i="3"/>
  <c r="H739" i="3"/>
  <c r="H740" i="3"/>
  <c r="H741" i="3"/>
  <c r="H742" i="3"/>
  <c r="H743" i="3"/>
  <c r="K743" i="3" s="1"/>
  <c r="H744" i="3"/>
  <c r="H745" i="3"/>
  <c r="H746" i="3"/>
  <c r="H747" i="3"/>
  <c r="H748" i="3"/>
  <c r="H749" i="3"/>
  <c r="H750" i="3"/>
  <c r="H751" i="3"/>
  <c r="H752" i="3"/>
  <c r="H753" i="3"/>
  <c r="H754" i="3"/>
  <c r="K754" i="3" s="1"/>
  <c r="H755" i="3"/>
  <c r="H756" i="3"/>
  <c r="H757" i="3"/>
  <c r="H758" i="3"/>
  <c r="H759" i="3"/>
  <c r="H760" i="3"/>
  <c r="H761" i="3"/>
  <c r="K761" i="3" s="1"/>
  <c r="H762" i="3"/>
  <c r="H763" i="3"/>
  <c r="H764" i="3"/>
  <c r="K764" i="3" s="1"/>
  <c r="H765" i="3"/>
  <c r="H766" i="3"/>
  <c r="H767" i="3"/>
  <c r="H768" i="3"/>
  <c r="H769" i="3"/>
  <c r="K769" i="3" s="1"/>
  <c r="H770" i="3"/>
  <c r="K770" i="3" s="1"/>
  <c r="H771" i="3"/>
  <c r="K771" i="3" s="1"/>
  <c r="H772" i="3"/>
  <c r="H773" i="3"/>
  <c r="H774" i="3"/>
  <c r="H775" i="3"/>
  <c r="H776" i="3"/>
  <c r="H777" i="3"/>
  <c r="K777" i="3" s="1"/>
  <c r="H778" i="3"/>
  <c r="H779" i="3"/>
  <c r="H780" i="3"/>
  <c r="H781" i="3"/>
  <c r="H782" i="3"/>
  <c r="H783" i="3"/>
  <c r="H784" i="3"/>
  <c r="H785" i="3"/>
  <c r="H786" i="3"/>
  <c r="H787" i="3"/>
  <c r="H788" i="3"/>
  <c r="H789" i="3"/>
  <c r="K789" i="3" s="1"/>
  <c r="H790" i="3"/>
  <c r="K790" i="3" s="1"/>
  <c r="H791" i="3"/>
  <c r="H792" i="3"/>
  <c r="H793" i="3"/>
  <c r="H794" i="3"/>
  <c r="H795" i="3"/>
  <c r="H796" i="3"/>
  <c r="H797" i="3"/>
  <c r="H798" i="3"/>
  <c r="H799" i="3"/>
  <c r="H800" i="3"/>
  <c r="H801" i="3"/>
  <c r="H802" i="3"/>
  <c r="H803" i="3"/>
  <c r="H804" i="3"/>
  <c r="H805" i="3"/>
  <c r="H806" i="3"/>
  <c r="H807" i="3"/>
  <c r="H808" i="3"/>
  <c r="H809" i="3"/>
  <c r="H810" i="3"/>
  <c r="H811" i="3"/>
  <c r="H812" i="3"/>
  <c r="H813" i="3"/>
  <c r="H814" i="3"/>
  <c r="H815" i="3"/>
  <c r="H816" i="3"/>
  <c r="K816" i="3" s="1"/>
  <c r="H817" i="3"/>
  <c r="H818" i="3"/>
  <c r="H819" i="3"/>
  <c r="H820" i="3"/>
  <c r="H821" i="3"/>
  <c r="H822" i="3"/>
  <c r="K822" i="3" s="1"/>
  <c r="H823" i="3"/>
  <c r="K823" i="3" s="1"/>
  <c r="H824" i="3"/>
  <c r="K824" i="3" s="1"/>
  <c r="H825" i="3"/>
  <c r="H826" i="3"/>
  <c r="H827" i="3"/>
  <c r="H828" i="3"/>
  <c r="H829" i="3"/>
  <c r="H830" i="3"/>
  <c r="H831" i="3"/>
  <c r="H832" i="3"/>
  <c r="H833" i="3"/>
  <c r="H834" i="3"/>
  <c r="H835" i="3"/>
  <c r="H836" i="3"/>
  <c r="H837" i="3"/>
  <c r="H838" i="3"/>
  <c r="H839" i="3"/>
  <c r="H840" i="3"/>
  <c r="H841" i="3"/>
  <c r="H842" i="3"/>
  <c r="H843" i="3"/>
  <c r="H844" i="3"/>
  <c r="H845" i="3"/>
  <c r="H846" i="3"/>
  <c r="H847" i="3"/>
  <c r="H848" i="3"/>
  <c r="H849" i="3"/>
  <c r="H850" i="3"/>
  <c r="K850" i="3" s="1"/>
  <c r="H851" i="3"/>
  <c r="H852" i="3"/>
  <c r="H853" i="3"/>
  <c r="H854" i="3"/>
  <c r="H855" i="3"/>
  <c r="H856" i="3"/>
  <c r="H857" i="3"/>
  <c r="H858" i="3"/>
  <c r="H859" i="3"/>
  <c r="H860" i="3"/>
  <c r="H861" i="3"/>
  <c r="H862" i="3"/>
  <c r="H863" i="3"/>
  <c r="H864" i="3"/>
  <c r="H865" i="3"/>
  <c r="H866" i="3"/>
  <c r="H867" i="3"/>
  <c r="H868" i="3"/>
  <c r="H869" i="3"/>
  <c r="H870" i="3"/>
  <c r="H871" i="3"/>
  <c r="H872" i="3"/>
  <c r="H873" i="3"/>
  <c r="H874" i="3"/>
  <c r="H875" i="3"/>
  <c r="H876" i="3"/>
  <c r="K876" i="3" s="1"/>
  <c r="H877" i="3"/>
  <c r="K877" i="3" s="1"/>
  <c r="H878" i="3"/>
  <c r="H879" i="3"/>
  <c r="H880" i="3"/>
  <c r="H881" i="3"/>
  <c r="H882" i="3"/>
  <c r="H883" i="3"/>
  <c r="H884" i="3"/>
  <c r="H885" i="3"/>
  <c r="H886" i="3"/>
  <c r="H887" i="3"/>
  <c r="H888" i="3"/>
  <c r="H889" i="3"/>
  <c r="H890" i="3"/>
  <c r="H891" i="3"/>
  <c r="K891" i="3" s="1"/>
  <c r="H892" i="3"/>
  <c r="H893" i="3"/>
  <c r="H894" i="3"/>
  <c r="K894" i="3" s="1"/>
  <c r="H895" i="3"/>
  <c r="K895" i="3" s="1"/>
  <c r="H896" i="3"/>
  <c r="K896" i="3" s="1"/>
  <c r="H897" i="3"/>
  <c r="H898" i="3"/>
  <c r="H899" i="3"/>
  <c r="H900" i="3"/>
  <c r="H901" i="3"/>
  <c r="H902" i="3"/>
  <c r="H903" i="3"/>
  <c r="H904" i="3"/>
  <c r="H905" i="3"/>
  <c r="K905" i="3" s="1"/>
  <c r="H906" i="3"/>
  <c r="H907" i="3"/>
  <c r="H908" i="3"/>
  <c r="H909" i="3"/>
  <c r="H910" i="3"/>
  <c r="H911" i="3"/>
  <c r="H912" i="3"/>
  <c r="K912" i="3" s="1"/>
  <c r="H913" i="3"/>
  <c r="K913" i="3" s="1"/>
  <c r="H914" i="3"/>
  <c r="K914" i="3" s="1"/>
  <c r="H915" i="3"/>
  <c r="H916" i="3"/>
  <c r="H917" i="3"/>
  <c r="H918" i="3"/>
  <c r="H919" i="3"/>
  <c r="H920" i="3"/>
  <c r="H921" i="3"/>
  <c r="H922" i="3"/>
  <c r="H923" i="3"/>
  <c r="H924" i="3"/>
  <c r="H925" i="3"/>
  <c r="H926" i="3"/>
  <c r="H927" i="3"/>
  <c r="H928" i="3"/>
  <c r="H929" i="3"/>
  <c r="H930" i="3"/>
  <c r="H931" i="3"/>
  <c r="H932" i="3"/>
  <c r="K932" i="3" s="1"/>
  <c r="H933" i="3"/>
  <c r="H934" i="3"/>
  <c r="H935" i="3"/>
  <c r="H936" i="3"/>
  <c r="H937" i="3"/>
  <c r="H938" i="3"/>
  <c r="H939" i="3"/>
  <c r="H940" i="3"/>
  <c r="H941" i="3"/>
  <c r="H942" i="3"/>
  <c r="H943" i="3"/>
  <c r="H944" i="3"/>
  <c r="H945" i="3"/>
  <c r="H946" i="3"/>
  <c r="H947" i="3"/>
  <c r="H948" i="3"/>
  <c r="K948" i="3" s="1"/>
  <c r="H949" i="3"/>
  <c r="K949" i="3" s="1"/>
  <c r="H950" i="3"/>
  <c r="K950" i="3" s="1"/>
  <c r="H951" i="3"/>
  <c r="H952" i="3"/>
  <c r="H953" i="3"/>
  <c r="H954" i="3"/>
  <c r="H955" i="3"/>
  <c r="H956" i="3"/>
  <c r="H957" i="3"/>
  <c r="H958" i="3"/>
  <c r="H959" i="3"/>
  <c r="H960" i="3"/>
  <c r="H961" i="3"/>
  <c r="H962" i="3"/>
  <c r="H963" i="3"/>
  <c r="H964" i="3"/>
  <c r="H965" i="3"/>
  <c r="H966" i="3"/>
  <c r="H967" i="3"/>
  <c r="H968" i="3"/>
  <c r="H969" i="3"/>
  <c r="H970" i="3"/>
  <c r="H971" i="3"/>
  <c r="H972" i="3"/>
  <c r="H973" i="3"/>
  <c r="K974" i="3" s="1"/>
  <c r="H974" i="3"/>
  <c r="H975" i="3"/>
  <c r="H976" i="3"/>
  <c r="H977" i="3"/>
  <c r="H978" i="3"/>
  <c r="H979" i="3"/>
  <c r="H980" i="3"/>
  <c r="H981" i="3"/>
  <c r="H982" i="3"/>
  <c r="H983" i="3"/>
  <c r="H984" i="3"/>
  <c r="H985" i="3"/>
  <c r="K985" i="3" s="1"/>
  <c r="H986" i="3"/>
  <c r="K986" i="3" s="1"/>
  <c r="H987" i="3"/>
  <c r="H988" i="3"/>
  <c r="H989" i="3"/>
  <c r="H990" i="3"/>
  <c r="H991" i="3"/>
  <c r="H992" i="3"/>
  <c r="H993" i="3"/>
  <c r="H994" i="3"/>
  <c r="H995" i="3"/>
  <c r="H996" i="3"/>
  <c r="H997" i="3"/>
  <c r="H998" i="3"/>
  <c r="H999" i="3"/>
  <c r="H1000" i="3"/>
  <c r="H1001" i="3"/>
  <c r="H1002" i="3"/>
  <c r="H1003" i="3"/>
  <c r="H1004" i="3"/>
  <c r="H1005" i="3"/>
  <c r="H1006" i="3"/>
  <c r="H1007" i="3"/>
  <c r="H1008" i="3"/>
  <c r="H1009" i="3"/>
  <c r="H1010" i="3"/>
  <c r="H1011" i="3"/>
  <c r="K1011" i="3" s="1"/>
  <c r="H1012" i="3"/>
  <c r="H1013" i="3"/>
  <c r="H1014" i="3"/>
  <c r="K1014" i="3" s="1"/>
  <c r="H1015" i="3"/>
  <c r="K1015" i="3" s="1"/>
  <c r="H1016" i="3"/>
  <c r="H1017" i="3"/>
  <c r="H1018" i="3"/>
  <c r="H1019" i="3"/>
  <c r="H1020" i="3"/>
  <c r="H1021" i="3"/>
  <c r="H1022" i="3"/>
  <c r="H1023" i="3"/>
  <c r="H1024" i="3"/>
  <c r="H1025" i="3"/>
  <c r="H1026" i="3"/>
  <c r="H1027" i="3"/>
  <c r="H1028" i="3"/>
  <c r="H1029" i="3"/>
  <c r="H1030" i="3"/>
  <c r="H1031" i="3"/>
  <c r="K1031" i="3" s="1"/>
  <c r="H1032" i="3"/>
  <c r="H1033" i="3"/>
  <c r="H1034" i="3"/>
  <c r="H1035" i="3"/>
  <c r="H1036" i="3"/>
  <c r="H1037" i="3"/>
  <c r="H1038" i="3"/>
  <c r="H1039" i="3"/>
  <c r="H1040" i="3"/>
  <c r="H1041" i="3"/>
  <c r="H1042" i="3"/>
  <c r="K1042" i="3" s="1"/>
  <c r="H1043" i="3"/>
  <c r="H1044" i="3"/>
  <c r="H1045" i="3"/>
  <c r="H1046" i="3"/>
  <c r="H1047" i="3"/>
  <c r="H1048" i="3"/>
  <c r="H1049" i="3"/>
  <c r="H1050" i="3"/>
  <c r="H1051" i="3"/>
  <c r="H1052" i="3"/>
  <c r="H1053" i="3"/>
  <c r="H1054" i="3"/>
  <c r="H1055" i="3"/>
  <c r="H1056" i="3"/>
  <c r="K1056" i="3" s="1"/>
  <c r="H1057" i="3"/>
  <c r="K1057" i="3" s="1"/>
  <c r="H1058" i="3"/>
  <c r="K1058" i="3" s="1"/>
  <c r="H1059" i="3"/>
  <c r="K1059" i="3" s="1"/>
  <c r="H1060" i="3"/>
  <c r="H1061" i="3"/>
  <c r="H1062" i="3"/>
  <c r="H1063" i="3"/>
  <c r="H1064" i="3"/>
  <c r="H1065" i="3"/>
  <c r="H1066" i="3"/>
  <c r="H1067" i="3"/>
  <c r="H1068" i="3"/>
  <c r="H1069" i="3"/>
  <c r="H1070" i="3"/>
  <c r="H1071" i="3"/>
  <c r="H1072" i="3"/>
  <c r="H1073" i="3"/>
  <c r="H1074" i="3"/>
  <c r="H1075" i="3"/>
  <c r="K1075" i="3" s="1"/>
  <c r="H1076" i="3"/>
  <c r="K1076" i="3" s="1"/>
  <c r="H1077" i="3"/>
  <c r="H1078" i="3"/>
  <c r="H1079" i="3"/>
  <c r="H1080" i="3"/>
  <c r="H1081" i="3"/>
  <c r="H1082" i="3"/>
  <c r="H1083" i="3"/>
  <c r="H1084" i="3"/>
  <c r="H1085" i="3"/>
  <c r="H1086" i="3"/>
  <c r="H1087" i="3"/>
  <c r="H1088" i="3"/>
  <c r="H1089" i="3"/>
  <c r="H1090" i="3"/>
  <c r="H1091" i="3"/>
  <c r="H1092" i="3"/>
  <c r="H1093" i="3"/>
  <c r="H1094" i="3"/>
  <c r="H1095" i="3"/>
  <c r="K1095" i="3" s="1"/>
  <c r="H1096" i="3"/>
  <c r="H1097" i="3"/>
  <c r="H1098" i="3"/>
  <c r="H1099" i="3"/>
  <c r="H1100" i="3"/>
  <c r="H1101" i="3"/>
  <c r="H1102" i="3"/>
  <c r="H1103" i="3"/>
  <c r="H1104" i="3"/>
  <c r="H1105" i="3"/>
  <c r="H1106" i="3"/>
  <c r="H1107" i="3"/>
  <c r="H1108" i="3"/>
  <c r="H1109" i="3"/>
  <c r="H1110" i="3"/>
  <c r="H1111" i="3"/>
  <c r="H1112" i="3"/>
  <c r="K1112" i="3" s="1"/>
  <c r="H1113" i="3"/>
  <c r="H1114" i="3"/>
  <c r="H1115" i="3"/>
  <c r="H1116" i="3"/>
  <c r="H1117" i="3"/>
  <c r="H1118" i="3"/>
  <c r="H1119" i="3"/>
  <c r="K1119" i="3" s="1"/>
  <c r="H1120" i="3"/>
  <c r="K1120" i="3" s="1"/>
  <c r="H1121" i="3"/>
  <c r="K1121" i="3" s="1"/>
  <c r="H1122" i="3"/>
  <c r="K1122" i="3" s="1"/>
  <c r="H1123" i="3"/>
  <c r="H1124" i="3"/>
  <c r="H1125" i="3"/>
  <c r="H1126" i="3"/>
  <c r="H1127" i="3"/>
  <c r="H1128" i="3"/>
  <c r="H1129" i="3"/>
  <c r="K1129" i="3" s="1"/>
  <c r="H1130" i="3"/>
  <c r="K1130" i="3" s="1"/>
  <c r="H1131" i="3"/>
  <c r="H1132" i="3"/>
  <c r="H1133" i="3"/>
  <c r="H1134" i="3"/>
  <c r="H1135" i="3"/>
  <c r="H1136" i="3"/>
  <c r="H1137" i="3"/>
  <c r="H1138" i="3"/>
  <c r="H1139" i="3"/>
  <c r="H1140" i="3"/>
  <c r="H1141" i="3"/>
  <c r="H1142" i="3"/>
  <c r="H1143" i="3"/>
  <c r="H1144" i="3"/>
  <c r="H1145" i="3"/>
  <c r="H1146" i="3"/>
  <c r="H1147" i="3"/>
  <c r="H1148" i="3"/>
  <c r="K1148" i="3" s="1"/>
  <c r="H1149" i="3"/>
  <c r="H1150" i="3"/>
  <c r="K1150" i="3" s="1"/>
  <c r="H1151" i="3"/>
  <c r="H1152" i="3"/>
  <c r="H1153" i="3"/>
  <c r="H1154" i="3"/>
  <c r="H1155" i="3"/>
  <c r="H1156" i="3"/>
  <c r="H1157" i="3"/>
  <c r="H1158" i="3"/>
  <c r="H1159" i="3"/>
  <c r="H1160" i="3"/>
  <c r="H1161" i="3"/>
  <c r="H1162" i="3"/>
  <c r="H1163" i="3"/>
  <c r="H1164" i="3"/>
  <c r="H1165" i="3"/>
  <c r="H1166" i="3"/>
  <c r="H1167" i="3"/>
  <c r="H1168" i="3"/>
  <c r="H1169" i="3"/>
  <c r="H1170" i="3"/>
  <c r="H1171" i="3"/>
  <c r="H1172" i="3"/>
  <c r="H1173" i="3"/>
  <c r="H1174" i="3"/>
  <c r="H1175" i="3"/>
  <c r="H1176" i="3"/>
  <c r="H1177" i="3"/>
  <c r="K1177" i="3" s="1"/>
  <c r="H1178" i="3"/>
  <c r="H1179" i="3"/>
  <c r="H1180" i="3"/>
  <c r="H1181" i="3"/>
  <c r="H1182" i="3"/>
  <c r="K1182" i="3" s="1"/>
  <c r="H1183" i="3"/>
  <c r="K1183" i="3" s="1"/>
  <c r="H1184" i="3"/>
  <c r="K1184" i="3" s="1"/>
  <c r="H1185" i="3"/>
  <c r="H1186" i="3"/>
  <c r="H1187" i="3"/>
  <c r="H1188" i="3"/>
  <c r="H1189" i="3"/>
  <c r="H1190" i="3"/>
  <c r="H1191" i="3"/>
  <c r="H1192" i="3"/>
  <c r="H1193" i="3"/>
  <c r="H1194" i="3"/>
  <c r="H1195" i="3"/>
  <c r="H1196" i="3"/>
  <c r="H1197" i="3"/>
  <c r="K1197" i="3" s="1"/>
  <c r="H1198" i="3"/>
  <c r="H1199" i="3"/>
  <c r="H1200" i="3"/>
  <c r="K1200" i="3" s="1"/>
  <c r="H1201" i="3"/>
  <c r="K1201" i="3" s="1"/>
  <c r="H1202" i="3"/>
  <c r="H1203" i="3"/>
  <c r="H1204" i="3"/>
  <c r="H1205" i="3"/>
  <c r="H1206" i="3"/>
  <c r="H1207" i="3"/>
  <c r="H1208" i="3"/>
  <c r="H1209" i="3"/>
  <c r="H1210" i="3"/>
  <c r="H1211" i="3"/>
  <c r="H1212" i="3"/>
  <c r="H1213" i="3"/>
  <c r="H1214" i="3"/>
  <c r="H1215" i="3"/>
  <c r="H1216" i="3"/>
  <c r="H1217" i="3"/>
  <c r="H1218" i="3"/>
  <c r="H1219" i="3"/>
  <c r="H1220" i="3"/>
  <c r="K1220" i="3" s="1"/>
  <c r="H1221" i="3"/>
  <c r="H1222" i="3"/>
  <c r="H1223" i="3"/>
  <c r="H1224" i="3"/>
  <c r="H1225" i="3"/>
  <c r="H1226" i="3"/>
  <c r="H1227" i="3"/>
  <c r="H1228" i="3"/>
  <c r="K1228" i="3" s="1"/>
  <c r="H1229" i="3"/>
  <c r="H1230" i="3"/>
  <c r="H1231" i="3"/>
  <c r="H1232" i="3"/>
  <c r="H1233" i="3"/>
  <c r="H1234" i="3"/>
  <c r="H1235" i="3"/>
  <c r="H1236" i="3"/>
  <c r="H1237" i="3"/>
  <c r="H1238" i="3"/>
  <c r="K1238" i="3" s="1"/>
  <c r="H1239" i="3"/>
  <c r="H1240" i="3"/>
  <c r="K1240" i="3" s="1"/>
  <c r="H1241" i="3"/>
  <c r="H1242" i="3"/>
  <c r="H1243" i="3"/>
  <c r="H1244" i="3"/>
  <c r="H1245" i="3"/>
  <c r="H1246" i="3"/>
  <c r="H1247" i="3"/>
  <c r="H1248" i="3"/>
  <c r="H1249" i="3"/>
  <c r="H1250" i="3"/>
  <c r="H1251" i="3"/>
  <c r="H1252" i="3"/>
  <c r="H1253" i="3"/>
  <c r="H1254" i="3"/>
  <c r="H1255" i="3"/>
  <c r="H1256" i="3"/>
  <c r="H1257" i="3"/>
  <c r="H1258" i="3"/>
  <c r="H1259" i="3"/>
  <c r="H1260" i="3"/>
  <c r="H1261" i="3"/>
  <c r="H1262" i="3"/>
  <c r="H1263" i="3"/>
  <c r="H1264" i="3"/>
  <c r="H1265" i="3"/>
  <c r="K1265" i="3" s="1"/>
  <c r="H1266" i="3"/>
  <c r="H1267" i="3"/>
  <c r="H1268" i="3"/>
  <c r="H1269" i="3"/>
  <c r="K1269" i="3" s="1"/>
  <c r="H1270" i="3"/>
  <c r="H1271" i="3"/>
  <c r="H1272" i="3"/>
  <c r="K1272" i="3" s="1"/>
  <c r="H1273" i="3"/>
  <c r="K1273" i="3" s="1"/>
  <c r="H1274" i="3"/>
  <c r="K1274" i="3" s="1"/>
  <c r="H1275" i="3"/>
  <c r="H1276" i="3"/>
  <c r="H1277" i="3"/>
  <c r="H1278" i="3"/>
  <c r="H1279" i="3"/>
  <c r="H1280" i="3"/>
  <c r="H1281" i="3"/>
  <c r="H1282" i="3"/>
  <c r="H1283" i="3"/>
  <c r="H1284" i="3"/>
  <c r="H1285" i="3"/>
  <c r="H1286" i="3"/>
  <c r="H1287" i="3"/>
  <c r="H1288" i="3"/>
  <c r="H1289" i="3"/>
  <c r="H1290" i="3"/>
  <c r="H1291" i="3"/>
  <c r="H1292" i="3"/>
  <c r="K1292" i="3" s="1"/>
  <c r="H1293" i="3"/>
  <c r="H1294" i="3"/>
  <c r="H1295" i="3"/>
  <c r="H1296" i="3"/>
  <c r="H1297" i="3"/>
  <c r="H1298" i="3"/>
  <c r="H1299" i="3"/>
  <c r="H1300" i="3"/>
  <c r="H1301" i="3"/>
  <c r="H1302" i="3"/>
  <c r="H1303" i="3"/>
  <c r="H1304" i="3"/>
  <c r="H1305" i="3"/>
  <c r="H1306" i="3"/>
  <c r="H1307" i="3"/>
  <c r="H1308" i="3"/>
  <c r="H1309" i="3"/>
  <c r="K1309" i="3" s="1"/>
  <c r="H1310" i="3"/>
  <c r="K1310" i="3" s="1"/>
  <c r="H1311" i="3"/>
  <c r="H1312" i="3"/>
  <c r="K1312" i="3" s="1"/>
  <c r="H1313" i="3"/>
  <c r="H1314" i="3"/>
  <c r="H1315" i="3"/>
  <c r="H1316" i="3"/>
  <c r="H1317" i="3"/>
  <c r="H1318" i="3"/>
  <c r="H1319" i="3"/>
  <c r="H1320" i="3"/>
  <c r="H1321" i="3"/>
  <c r="H1322" i="3"/>
  <c r="H1323" i="3"/>
  <c r="H1324" i="3"/>
  <c r="H1325" i="3"/>
  <c r="H1326" i="3"/>
  <c r="H1327" i="3"/>
  <c r="H1328" i="3"/>
  <c r="H1329" i="3"/>
  <c r="H1330" i="3"/>
  <c r="H1331" i="3"/>
  <c r="H1332" i="3"/>
  <c r="H1333" i="3"/>
  <c r="H1334" i="3"/>
  <c r="H1335" i="3"/>
  <c r="K1335" i="3" s="1"/>
  <c r="H1336" i="3"/>
  <c r="H1337" i="3"/>
  <c r="H1338" i="3"/>
  <c r="H1339" i="3"/>
  <c r="H1340" i="3"/>
  <c r="H1341" i="3"/>
  <c r="H1342" i="3"/>
  <c r="K1342" i="3" s="1"/>
  <c r="H1343" i="3"/>
  <c r="H1344" i="3"/>
  <c r="K1344" i="3" s="1"/>
  <c r="H1345" i="3"/>
  <c r="K1345" i="3" s="1"/>
  <c r="H1346" i="3"/>
  <c r="K1346" i="3" s="1"/>
  <c r="H1347" i="3"/>
  <c r="H1348" i="3"/>
  <c r="H1349" i="3"/>
  <c r="H1350" i="3"/>
  <c r="H1351" i="3"/>
  <c r="H1352" i="3"/>
  <c r="H1353" i="3"/>
  <c r="H1354" i="3"/>
  <c r="H1355" i="3"/>
  <c r="H1356" i="3"/>
  <c r="H1357" i="3"/>
  <c r="H1358" i="3"/>
  <c r="H1359" i="3"/>
  <c r="H1360" i="3"/>
  <c r="H1361" i="3"/>
  <c r="H1362" i="3"/>
  <c r="H1363" i="3"/>
  <c r="K1363" i="3" s="1"/>
  <c r="H1364" i="3"/>
  <c r="K1364" i="3" s="1"/>
  <c r="H1365" i="3"/>
  <c r="H1366" i="3"/>
  <c r="H1367" i="3"/>
  <c r="H1368" i="3"/>
  <c r="H1369" i="3"/>
  <c r="H1370" i="3"/>
  <c r="H1371" i="3"/>
  <c r="H1372" i="3"/>
  <c r="H1373" i="3"/>
  <c r="H1374" i="3"/>
  <c r="H1375" i="3"/>
  <c r="H1376" i="3"/>
  <c r="H1377" i="3"/>
  <c r="H1378" i="3"/>
  <c r="H1379" i="3"/>
  <c r="H1380" i="3"/>
  <c r="H1381" i="3"/>
  <c r="H1382" i="3"/>
  <c r="H1383" i="3"/>
  <c r="H1384" i="3"/>
  <c r="K1384" i="3" s="1"/>
  <c r="H1385" i="3"/>
  <c r="H1386" i="3"/>
  <c r="H1387" i="3"/>
  <c r="H1388" i="3"/>
  <c r="H1389" i="3"/>
  <c r="H1390" i="3"/>
  <c r="K1390" i="3" s="1"/>
  <c r="H1391" i="3"/>
  <c r="H1392" i="3"/>
  <c r="H1393" i="3"/>
  <c r="H1394" i="3"/>
  <c r="H1395" i="3"/>
  <c r="H1396" i="3"/>
  <c r="H1397" i="3"/>
  <c r="H1398" i="3"/>
  <c r="H1399" i="3"/>
  <c r="H1400" i="3"/>
  <c r="H1401" i="3"/>
  <c r="H1402" i="3"/>
  <c r="H1403" i="3"/>
  <c r="H1404" i="3"/>
  <c r="H1405" i="3"/>
  <c r="H1406" i="3"/>
  <c r="H1407" i="3"/>
  <c r="H1408" i="3"/>
  <c r="H1409" i="3"/>
  <c r="H1410" i="3"/>
  <c r="H1411" i="3"/>
  <c r="H1412" i="3"/>
  <c r="H1413" i="3"/>
  <c r="H1414" i="3"/>
  <c r="H1415" i="3"/>
  <c r="H1416" i="3"/>
  <c r="H1417" i="3"/>
  <c r="K1417" i="3" s="1"/>
  <c r="H1418" i="3"/>
  <c r="K1418" i="3" s="1"/>
  <c r="H1419" i="3"/>
  <c r="H1420" i="3"/>
  <c r="H1421" i="3"/>
  <c r="H1422" i="3"/>
  <c r="H1423" i="3"/>
  <c r="H1424" i="3"/>
  <c r="H1425" i="3"/>
  <c r="H1426" i="3"/>
  <c r="H1427" i="3"/>
  <c r="H1428" i="3"/>
  <c r="H1429" i="3"/>
  <c r="H1430" i="3"/>
  <c r="H1431" i="3"/>
  <c r="H1432" i="3"/>
  <c r="H1433" i="3"/>
  <c r="H1434" i="3"/>
  <c r="K1434" i="3" s="1"/>
  <c r="H1435" i="3"/>
  <c r="K1435" i="3" s="1"/>
  <c r="H1436" i="3"/>
  <c r="K1436" i="3" s="1"/>
  <c r="H1437" i="3"/>
  <c r="H1438" i="3"/>
  <c r="H1439" i="3"/>
  <c r="H1440" i="3"/>
  <c r="I2" i="3"/>
  <c r="J2" i="3"/>
  <c r="K2" i="3"/>
  <c r="K3" i="3"/>
  <c r="K12" i="3"/>
  <c r="K22" i="3"/>
  <c r="K30" i="3"/>
  <c r="K31" i="3"/>
  <c r="K39" i="3"/>
  <c r="K48" i="3"/>
  <c r="K49" i="3"/>
  <c r="K50" i="3"/>
  <c r="K61" i="3"/>
  <c r="K66" i="3"/>
  <c r="K67" i="3"/>
  <c r="K68" i="3"/>
  <c r="K75" i="3"/>
  <c r="K94" i="3"/>
  <c r="K96" i="3"/>
  <c r="K102" i="3"/>
  <c r="K111" i="3"/>
  <c r="K113" i="3"/>
  <c r="K120" i="3"/>
  <c r="K129" i="3"/>
  <c r="K130" i="3"/>
  <c r="K131" i="3"/>
  <c r="K138" i="3"/>
  <c r="K139" i="3"/>
  <c r="K140" i="3"/>
  <c r="K147" i="3"/>
  <c r="K175" i="3"/>
  <c r="K183" i="3"/>
  <c r="K192" i="3"/>
  <c r="K219" i="3"/>
  <c r="K228" i="3"/>
  <c r="K229" i="3"/>
  <c r="K230" i="3"/>
  <c r="K237" i="3"/>
  <c r="K248" i="3"/>
  <c r="K273" i="3"/>
  <c r="K282" i="3"/>
  <c r="K291" i="3"/>
  <c r="K294" i="3"/>
  <c r="K295" i="3"/>
  <c r="K311" i="3"/>
  <c r="K318" i="3"/>
  <c r="K319" i="3"/>
  <c r="K320" i="3"/>
  <c r="K336" i="3"/>
  <c r="K338" i="3"/>
  <c r="K372" i="3"/>
  <c r="K373" i="3"/>
  <c r="K383" i="3"/>
  <c r="K390" i="3"/>
  <c r="K399" i="3"/>
  <c r="K408" i="3"/>
  <c r="K409" i="3"/>
  <c r="K410" i="3"/>
  <c r="K417" i="3"/>
  <c r="K426" i="3"/>
  <c r="K427" i="3"/>
  <c r="K428" i="3"/>
  <c r="K429" i="3"/>
  <c r="K436" i="3"/>
  <c r="K453" i="3"/>
  <c r="K462" i="3"/>
  <c r="K463" i="3"/>
  <c r="K471" i="3"/>
  <c r="K480" i="3"/>
  <c r="K481" i="3"/>
  <c r="K482" i="3"/>
  <c r="K491" i="3"/>
  <c r="K498" i="3"/>
  <c r="K501" i="3"/>
  <c r="K516" i="3"/>
  <c r="K517" i="3"/>
  <c r="K525" i="3"/>
  <c r="K526" i="3"/>
  <c r="K534" i="3"/>
  <c r="K543" i="3"/>
  <c r="K544" i="3"/>
  <c r="K554" i="3"/>
  <c r="K566" i="3"/>
  <c r="K567" i="3"/>
  <c r="K570" i="3"/>
  <c r="K579" i="3"/>
  <c r="K580" i="3"/>
  <c r="K581" i="3"/>
  <c r="K588" i="3"/>
  <c r="K597" i="3"/>
  <c r="K615" i="3"/>
  <c r="K616" i="3"/>
  <c r="K617" i="3"/>
  <c r="K624" i="3"/>
  <c r="K633" i="3"/>
  <c r="K642" i="3"/>
  <c r="K643" i="3"/>
  <c r="K644" i="3"/>
  <c r="K660" i="3"/>
  <c r="K661" i="3"/>
  <c r="K662" i="3"/>
  <c r="K663" i="3"/>
  <c r="K678" i="3"/>
  <c r="K688" i="3"/>
  <c r="K696" i="3"/>
  <c r="K697" i="3"/>
  <c r="K708" i="3"/>
  <c r="K709" i="3"/>
  <c r="K723" i="3"/>
  <c r="K732" i="3"/>
  <c r="K741" i="3"/>
  <c r="K750" i="3"/>
  <c r="K751" i="3"/>
  <c r="K752" i="3"/>
  <c r="K759" i="3"/>
  <c r="K768" i="3"/>
  <c r="K786" i="3"/>
  <c r="K787" i="3"/>
  <c r="K788" i="3"/>
  <c r="K795" i="3"/>
  <c r="K804" i="3"/>
  <c r="K805" i="3"/>
  <c r="K806" i="3"/>
  <c r="K808" i="3"/>
  <c r="K813" i="3"/>
  <c r="K814" i="3"/>
  <c r="K831" i="3"/>
  <c r="K835" i="3"/>
  <c r="K836" i="3"/>
  <c r="K840" i="3"/>
  <c r="K849" i="3"/>
  <c r="K851" i="3"/>
  <c r="K858" i="3"/>
  <c r="K859" i="3"/>
  <c r="K867" i="3"/>
  <c r="K878" i="3"/>
  <c r="K879" i="3"/>
  <c r="K885" i="3"/>
  <c r="K886" i="3"/>
  <c r="K921" i="3"/>
  <c r="K930" i="3"/>
  <c r="K931" i="3"/>
  <c r="K939" i="3"/>
  <c r="K942" i="3"/>
  <c r="K957" i="3"/>
  <c r="K966" i="3"/>
  <c r="K976" i="3"/>
  <c r="K977" i="3"/>
  <c r="K978" i="3"/>
  <c r="K984" i="3"/>
  <c r="K993" i="3"/>
  <c r="K994" i="3"/>
  <c r="K995" i="3"/>
  <c r="K996" i="3"/>
  <c r="K1002" i="3"/>
  <c r="K1003" i="3"/>
  <c r="K1004" i="3"/>
  <c r="K1020" i="3"/>
  <c r="K1021" i="3"/>
  <c r="K1022" i="3"/>
  <c r="K1038" i="3"/>
  <c r="K1039" i="3"/>
  <c r="K1040" i="3"/>
  <c r="K1041" i="3"/>
  <c r="K1047" i="3"/>
  <c r="K1065" i="3"/>
  <c r="K1066" i="3"/>
  <c r="K1074" i="3"/>
  <c r="K1083" i="3"/>
  <c r="K1092" i="3"/>
  <c r="K1093" i="3"/>
  <c r="K1094" i="3"/>
  <c r="K1101" i="3"/>
  <c r="K1102" i="3"/>
  <c r="K1103" i="3"/>
  <c r="K1110" i="3"/>
  <c r="K1111" i="3"/>
  <c r="K1128" i="3"/>
  <c r="K1137" i="3"/>
  <c r="K1146" i="3"/>
  <c r="K1147" i="3"/>
  <c r="K1155" i="3"/>
  <c r="K1164" i="3"/>
  <c r="K1165" i="3"/>
  <c r="K1166" i="3"/>
  <c r="K1167" i="3"/>
  <c r="K1168" i="3"/>
  <c r="K1173" i="3"/>
  <c r="K1191" i="3"/>
  <c r="K1194" i="3"/>
  <c r="K1209" i="3"/>
  <c r="K1218" i="3"/>
  <c r="K1227" i="3"/>
  <c r="K1229" i="3"/>
  <c r="K1236" i="3"/>
  <c r="K1237" i="3"/>
  <c r="K1254" i="3"/>
  <c r="K1255" i="3"/>
  <c r="K1256" i="3"/>
  <c r="K1263" i="3"/>
  <c r="K1281" i="3"/>
  <c r="K1282" i="3"/>
  <c r="K1283" i="3"/>
  <c r="K1290" i="3"/>
  <c r="K1291" i="3"/>
  <c r="K1308" i="3"/>
  <c r="K1317" i="3"/>
  <c r="K1319" i="3"/>
  <c r="K1326" i="3"/>
  <c r="K1327" i="3"/>
  <c r="K1328" i="3"/>
  <c r="K1339" i="3"/>
  <c r="K1371" i="3"/>
  <c r="K1380" i="3"/>
  <c r="K1381" i="3"/>
  <c r="K1389" i="3"/>
  <c r="K1398" i="3"/>
  <c r="K1399" i="3"/>
  <c r="K1400" i="3"/>
  <c r="K1407" i="3"/>
  <c r="K1408" i="3"/>
  <c r="K1416" i="3"/>
  <c r="K1420" i="3"/>
  <c r="K1426" i="3"/>
  <c r="L2" i="3"/>
  <c r="N2" i="3"/>
  <c r="N3" i="3" s="1"/>
  <c r="Q2" i="3"/>
  <c r="Q3" i="3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242" i="3"/>
  <c r="Q243" i="3"/>
  <c r="Q244" i="3"/>
  <c r="Q245" i="3"/>
  <c r="Q246" i="3"/>
  <c r="Q247" i="3"/>
  <c r="Q248" i="3"/>
  <c r="Q249" i="3"/>
  <c r="Q250" i="3"/>
  <c r="Q251" i="3"/>
  <c r="Q252" i="3"/>
  <c r="Q253" i="3"/>
  <c r="Q254" i="3"/>
  <c r="Q255" i="3"/>
  <c r="Q256" i="3"/>
  <c r="Q257" i="3"/>
  <c r="Q258" i="3"/>
  <c r="Q259" i="3"/>
  <c r="Q260" i="3"/>
  <c r="Q261" i="3"/>
  <c r="Q262" i="3"/>
  <c r="Q263" i="3"/>
  <c r="Q264" i="3"/>
  <c r="Q265" i="3"/>
  <c r="Q266" i="3"/>
  <c r="Q267" i="3"/>
  <c r="Q268" i="3"/>
  <c r="Q269" i="3"/>
  <c r="Q270" i="3"/>
  <c r="Q271" i="3"/>
  <c r="Q272" i="3"/>
  <c r="Q273" i="3"/>
  <c r="Q274" i="3"/>
  <c r="Q275" i="3"/>
  <c r="Q276" i="3"/>
  <c r="Q277" i="3"/>
  <c r="Q278" i="3"/>
  <c r="Q279" i="3"/>
  <c r="Q280" i="3"/>
  <c r="Q281" i="3"/>
  <c r="Q282" i="3"/>
  <c r="Q283" i="3"/>
  <c r="Q284" i="3"/>
  <c r="Q285" i="3"/>
  <c r="Q286" i="3"/>
  <c r="Q287" i="3"/>
  <c r="Q288" i="3"/>
  <c r="Q289" i="3"/>
  <c r="Q290" i="3"/>
  <c r="Q291" i="3"/>
  <c r="Q292" i="3"/>
  <c r="Q293" i="3"/>
  <c r="Q294" i="3"/>
  <c r="Q295" i="3"/>
  <c r="Q296" i="3"/>
  <c r="Q297" i="3"/>
  <c r="Q298" i="3"/>
  <c r="Q299" i="3"/>
  <c r="Q300" i="3"/>
  <c r="Q301" i="3"/>
  <c r="Q302" i="3"/>
  <c r="Q303" i="3"/>
  <c r="Q304" i="3"/>
  <c r="Q305" i="3"/>
  <c r="Q306" i="3"/>
  <c r="Q307" i="3"/>
  <c r="Q308" i="3"/>
  <c r="Q309" i="3"/>
  <c r="Q310" i="3"/>
  <c r="Q311" i="3"/>
  <c r="Q312" i="3"/>
  <c r="Q313" i="3"/>
  <c r="Q314" i="3"/>
  <c r="Q315" i="3"/>
  <c r="Q316" i="3"/>
  <c r="Q317" i="3"/>
  <c r="Q318" i="3"/>
  <c r="Q319" i="3"/>
  <c r="Q320" i="3"/>
  <c r="Q321" i="3"/>
  <c r="Q322" i="3"/>
  <c r="Q323" i="3"/>
  <c r="Q324" i="3"/>
  <c r="Q325" i="3"/>
  <c r="Q326" i="3"/>
  <c r="Q327" i="3"/>
  <c r="Q328" i="3"/>
  <c r="Q329" i="3"/>
  <c r="Q330" i="3"/>
  <c r="Q331" i="3"/>
  <c r="Q332" i="3"/>
  <c r="Q333" i="3"/>
  <c r="Q334" i="3"/>
  <c r="Q335" i="3"/>
  <c r="Q336" i="3"/>
  <c r="Q337" i="3"/>
  <c r="Q338" i="3"/>
  <c r="Q339" i="3"/>
  <c r="Q340" i="3"/>
  <c r="Q341" i="3"/>
  <c r="Q342" i="3"/>
  <c r="Q343" i="3"/>
  <c r="Q344" i="3"/>
  <c r="Q345" i="3"/>
  <c r="Q346" i="3"/>
  <c r="Q347" i="3"/>
  <c r="Q348" i="3"/>
  <c r="Q349" i="3"/>
  <c r="Q350" i="3"/>
  <c r="Q351" i="3"/>
  <c r="Q352" i="3"/>
  <c r="Q353" i="3"/>
  <c r="Q354" i="3"/>
  <c r="Q355" i="3"/>
  <c r="Q356" i="3"/>
  <c r="Q357" i="3"/>
  <c r="Q358" i="3"/>
  <c r="Q359" i="3"/>
  <c r="Q360" i="3"/>
  <c r="Q361" i="3"/>
  <c r="Q362" i="3"/>
  <c r="Q363" i="3"/>
  <c r="Q364" i="3"/>
  <c r="Q365" i="3"/>
  <c r="Q366" i="3"/>
  <c r="Q367" i="3"/>
  <c r="Q368" i="3"/>
  <c r="Q369" i="3"/>
  <c r="Q370" i="3"/>
  <c r="Q371" i="3"/>
  <c r="Q372" i="3"/>
  <c r="Q373" i="3"/>
  <c r="Q374" i="3"/>
  <c r="Q375" i="3"/>
  <c r="Q376" i="3"/>
  <c r="Q377" i="3"/>
  <c r="Q378" i="3"/>
  <c r="Q379" i="3"/>
  <c r="Q380" i="3"/>
  <c r="Q381" i="3"/>
  <c r="Q382" i="3"/>
  <c r="Q383" i="3"/>
  <c r="Q384" i="3"/>
  <c r="Q385" i="3"/>
  <c r="Q386" i="3"/>
  <c r="Q387" i="3"/>
  <c r="Q388" i="3"/>
  <c r="Q389" i="3"/>
  <c r="Q390" i="3"/>
  <c r="Q391" i="3"/>
  <c r="Q392" i="3"/>
  <c r="Q393" i="3"/>
  <c r="Q394" i="3"/>
  <c r="Q395" i="3"/>
  <c r="Q396" i="3"/>
  <c r="Q397" i="3"/>
  <c r="Q398" i="3"/>
  <c r="Q399" i="3"/>
  <c r="Q400" i="3"/>
  <c r="Q401" i="3"/>
  <c r="Q402" i="3"/>
  <c r="Q403" i="3"/>
  <c r="Q404" i="3"/>
  <c r="Q405" i="3"/>
  <c r="Q406" i="3"/>
  <c r="Q407" i="3"/>
  <c r="Q408" i="3"/>
  <c r="Q409" i="3"/>
  <c r="Q410" i="3"/>
  <c r="Q411" i="3"/>
  <c r="Q412" i="3"/>
  <c r="Q413" i="3"/>
  <c r="Q414" i="3"/>
  <c r="Q415" i="3"/>
  <c r="Q416" i="3"/>
  <c r="Q417" i="3"/>
  <c r="Q418" i="3"/>
  <c r="Q419" i="3"/>
  <c r="Q420" i="3"/>
  <c r="Q421" i="3"/>
  <c r="Q422" i="3"/>
  <c r="Q423" i="3"/>
  <c r="Q424" i="3"/>
  <c r="Q425" i="3"/>
  <c r="Q426" i="3"/>
  <c r="Q427" i="3"/>
  <c r="Q428" i="3"/>
  <c r="Q429" i="3"/>
  <c r="Q430" i="3"/>
  <c r="Q431" i="3"/>
  <c r="Q432" i="3"/>
  <c r="Q433" i="3"/>
  <c r="Q434" i="3"/>
  <c r="Q435" i="3"/>
  <c r="Q436" i="3"/>
  <c r="Q437" i="3"/>
  <c r="Q438" i="3"/>
  <c r="Q439" i="3"/>
  <c r="Q440" i="3"/>
  <c r="Q441" i="3"/>
  <c r="Q442" i="3"/>
  <c r="Q443" i="3"/>
  <c r="Q444" i="3"/>
  <c r="Q445" i="3"/>
  <c r="Q446" i="3"/>
  <c r="Q447" i="3"/>
  <c r="Q448" i="3"/>
  <c r="Q449" i="3"/>
  <c r="Q450" i="3"/>
  <c r="Q451" i="3"/>
  <c r="Q452" i="3"/>
  <c r="Q453" i="3"/>
  <c r="Q454" i="3"/>
  <c r="Q455" i="3"/>
  <c r="Q456" i="3"/>
  <c r="Q457" i="3"/>
  <c r="Q458" i="3"/>
  <c r="Q459" i="3"/>
  <c r="Q460" i="3"/>
  <c r="Q461" i="3"/>
  <c r="Q462" i="3"/>
  <c r="Q463" i="3"/>
  <c r="Q464" i="3"/>
  <c r="Q465" i="3"/>
  <c r="Q466" i="3"/>
  <c r="Q467" i="3"/>
  <c r="Q468" i="3"/>
  <c r="Q469" i="3"/>
  <c r="Q470" i="3"/>
  <c r="Q471" i="3"/>
  <c r="Q472" i="3"/>
  <c r="Q473" i="3"/>
  <c r="Q474" i="3"/>
  <c r="Q475" i="3"/>
  <c r="Q476" i="3"/>
  <c r="Q477" i="3"/>
  <c r="Q478" i="3"/>
  <c r="Q479" i="3"/>
  <c r="Q480" i="3"/>
  <c r="Q481" i="3"/>
  <c r="Q482" i="3"/>
  <c r="Q483" i="3"/>
  <c r="Q484" i="3"/>
  <c r="Q485" i="3"/>
  <c r="Q486" i="3"/>
  <c r="Q487" i="3"/>
  <c r="Q488" i="3"/>
  <c r="Q489" i="3"/>
  <c r="Q490" i="3"/>
  <c r="Q491" i="3"/>
  <c r="Q492" i="3"/>
  <c r="Q493" i="3"/>
  <c r="Q494" i="3"/>
  <c r="Q495" i="3"/>
  <c r="Q496" i="3"/>
  <c r="Q497" i="3"/>
  <c r="Q498" i="3"/>
  <c r="Q499" i="3"/>
  <c r="Q500" i="3"/>
  <c r="Q501" i="3"/>
  <c r="Q502" i="3"/>
  <c r="Q503" i="3"/>
  <c r="Q504" i="3"/>
  <c r="Q505" i="3"/>
  <c r="Q506" i="3"/>
  <c r="Q507" i="3"/>
  <c r="Q508" i="3"/>
  <c r="Q509" i="3"/>
  <c r="Q510" i="3"/>
  <c r="Q511" i="3"/>
  <c r="Q512" i="3"/>
  <c r="Q513" i="3"/>
  <c r="Q514" i="3"/>
  <c r="Q515" i="3"/>
  <c r="Q516" i="3"/>
  <c r="Q517" i="3"/>
  <c r="Q518" i="3"/>
  <c r="Q519" i="3"/>
  <c r="Q520" i="3"/>
  <c r="Q521" i="3"/>
  <c r="Q522" i="3"/>
  <c r="Q523" i="3"/>
  <c r="Q524" i="3"/>
  <c r="Q525" i="3"/>
  <c r="Q526" i="3"/>
  <c r="Q527" i="3"/>
  <c r="Q528" i="3"/>
  <c r="Q529" i="3"/>
  <c r="Q530" i="3"/>
  <c r="Q531" i="3"/>
  <c r="Q532" i="3"/>
  <c r="Q533" i="3"/>
  <c r="Q534" i="3"/>
  <c r="Q535" i="3"/>
  <c r="Q536" i="3"/>
  <c r="Q537" i="3"/>
  <c r="Q538" i="3"/>
  <c r="Q539" i="3"/>
  <c r="Q540" i="3"/>
  <c r="Q541" i="3"/>
  <c r="Q542" i="3"/>
  <c r="Q543" i="3"/>
  <c r="Q544" i="3"/>
  <c r="Q545" i="3"/>
  <c r="Q546" i="3"/>
  <c r="Q547" i="3"/>
  <c r="Q548" i="3"/>
  <c r="Q549" i="3"/>
  <c r="Q550" i="3"/>
  <c r="Q551" i="3"/>
  <c r="Q552" i="3"/>
  <c r="Q553" i="3"/>
  <c r="Q554" i="3"/>
  <c r="Q555" i="3"/>
  <c r="Q556" i="3"/>
  <c r="Q557" i="3"/>
  <c r="Q558" i="3"/>
  <c r="Q559" i="3"/>
  <c r="Q560" i="3"/>
  <c r="Q561" i="3"/>
  <c r="Q562" i="3"/>
  <c r="Q563" i="3"/>
  <c r="Q564" i="3"/>
  <c r="Q565" i="3"/>
  <c r="Q566" i="3"/>
  <c r="Q567" i="3"/>
  <c r="Q568" i="3"/>
  <c r="Q569" i="3"/>
  <c r="Q570" i="3"/>
  <c r="Q571" i="3"/>
  <c r="Q572" i="3"/>
  <c r="Q573" i="3"/>
  <c r="Q574" i="3"/>
  <c r="Q575" i="3"/>
  <c r="Q576" i="3"/>
  <c r="Q577" i="3"/>
  <c r="Q578" i="3"/>
  <c r="Q579" i="3"/>
  <c r="Q580" i="3"/>
  <c r="Q581" i="3"/>
  <c r="Q582" i="3"/>
  <c r="Q583" i="3"/>
  <c r="Q584" i="3"/>
  <c r="Q585" i="3"/>
  <c r="Q586" i="3"/>
  <c r="Q587" i="3"/>
  <c r="Q588" i="3"/>
  <c r="Q589" i="3"/>
  <c r="Q590" i="3"/>
  <c r="Q591" i="3"/>
  <c r="Q592" i="3"/>
  <c r="Q593" i="3"/>
  <c r="Q594" i="3"/>
  <c r="Q595" i="3"/>
  <c r="Q596" i="3"/>
  <c r="Q597" i="3"/>
  <c r="Q598" i="3"/>
  <c r="Q599" i="3"/>
  <c r="Q600" i="3"/>
  <c r="Q601" i="3"/>
  <c r="Q602" i="3"/>
  <c r="Q603" i="3"/>
  <c r="Q604" i="3"/>
  <c r="Q605" i="3"/>
  <c r="Q606" i="3"/>
  <c r="Q607" i="3"/>
  <c r="Q608" i="3"/>
  <c r="Q609" i="3"/>
  <c r="Q610" i="3"/>
  <c r="Q611" i="3"/>
  <c r="Q612" i="3"/>
  <c r="Q613" i="3"/>
  <c r="Q614" i="3"/>
  <c r="Q615" i="3"/>
  <c r="Q616" i="3"/>
  <c r="Q617" i="3"/>
  <c r="Q618" i="3"/>
  <c r="Q619" i="3"/>
  <c r="Q620" i="3"/>
  <c r="Q621" i="3"/>
  <c r="Q622" i="3"/>
  <c r="Q623" i="3"/>
  <c r="Q624" i="3"/>
  <c r="Q625" i="3"/>
  <c r="Q626" i="3"/>
  <c r="Q627" i="3"/>
  <c r="Q628" i="3"/>
  <c r="Q629" i="3"/>
  <c r="Q630" i="3"/>
  <c r="Q631" i="3"/>
  <c r="Q632" i="3"/>
  <c r="Q633" i="3"/>
  <c r="Q634" i="3"/>
  <c r="Q635" i="3"/>
  <c r="Q636" i="3"/>
  <c r="Q637" i="3"/>
  <c r="Q638" i="3"/>
  <c r="Q639" i="3"/>
  <c r="Q640" i="3"/>
  <c r="Q641" i="3"/>
  <c r="Q642" i="3"/>
  <c r="Q643" i="3"/>
  <c r="Q644" i="3"/>
  <c r="Q645" i="3"/>
  <c r="Q646" i="3"/>
  <c r="Q647" i="3"/>
  <c r="Q648" i="3"/>
  <c r="Q649" i="3"/>
  <c r="Q650" i="3"/>
  <c r="Q651" i="3"/>
  <c r="Q652" i="3"/>
  <c r="Q653" i="3"/>
  <c r="Q654" i="3"/>
  <c r="Q655" i="3"/>
  <c r="Q656" i="3"/>
  <c r="Q657" i="3"/>
  <c r="Q658" i="3"/>
  <c r="Q659" i="3"/>
  <c r="Q660" i="3"/>
  <c r="Q661" i="3"/>
  <c r="Q662" i="3"/>
  <c r="Q663" i="3"/>
  <c r="Q664" i="3"/>
  <c r="Q665" i="3"/>
  <c r="Q666" i="3"/>
  <c r="Q667" i="3"/>
  <c r="Q668" i="3"/>
  <c r="Q669" i="3"/>
  <c r="Q670" i="3"/>
  <c r="Q671" i="3"/>
  <c r="Q672" i="3"/>
  <c r="Q673" i="3"/>
  <c r="Q674" i="3"/>
  <c r="Q675" i="3"/>
  <c r="Q676" i="3"/>
  <c r="Q677" i="3"/>
  <c r="Q678" i="3"/>
  <c r="Q679" i="3"/>
  <c r="Q680" i="3"/>
  <c r="Q681" i="3"/>
  <c r="Q682" i="3"/>
  <c r="Q683" i="3"/>
  <c r="Q684" i="3"/>
  <c r="Q685" i="3"/>
  <c r="Q686" i="3"/>
  <c r="Q687" i="3"/>
  <c r="Q688" i="3"/>
  <c r="Q689" i="3"/>
  <c r="Q690" i="3"/>
  <c r="Q691" i="3"/>
  <c r="Q692" i="3"/>
  <c r="Q693" i="3"/>
  <c r="Q694" i="3"/>
  <c r="Q695" i="3"/>
  <c r="Q696" i="3"/>
  <c r="Q697" i="3"/>
  <c r="Q698" i="3"/>
  <c r="Q699" i="3"/>
  <c r="Q700" i="3"/>
  <c r="Q701" i="3"/>
  <c r="Q702" i="3"/>
  <c r="Q703" i="3"/>
  <c r="Q704" i="3"/>
  <c r="Q705" i="3"/>
  <c r="Q706" i="3"/>
  <c r="Q707" i="3"/>
  <c r="Q708" i="3"/>
  <c r="Q709" i="3"/>
  <c r="Q710" i="3"/>
  <c r="Q711" i="3"/>
  <c r="Q712" i="3"/>
  <c r="Q713" i="3"/>
  <c r="Q714" i="3"/>
  <c r="Q715" i="3"/>
  <c r="Q716" i="3"/>
  <c r="Q717" i="3"/>
  <c r="Q718" i="3"/>
  <c r="Q719" i="3"/>
  <c r="Q720" i="3"/>
  <c r="Q721" i="3"/>
  <c r="Q722" i="3"/>
  <c r="Q723" i="3"/>
  <c r="Q724" i="3"/>
  <c r="Q725" i="3"/>
  <c r="Q726" i="3"/>
  <c r="Q727" i="3"/>
  <c r="Q728" i="3"/>
  <c r="Q729" i="3"/>
  <c r="Q730" i="3"/>
  <c r="Q731" i="3"/>
  <c r="Q732" i="3"/>
  <c r="Q733" i="3"/>
  <c r="Q734" i="3"/>
  <c r="Q735" i="3"/>
  <c r="Q736" i="3"/>
  <c r="Q737" i="3"/>
  <c r="Q738" i="3"/>
  <c r="Q739" i="3"/>
  <c r="Q740" i="3"/>
  <c r="Q741" i="3"/>
  <c r="Q742" i="3"/>
  <c r="Q743" i="3"/>
  <c r="Q744" i="3"/>
  <c r="Q745" i="3"/>
  <c r="Q746" i="3"/>
  <c r="Q747" i="3"/>
  <c r="Q748" i="3"/>
  <c r="Q749" i="3"/>
  <c r="Q750" i="3"/>
  <c r="Q751" i="3"/>
  <c r="Q752" i="3"/>
  <c r="Q753" i="3"/>
  <c r="Q754" i="3"/>
  <c r="Q755" i="3"/>
  <c r="Q756" i="3"/>
  <c r="Q757" i="3"/>
  <c r="Q758" i="3"/>
  <c r="Q759" i="3"/>
  <c r="Q760" i="3"/>
  <c r="Q761" i="3"/>
  <c r="Q762" i="3"/>
  <c r="Q763" i="3"/>
  <c r="Q764" i="3"/>
  <c r="Q765" i="3"/>
  <c r="Q766" i="3"/>
  <c r="Q767" i="3"/>
  <c r="Q768" i="3"/>
  <c r="Q769" i="3"/>
  <c r="Q770" i="3"/>
  <c r="Q771" i="3"/>
  <c r="Q772" i="3"/>
  <c r="Q773" i="3"/>
  <c r="Q774" i="3"/>
  <c r="Q775" i="3"/>
  <c r="Q776" i="3"/>
  <c r="Q777" i="3"/>
  <c r="Q778" i="3"/>
  <c r="Q779" i="3"/>
  <c r="Q780" i="3"/>
  <c r="Q781" i="3"/>
  <c r="Q782" i="3"/>
  <c r="Q783" i="3"/>
  <c r="Q784" i="3"/>
  <c r="Q785" i="3"/>
  <c r="Q786" i="3"/>
  <c r="Q787" i="3"/>
  <c r="Q788" i="3"/>
  <c r="Q789" i="3"/>
  <c r="Q790" i="3"/>
  <c r="Q791" i="3"/>
  <c r="Q792" i="3"/>
  <c r="Q793" i="3"/>
  <c r="Q794" i="3"/>
  <c r="Q795" i="3"/>
  <c r="Q796" i="3"/>
  <c r="Q797" i="3"/>
  <c r="Q798" i="3"/>
  <c r="Q799" i="3"/>
  <c r="Q800" i="3"/>
  <c r="Q801" i="3"/>
  <c r="Q802" i="3"/>
  <c r="Q803" i="3"/>
  <c r="Q804" i="3"/>
  <c r="Q805" i="3"/>
  <c r="Q806" i="3"/>
  <c r="Q807" i="3"/>
  <c r="Q808" i="3"/>
  <c r="Q809" i="3"/>
  <c r="Q810" i="3"/>
  <c r="Q811" i="3"/>
  <c r="Q812" i="3"/>
  <c r="Q813" i="3"/>
  <c r="Q814" i="3"/>
  <c r="Q815" i="3"/>
  <c r="Q816" i="3"/>
  <c r="Q817" i="3"/>
  <c r="Q818" i="3"/>
  <c r="Q819" i="3"/>
  <c r="Q820" i="3"/>
  <c r="Q821" i="3"/>
  <c r="Q822" i="3"/>
  <c r="Q823" i="3"/>
  <c r="Q824" i="3"/>
  <c r="Q825" i="3"/>
  <c r="Q826" i="3"/>
  <c r="Q827" i="3"/>
  <c r="Q828" i="3"/>
  <c r="Q829" i="3"/>
  <c r="Q830" i="3"/>
  <c r="Q831" i="3"/>
  <c r="Q832" i="3"/>
  <c r="Q833" i="3"/>
  <c r="Q834" i="3"/>
  <c r="Q835" i="3"/>
  <c r="Q836" i="3"/>
  <c r="Q837" i="3"/>
  <c r="Q838" i="3"/>
  <c r="Q839" i="3"/>
  <c r="Q840" i="3"/>
  <c r="Q841" i="3"/>
  <c r="Q842" i="3"/>
  <c r="Q843" i="3"/>
  <c r="Q844" i="3"/>
  <c r="Q845" i="3"/>
  <c r="Q846" i="3"/>
  <c r="Q847" i="3"/>
  <c r="Q848" i="3"/>
  <c r="Q849" i="3"/>
  <c r="Q850" i="3"/>
  <c r="Q851" i="3"/>
  <c r="Q852" i="3"/>
  <c r="Q853" i="3"/>
  <c r="Q854" i="3"/>
  <c r="Q855" i="3"/>
  <c r="Q856" i="3"/>
  <c r="Q857" i="3"/>
  <c r="Q858" i="3"/>
  <c r="Q859" i="3"/>
  <c r="Q860" i="3"/>
  <c r="Q861" i="3"/>
  <c r="Q862" i="3"/>
  <c r="Q863" i="3"/>
  <c r="Q864" i="3"/>
  <c r="Q865" i="3"/>
  <c r="Q866" i="3"/>
  <c r="Q867" i="3"/>
  <c r="Q868" i="3"/>
  <c r="Q869" i="3"/>
  <c r="Q870" i="3"/>
  <c r="Q871" i="3"/>
  <c r="Q872" i="3"/>
  <c r="Q873" i="3"/>
  <c r="Q874" i="3"/>
  <c r="Q875" i="3"/>
  <c r="Q876" i="3"/>
  <c r="Q877" i="3"/>
  <c r="Q878" i="3"/>
  <c r="Q879" i="3"/>
  <c r="Q880" i="3"/>
  <c r="Q881" i="3"/>
  <c r="Q882" i="3"/>
  <c r="Q883" i="3"/>
  <c r="Q884" i="3"/>
  <c r="Q885" i="3"/>
  <c r="Q886" i="3"/>
  <c r="Q887" i="3"/>
  <c r="Q888" i="3"/>
  <c r="Q889" i="3"/>
  <c r="Q890" i="3"/>
  <c r="Q891" i="3"/>
  <c r="Q892" i="3"/>
  <c r="Q893" i="3"/>
  <c r="Q894" i="3"/>
  <c r="Q895" i="3"/>
  <c r="Q896" i="3"/>
  <c r="Q897" i="3"/>
  <c r="Q898" i="3"/>
  <c r="Q899" i="3"/>
  <c r="Q900" i="3"/>
  <c r="Q901" i="3"/>
  <c r="Q902" i="3"/>
  <c r="Q903" i="3"/>
  <c r="Q904" i="3"/>
  <c r="Q905" i="3"/>
  <c r="Q906" i="3"/>
  <c r="Q907" i="3"/>
  <c r="Q908" i="3"/>
  <c r="Q909" i="3"/>
  <c r="Q910" i="3"/>
  <c r="Q911" i="3"/>
  <c r="Q912" i="3"/>
  <c r="Q913" i="3"/>
  <c r="Q914" i="3"/>
  <c r="Q915" i="3"/>
  <c r="Q916" i="3"/>
  <c r="Q917" i="3"/>
  <c r="Q918" i="3"/>
  <c r="Q919" i="3"/>
  <c r="Q920" i="3"/>
  <c r="Q921" i="3"/>
  <c r="Q922" i="3"/>
  <c r="Q923" i="3"/>
  <c r="Q924" i="3"/>
  <c r="Q925" i="3"/>
  <c r="Q926" i="3"/>
  <c r="Q927" i="3"/>
  <c r="Q928" i="3"/>
  <c r="Q929" i="3"/>
  <c r="Q930" i="3"/>
  <c r="Q931" i="3"/>
  <c r="Q932" i="3"/>
  <c r="Q933" i="3"/>
  <c r="Q934" i="3"/>
  <c r="Q935" i="3"/>
  <c r="Q936" i="3"/>
  <c r="Q937" i="3"/>
  <c r="Q938" i="3"/>
  <c r="Q939" i="3"/>
  <c r="Q940" i="3"/>
  <c r="Q941" i="3"/>
  <c r="Q942" i="3"/>
  <c r="Q943" i="3"/>
  <c r="Q944" i="3"/>
  <c r="Q945" i="3"/>
  <c r="Q946" i="3"/>
  <c r="Q947" i="3"/>
  <c r="Q948" i="3"/>
  <c r="Q949" i="3"/>
  <c r="Q950" i="3"/>
  <c r="Q951" i="3"/>
  <c r="Q952" i="3"/>
  <c r="Q953" i="3"/>
  <c r="Q954" i="3"/>
  <c r="Q955" i="3"/>
  <c r="Q956" i="3"/>
  <c r="Q957" i="3"/>
  <c r="Q958" i="3"/>
  <c r="Q959" i="3"/>
  <c r="Q960" i="3"/>
  <c r="Q961" i="3"/>
  <c r="Q962" i="3"/>
  <c r="Q963" i="3"/>
  <c r="Q964" i="3"/>
  <c r="Q965" i="3"/>
  <c r="Q966" i="3"/>
  <c r="Q967" i="3"/>
  <c r="Q968" i="3"/>
  <c r="Q969" i="3"/>
  <c r="Q970" i="3"/>
  <c r="Q971" i="3"/>
  <c r="Q972" i="3"/>
  <c r="Q973" i="3"/>
  <c r="Q974" i="3"/>
  <c r="Q975" i="3"/>
  <c r="Q976" i="3"/>
  <c r="Q977" i="3"/>
  <c r="Q978" i="3"/>
  <c r="Q979" i="3"/>
  <c r="Q980" i="3"/>
  <c r="Q981" i="3"/>
  <c r="Q982" i="3"/>
  <c r="Q983" i="3"/>
  <c r="Q984" i="3"/>
  <c r="Q985" i="3"/>
  <c r="Q986" i="3"/>
  <c r="Q987" i="3"/>
  <c r="Q988" i="3"/>
  <c r="Q989" i="3"/>
  <c r="Q990" i="3"/>
  <c r="Q991" i="3"/>
  <c r="Q992" i="3"/>
  <c r="Q993" i="3"/>
  <c r="Q994" i="3"/>
  <c r="Q995" i="3"/>
  <c r="Q996" i="3"/>
  <c r="Q997" i="3"/>
  <c r="Q998" i="3"/>
  <c r="Q999" i="3"/>
  <c r="Q1000" i="3"/>
  <c r="Q1001" i="3"/>
  <c r="Q1002" i="3"/>
  <c r="Q1003" i="3"/>
  <c r="Q1004" i="3"/>
  <c r="Q1005" i="3"/>
  <c r="Q1006" i="3"/>
  <c r="Q1007" i="3"/>
  <c r="Q1008" i="3"/>
  <c r="Q1009" i="3"/>
  <c r="Q1010" i="3"/>
  <c r="Q1011" i="3"/>
  <c r="Q1012" i="3"/>
  <c r="Q1013" i="3"/>
  <c r="Q1014" i="3"/>
  <c r="Q1015" i="3"/>
  <c r="Q1016" i="3"/>
  <c r="Q1017" i="3"/>
  <c r="Q1018" i="3"/>
  <c r="Q1019" i="3"/>
  <c r="Q1020" i="3"/>
  <c r="Q1021" i="3"/>
  <c r="Q1022" i="3"/>
  <c r="Q1023" i="3"/>
  <c r="Q1024" i="3"/>
  <c r="Q1025" i="3"/>
  <c r="Q1026" i="3"/>
  <c r="Q1027" i="3"/>
  <c r="Q1028" i="3"/>
  <c r="Q1029" i="3"/>
  <c r="Q1030" i="3"/>
  <c r="Q1031" i="3"/>
  <c r="Q1032" i="3"/>
  <c r="Q1033" i="3"/>
  <c r="Q1034" i="3"/>
  <c r="Q1035" i="3"/>
  <c r="Q1036" i="3"/>
  <c r="Q1037" i="3"/>
  <c r="Q1038" i="3"/>
  <c r="Q1039" i="3"/>
  <c r="Q1040" i="3"/>
  <c r="Q1041" i="3"/>
  <c r="Q1042" i="3"/>
  <c r="Q1043" i="3"/>
  <c r="Q1044" i="3"/>
  <c r="Q1045" i="3"/>
  <c r="Q1046" i="3"/>
  <c r="Q1047" i="3"/>
  <c r="Q1048" i="3"/>
  <c r="Q1049" i="3"/>
  <c r="Q1050" i="3"/>
  <c r="Q1051" i="3"/>
  <c r="Q1052" i="3"/>
  <c r="Q1053" i="3"/>
  <c r="Q1054" i="3"/>
  <c r="Q1055" i="3"/>
  <c r="Q1056" i="3"/>
  <c r="Q1057" i="3"/>
  <c r="Q1058" i="3"/>
  <c r="Q1059" i="3"/>
  <c r="Q1060" i="3"/>
  <c r="Q1061" i="3"/>
  <c r="Q1062" i="3"/>
  <c r="Q1063" i="3"/>
  <c r="Q1064" i="3"/>
  <c r="Q1065" i="3"/>
  <c r="Q1066" i="3"/>
  <c r="Q1067" i="3"/>
  <c r="Q1068" i="3"/>
  <c r="Q1069" i="3"/>
  <c r="Q1070" i="3"/>
  <c r="Q1071" i="3"/>
  <c r="Q1072" i="3"/>
  <c r="Q1073" i="3"/>
  <c r="Q1074" i="3"/>
  <c r="Q1075" i="3"/>
  <c r="Q1076" i="3"/>
  <c r="Q1077" i="3"/>
  <c r="Q1078" i="3"/>
  <c r="Q1079" i="3"/>
  <c r="Q1080" i="3"/>
  <c r="Q1081" i="3"/>
  <c r="Q1082" i="3"/>
  <c r="Q1083" i="3"/>
  <c r="Q1084" i="3"/>
  <c r="Q1085" i="3"/>
  <c r="Q1086" i="3"/>
  <c r="Q1087" i="3"/>
  <c r="Q1088" i="3"/>
  <c r="Q1089" i="3"/>
  <c r="Q1090" i="3"/>
  <c r="Q1091" i="3"/>
  <c r="Q1092" i="3"/>
  <c r="Q1093" i="3"/>
  <c r="Q1094" i="3"/>
  <c r="Q1095" i="3"/>
  <c r="Q1096" i="3"/>
  <c r="Q1097" i="3"/>
  <c r="Q1098" i="3"/>
  <c r="Q1099" i="3"/>
  <c r="Q1100" i="3"/>
  <c r="Q1101" i="3"/>
  <c r="Q1102" i="3"/>
  <c r="Q1103" i="3"/>
  <c r="Q1104" i="3"/>
  <c r="Q1105" i="3"/>
  <c r="Q1106" i="3"/>
  <c r="Q1107" i="3"/>
  <c r="Q1108" i="3"/>
  <c r="Q1109" i="3"/>
  <c r="Q1110" i="3"/>
  <c r="Q1111" i="3"/>
  <c r="Q1112" i="3"/>
  <c r="Q1113" i="3"/>
  <c r="Q1114" i="3"/>
  <c r="Q1115" i="3"/>
  <c r="Q1116" i="3"/>
  <c r="Q1117" i="3"/>
  <c r="Q1118" i="3"/>
  <c r="Q1119" i="3"/>
  <c r="Q1120" i="3"/>
  <c r="Q1121" i="3"/>
  <c r="Q1122" i="3"/>
  <c r="Q1123" i="3"/>
  <c r="Q1124" i="3"/>
  <c r="Q1125" i="3"/>
  <c r="Q1126" i="3"/>
  <c r="Q1127" i="3"/>
  <c r="Q1128" i="3"/>
  <c r="Q1129" i="3"/>
  <c r="Q1130" i="3"/>
  <c r="Q1131" i="3"/>
  <c r="Q1132" i="3"/>
  <c r="Q1133" i="3"/>
  <c r="Q1134" i="3"/>
  <c r="Q1135" i="3"/>
  <c r="Q1136" i="3"/>
  <c r="Q1137" i="3"/>
  <c r="Q1138" i="3"/>
  <c r="Q1139" i="3"/>
  <c r="Q1140" i="3"/>
  <c r="Q1141" i="3"/>
  <c r="Q1142" i="3"/>
  <c r="Q1143" i="3"/>
  <c r="Q1144" i="3"/>
  <c r="Q1145" i="3"/>
  <c r="Q1146" i="3"/>
  <c r="Q1147" i="3"/>
  <c r="Q1148" i="3"/>
  <c r="Q1149" i="3"/>
  <c r="Q1150" i="3"/>
  <c r="Q1151" i="3"/>
  <c r="Q1152" i="3"/>
  <c r="Q1153" i="3"/>
  <c r="Q1154" i="3"/>
  <c r="Q1155" i="3"/>
  <c r="Q1156" i="3"/>
  <c r="Q1157" i="3"/>
  <c r="Q1158" i="3"/>
  <c r="Q1159" i="3"/>
  <c r="Q1160" i="3"/>
  <c r="Q1161" i="3"/>
  <c r="Q1162" i="3"/>
  <c r="Q1163" i="3"/>
  <c r="Q1164" i="3"/>
  <c r="Q1165" i="3"/>
  <c r="Q1166" i="3"/>
  <c r="Q1167" i="3"/>
  <c r="Q1168" i="3"/>
  <c r="Q1169" i="3"/>
  <c r="Q1170" i="3"/>
  <c r="Q1171" i="3"/>
  <c r="Q1172" i="3"/>
  <c r="Q1173" i="3"/>
  <c r="Q1174" i="3"/>
  <c r="Q1175" i="3"/>
  <c r="Q1176" i="3"/>
  <c r="Q1177" i="3"/>
  <c r="Q1178" i="3"/>
  <c r="Q1179" i="3"/>
  <c r="Q1180" i="3"/>
  <c r="Q1181" i="3"/>
  <c r="Q1182" i="3"/>
  <c r="Q1183" i="3"/>
  <c r="Q1184" i="3"/>
  <c r="Q1185" i="3"/>
  <c r="Q1186" i="3"/>
  <c r="Q1187" i="3"/>
  <c r="Q1188" i="3"/>
  <c r="Q1189" i="3"/>
  <c r="Q1190" i="3"/>
  <c r="Q1191" i="3"/>
  <c r="Q1192" i="3"/>
  <c r="Q1193" i="3"/>
  <c r="Q1194" i="3"/>
  <c r="Q1195" i="3"/>
  <c r="Q1196" i="3"/>
  <c r="Q1197" i="3"/>
  <c r="Q1198" i="3"/>
  <c r="Q1199" i="3"/>
  <c r="Q1200" i="3"/>
  <c r="Q1201" i="3"/>
  <c r="Q1202" i="3"/>
  <c r="Q1203" i="3"/>
  <c r="Q1204" i="3"/>
  <c r="Q1205" i="3"/>
  <c r="Q1206" i="3"/>
  <c r="Q1207" i="3"/>
  <c r="Q1208" i="3"/>
  <c r="Q1209" i="3"/>
  <c r="Q1210" i="3"/>
  <c r="Q1211" i="3"/>
  <c r="Q1212" i="3"/>
  <c r="Q1213" i="3"/>
  <c r="Q1214" i="3"/>
  <c r="Q1215" i="3"/>
  <c r="Q1216" i="3"/>
  <c r="Q1217" i="3"/>
  <c r="Q1218" i="3"/>
  <c r="Q1219" i="3"/>
  <c r="Q1220" i="3"/>
  <c r="Q1221" i="3"/>
  <c r="Q1222" i="3"/>
  <c r="Q1223" i="3"/>
  <c r="Q1224" i="3"/>
  <c r="Q1225" i="3"/>
  <c r="Q1226" i="3"/>
  <c r="Q1227" i="3"/>
  <c r="Q1228" i="3"/>
  <c r="Q1229" i="3"/>
  <c r="Q1230" i="3"/>
  <c r="Q1231" i="3"/>
  <c r="Q1232" i="3"/>
  <c r="Q1233" i="3"/>
  <c r="Q1234" i="3"/>
  <c r="Q1235" i="3"/>
  <c r="Q1236" i="3"/>
  <c r="Q1237" i="3"/>
  <c r="Q1238" i="3"/>
  <c r="Q1239" i="3"/>
  <c r="Q1240" i="3"/>
  <c r="Q1241" i="3"/>
  <c r="Q1242" i="3"/>
  <c r="Q1243" i="3"/>
  <c r="Q1244" i="3"/>
  <c r="Q1245" i="3"/>
  <c r="Q1246" i="3"/>
  <c r="Q1247" i="3"/>
  <c r="Q1248" i="3"/>
  <c r="Q1249" i="3"/>
  <c r="Q1250" i="3"/>
  <c r="Q1251" i="3"/>
  <c r="Q1252" i="3"/>
  <c r="Q1253" i="3"/>
  <c r="Q1254" i="3"/>
  <c r="Q1255" i="3"/>
  <c r="Q1256" i="3"/>
  <c r="Q1257" i="3"/>
  <c r="Q1258" i="3"/>
  <c r="Q1259" i="3"/>
  <c r="Q1260" i="3"/>
  <c r="Q1261" i="3"/>
  <c r="Q1262" i="3"/>
  <c r="Q1263" i="3"/>
  <c r="Q1264" i="3"/>
  <c r="Q1265" i="3"/>
  <c r="Q1266" i="3"/>
  <c r="Q1267" i="3"/>
  <c r="Q1268" i="3"/>
  <c r="Q1269" i="3"/>
  <c r="Q1270" i="3"/>
  <c r="Q1271" i="3"/>
  <c r="Q1272" i="3"/>
  <c r="Q1273" i="3"/>
  <c r="Q1274" i="3"/>
  <c r="Q1275" i="3"/>
  <c r="Q1276" i="3"/>
  <c r="Q1277" i="3"/>
  <c r="Q1278" i="3"/>
  <c r="Q1279" i="3"/>
  <c r="Q1280" i="3"/>
  <c r="Q1281" i="3"/>
  <c r="Q1282" i="3"/>
  <c r="Q1283" i="3"/>
  <c r="Q1284" i="3"/>
  <c r="Q1285" i="3"/>
  <c r="Q1286" i="3"/>
  <c r="Q1287" i="3"/>
  <c r="Q1288" i="3"/>
  <c r="Q1289" i="3"/>
  <c r="Q1290" i="3"/>
  <c r="Q1291" i="3"/>
  <c r="Q1292" i="3"/>
  <c r="Q1293" i="3"/>
  <c r="Q1294" i="3"/>
  <c r="Q1295" i="3"/>
  <c r="Q1296" i="3"/>
  <c r="Q1297" i="3"/>
  <c r="Q1298" i="3"/>
  <c r="Q1299" i="3"/>
  <c r="Q1300" i="3"/>
  <c r="Q1301" i="3"/>
  <c r="Q1302" i="3"/>
  <c r="Q1303" i="3"/>
  <c r="Q1304" i="3"/>
  <c r="Q1305" i="3"/>
  <c r="Q1306" i="3"/>
  <c r="Q1307" i="3"/>
  <c r="Q1308" i="3"/>
  <c r="Q1309" i="3"/>
  <c r="Q1310" i="3"/>
  <c r="Q1311" i="3"/>
  <c r="Q1312" i="3"/>
  <c r="Q1313" i="3"/>
  <c r="Q1314" i="3"/>
  <c r="Q1315" i="3"/>
  <c r="Q1316" i="3"/>
  <c r="Q1317" i="3"/>
  <c r="Q1318" i="3"/>
  <c r="Q1319" i="3"/>
  <c r="Q1320" i="3"/>
  <c r="Q1321" i="3"/>
  <c r="Q1322" i="3"/>
  <c r="Q1323" i="3"/>
  <c r="Q1324" i="3"/>
  <c r="Q1325" i="3"/>
  <c r="Q1326" i="3"/>
  <c r="Q1327" i="3"/>
  <c r="Q1328" i="3"/>
  <c r="Q1329" i="3"/>
  <c r="Q1330" i="3"/>
  <c r="Q1331" i="3"/>
  <c r="Q1332" i="3"/>
  <c r="Q1333" i="3"/>
  <c r="Q1334" i="3"/>
  <c r="Q1335" i="3"/>
  <c r="Q1336" i="3"/>
  <c r="Q1337" i="3"/>
  <c r="Q1338" i="3"/>
  <c r="Q1339" i="3"/>
  <c r="Q1340" i="3"/>
  <c r="Q1341" i="3"/>
  <c r="Q1342" i="3"/>
  <c r="Q1343" i="3"/>
  <c r="Q1344" i="3"/>
  <c r="Q1345" i="3"/>
  <c r="Q1346" i="3"/>
  <c r="Q1347" i="3"/>
  <c r="Q1348" i="3"/>
  <c r="Q1349" i="3"/>
  <c r="Q1350" i="3"/>
  <c r="Q1351" i="3"/>
  <c r="Q1352" i="3"/>
  <c r="Q1353" i="3"/>
  <c r="Q1354" i="3"/>
  <c r="Q1355" i="3"/>
  <c r="Q1356" i="3"/>
  <c r="Q1357" i="3"/>
  <c r="Q1358" i="3"/>
  <c r="Q1359" i="3"/>
  <c r="Q1360" i="3"/>
  <c r="Q1361" i="3"/>
  <c r="Q1362" i="3"/>
  <c r="Q1363" i="3"/>
  <c r="Q1364" i="3"/>
  <c r="Q1365" i="3"/>
  <c r="Q1366" i="3"/>
  <c r="Q1367" i="3"/>
  <c r="Q1368" i="3"/>
  <c r="Q1369" i="3"/>
  <c r="Q1370" i="3"/>
  <c r="Q1371" i="3"/>
  <c r="Q1372" i="3"/>
  <c r="Q1373" i="3"/>
  <c r="Q1374" i="3"/>
  <c r="Q1375" i="3"/>
  <c r="Q1376" i="3"/>
  <c r="Q1377" i="3"/>
  <c r="Q1378" i="3"/>
  <c r="Q1379" i="3"/>
  <c r="Q1380" i="3"/>
  <c r="Q1381" i="3"/>
  <c r="Q1382" i="3"/>
  <c r="Q1383" i="3"/>
  <c r="Q1384" i="3"/>
  <c r="Q1385" i="3"/>
  <c r="Q1386" i="3"/>
  <c r="Q1387" i="3"/>
  <c r="Q1388" i="3"/>
  <c r="Q1389" i="3"/>
  <c r="Q1390" i="3"/>
  <c r="Q1391" i="3"/>
  <c r="Q1392" i="3"/>
  <c r="Q1393" i="3"/>
  <c r="Q1394" i="3"/>
  <c r="Q1395" i="3"/>
  <c r="Q1396" i="3"/>
  <c r="Q1397" i="3"/>
  <c r="Q1398" i="3"/>
  <c r="Q1399" i="3"/>
  <c r="Q1400" i="3"/>
  <c r="Q1401" i="3"/>
  <c r="Q1402" i="3"/>
  <c r="Q1403" i="3"/>
  <c r="Q1404" i="3"/>
  <c r="Q1405" i="3"/>
  <c r="Q1406" i="3"/>
  <c r="Q1407" i="3"/>
  <c r="Q1408" i="3"/>
  <c r="Q1409" i="3"/>
  <c r="Q1410" i="3"/>
  <c r="Q1411" i="3"/>
  <c r="Q1412" i="3"/>
  <c r="Q1413" i="3"/>
  <c r="Q1414" i="3"/>
  <c r="Q1415" i="3"/>
  <c r="Q1416" i="3"/>
  <c r="Q1417" i="3"/>
  <c r="Q1418" i="3"/>
  <c r="Q1419" i="3"/>
  <c r="Q1420" i="3"/>
  <c r="Q1421" i="3"/>
  <c r="Q1422" i="3"/>
  <c r="Q1423" i="3"/>
  <c r="Q1424" i="3"/>
  <c r="Q1425" i="3"/>
  <c r="Q1426" i="3"/>
  <c r="Q1427" i="3"/>
  <c r="Q1428" i="3"/>
  <c r="Q1429" i="3"/>
  <c r="Q1430" i="3"/>
  <c r="Q1431" i="3"/>
  <c r="Q1432" i="3"/>
  <c r="Q1433" i="3"/>
  <c r="Q1434" i="3"/>
  <c r="Q1435" i="3"/>
  <c r="Q1436" i="3"/>
  <c r="Q1437" i="3"/>
  <c r="Q1438" i="3"/>
  <c r="Q1439" i="3"/>
  <c r="Q1440" i="3"/>
  <c r="I1445" i="3" a="1"/>
  <c r="I1445" i="3" s="1"/>
  <c r="K1158" i="3" l="1"/>
  <c r="K474" i="3"/>
  <c r="K114" i="3"/>
  <c r="K1356" i="3"/>
  <c r="K330" i="3"/>
  <c r="K528" i="3"/>
  <c r="K276" i="3"/>
  <c r="K37" i="3"/>
  <c r="K38" i="3"/>
  <c r="K36" i="3"/>
  <c r="K35" i="3"/>
  <c r="K190" i="3"/>
  <c r="K1406" i="3"/>
  <c r="K1387" i="3"/>
  <c r="K1369" i="3"/>
  <c r="K1370" i="3"/>
  <c r="K1351" i="3"/>
  <c r="K1333" i="3"/>
  <c r="K1315" i="3"/>
  <c r="K1297" i="3"/>
  <c r="K1298" i="3"/>
  <c r="K1279" i="3"/>
  <c r="K1261" i="3"/>
  <c r="K1262" i="3"/>
  <c r="K1225" i="3"/>
  <c r="K1207" i="3"/>
  <c r="K1208" i="3"/>
  <c r="K1189" i="3"/>
  <c r="K1190" i="3"/>
  <c r="K1172" i="3"/>
  <c r="K1171" i="3"/>
  <c r="K1153" i="3"/>
  <c r="K1135" i="3"/>
  <c r="K1136" i="3"/>
  <c r="K1117" i="3"/>
  <c r="K1099" i="3"/>
  <c r="K1100" i="3"/>
  <c r="K1081" i="3"/>
  <c r="K1082" i="3"/>
  <c r="K1063" i="3"/>
  <c r="K1064" i="3"/>
  <c r="K1046" i="3"/>
  <c r="K1045" i="3"/>
  <c r="K1027" i="3"/>
  <c r="K1028" i="3"/>
  <c r="K1009" i="3"/>
  <c r="K991" i="3"/>
  <c r="K973" i="3"/>
  <c r="K955" i="3"/>
  <c r="K956" i="3"/>
  <c r="K937" i="3"/>
  <c r="K938" i="3"/>
  <c r="K920" i="3"/>
  <c r="K919" i="3"/>
  <c r="K901" i="3"/>
  <c r="K883" i="3"/>
  <c r="K866" i="3"/>
  <c r="K847" i="3"/>
  <c r="K848" i="3"/>
  <c r="K829" i="3"/>
  <c r="K830" i="3"/>
  <c r="K812" i="3"/>
  <c r="K811" i="3"/>
  <c r="K793" i="3"/>
  <c r="K794" i="3"/>
  <c r="K775" i="3"/>
  <c r="K757" i="3"/>
  <c r="K721" i="3"/>
  <c r="K703" i="3"/>
  <c r="K704" i="3"/>
  <c r="K685" i="3"/>
  <c r="K667" i="3"/>
  <c r="K649" i="3"/>
  <c r="K632" i="3"/>
  <c r="K613" i="3"/>
  <c r="K614" i="3"/>
  <c r="K596" i="3"/>
  <c r="K595" i="3"/>
  <c r="K577" i="3"/>
  <c r="K578" i="3"/>
  <c r="K559" i="3"/>
  <c r="K541" i="3"/>
  <c r="K523" i="3"/>
  <c r="K524" i="3"/>
  <c r="K506" i="3"/>
  <c r="K505" i="3"/>
  <c r="K488" i="3"/>
  <c r="K487" i="3"/>
  <c r="K469" i="3"/>
  <c r="K451" i="3"/>
  <c r="K452" i="3"/>
  <c r="K433" i="3"/>
  <c r="K416" i="3"/>
  <c r="K398" i="3"/>
  <c r="K397" i="3"/>
  <c r="K380" i="3"/>
  <c r="K343" i="3"/>
  <c r="K325" i="3"/>
  <c r="K326" i="3"/>
  <c r="K307" i="3"/>
  <c r="K289" i="3"/>
  <c r="K290" i="3"/>
  <c r="K272" i="3"/>
  <c r="K254" i="3"/>
  <c r="K253" i="3"/>
  <c r="K235" i="3"/>
  <c r="K236" i="3"/>
  <c r="K217" i="3"/>
  <c r="K200" i="3"/>
  <c r="K199" i="3"/>
  <c r="K181" i="3"/>
  <c r="K182" i="3"/>
  <c r="K164" i="3"/>
  <c r="K163" i="3"/>
  <c r="K145" i="3"/>
  <c r="K110" i="3"/>
  <c r="K92" i="3"/>
  <c r="K91" i="3"/>
  <c r="K73" i="3"/>
  <c r="K74" i="3"/>
  <c r="K56" i="3"/>
  <c r="K55" i="3"/>
  <c r="K19" i="3"/>
  <c r="K20" i="3"/>
  <c r="K361" i="3"/>
  <c r="K1440" i="3"/>
  <c r="K1422" i="3"/>
  <c r="K1368" i="3"/>
  <c r="K1350" i="3"/>
  <c r="K1332" i="3"/>
  <c r="K1296" i="3"/>
  <c r="K1278" i="3"/>
  <c r="K1224" i="3"/>
  <c r="K1206" i="3"/>
  <c r="K1188" i="3"/>
  <c r="K1170" i="3"/>
  <c r="K1152" i="3"/>
  <c r="K1134" i="3"/>
  <c r="K1116" i="3"/>
  <c r="K1098" i="3"/>
  <c r="K1080" i="3"/>
  <c r="K1062" i="3"/>
  <c r="K1026" i="3"/>
  <c r="K990" i="3"/>
  <c r="K972" i="3"/>
  <c r="K954" i="3"/>
  <c r="K936" i="3"/>
  <c r="K918" i="3"/>
  <c r="K900" i="3"/>
  <c r="K846" i="3"/>
  <c r="K828" i="3"/>
  <c r="K810" i="3"/>
  <c r="K792" i="3"/>
  <c r="K774" i="3"/>
  <c r="K756" i="3"/>
  <c r="K738" i="3"/>
  <c r="K702" i="3"/>
  <c r="K684" i="3"/>
  <c r="K666" i="3"/>
  <c r="K648" i="3"/>
  <c r="K630" i="3"/>
  <c r="K612" i="3"/>
  <c r="K576" i="3"/>
  <c r="K558" i="3"/>
  <c r="K540" i="3"/>
  <c r="K522" i="3"/>
  <c r="K504" i="3"/>
  <c r="K486" i="3"/>
  <c r="K450" i="3"/>
  <c r="K432" i="3"/>
  <c r="K414" i="3"/>
  <c r="K396" i="3"/>
  <c r="K378" i="3"/>
  <c r="K342" i="3"/>
  <c r="K324" i="3"/>
  <c r="K306" i="3"/>
  <c r="K288" i="3"/>
  <c r="K270" i="3"/>
  <c r="K252" i="3"/>
  <c r="K234" i="3"/>
  <c r="K216" i="3"/>
  <c r="K198" i="3"/>
  <c r="K180" i="3"/>
  <c r="K144" i="3"/>
  <c r="K126" i="3"/>
  <c r="K108" i="3"/>
  <c r="K90" i="3"/>
  <c r="K72" i="3"/>
  <c r="K54" i="3"/>
  <c r="K18" i="3"/>
  <c r="K360" i="3"/>
  <c r="K1439" i="3"/>
  <c r="K1421" i="3"/>
  <c r="K1403" i="3"/>
  <c r="K1385" i="3"/>
  <c r="K1367" i="3"/>
  <c r="K1349" i="3"/>
  <c r="K1331" i="3"/>
  <c r="K1313" i="3"/>
  <c r="K1295" i="3"/>
  <c r="K1277" i="3"/>
  <c r="K1259" i="3"/>
  <c r="K1241" i="3"/>
  <c r="K1223" i="3"/>
  <c r="K1205" i="3"/>
  <c r="K1187" i="3"/>
  <c r="K1169" i="3"/>
  <c r="K1151" i="3"/>
  <c r="K1133" i="3"/>
  <c r="K1115" i="3"/>
  <c r="K1097" i="3"/>
  <c r="K1079" i="3"/>
  <c r="K1061" i="3"/>
  <c r="K1043" i="3"/>
  <c r="K1025" i="3"/>
  <c r="K1007" i="3"/>
  <c r="K989" i="3"/>
  <c r="K971" i="3"/>
  <c r="K953" i="3"/>
  <c r="K935" i="3"/>
  <c r="K917" i="3"/>
  <c r="K899" i="3"/>
  <c r="K881" i="3"/>
  <c r="K863" i="3"/>
  <c r="K845" i="3"/>
  <c r="K827" i="3"/>
  <c r="K809" i="3"/>
  <c r="K791" i="3"/>
  <c r="K773" i="3"/>
  <c r="K755" i="3"/>
  <c r="K719" i="3"/>
  <c r="K701" i="3"/>
  <c r="K683" i="3"/>
  <c r="K665" i="3"/>
  <c r="K647" i="3"/>
  <c r="K629" i="3"/>
  <c r="K611" i="3"/>
  <c r="K593" i="3"/>
  <c r="K575" i="3"/>
  <c r="K557" i="3"/>
  <c r="K539" i="3"/>
  <c r="K521" i="3"/>
  <c r="K503" i="3"/>
  <c r="K467" i="3"/>
  <c r="K449" i="3"/>
  <c r="K431" i="3"/>
  <c r="K413" i="3"/>
  <c r="K395" i="3"/>
  <c r="K377" i="3"/>
  <c r="K359" i="3"/>
  <c r="K341" i="3"/>
  <c r="K323" i="3"/>
  <c r="K305" i="3"/>
  <c r="K287" i="3"/>
  <c r="K269" i="3"/>
  <c r="K251" i="3"/>
  <c r="K215" i="3"/>
  <c r="K197" i="3"/>
  <c r="K179" i="3"/>
  <c r="K161" i="3"/>
  <c r="K143" i="3"/>
  <c r="K125" i="3"/>
  <c r="K71" i="3"/>
  <c r="K53" i="3"/>
  <c r="P17" i="3"/>
  <c r="P18" i="3" s="1"/>
  <c r="P19" i="3" s="1"/>
  <c r="P20" i="3" s="1"/>
  <c r="P21" i="3" s="1"/>
  <c r="P22" i="3" s="1"/>
  <c r="K17" i="3"/>
  <c r="K1405" i="3"/>
  <c r="K560" i="3"/>
  <c r="K470" i="3"/>
  <c r="K1388" i="3"/>
  <c r="K1432" i="3"/>
  <c r="K1433" i="3"/>
  <c r="K1414" i="3"/>
  <c r="K1415" i="3"/>
  <c r="K1396" i="3"/>
  <c r="K1397" i="3"/>
  <c r="K1378" i="3"/>
  <c r="K1379" i="3"/>
  <c r="K1360" i="3"/>
  <c r="K1343" i="3"/>
  <c r="K1324" i="3"/>
  <c r="K1325" i="3"/>
  <c r="K1306" i="3"/>
  <c r="K1307" i="3"/>
  <c r="K1288" i="3"/>
  <c r="K1289" i="3"/>
  <c r="K1270" i="3"/>
  <c r="K1271" i="3"/>
  <c r="K1252" i="3"/>
  <c r="K1234" i="3"/>
  <c r="K1235" i="3"/>
  <c r="K1216" i="3"/>
  <c r="K1217" i="3"/>
  <c r="K1199" i="3"/>
  <c r="K1198" i="3"/>
  <c r="K1181" i="3"/>
  <c r="K1180" i="3"/>
  <c r="K1162" i="3"/>
  <c r="K1163" i="3"/>
  <c r="K1144" i="3"/>
  <c r="K1145" i="3"/>
  <c r="K1126" i="3"/>
  <c r="K1127" i="3"/>
  <c r="K1090" i="3"/>
  <c r="K1072" i="3"/>
  <c r="K1073" i="3"/>
  <c r="K1054" i="3"/>
  <c r="K1055" i="3"/>
  <c r="K1036" i="3"/>
  <c r="K1037" i="3"/>
  <c r="K1018" i="3"/>
  <c r="K1019" i="3"/>
  <c r="K1001" i="3"/>
  <c r="K1000" i="3"/>
  <c r="K982" i="3"/>
  <c r="K983" i="3"/>
  <c r="K965" i="3"/>
  <c r="K964" i="3"/>
  <c r="K946" i="3"/>
  <c r="K947" i="3"/>
  <c r="K929" i="3"/>
  <c r="K910" i="3"/>
  <c r="K911" i="3"/>
  <c r="K893" i="3"/>
  <c r="K892" i="3"/>
  <c r="K874" i="3"/>
  <c r="K875" i="3"/>
  <c r="K857" i="3"/>
  <c r="K856" i="3"/>
  <c r="K838" i="3"/>
  <c r="K821" i="3"/>
  <c r="K803" i="3"/>
  <c r="K802" i="3"/>
  <c r="K785" i="3"/>
  <c r="K784" i="3"/>
  <c r="K766" i="3"/>
  <c r="K767" i="3"/>
  <c r="K749" i="3"/>
  <c r="K748" i="3"/>
  <c r="K731" i="3"/>
  <c r="K730" i="3"/>
  <c r="K712" i="3"/>
  <c r="K713" i="3"/>
  <c r="K694" i="3"/>
  <c r="K677" i="3"/>
  <c r="K676" i="3"/>
  <c r="K658" i="3"/>
  <c r="K640" i="3"/>
  <c r="K641" i="3"/>
  <c r="K623" i="3"/>
  <c r="K622" i="3"/>
  <c r="K604" i="3"/>
  <c r="K605" i="3"/>
  <c r="K586" i="3"/>
  <c r="K587" i="3"/>
  <c r="K568" i="3"/>
  <c r="K551" i="3"/>
  <c r="K550" i="3"/>
  <c r="K533" i="3"/>
  <c r="K532" i="3"/>
  <c r="K514" i="3"/>
  <c r="K515" i="3"/>
  <c r="K496" i="3"/>
  <c r="K478" i="3"/>
  <c r="K479" i="3"/>
  <c r="K461" i="3"/>
  <c r="K460" i="3"/>
  <c r="K442" i="3"/>
  <c r="K425" i="3"/>
  <c r="K424" i="3"/>
  <c r="K407" i="3"/>
  <c r="K406" i="3"/>
  <c r="K388" i="3"/>
  <c r="K389" i="3"/>
  <c r="K370" i="3"/>
  <c r="K371" i="3"/>
  <c r="K352" i="3"/>
  <c r="K353" i="3"/>
  <c r="K334" i="3"/>
  <c r="K335" i="3"/>
  <c r="K317" i="3"/>
  <c r="K298" i="3"/>
  <c r="K299" i="3"/>
  <c r="K280" i="3"/>
  <c r="K281" i="3"/>
  <c r="K262" i="3"/>
  <c r="K263" i="3"/>
  <c r="K245" i="3"/>
  <c r="K226" i="3"/>
  <c r="K227" i="3"/>
  <c r="K209" i="3"/>
  <c r="K208" i="3"/>
  <c r="K172" i="3"/>
  <c r="K173" i="3"/>
  <c r="K155" i="3"/>
  <c r="K154" i="3"/>
  <c r="K136" i="3"/>
  <c r="K137" i="3"/>
  <c r="K119" i="3"/>
  <c r="K118" i="3"/>
  <c r="K101" i="3"/>
  <c r="K100" i="3"/>
  <c r="K82" i="3"/>
  <c r="K83" i="3"/>
  <c r="K65" i="3"/>
  <c r="K46" i="3"/>
  <c r="K47" i="3"/>
  <c r="K28" i="3"/>
  <c r="K29" i="3"/>
  <c r="K10" i="3"/>
  <c r="K1386" i="3"/>
  <c r="K1314" i="3"/>
  <c r="K1253" i="3"/>
  <c r="K865" i="3"/>
  <c r="K1431" i="3"/>
  <c r="K1413" i="3"/>
  <c r="K1395" i="3"/>
  <c r="K1377" i="3"/>
  <c r="K1359" i="3"/>
  <c r="K1323" i="3"/>
  <c r="K1305" i="3"/>
  <c r="K1287" i="3"/>
  <c r="K1251" i="3"/>
  <c r="K1233" i="3"/>
  <c r="K1215" i="3"/>
  <c r="K1179" i="3"/>
  <c r="K1161" i="3"/>
  <c r="K1143" i="3"/>
  <c r="K1125" i="3"/>
  <c r="K1107" i="3"/>
  <c r="K1089" i="3"/>
  <c r="K1071" i="3"/>
  <c r="K1053" i="3"/>
  <c r="K1035" i="3"/>
  <c r="K1017" i="3"/>
  <c r="K999" i="3"/>
  <c r="K981" i="3"/>
  <c r="K963" i="3"/>
  <c r="K909" i="3"/>
  <c r="K873" i="3"/>
  <c r="K855" i="3"/>
  <c r="K837" i="3"/>
  <c r="K819" i="3"/>
  <c r="K801" i="3"/>
  <c r="K783" i="3"/>
  <c r="K765" i="3"/>
  <c r="K747" i="3"/>
  <c r="K729" i="3"/>
  <c r="K711" i="3"/>
  <c r="K693" i="3"/>
  <c r="K675" i="3"/>
  <c r="K657" i="3"/>
  <c r="K639" i="3"/>
  <c r="K621" i="3"/>
  <c r="K603" i="3"/>
  <c r="K585" i="3"/>
  <c r="K549" i="3"/>
  <c r="K531" i="3"/>
  <c r="K513" i="3"/>
  <c r="K495" i="3"/>
  <c r="K477" i="3"/>
  <c r="K459" i="3"/>
  <c r="K441" i="3"/>
  <c r="K423" i="3"/>
  <c r="K405" i="3"/>
  <c r="K369" i="3"/>
  <c r="K351" i="3"/>
  <c r="K333" i="3"/>
  <c r="K297" i="3"/>
  <c r="K279" i="3"/>
  <c r="K261" i="3"/>
  <c r="K243" i="3"/>
  <c r="K225" i="3"/>
  <c r="K207" i="3"/>
  <c r="K189" i="3"/>
  <c r="K171" i="3"/>
  <c r="K153" i="3"/>
  <c r="K135" i="3"/>
  <c r="K117" i="3"/>
  <c r="K99" i="3"/>
  <c r="K81" i="3"/>
  <c r="K63" i="3"/>
  <c r="K45" i="3"/>
  <c r="K27" i="3"/>
  <c r="K9" i="3"/>
  <c r="K1244" i="3"/>
  <c r="K864" i="3"/>
  <c r="K740" i="3"/>
  <c r="K594" i="3"/>
  <c r="K162" i="3"/>
  <c r="K109" i="3"/>
  <c r="K1430" i="3"/>
  <c r="K1412" i="3"/>
  <c r="K1394" i="3"/>
  <c r="K1376" i="3"/>
  <c r="K1358" i="3"/>
  <c r="K1340" i="3"/>
  <c r="K1322" i="3"/>
  <c r="K1304" i="3"/>
  <c r="K1286" i="3"/>
  <c r="K1268" i="3"/>
  <c r="K1250" i="3"/>
  <c r="K1232" i="3"/>
  <c r="K1214" i="3"/>
  <c r="K1178" i="3"/>
  <c r="K1160" i="3"/>
  <c r="K1142" i="3"/>
  <c r="K1124" i="3"/>
  <c r="K1106" i="3"/>
  <c r="K1088" i="3"/>
  <c r="K1070" i="3"/>
  <c r="K1052" i="3"/>
  <c r="K1034" i="3"/>
  <c r="K1016" i="3"/>
  <c r="K998" i="3"/>
  <c r="K980" i="3"/>
  <c r="K962" i="3"/>
  <c r="K944" i="3"/>
  <c r="K926" i="3"/>
  <c r="K908" i="3"/>
  <c r="K890" i="3"/>
  <c r="K872" i="3"/>
  <c r="K854" i="3"/>
  <c r="K818" i="3"/>
  <c r="K800" i="3"/>
  <c r="K782" i="3"/>
  <c r="K746" i="3"/>
  <c r="K728" i="3"/>
  <c r="K710" i="3"/>
  <c r="K692" i="3"/>
  <c r="K656" i="3"/>
  <c r="K638" i="3"/>
  <c r="K620" i="3"/>
  <c r="K602" i="3"/>
  <c r="K584" i="3"/>
  <c r="K548" i="3"/>
  <c r="K530" i="3"/>
  <c r="K512" i="3"/>
  <c r="K494" i="3"/>
  <c r="K476" i="3"/>
  <c r="K458" i="3"/>
  <c r="K440" i="3"/>
  <c r="K404" i="3"/>
  <c r="K386" i="3"/>
  <c r="K368" i="3"/>
  <c r="K350" i="3"/>
  <c r="K332" i="3"/>
  <c r="K296" i="3"/>
  <c r="K278" i="3"/>
  <c r="K260" i="3"/>
  <c r="K242" i="3"/>
  <c r="K224" i="3"/>
  <c r="K206" i="3"/>
  <c r="K188" i="3"/>
  <c r="K152" i="3"/>
  <c r="K134" i="3"/>
  <c r="K116" i="3"/>
  <c r="K98" i="3"/>
  <c r="K80" i="3"/>
  <c r="K44" i="3"/>
  <c r="K8" i="3"/>
  <c r="K1243" i="3"/>
  <c r="K739" i="3"/>
  <c r="K387" i="3"/>
  <c r="K107" i="3"/>
  <c r="K1429" i="3"/>
  <c r="K1411" i="3"/>
  <c r="K1393" i="3"/>
  <c r="K1375" i="3"/>
  <c r="K1357" i="3"/>
  <c r="K1321" i="3"/>
  <c r="K1303" i="3"/>
  <c r="K1285" i="3"/>
  <c r="K1267" i="3"/>
  <c r="K1249" i="3"/>
  <c r="K1231" i="3"/>
  <c r="K1213" i="3"/>
  <c r="K1195" i="3"/>
  <c r="K1159" i="3"/>
  <c r="K1141" i="3"/>
  <c r="K1123" i="3"/>
  <c r="K1105" i="3"/>
  <c r="K1087" i="3"/>
  <c r="K1051" i="3"/>
  <c r="K1033" i="3"/>
  <c r="K997" i="3"/>
  <c r="K979" i="3"/>
  <c r="K961" i="3"/>
  <c r="K943" i="3"/>
  <c r="K907" i="3"/>
  <c r="K889" i="3"/>
  <c r="K871" i="3"/>
  <c r="K853" i="3"/>
  <c r="K817" i="3"/>
  <c r="K799" i="3"/>
  <c r="K781" i="3"/>
  <c r="K763" i="3"/>
  <c r="K745" i="3"/>
  <c r="K727" i="3"/>
  <c r="K691" i="3"/>
  <c r="K673" i="3"/>
  <c r="K655" i="3"/>
  <c r="K637" i="3"/>
  <c r="K619" i="3"/>
  <c r="K601" i="3"/>
  <c r="K583" i="3"/>
  <c r="K529" i="3"/>
  <c r="K511" i="3"/>
  <c r="K493" i="3"/>
  <c r="K475" i="3"/>
  <c r="K457" i="3"/>
  <c r="K439" i="3"/>
  <c r="K421" i="3"/>
  <c r="K403" i="3"/>
  <c r="K349" i="3"/>
  <c r="K331" i="3"/>
  <c r="K313" i="3"/>
  <c r="K277" i="3"/>
  <c r="K259" i="3"/>
  <c r="K241" i="3"/>
  <c r="K223" i="3"/>
  <c r="K205" i="3"/>
  <c r="K169" i="3"/>
  <c r="K151" i="3"/>
  <c r="K133" i="3"/>
  <c r="K115" i="3"/>
  <c r="K97" i="3"/>
  <c r="K79" i="3"/>
  <c r="K25" i="3"/>
  <c r="K7" i="3"/>
  <c r="K1242" i="3"/>
  <c r="K385" i="3"/>
  <c r="K315" i="3"/>
  <c r="K244" i="3"/>
  <c r="K314" i="3"/>
  <c r="K1424" i="3"/>
  <c r="K1109" i="3"/>
  <c r="K928" i="3"/>
  <c r="K722" i="3"/>
  <c r="K659" i="3"/>
  <c r="K89" i="3"/>
  <c r="K1423" i="3"/>
  <c r="K1361" i="3"/>
  <c r="K1108" i="3"/>
  <c r="K1044" i="3"/>
  <c r="K927" i="3"/>
  <c r="K720" i="3"/>
  <c r="K26" i="3"/>
  <c r="K34" i="3"/>
  <c r="P2" i="3"/>
  <c r="P3" i="3" s="1"/>
  <c r="P4" i="3" s="1"/>
  <c r="P5" i="3" s="1"/>
  <c r="P6" i="3" s="1"/>
  <c r="P7" i="3" s="1"/>
  <c r="P8" i="3" s="1"/>
  <c r="P9" i="3" s="1"/>
  <c r="P10" i="3" s="1"/>
  <c r="P11" i="3" s="1"/>
  <c r="P12" i="3" s="1"/>
  <c r="P13" i="3" s="1"/>
  <c r="P14" i="3" s="1"/>
  <c r="P15" i="3" s="1"/>
  <c r="P16" i="3" s="1"/>
  <c r="L3" i="3"/>
  <c r="K1438" i="3"/>
  <c r="K1402" i="3"/>
  <c r="K1366" i="3"/>
  <c r="K1348" i="3"/>
  <c r="K1330" i="3"/>
  <c r="K1294" i="3"/>
  <c r="K1276" i="3"/>
  <c r="K1258" i="3"/>
  <c r="K1222" i="3"/>
  <c r="K1204" i="3"/>
  <c r="K1186" i="3"/>
  <c r="K1096" i="3"/>
  <c r="K1078" i="3"/>
  <c r="K1060" i="3"/>
  <c r="K1006" i="3"/>
  <c r="K970" i="3"/>
  <c r="K952" i="3"/>
  <c r="K934" i="3"/>
  <c r="K916" i="3"/>
  <c r="K898" i="3"/>
  <c r="K880" i="3"/>
  <c r="K862" i="3"/>
  <c r="K826" i="3"/>
  <c r="K772" i="3"/>
  <c r="K718" i="3"/>
  <c r="K700" i="3"/>
  <c r="K664" i="3"/>
  <c r="K646" i="3"/>
  <c r="K628" i="3"/>
  <c r="K574" i="3"/>
  <c r="K556" i="3"/>
  <c r="K538" i="3"/>
  <c r="K520" i="3"/>
  <c r="K466" i="3"/>
  <c r="K412" i="3"/>
  <c r="K394" i="3"/>
  <c r="K376" i="3"/>
  <c r="K358" i="3"/>
  <c r="K340" i="3"/>
  <c r="K322" i="3"/>
  <c r="K304" i="3"/>
  <c r="K286" i="3"/>
  <c r="K250" i="3"/>
  <c r="K196" i="3"/>
  <c r="K142" i="3"/>
  <c r="K124" i="3"/>
  <c r="K106" i="3"/>
  <c r="K16" i="3"/>
  <c r="K484" i="3"/>
  <c r="K1437" i="3"/>
  <c r="K1419" i="3"/>
  <c r="K1401" i="3"/>
  <c r="K1383" i="3"/>
  <c r="K1365" i="3"/>
  <c r="K1347" i="3"/>
  <c r="K1329" i="3"/>
  <c r="K1311" i="3"/>
  <c r="K1257" i="3"/>
  <c r="K1221" i="3"/>
  <c r="K1203" i="3"/>
  <c r="K1185" i="3"/>
  <c r="K1149" i="3"/>
  <c r="K1131" i="3"/>
  <c r="K1077" i="3"/>
  <c r="K1005" i="3"/>
  <c r="K987" i="3"/>
  <c r="K969" i="3"/>
  <c r="K951" i="3"/>
  <c r="K933" i="3"/>
  <c r="K915" i="3"/>
  <c r="K897" i="3"/>
  <c r="K843" i="3"/>
  <c r="K825" i="3"/>
  <c r="K807" i="3"/>
  <c r="K753" i="3"/>
  <c r="K735" i="3"/>
  <c r="K717" i="3"/>
  <c r="K699" i="3"/>
  <c r="K681" i="3"/>
  <c r="K645" i="3"/>
  <c r="K627" i="3"/>
  <c r="K609" i="3"/>
  <c r="K591" i="3"/>
  <c r="K573" i="3"/>
  <c r="K555" i="3"/>
  <c r="K537" i="3"/>
  <c r="K519" i="3"/>
  <c r="K483" i="3"/>
  <c r="K465" i="3"/>
  <c r="K411" i="3"/>
  <c r="K393" i="3"/>
  <c r="K375" i="3"/>
  <c r="K339" i="3"/>
  <c r="K321" i="3"/>
  <c r="K303" i="3"/>
  <c r="K285" i="3"/>
  <c r="K267" i="3"/>
  <c r="K231" i="3"/>
  <c r="K195" i="3"/>
  <c r="K177" i="3"/>
  <c r="K141" i="3"/>
  <c r="K123" i="3"/>
  <c r="K87" i="3"/>
  <c r="K69" i="3"/>
  <c r="K51" i="3"/>
  <c r="K33" i="3"/>
  <c r="K15" i="3"/>
  <c r="K1114" i="3"/>
  <c r="K1024" i="3"/>
  <c r="K70" i="3"/>
  <c r="K1293" i="3"/>
  <c r="K1023" i="3"/>
  <c r="K1427" i="3"/>
  <c r="K1391" i="3"/>
  <c r="K1373" i="3"/>
  <c r="K1355" i="3"/>
  <c r="K1337" i="3"/>
  <c r="K1301" i="3"/>
  <c r="K1247" i="3"/>
  <c r="K1248" i="3"/>
  <c r="K1230" i="3"/>
  <c r="K1211" i="3"/>
  <c r="K1212" i="3"/>
  <c r="K1193" i="3"/>
  <c r="K1175" i="3"/>
  <c r="K1157" i="3"/>
  <c r="K1139" i="3"/>
  <c r="K1085" i="3"/>
  <c r="K1067" i="3"/>
  <c r="K1013" i="3"/>
  <c r="K959" i="3"/>
  <c r="K941" i="3"/>
  <c r="K923" i="3"/>
  <c r="K887" i="3"/>
  <c r="K869" i="3"/>
  <c r="K852" i="3"/>
  <c r="K833" i="3"/>
  <c r="K834" i="3"/>
  <c r="K815" i="3"/>
  <c r="K779" i="3"/>
  <c r="K725" i="3"/>
  <c r="K689" i="3"/>
  <c r="K671" i="3"/>
  <c r="K653" i="3"/>
  <c r="K654" i="3"/>
  <c r="K635" i="3"/>
  <c r="K618" i="3"/>
  <c r="K563" i="3"/>
  <c r="K545" i="3"/>
  <c r="K509" i="3"/>
  <c r="K473" i="3"/>
  <c r="K455" i="3"/>
  <c r="K437" i="3"/>
  <c r="K419" i="3"/>
  <c r="K401" i="3"/>
  <c r="K365" i="3"/>
  <c r="K366" i="3"/>
  <c r="K329" i="3"/>
  <c r="K312" i="3"/>
  <c r="K275" i="3"/>
  <c r="K239" i="3"/>
  <c r="K221" i="3"/>
  <c r="K203" i="3"/>
  <c r="K185" i="3"/>
  <c r="K167" i="3"/>
  <c r="K95" i="3"/>
  <c r="K59" i="3"/>
  <c r="K41" i="3"/>
  <c r="K5" i="3"/>
  <c r="K6" i="3"/>
  <c r="K1275" i="3"/>
  <c r="K707" i="3"/>
  <c r="K599" i="3"/>
  <c r="K510" i="3"/>
  <c r="K258" i="3"/>
  <c r="K1372" i="3"/>
  <c r="K1354" i="3"/>
  <c r="K1336" i="3"/>
  <c r="K1318" i="3"/>
  <c r="K1300" i="3"/>
  <c r="K1264" i="3"/>
  <c r="K1246" i="3"/>
  <c r="K1210" i="3"/>
  <c r="K1192" i="3"/>
  <c r="K1174" i="3"/>
  <c r="K1156" i="3"/>
  <c r="K1138" i="3"/>
  <c r="K1084" i="3"/>
  <c r="K1048" i="3"/>
  <c r="K1030" i="3"/>
  <c r="K1012" i="3"/>
  <c r="K958" i="3"/>
  <c r="K940" i="3"/>
  <c r="K922" i="3"/>
  <c r="K904" i="3"/>
  <c r="K868" i="3"/>
  <c r="K832" i="3"/>
  <c r="K796" i="3"/>
  <c r="K760" i="3"/>
  <c r="K742" i="3"/>
  <c r="K724" i="3"/>
  <c r="K706" i="3"/>
  <c r="K670" i="3"/>
  <c r="K634" i="3"/>
  <c r="K598" i="3"/>
  <c r="K562" i="3"/>
  <c r="K490" i="3"/>
  <c r="K472" i="3"/>
  <c r="K454" i="3"/>
  <c r="K382" i="3"/>
  <c r="K364" i="3"/>
  <c r="K346" i="3"/>
  <c r="K310" i="3"/>
  <c r="K292" i="3"/>
  <c r="K256" i="3"/>
  <c r="K238" i="3"/>
  <c r="K220" i="3"/>
  <c r="K202" i="3"/>
  <c r="K184" i="3"/>
  <c r="K166" i="3"/>
  <c r="K148" i="3"/>
  <c r="K112" i="3"/>
  <c r="K76" i="3"/>
  <c r="K58" i="3"/>
  <c r="K40" i="3"/>
  <c r="K4" i="3"/>
  <c r="N4" i="3"/>
  <c r="N5" i="3" s="1"/>
  <c r="N6" i="3" s="1"/>
  <c r="N7" i="3" s="1"/>
  <c r="N8" i="3" s="1"/>
  <c r="N9" i="3" s="1"/>
  <c r="N10" i="3" s="1"/>
  <c r="N11" i="3" s="1"/>
  <c r="N12" i="3" s="1"/>
  <c r="N13" i="3" s="1"/>
  <c r="N14" i="3" s="1"/>
  <c r="N15" i="3" s="1"/>
  <c r="N16" i="3" s="1"/>
  <c r="N17" i="3" s="1"/>
  <c r="N18" i="3" s="1"/>
  <c r="N19" i="3" s="1"/>
  <c r="N20" i="3" s="1"/>
  <c r="N21" i="3" s="1"/>
  <c r="N22" i="3" s="1"/>
  <c r="K652" i="3"/>
  <c r="K508" i="3"/>
  <c r="K448" i="3"/>
  <c r="K52" i="3"/>
  <c r="K1409" i="3"/>
  <c r="K844" i="3"/>
  <c r="K502" i="3"/>
  <c r="K347" i="3"/>
  <c r="K1428" i="3"/>
  <c r="K1410" i="3"/>
  <c r="K1392" i="3"/>
  <c r="K1374" i="3"/>
  <c r="K1338" i="3"/>
  <c r="K1302" i="3"/>
  <c r="K1284" i="3"/>
  <c r="K1266" i="3"/>
  <c r="K1140" i="3"/>
  <c r="K1104" i="3"/>
  <c r="K1086" i="3"/>
  <c r="K1068" i="3"/>
  <c r="K1050" i="3"/>
  <c r="K1032" i="3"/>
  <c r="K960" i="3"/>
  <c r="K924" i="3"/>
  <c r="K906" i="3"/>
  <c r="K888" i="3"/>
  <c r="K870" i="3"/>
  <c r="K798" i="3"/>
  <c r="K780" i="3"/>
  <c r="K762" i="3"/>
  <c r="K744" i="3"/>
  <c r="K726" i="3"/>
  <c r="K690" i="3"/>
  <c r="K672" i="3"/>
  <c r="K636" i="3"/>
  <c r="K600" i="3"/>
  <c r="K582" i="3"/>
  <c r="K492" i="3"/>
  <c r="K456" i="3"/>
  <c r="K438" i="3"/>
  <c r="K420" i="3"/>
  <c r="K402" i="3"/>
  <c r="K384" i="3"/>
  <c r="K348" i="3"/>
  <c r="K240" i="3"/>
  <c r="K222" i="3"/>
  <c r="K204" i="3"/>
  <c r="K186" i="3"/>
  <c r="K168" i="3"/>
  <c r="K150" i="3"/>
  <c r="K132" i="3"/>
  <c r="K78" i="3"/>
  <c r="K60" i="3"/>
  <c r="K24" i="3"/>
  <c r="K1353" i="3"/>
  <c r="K1245" i="3"/>
  <c r="K903" i="3"/>
  <c r="K705" i="3"/>
  <c r="K669" i="3"/>
  <c r="K561" i="3"/>
  <c r="K435" i="3"/>
  <c r="K381" i="3"/>
  <c r="K363" i="3"/>
  <c r="K327" i="3"/>
  <c r="K201" i="3"/>
  <c r="K93" i="3"/>
  <c r="K57" i="3"/>
  <c r="K21" i="3"/>
  <c r="J3" i="3"/>
  <c r="J4" i="3" s="1"/>
  <c r="J5" i="3" s="1"/>
  <c r="J6" i="3" s="1"/>
  <c r="J7" i="3" s="1"/>
  <c r="J8" i="3" s="1"/>
  <c r="J9" i="3" s="1"/>
  <c r="J10" i="3" s="1"/>
  <c r="J11" i="3" s="1"/>
  <c r="J12" i="3" s="1"/>
  <c r="J13" i="3" s="1"/>
  <c r="J14" i="3" s="1"/>
  <c r="J15" i="3" s="1"/>
  <c r="J16" i="3" s="1"/>
  <c r="J17" i="3" s="1"/>
  <c r="J18" i="3" s="1"/>
  <c r="J19" i="3" s="1"/>
  <c r="J20" i="3" s="1"/>
  <c r="J21" i="3" s="1"/>
  <c r="J22" i="3" s="1"/>
  <c r="J23" i="3" s="1"/>
  <c r="K975" i="3"/>
  <c r="K489" i="3"/>
  <c r="K1352" i="3"/>
  <c r="K1334" i="3"/>
  <c r="K1316" i="3"/>
  <c r="K1226" i="3"/>
  <c r="K1118" i="3"/>
  <c r="K1010" i="3"/>
  <c r="K992" i="3"/>
  <c r="K884" i="3"/>
  <c r="K776" i="3"/>
  <c r="K686" i="3"/>
  <c r="K668" i="3"/>
  <c r="K650" i="3"/>
  <c r="K542" i="3"/>
  <c r="K434" i="3"/>
  <c r="K362" i="3"/>
  <c r="K344" i="3"/>
  <c r="K308" i="3"/>
  <c r="K218" i="3"/>
  <c r="K146" i="3"/>
  <c r="K128" i="3"/>
  <c r="K590" i="3"/>
  <c r="K266" i="3"/>
  <c r="K968" i="3"/>
  <c r="K842" i="3"/>
  <c r="K500" i="3"/>
  <c r="K571" i="3"/>
  <c r="K247" i="3"/>
  <c r="K193" i="3"/>
  <c r="K841" i="3"/>
  <c r="K1202" i="3"/>
  <c r="K860" i="3"/>
  <c r="K194" i="3"/>
  <c r="K13" i="3"/>
  <c r="M24" i="3"/>
  <c r="M30" i="3"/>
  <c r="M41" i="3"/>
  <c r="O48" i="3"/>
  <c r="M58" i="3"/>
  <c r="M65" i="3"/>
  <c r="O66" i="3"/>
  <c r="M84" i="3"/>
  <c r="O89" i="3"/>
  <c r="O102" i="3"/>
  <c r="O120" i="3"/>
  <c r="O138" i="3"/>
  <c r="M148" i="3"/>
  <c r="M202" i="3"/>
  <c r="M208" i="3"/>
  <c r="M228" i="3"/>
  <c r="M256" i="3"/>
  <c r="M258" i="3"/>
  <c r="M264" i="3"/>
  <c r="M274" i="3"/>
  <c r="O282" i="3"/>
  <c r="M295" i="3"/>
  <c r="O318" i="3"/>
  <c r="M335" i="3"/>
  <c r="O336" i="3"/>
  <c r="M337" i="3"/>
  <c r="M346" i="3"/>
  <c r="M357" i="3"/>
  <c r="O358" i="3"/>
  <c r="M372" i="3"/>
  <c r="O390" i="3"/>
  <c r="M402" i="3"/>
  <c r="M408" i="3"/>
  <c r="M419" i="3"/>
  <c r="O426" i="3"/>
  <c r="M436" i="3"/>
  <c r="O516" i="3"/>
  <c r="M534" i="3"/>
  <c r="M537" i="3"/>
  <c r="M544" i="3"/>
  <c r="M551" i="3"/>
  <c r="M557" i="3"/>
  <c r="M580" i="3"/>
  <c r="O588" i="3"/>
  <c r="M660" i="3"/>
  <c r="M661" i="3"/>
  <c r="M678" i="3"/>
  <c r="O696" i="3"/>
  <c r="M713" i="3"/>
  <c r="M714" i="3"/>
  <c r="O750" i="3"/>
  <c r="O768" i="3"/>
  <c r="M778" i="3"/>
  <c r="O786" i="3"/>
  <c r="M787" i="3"/>
  <c r="O804" i="3"/>
  <c r="M814" i="3"/>
  <c r="M822" i="3"/>
  <c r="M872" i="3"/>
  <c r="M876" i="3"/>
  <c r="M940" i="3"/>
  <c r="M962" i="3"/>
  <c r="O966" i="3"/>
  <c r="M970" i="3"/>
  <c r="M982" i="3"/>
  <c r="O984" i="3"/>
  <c r="M1002" i="3"/>
  <c r="M1012" i="3"/>
  <c r="M1016" i="3"/>
  <c r="M1030" i="3"/>
  <c r="M1158" i="3"/>
  <c r="O1164" i="3"/>
  <c r="M1174" i="3"/>
  <c r="M1228" i="3"/>
  <c r="O6" i="3"/>
  <c r="O40" i="3"/>
  <c r="O41" i="3"/>
  <c r="O45" i="3"/>
  <c r="O63" i="3"/>
  <c r="O76" i="3"/>
  <c r="O77" i="3"/>
  <c r="O95" i="3"/>
  <c r="O99" i="3"/>
  <c r="O112" i="3"/>
  <c r="O117" i="3"/>
  <c r="O131" i="3"/>
  <c r="O149" i="3"/>
  <c r="O153" i="3"/>
  <c r="O154" i="3"/>
  <c r="O203" i="3"/>
  <c r="O207" i="3"/>
  <c r="O208" i="3"/>
  <c r="O220" i="3"/>
  <c r="O225" i="3"/>
  <c r="O238" i="3"/>
  <c r="O257" i="3"/>
  <c r="O293" i="3"/>
  <c r="O311" i="3"/>
  <c r="O333" i="3"/>
  <c r="O334" i="3"/>
  <c r="O346" i="3"/>
  <c r="O347" i="3"/>
  <c r="O364" i="3"/>
  <c r="O365" i="3"/>
  <c r="O370" i="3"/>
  <c r="O387" i="3"/>
  <c r="O406" i="3"/>
  <c r="O418" i="3"/>
  <c r="O423" i="3"/>
  <c r="O437" i="3"/>
  <c r="O439" i="3"/>
  <c r="O441" i="3"/>
  <c r="O442" i="3"/>
  <c r="O454" i="3"/>
  <c r="O455" i="3"/>
  <c r="O477" i="3"/>
  <c r="O513" i="3"/>
  <c r="O514" i="3"/>
  <c r="O526" i="3"/>
  <c r="O531" i="3"/>
  <c r="O544" i="3"/>
  <c r="O549" i="3"/>
  <c r="O563" i="3"/>
  <c r="O567" i="3"/>
  <c r="O568" i="3"/>
  <c r="O579" i="3"/>
  <c r="O585" i="3"/>
  <c r="O600" i="3"/>
  <c r="O604" i="3"/>
  <c r="O616" i="3"/>
  <c r="O621" i="3"/>
  <c r="O622" i="3"/>
  <c r="O635" i="3"/>
  <c r="O639" i="3"/>
  <c r="O640" i="3"/>
  <c r="O652" i="3"/>
  <c r="O658" i="3"/>
  <c r="O676" i="3"/>
  <c r="O694" i="3"/>
  <c r="O706" i="3"/>
  <c r="O712" i="3"/>
  <c r="O742" i="3"/>
  <c r="O765" i="3"/>
  <c r="O813" i="3"/>
  <c r="O814" i="3"/>
  <c r="O905" i="3"/>
  <c r="O923" i="3"/>
  <c r="O958" i="3"/>
  <c r="O997" i="3"/>
  <c r="O1017" i="3"/>
  <c r="O1018" i="3"/>
  <c r="O1030" i="3"/>
  <c r="O1071" i="3"/>
  <c r="O1085" i="3"/>
  <c r="O1102" i="3"/>
  <c r="O1103" i="3"/>
  <c r="O1128" i="3"/>
  <c r="O1143" i="3"/>
  <c r="O1161" i="3"/>
  <c r="O1162" i="3"/>
  <c r="O1178" i="3"/>
  <c r="O1179" i="3"/>
  <c r="O1215" i="3"/>
  <c r="O1232" i="3"/>
  <c r="O1233" i="3"/>
  <c r="M45" i="3"/>
  <c r="M48" i="3"/>
  <c r="M93" i="3"/>
  <c r="M130" i="3"/>
  <c r="M136" i="3"/>
  <c r="M165" i="3"/>
  <c r="M191" i="3"/>
  <c r="M203" i="3"/>
  <c r="M238" i="3"/>
  <c r="M241" i="3"/>
  <c r="M246" i="3"/>
  <c r="M283" i="3"/>
  <c r="M292" i="3"/>
  <c r="M293" i="3"/>
  <c r="M317" i="3"/>
  <c r="M318" i="3"/>
  <c r="M328" i="3"/>
  <c r="M345" i="3"/>
  <c r="M390" i="3"/>
  <c r="M399" i="3"/>
  <c r="M401" i="3"/>
  <c r="M417" i="3"/>
  <c r="M459" i="3"/>
  <c r="M489" i="3"/>
  <c r="O508" i="3"/>
  <c r="M562" i="3"/>
  <c r="M570" i="3"/>
  <c r="M615" i="3"/>
  <c r="M623" i="3"/>
  <c r="M624" i="3"/>
  <c r="O634" i="3"/>
  <c r="O636" i="3"/>
  <c r="M640" i="3"/>
  <c r="M641" i="3"/>
  <c r="M642" i="3"/>
  <c r="M711" i="3"/>
  <c r="M712" i="3"/>
  <c r="M750" i="3"/>
  <c r="M759" i="3"/>
  <c r="M795" i="3"/>
  <c r="M796" i="3"/>
  <c r="M849" i="3"/>
  <c r="M856" i="3"/>
  <c r="M857" i="3"/>
  <c r="M912" i="3"/>
  <c r="M921" i="3"/>
  <c r="M975" i="3"/>
  <c r="M983" i="3"/>
  <c r="M1011" i="3"/>
  <c r="M1019" i="3"/>
  <c r="M1047" i="3"/>
  <c r="M1048" i="3"/>
  <c r="M1083" i="3"/>
  <c r="M1119" i="3"/>
  <c r="M1199" i="3"/>
  <c r="M1227" i="3"/>
  <c r="M1235" i="3"/>
  <c r="O2" i="3"/>
  <c r="O12" i="3"/>
  <c r="O27" i="3"/>
  <c r="O84" i="3"/>
  <c r="O156" i="3"/>
  <c r="O174" i="3"/>
  <c r="O192" i="3"/>
  <c r="O210" i="3"/>
  <c r="O228" i="3"/>
  <c r="O246" i="3"/>
  <c r="O261" i="3"/>
  <c r="O264" i="3"/>
  <c r="O354" i="3"/>
  <c r="O372" i="3"/>
  <c r="O444" i="3"/>
  <c r="O462" i="3"/>
  <c r="O480" i="3"/>
  <c r="O498" i="3"/>
  <c r="O552" i="3"/>
  <c r="O570" i="3"/>
  <c r="O605" i="3"/>
  <c r="O606" i="3"/>
  <c r="O624" i="3"/>
  <c r="O642" i="3"/>
  <c r="O657" i="3"/>
  <c r="O660" i="3"/>
  <c r="O714" i="3"/>
  <c r="O732" i="3"/>
  <c r="O822" i="3"/>
  <c r="O840" i="3"/>
  <c r="O858" i="3"/>
  <c r="O876" i="3"/>
  <c r="O894" i="3"/>
  <c r="O912" i="3"/>
  <c r="O930" i="3"/>
  <c r="O948" i="3"/>
  <c r="O1038" i="3"/>
  <c r="O1181" i="3"/>
  <c r="O1218" i="3"/>
  <c r="O1246" i="3"/>
  <c r="M1245" i="3"/>
  <c r="M1246" i="3"/>
  <c r="O690" i="3"/>
  <c r="M687" i="3"/>
  <c r="M688" i="3"/>
  <c r="M693" i="3"/>
  <c r="M694" i="3"/>
  <c r="M723" i="3"/>
  <c r="M724" i="3"/>
  <c r="M729" i="3"/>
  <c r="M741" i="3"/>
  <c r="M742" i="3"/>
  <c r="M747" i="3"/>
  <c r="M777" i="3"/>
  <c r="M813" i="3"/>
  <c r="M831" i="3"/>
  <c r="M832" i="3"/>
  <c r="M837" i="3"/>
  <c r="M867" i="3"/>
  <c r="M885" i="3"/>
  <c r="M894" i="3"/>
  <c r="M904" i="3"/>
  <c r="M909" i="3"/>
  <c r="M939" i="3"/>
  <c r="M957" i="3"/>
  <c r="M958" i="3"/>
  <c r="M963" i="3"/>
  <c r="M976" i="3"/>
  <c r="M993" i="3"/>
  <c r="M994" i="3"/>
  <c r="M1018" i="3"/>
  <c r="M1029" i="3"/>
  <c r="M1053" i="3"/>
  <c r="M1065" i="3"/>
  <c r="M1066" i="3"/>
  <c r="M1090" i="3"/>
  <c r="M1101" i="3"/>
  <c r="M1102" i="3"/>
  <c r="M1120" i="3"/>
  <c r="M1125" i="3"/>
  <c r="M1138" i="3"/>
  <c r="M1143" i="3"/>
  <c r="M1161" i="3"/>
  <c r="M1173" i="3"/>
  <c r="M1191" i="3"/>
  <c r="M1198" i="3"/>
  <c r="M1210" i="3"/>
  <c r="O21" i="3"/>
  <c r="O58" i="3"/>
  <c r="O184" i="3"/>
  <c r="O202" i="3"/>
  <c r="O294" i="3"/>
  <c r="O327" i="3"/>
  <c r="O669" i="3"/>
  <c r="O670" i="3"/>
  <c r="M3" i="3"/>
  <c r="M4" i="3"/>
  <c r="M5" i="3"/>
  <c r="M6" i="3"/>
  <c r="M21" i="3"/>
  <c r="M39" i="3"/>
  <c r="M40" i="3"/>
  <c r="M46" i="3"/>
  <c r="M75" i="3"/>
  <c r="M82" i="3"/>
  <c r="M94" i="3"/>
  <c r="M111" i="3"/>
  <c r="M118" i="3"/>
  <c r="M129" i="3"/>
  <c r="M147" i="3"/>
  <c r="M156" i="3"/>
  <c r="M172" i="3"/>
  <c r="M183" i="3"/>
  <c r="M184" i="3"/>
  <c r="M192" i="3"/>
  <c r="M201" i="3"/>
  <c r="M219" i="3"/>
  <c r="M237" i="3"/>
  <c r="M239" i="3"/>
  <c r="M240" i="3"/>
  <c r="M255" i="3"/>
  <c r="M262" i="3"/>
  <c r="M273" i="3"/>
  <c r="M280" i="3"/>
  <c r="M291" i="3"/>
  <c r="M309" i="3"/>
  <c r="M310" i="3"/>
  <c r="M327" i="3"/>
  <c r="M353" i="3"/>
  <c r="M354" i="3"/>
  <c r="M363" i="3"/>
  <c r="M381" i="3"/>
  <c r="M382" i="3"/>
  <c r="M400" i="3"/>
  <c r="M418" i="3"/>
  <c r="M435" i="3"/>
  <c r="M453" i="3"/>
  <c r="M454" i="3"/>
  <c r="M460" i="3"/>
  <c r="M461" i="3"/>
  <c r="M471" i="3"/>
  <c r="M496" i="3"/>
  <c r="M507" i="3"/>
  <c r="M508" i="3"/>
  <c r="M514" i="3"/>
  <c r="M525" i="3"/>
  <c r="M526" i="3"/>
  <c r="M543" i="3"/>
  <c r="M561" i="3"/>
  <c r="M579" i="3"/>
  <c r="M581" i="3"/>
  <c r="M597" i="3"/>
  <c r="M616" i="3"/>
  <c r="M633" i="3"/>
  <c r="M634" i="3"/>
  <c r="M651" i="3"/>
  <c r="M652" i="3"/>
  <c r="M658" i="3"/>
  <c r="M669" i="3"/>
  <c r="M670" i="3"/>
  <c r="M2" i="3"/>
  <c r="J24" i="3" l="1"/>
  <c r="J25" i="3" s="1"/>
  <c r="J26" i="3" s="1"/>
  <c r="J27" i="3" s="1"/>
  <c r="J28" i="3" s="1"/>
  <c r="J29" i="3" s="1"/>
  <c r="J30" i="3" s="1"/>
  <c r="J31" i="3" s="1"/>
  <c r="J32" i="3" s="1"/>
  <c r="J33" i="3" s="1"/>
  <c r="J34" i="3" s="1"/>
  <c r="J35" i="3" s="1"/>
  <c r="J36" i="3" s="1"/>
  <c r="J37" i="3" s="1"/>
  <c r="J38" i="3" s="1"/>
  <c r="J39" i="3" s="1"/>
  <c r="J40" i="3" s="1"/>
  <c r="J41" i="3" s="1"/>
  <c r="J42" i="3" s="1"/>
  <c r="I3" i="3"/>
  <c r="L4" i="3"/>
  <c r="O408" i="3"/>
  <c r="M1182" i="3"/>
  <c r="M336" i="3"/>
  <c r="M604" i="3"/>
  <c r="M868" i="3"/>
  <c r="M984" i="3"/>
  <c r="O728" i="3"/>
  <c r="O1086" i="3"/>
  <c r="O438" i="3"/>
  <c r="O534" i="3"/>
  <c r="M696" i="3"/>
  <c r="O678" i="3"/>
  <c r="O300" i="3"/>
  <c r="O691" i="3"/>
  <c r="O384" i="3"/>
  <c r="M1181" i="3"/>
  <c r="O30" i="3"/>
  <c r="O1235" i="3"/>
  <c r="O1109" i="3"/>
  <c r="O1091" i="3"/>
  <c r="O1037" i="3"/>
  <c r="O1001" i="3"/>
  <c r="O947" i="3"/>
  <c r="O893" i="3"/>
  <c r="O785" i="3"/>
  <c r="O731" i="3"/>
  <c r="O695" i="3"/>
  <c r="O677" i="3"/>
  <c r="O641" i="3"/>
  <c r="O569" i="3"/>
  <c r="O497" i="3"/>
  <c r="O479" i="3"/>
  <c r="O407" i="3"/>
  <c r="O353" i="3"/>
  <c r="O299" i="3"/>
  <c r="O245" i="3"/>
  <c r="O227" i="3"/>
  <c r="O191" i="3"/>
  <c r="O173" i="3"/>
  <c r="O137" i="3"/>
  <c r="O47" i="3"/>
  <c r="O29" i="3"/>
  <c r="M1224" i="3"/>
  <c r="M629" i="3"/>
  <c r="M1060" i="3"/>
  <c r="M865" i="3"/>
  <c r="M595" i="3"/>
  <c r="O218" i="3"/>
  <c r="O182" i="3"/>
  <c r="O128" i="3"/>
  <c r="M918" i="3"/>
  <c r="M648" i="3"/>
  <c r="M468" i="3"/>
  <c r="O396" i="3"/>
  <c r="M306" i="3"/>
  <c r="O198" i="3"/>
  <c r="O144" i="3"/>
  <c r="M881" i="3"/>
  <c r="M1240" i="3"/>
  <c r="M1132" i="3"/>
  <c r="M952" i="3"/>
  <c r="M664" i="3"/>
  <c r="M484" i="3"/>
  <c r="M286" i="3"/>
  <c r="M106" i="3"/>
  <c r="M1041" i="3"/>
  <c r="M519" i="3"/>
  <c r="M177" i="3"/>
  <c r="M159" i="3"/>
  <c r="M141" i="3"/>
  <c r="M105" i="3"/>
  <c r="M1094" i="3"/>
  <c r="O590" i="3"/>
  <c r="M554" i="3"/>
  <c r="M536" i="3"/>
  <c r="M410" i="3"/>
  <c r="M374" i="3"/>
  <c r="M266" i="3"/>
  <c r="M122" i="3"/>
  <c r="M86" i="3"/>
  <c r="M1201" i="3"/>
  <c r="M1039" i="3"/>
  <c r="M1003" i="3"/>
  <c r="M949" i="3"/>
  <c r="M913" i="3"/>
  <c r="M607" i="3"/>
  <c r="M589" i="3"/>
  <c r="M553" i="3"/>
  <c r="M481" i="3"/>
  <c r="M409" i="3"/>
  <c r="M391" i="3"/>
  <c r="M373" i="3"/>
  <c r="M247" i="3"/>
  <c r="M211" i="3"/>
  <c r="M157" i="3"/>
  <c r="M121" i="3"/>
  <c r="O248" i="3"/>
  <c r="M1059" i="3"/>
  <c r="M662" i="3"/>
  <c r="M85" i="3"/>
  <c r="O576" i="3"/>
  <c r="M774" i="3"/>
  <c r="M49" i="3"/>
  <c r="O1042" i="3"/>
  <c r="O142" i="3"/>
  <c r="M1046" i="3"/>
  <c r="M955" i="3"/>
  <c r="M594" i="3"/>
  <c r="M486" i="3"/>
  <c r="M593" i="3"/>
  <c r="M413" i="3"/>
  <c r="M808" i="3"/>
  <c r="M610" i="3"/>
  <c r="M1131" i="3"/>
  <c r="M951" i="3"/>
  <c r="M609" i="3"/>
  <c r="M465" i="3"/>
  <c r="M375" i="3"/>
  <c r="O680" i="3"/>
  <c r="M518" i="3"/>
  <c r="M1165" i="3"/>
  <c r="M1093" i="3"/>
  <c r="M535" i="3"/>
  <c r="M427" i="3"/>
  <c r="M196" i="3"/>
  <c r="M861" i="3"/>
  <c r="M193" i="3"/>
  <c r="O1241" i="3"/>
  <c r="O1079" i="3"/>
  <c r="O737" i="3"/>
  <c r="M1220" i="3"/>
  <c r="O410" i="3"/>
  <c r="M285" i="3"/>
  <c r="O140" i="3"/>
  <c r="O1239" i="3"/>
  <c r="O1005" i="3"/>
  <c r="O465" i="3"/>
  <c r="O15" i="3"/>
  <c r="M1195" i="3"/>
  <c r="M1196" i="3"/>
  <c r="M1142" i="3"/>
  <c r="O1141" i="3"/>
  <c r="M1105" i="3"/>
  <c r="O1033" i="3"/>
  <c r="O889" i="3"/>
  <c r="O890" i="3"/>
  <c r="M835" i="3"/>
  <c r="O781" i="3"/>
  <c r="M619" i="3"/>
  <c r="M547" i="3"/>
  <c r="M260" i="3"/>
  <c r="M188" i="3"/>
  <c r="O115" i="3"/>
  <c r="O116" i="3"/>
  <c r="O79" i="3"/>
  <c r="M61" i="3"/>
  <c r="M116" i="3"/>
  <c r="O134" i="3"/>
  <c r="O548" i="3"/>
  <c r="O1213" i="3"/>
  <c r="M1015" i="3"/>
  <c r="O800" i="3"/>
  <c r="O638" i="3"/>
  <c r="O530" i="3"/>
  <c r="O385" i="3"/>
  <c r="O295" i="3"/>
  <c r="M800" i="3"/>
  <c r="O1236" i="3"/>
  <c r="O1200" i="3"/>
  <c r="O1182" i="3"/>
  <c r="M1146" i="3"/>
  <c r="O1146" i="3"/>
  <c r="M1092" i="3"/>
  <c r="M1074" i="3"/>
  <c r="O1056" i="3"/>
  <c r="M1020" i="3"/>
  <c r="O1020" i="3"/>
  <c r="O1002" i="3"/>
  <c r="O1110" i="3"/>
  <c r="O969" i="3"/>
  <c r="O555" i="3"/>
  <c r="O537" i="3"/>
  <c r="O249" i="3"/>
  <c r="O1092" i="3"/>
  <c r="O1184" i="3"/>
  <c r="O968" i="3"/>
  <c r="O950" i="3"/>
  <c r="O644" i="3"/>
  <c r="O536" i="3"/>
  <c r="O212" i="3"/>
  <c r="O68" i="3"/>
  <c r="O32" i="3"/>
  <c r="O1074" i="3"/>
  <c r="M1128" i="3"/>
  <c r="M1104" i="3"/>
  <c r="M1032" i="3"/>
  <c r="M870" i="3"/>
  <c r="M366" i="3"/>
  <c r="M96" i="3"/>
  <c r="M347" i="3"/>
  <c r="M1014" i="3"/>
  <c r="O798" i="3"/>
  <c r="M582" i="3"/>
  <c r="M546" i="3"/>
  <c r="O456" i="3"/>
  <c r="M78" i="3"/>
  <c r="O78" i="3"/>
  <c r="M437" i="3"/>
  <c r="M95" i="3"/>
  <c r="M77" i="3"/>
  <c r="O402" i="3"/>
  <c r="O708" i="3"/>
  <c r="M131" i="3"/>
  <c r="O492" i="3"/>
  <c r="M1054" i="3"/>
  <c r="M964" i="3"/>
  <c r="M820" i="3"/>
  <c r="M479" i="3"/>
  <c r="M478" i="3"/>
  <c r="M352" i="3"/>
  <c r="M190" i="3"/>
  <c r="M760" i="3"/>
  <c r="M605" i="3"/>
  <c r="M76" i="3"/>
  <c r="M1091" i="3"/>
  <c r="M497" i="3"/>
  <c r="O1070" i="3"/>
  <c r="M220" i="3"/>
  <c r="M886" i="3"/>
  <c r="M364" i="3"/>
  <c r="M23" i="3"/>
  <c r="N23" i="3" s="1"/>
  <c r="N24" i="3" s="1"/>
  <c r="N25" i="3" s="1"/>
  <c r="N26" i="3" s="1"/>
  <c r="N27" i="3" s="1"/>
  <c r="N28" i="3" s="1"/>
  <c r="N29" i="3" s="1"/>
  <c r="N30" i="3" s="1"/>
  <c r="N31" i="3" s="1"/>
  <c r="N32" i="3" s="1"/>
  <c r="N33" i="3" s="1"/>
  <c r="N34" i="3" s="1"/>
  <c r="N35" i="3" s="1"/>
  <c r="N36" i="3" s="1"/>
  <c r="N37" i="3" s="1"/>
  <c r="N38" i="3" s="1"/>
  <c r="N39" i="3" s="1"/>
  <c r="N40" i="3" s="1"/>
  <c r="N41" i="3" s="1"/>
  <c r="N42" i="3" s="1"/>
  <c r="N43" i="3" s="1"/>
  <c r="N44" i="3" s="1"/>
  <c r="N45" i="3" s="1"/>
  <c r="N46" i="3" s="1"/>
  <c r="N47" i="3" s="1"/>
  <c r="N48" i="3" s="1"/>
  <c r="N49" i="3" s="1"/>
  <c r="N50" i="3" s="1"/>
  <c r="N51" i="3" s="1"/>
  <c r="N52" i="3" s="1"/>
  <c r="N53" i="3" s="1"/>
  <c r="N54" i="3" s="1"/>
  <c r="N55" i="3" s="1"/>
  <c r="N56" i="3" s="1"/>
  <c r="N57" i="3" s="1"/>
  <c r="N58" i="3" s="1"/>
  <c r="N59" i="3" s="1"/>
  <c r="N60" i="3" s="1"/>
  <c r="N61" i="3" s="1"/>
  <c r="N62" i="3" s="1"/>
  <c r="N63" i="3" s="1"/>
  <c r="N64" i="3" s="1"/>
  <c r="N65" i="3" s="1"/>
  <c r="N66" i="3" s="1"/>
  <c r="N67" i="3" s="1"/>
  <c r="N68" i="3" s="1"/>
  <c r="N69" i="3" s="1"/>
  <c r="N70" i="3" s="1"/>
  <c r="N71" i="3" s="1"/>
  <c r="N72" i="3" s="1"/>
  <c r="N73" i="3" s="1"/>
  <c r="N74" i="3" s="1"/>
  <c r="N75" i="3" s="1"/>
  <c r="N76" i="3" s="1"/>
  <c r="N77" i="3" s="1"/>
  <c r="N78" i="3" s="1"/>
  <c r="N79" i="3" s="1"/>
  <c r="N80" i="3" s="1"/>
  <c r="N81" i="3" s="1"/>
  <c r="N82" i="3" s="1"/>
  <c r="N83" i="3" s="1"/>
  <c r="N84" i="3" s="1"/>
  <c r="N85" i="3" s="1"/>
  <c r="N86" i="3" s="1"/>
  <c r="N87" i="3" s="1"/>
  <c r="N88" i="3" s="1"/>
  <c r="N89" i="3" s="1"/>
  <c r="N90" i="3" s="1"/>
  <c r="N91" i="3" s="1"/>
  <c r="N92" i="3" s="1"/>
  <c r="N93" i="3" s="1"/>
  <c r="N94" i="3" s="1"/>
  <c r="N95" i="3" s="1"/>
  <c r="N96" i="3" s="1"/>
  <c r="N97" i="3" s="1"/>
  <c r="N98" i="3" s="1"/>
  <c r="N99" i="3" s="1"/>
  <c r="N100" i="3" s="1"/>
  <c r="N101" i="3" s="1"/>
  <c r="N102" i="3" s="1"/>
  <c r="N103" i="3" s="1"/>
  <c r="N104" i="3" s="1"/>
  <c r="N105" i="3" s="1"/>
  <c r="N106" i="3" s="1"/>
  <c r="N107" i="3" s="1"/>
  <c r="N108" i="3" s="1"/>
  <c r="N109" i="3" s="1"/>
  <c r="N110" i="3" s="1"/>
  <c r="N111" i="3" s="1"/>
  <c r="N112" i="3" s="1"/>
  <c r="N113" i="3" s="1"/>
  <c r="N114" i="3" s="1"/>
  <c r="N115" i="3" s="1"/>
  <c r="N116" i="3" s="1"/>
  <c r="N117" i="3" s="1"/>
  <c r="N118" i="3" s="1"/>
  <c r="N119" i="3" s="1"/>
  <c r="N120" i="3" s="1"/>
  <c r="N121" i="3" s="1"/>
  <c r="N122" i="3" s="1"/>
  <c r="N123" i="3" s="1"/>
  <c r="N124" i="3" s="1"/>
  <c r="N125" i="3" s="1"/>
  <c r="N126" i="3" s="1"/>
  <c r="N127" i="3" s="1"/>
  <c r="N128" i="3" s="1"/>
  <c r="N129" i="3" s="1"/>
  <c r="N130" i="3" s="1"/>
  <c r="N131" i="3" s="1"/>
  <c r="N132" i="3" s="1"/>
  <c r="N133" i="3" s="1"/>
  <c r="N134" i="3" s="1"/>
  <c r="N135" i="3" s="1"/>
  <c r="N136" i="3" s="1"/>
  <c r="N137" i="3" s="1"/>
  <c r="N138" i="3" s="1"/>
  <c r="N139" i="3" s="1"/>
  <c r="N140" i="3" s="1"/>
  <c r="N141" i="3" s="1"/>
  <c r="N142" i="3" s="1"/>
  <c r="N143" i="3" s="1"/>
  <c r="N144" i="3" s="1"/>
  <c r="N145" i="3" s="1"/>
  <c r="N146" i="3" s="1"/>
  <c r="N147" i="3" s="1"/>
  <c r="N148" i="3" s="1"/>
  <c r="N149" i="3" s="1"/>
  <c r="N150" i="3" s="1"/>
  <c r="N151" i="3" s="1"/>
  <c r="N152" i="3" s="1"/>
  <c r="N153" i="3" s="1"/>
  <c r="N154" i="3" s="1"/>
  <c r="N155" i="3" s="1"/>
  <c r="N156" i="3" s="1"/>
  <c r="N157" i="3" s="1"/>
  <c r="N158" i="3" s="1"/>
  <c r="N159" i="3" s="1"/>
  <c r="N160" i="3" s="1"/>
  <c r="N161" i="3" s="1"/>
  <c r="N162" i="3" s="1"/>
  <c r="N163" i="3" s="1"/>
  <c r="N164" i="3" s="1"/>
  <c r="N165" i="3" s="1"/>
  <c r="N166" i="3" s="1"/>
  <c r="N167" i="3" s="1"/>
  <c r="N168" i="3" s="1"/>
  <c r="N169" i="3" s="1"/>
  <c r="N170" i="3" s="1"/>
  <c r="N171" i="3" s="1"/>
  <c r="N172" i="3" s="1"/>
  <c r="N173" i="3" s="1"/>
  <c r="N174" i="3" s="1"/>
  <c r="N175" i="3" s="1"/>
  <c r="N176" i="3" s="1"/>
  <c r="N177" i="3" s="1"/>
  <c r="N178" i="3" s="1"/>
  <c r="N179" i="3" s="1"/>
  <c r="N180" i="3" s="1"/>
  <c r="N181" i="3" s="1"/>
  <c r="N182" i="3" s="1"/>
  <c r="N183" i="3" s="1"/>
  <c r="N184" i="3" s="1"/>
  <c r="N185" i="3" s="1"/>
  <c r="N186" i="3" s="1"/>
  <c r="N187" i="3" s="1"/>
  <c r="N188" i="3" s="1"/>
  <c r="N189" i="3" s="1"/>
  <c r="N190" i="3" s="1"/>
  <c r="N191" i="3" s="1"/>
  <c r="N192" i="3" s="1"/>
  <c r="N193" i="3" s="1"/>
  <c r="N194" i="3" s="1"/>
  <c r="N195" i="3" s="1"/>
  <c r="N196" i="3" s="1"/>
  <c r="N197" i="3" s="1"/>
  <c r="N198" i="3" s="1"/>
  <c r="N199" i="3" s="1"/>
  <c r="N200" i="3" s="1"/>
  <c r="N201" i="3" s="1"/>
  <c r="N202" i="3" s="1"/>
  <c r="N203" i="3" s="1"/>
  <c r="N204" i="3" s="1"/>
  <c r="N205" i="3" s="1"/>
  <c r="N206" i="3" s="1"/>
  <c r="N207" i="3" s="1"/>
  <c r="N208" i="3" s="1"/>
  <c r="N209" i="3" s="1"/>
  <c r="N210" i="3" s="1"/>
  <c r="N211" i="3" s="1"/>
  <c r="N212" i="3" s="1"/>
  <c r="N213" i="3" s="1"/>
  <c r="N214" i="3" s="1"/>
  <c r="N215" i="3" s="1"/>
  <c r="N216" i="3" s="1"/>
  <c r="N217" i="3" s="1"/>
  <c r="N218" i="3" s="1"/>
  <c r="N219" i="3" s="1"/>
  <c r="N220" i="3" s="1"/>
  <c r="N221" i="3" s="1"/>
  <c r="N222" i="3" s="1"/>
  <c r="N223" i="3" s="1"/>
  <c r="N224" i="3" s="1"/>
  <c r="N225" i="3" s="1"/>
  <c r="N226" i="3" s="1"/>
  <c r="N227" i="3" s="1"/>
  <c r="N228" i="3" s="1"/>
  <c r="N229" i="3" s="1"/>
  <c r="N230" i="3" s="1"/>
  <c r="N231" i="3" s="1"/>
  <c r="N232" i="3" s="1"/>
  <c r="N233" i="3" s="1"/>
  <c r="N234" i="3" s="1"/>
  <c r="N235" i="3" s="1"/>
  <c r="N236" i="3" s="1"/>
  <c r="N237" i="3" s="1"/>
  <c r="N238" i="3" s="1"/>
  <c r="N239" i="3" s="1"/>
  <c r="N240" i="3" s="1"/>
  <c r="N241" i="3" s="1"/>
  <c r="N242" i="3" s="1"/>
  <c r="N243" i="3" s="1"/>
  <c r="N244" i="3" s="1"/>
  <c r="N245" i="3" s="1"/>
  <c r="N246" i="3" s="1"/>
  <c r="N247" i="3" s="1"/>
  <c r="N248" i="3" s="1"/>
  <c r="N249" i="3" s="1"/>
  <c r="N250" i="3" s="1"/>
  <c r="N251" i="3" s="1"/>
  <c r="N252" i="3" s="1"/>
  <c r="N253" i="3" s="1"/>
  <c r="N254" i="3" s="1"/>
  <c r="N255" i="3" s="1"/>
  <c r="N256" i="3" s="1"/>
  <c r="N257" i="3" s="1"/>
  <c r="N258" i="3" s="1"/>
  <c r="N259" i="3" s="1"/>
  <c r="N260" i="3" s="1"/>
  <c r="N261" i="3" s="1"/>
  <c r="N262" i="3" s="1"/>
  <c r="N263" i="3" s="1"/>
  <c r="N264" i="3" s="1"/>
  <c r="N265" i="3" s="1"/>
  <c r="N266" i="3" s="1"/>
  <c r="N267" i="3" s="1"/>
  <c r="N268" i="3" s="1"/>
  <c r="N269" i="3" s="1"/>
  <c r="N270" i="3" s="1"/>
  <c r="N271" i="3" s="1"/>
  <c r="N272" i="3" s="1"/>
  <c r="N273" i="3" s="1"/>
  <c r="N274" i="3" s="1"/>
  <c r="N275" i="3" s="1"/>
  <c r="N276" i="3" s="1"/>
  <c r="N277" i="3" s="1"/>
  <c r="N278" i="3" s="1"/>
  <c r="N279" i="3" s="1"/>
  <c r="N280" i="3" s="1"/>
  <c r="N281" i="3" s="1"/>
  <c r="N282" i="3" s="1"/>
  <c r="N283" i="3" s="1"/>
  <c r="N284" i="3" s="1"/>
  <c r="N285" i="3" s="1"/>
  <c r="N286" i="3" s="1"/>
  <c r="N287" i="3" s="1"/>
  <c r="N288" i="3" s="1"/>
  <c r="N289" i="3" s="1"/>
  <c r="N290" i="3" s="1"/>
  <c r="N291" i="3" s="1"/>
  <c r="N292" i="3" s="1"/>
  <c r="N293" i="3" s="1"/>
  <c r="N294" i="3" s="1"/>
  <c r="N295" i="3" s="1"/>
  <c r="N296" i="3" s="1"/>
  <c r="N297" i="3" s="1"/>
  <c r="N298" i="3" s="1"/>
  <c r="N299" i="3" s="1"/>
  <c r="N300" i="3" s="1"/>
  <c r="N301" i="3" s="1"/>
  <c r="N302" i="3" s="1"/>
  <c r="N303" i="3" s="1"/>
  <c r="N304" i="3" s="1"/>
  <c r="N305" i="3" s="1"/>
  <c r="N306" i="3" s="1"/>
  <c r="N307" i="3" s="1"/>
  <c r="N308" i="3" s="1"/>
  <c r="N309" i="3" s="1"/>
  <c r="N310" i="3" s="1"/>
  <c r="N311" i="3" s="1"/>
  <c r="N312" i="3" s="1"/>
  <c r="N313" i="3" s="1"/>
  <c r="N314" i="3" s="1"/>
  <c r="N315" i="3" s="1"/>
  <c r="N316" i="3" s="1"/>
  <c r="N317" i="3" s="1"/>
  <c r="N318" i="3" s="1"/>
  <c r="N319" i="3" s="1"/>
  <c r="N320" i="3" s="1"/>
  <c r="N321" i="3" s="1"/>
  <c r="N322" i="3" s="1"/>
  <c r="N323" i="3" s="1"/>
  <c r="N324" i="3" s="1"/>
  <c r="N325" i="3" s="1"/>
  <c r="N326" i="3" s="1"/>
  <c r="N327" i="3" s="1"/>
  <c r="N328" i="3" s="1"/>
  <c r="N329" i="3" s="1"/>
  <c r="N330" i="3" s="1"/>
  <c r="N331" i="3" s="1"/>
  <c r="N332" i="3" s="1"/>
  <c r="N333" i="3" s="1"/>
  <c r="N334" i="3" s="1"/>
  <c r="N335" i="3" s="1"/>
  <c r="N336" i="3" s="1"/>
  <c r="N337" i="3" s="1"/>
  <c r="N338" i="3" s="1"/>
  <c r="N339" i="3" s="1"/>
  <c r="N340" i="3" s="1"/>
  <c r="N341" i="3" s="1"/>
  <c r="N342" i="3" s="1"/>
  <c r="N343" i="3" s="1"/>
  <c r="N344" i="3" s="1"/>
  <c r="N345" i="3" s="1"/>
  <c r="N346" i="3" s="1"/>
  <c r="N347" i="3" s="1"/>
  <c r="N348" i="3" s="1"/>
  <c r="N349" i="3" s="1"/>
  <c r="N350" i="3" s="1"/>
  <c r="N351" i="3" s="1"/>
  <c r="N352" i="3" s="1"/>
  <c r="N353" i="3" s="1"/>
  <c r="N354" i="3" s="1"/>
  <c r="N355" i="3" s="1"/>
  <c r="N356" i="3" s="1"/>
  <c r="N357" i="3" s="1"/>
  <c r="N358" i="3" s="1"/>
  <c r="N359" i="3" s="1"/>
  <c r="N360" i="3" s="1"/>
  <c r="N361" i="3" s="1"/>
  <c r="N362" i="3" s="1"/>
  <c r="N363" i="3" s="1"/>
  <c r="N364" i="3" s="1"/>
  <c r="N365" i="3" s="1"/>
  <c r="N366" i="3" s="1"/>
  <c r="N367" i="3" s="1"/>
  <c r="N368" i="3" s="1"/>
  <c r="N369" i="3" s="1"/>
  <c r="N370" i="3" s="1"/>
  <c r="N371" i="3" s="1"/>
  <c r="N372" i="3" s="1"/>
  <c r="N373" i="3" s="1"/>
  <c r="N374" i="3" s="1"/>
  <c r="N375" i="3" s="1"/>
  <c r="N376" i="3" s="1"/>
  <c r="N377" i="3" s="1"/>
  <c r="N378" i="3" s="1"/>
  <c r="N379" i="3" s="1"/>
  <c r="N380" i="3" s="1"/>
  <c r="N381" i="3" s="1"/>
  <c r="N382" i="3" s="1"/>
  <c r="N383" i="3" s="1"/>
  <c r="N384" i="3" s="1"/>
  <c r="N385" i="3" s="1"/>
  <c r="N386" i="3" s="1"/>
  <c r="N387" i="3" s="1"/>
  <c r="N388" i="3" s="1"/>
  <c r="N389" i="3" s="1"/>
  <c r="N390" i="3" s="1"/>
  <c r="N391" i="3" s="1"/>
  <c r="N392" i="3" s="1"/>
  <c r="N393" i="3" s="1"/>
  <c r="N394" i="3" s="1"/>
  <c r="N395" i="3" s="1"/>
  <c r="N396" i="3" s="1"/>
  <c r="N397" i="3" s="1"/>
  <c r="N398" i="3" s="1"/>
  <c r="N399" i="3" s="1"/>
  <c r="N400" i="3" s="1"/>
  <c r="N401" i="3" s="1"/>
  <c r="N402" i="3" s="1"/>
  <c r="N403" i="3" s="1"/>
  <c r="N404" i="3" s="1"/>
  <c r="N405" i="3" s="1"/>
  <c r="N406" i="3" s="1"/>
  <c r="N407" i="3" s="1"/>
  <c r="N408" i="3" s="1"/>
  <c r="N409" i="3" s="1"/>
  <c r="N410" i="3" s="1"/>
  <c r="N411" i="3" s="1"/>
  <c r="N412" i="3" s="1"/>
  <c r="N413" i="3" s="1"/>
  <c r="N414" i="3" s="1"/>
  <c r="N415" i="3" s="1"/>
  <c r="N416" i="3" s="1"/>
  <c r="N417" i="3" s="1"/>
  <c r="N418" i="3" s="1"/>
  <c r="N419" i="3" s="1"/>
  <c r="N420" i="3" s="1"/>
  <c r="N421" i="3" s="1"/>
  <c r="N422" i="3" s="1"/>
  <c r="N423" i="3" s="1"/>
  <c r="N424" i="3" s="1"/>
  <c r="N425" i="3" s="1"/>
  <c r="N426" i="3" s="1"/>
  <c r="N427" i="3" s="1"/>
  <c r="N428" i="3" s="1"/>
  <c r="N429" i="3" s="1"/>
  <c r="N430" i="3" s="1"/>
  <c r="N431" i="3" s="1"/>
  <c r="N432" i="3" s="1"/>
  <c r="N433" i="3" s="1"/>
  <c r="N434" i="3" s="1"/>
  <c r="N435" i="3" s="1"/>
  <c r="N436" i="3" s="1"/>
  <c r="N437" i="3" s="1"/>
  <c r="N438" i="3" s="1"/>
  <c r="N439" i="3" s="1"/>
  <c r="N440" i="3" s="1"/>
  <c r="N441" i="3" s="1"/>
  <c r="N442" i="3" s="1"/>
  <c r="N443" i="3" s="1"/>
  <c r="N444" i="3" s="1"/>
  <c r="N445" i="3" s="1"/>
  <c r="N446" i="3" s="1"/>
  <c r="N447" i="3" s="1"/>
  <c r="N448" i="3" s="1"/>
  <c r="N449" i="3" s="1"/>
  <c r="N450" i="3" s="1"/>
  <c r="N451" i="3" s="1"/>
  <c r="N452" i="3" s="1"/>
  <c r="N453" i="3" s="1"/>
  <c r="N454" i="3" s="1"/>
  <c r="N455" i="3" s="1"/>
  <c r="N456" i="3" s="1"/>
  <c r="N457" i="3" s="1"/>
  <c r="N458" i="3" s="1"/>
  <c r="N459" i="3" s="1"/>
  <c r="N460" i="3" s="1"/>
  <c r="N461" i="3" s="1"/>
  <c r="N462" i="3" s="1"/>
  <c r="N463" i="3" s="1"/>
  <c r="N464" i="3" s="1"/>
  <c r="N465" i="3" s="1"/>
  <c r="N466" i="3" s="1"/>
  <c r="N467" i="3" s="1"/>
  <c r="N468" i="3" s="1"/>
  <c r="N469" i="3" s="1"/>
  <c r="N470" i="3" s="1"/>
  <c r="N471" i="3" s="1"/>
  <c r="N472" i="3" s="1"/>
  <c r="N473" i="3" s="1"/>
  <c r="N474" i="3" s="1"/>
  <c r="N475" i="3" s="1"/>
  <c r="N476" i="3" s="1"/>
  <c r="N477" i="3" s="1"/>
  <c r="N478" i="3" s="1"/>
  <c r="N479" i="3" s="1"/>
  <c r="N480" i="3" s="1"/>
  <c r="N481" i="3" s="1"/>
  <c r="N482" i="3" s="1"/>
  <c r="N483" i="3" s="1"/>
  <c r="N484" i="3" s="1"/>
  <c r="M22" i="3"/>
  <c r="M706" i="3"/>
  <c r="M472" i="3"/>
  <c r="O739" i="3"/>
  <c r="O740" i="3"/>
  <c r="O359" i="3"/>
  <c r="O557" i="3"/>
  <c r="M950" i="3"/>
  <c r="M356" i="3"/>
  <c r="M140" i="3"/>
  <c r="M1075" i="3"/>
  <c r="M265" i="3"/>
  <c r="M1236" i="3"/>
  <c r="M1218" i="3"/>
  <c r="M948" i="3"/>
  <c r="M588" i="3"/>
  <c r="M480" i="3"/>
  <c r="M426" i="3"/>
  <c r="M210" i="3"/>
  <c r="M102" i="3"/>
  <c r="M679" i="3"/>
  <c r="M516" i="3"/>
  <c r="M858" i="3"/>
  <c r="M929" i="3"/>
  <c r="M749" i="3"/>
  <c r="M138" i="3"/>
  <c r="M137" i="3"/>
  <c r="M66" i="3"/>
  <c r="O1160" i="3"/>
  <c r="M1052" i="3"/>
  <c r="O998" i="3"/>
  <c r="O943" i="3"/>
  <c r="O925" i="3"/>
  <c r="M926" i="3"/>
  <c r="O709" i="3"/>
  <c r="M583" i="3"/>
  <c r="O440" i="3"/>
  <c r="O332" i="3"/>
  <c r="O223" i="3"/>
  <c r="M97" i="3"/>
  <c r="O26" i="3"/>
  <c r="M26" i="3"/>
  <c r="M25" i="3"/>
  <c r="O141" i="3"/>
  <c r="M1038" i="3"/>
  <c r="M571" i="3"/>
  <c r="M47" i="3"/>
  <c r="M804" i="3"/>
  <c r="M281" i="3"/>
  <c r="M799" i="3"/>
  <c r="M120" i="3"/>
  <c r="M877" i="3"/>
  <c r="M1110" i="3"/>
  <c r="M930" i="3"/>
  <c r="M462" i="3"/>
  <c r="M212" i="3"/>
  <c r="M498" i="3"/>
  <c r="M300" i="3"/>
  <c r="M552" i="3"/>
  <c r="M786" i="3"/>
  <c r="O1247" i="3"/>
  <c r="M1247" i="3"/>
  <c r="O599" i="3"/>
  <c r="M599" i="3"/>
  <c r="O527" i="3"/>
  <c r="M527" i="3"/>
  <c r="M167" i="3"/>
  <c r="O1190" i="3"/>
  <c r="M1192" i="3"/>
  <c r="M1156" i="3"/>
  <c r="M1084" i="3"/>
  <c r="M850" i="3"/>
  <c r="M598" i="3"/>
  <c r="O490" i="3"/>
  <c r="M490" i="3"/>
  <c r="O256" i="3"/>
  <c r="M166" i="3"/>
  <c r="O166" i="3"/>
  <c r="M112" i="3"/>
  <c r="M922" i="3"/>
  <c r="O1230" i="3"/>
  <c r="M730" i="3"/>
  <c r="O209" i="3"/>
  <c r="O64" i="3"/>
  <c r="M550" i="3"/>
  <c r="M1155" i="3"/>
  <c r="O851" i="3"/>
  <c r="O815" i="3"/>
  <c r="O797" i="3"/>
  <c r="O671" i="3"/>
  <c r="O509" i="3"/>
  <c r="O185" i="3"/>
  <c r="O113" i="3"/>
  <c r="M57" i="3"/>
  <c r="O1228" i="3"/>
  <c r="O1210" i="3"/>
  <c r="O1192" i="3"/>
  <c r="O1174" i="3"/>
  <c r="O1156" i="3"/>
  <c r="O1138" i="3"/>
  <c r="O1120" i="3"/>
  <c r="O1084" i="3"/>
  <c r="O1066" i="3"/>
  <c r="O1048" i="3"/>
  <c r="O1012" i="3"/>
  <c r="O994" i="3"/>
  <c r="O976" i="3"/>
  <c r="O940" i="3"/>
  <c r="O922" i="3"/>
  <c r="O904" i="3"/>
  <c r="O886" i="3"/>
  <c r="O868" i="3"/>
  <c r="O850" i="3"/>
  <c r="O832" i="3"/>
  <c r="O796" i="3"/>
  <c r="O778" i="3"/>
  <c r="O760" i="3"/>
  <c r="O724" i="3"/>
  <c r="O688" i="3"/>
  <c r="O598" i="3"/>
  <c r="O580" i="3"/>
  <c r="O562" i="3"/>
  <c r="O472" i="3"/>
  <c r="O436" i="3"/>
  <c r="O400" i="3"/>
  <c r="O382" i="3"/>
  <c r="O328" i="3"/>
  <c r="O310" i="3"/>
  <c r="O292" i="3"/>
  <c r="O274" i="3"/>
  <c r="O148" i="3"/>
  <c r="O130" i="3"/>
  <c r="O94" i="3"/>
  <c r="O22" i="3"/>
  <c r="O4" i="3"/>
  <c r="M1209" i="3"/>
  <c r="M1137" i="3"/>
  <c r="M705" i="3"/>
  <c r="O219" i="3"/>
  <c r="M903" i="3"/>
  <c r="O1114" i="3"/>
  <c r="O1245" i="3"/>
  <c r="O1227" i="3"/>
  <c r="O1209" i="3"/>
  <c r="O1191" i="3"/>
  <c r="O1173" i="3"/>
  <c r="O1155" i="3"/>
  <c r="O1137" i="3"/>
  <c r="O1119" i="3"/>
  <c r="O1101" i="3"/>
  <c r="O1083" i="3"/>
  <c r="O1065" i="3"/>
  <c r="O1047" i="3"/>
  <c r="O1029" i="3"/>
  <c r="O1011" i="3"/>
  <c r="O993" i="3"/>
  <c r="O975" i="3"/>
  <c r="O957" i="3"/>
  <c r="O939" i="3"/>
  <c r="O921" i="3"/>
  <c r="O903" i="3"/>
  <c r="O885" i="3"/>
  <c r="O867" i="3"/>
  <c r="O849" i="3"/>
  <c r="O831" i="3"/>
  <c r="O795" i="3"/>
  <c r="O777" i="3"/>
  <c r="O759" i="3"/>
  <c r="O741" i="3"/>
  <c r="O723" i="3"/>
  <c r="O705" i="3"/>
  <c r="O687" i="3"/>
  <c r="O651" i="3"/>
  <c r="O633" i="3"/>
  <c r="O615" i="3"/>
  <c r="O597" i="3"/>
  <c r="O561" i="3"/>
  <c r="O543" i="3"/>
  <c r="O525" i="3"/>
  <c r="O507" i="3"/>
  <c r="O489" i="3"/>
  <c r="O471" i="3"/>
  <c r="O453" i="3"/>
  <c r="O435" i="3"/>
  <c r="O417" i="3"/>
  <c r="O399" i="3"/>
  <c r="O381" i="3"/>
  <c r="O363" i="3"/>
  <c r="O345" i="3"/>
  <c r="O309" i="3"/>
  <c r="O291" i="3"/>
  <c r="O273" i="3"/>
  <c r="O255" i="3"/>
  <c r="O237" i="3"/>
  <c r="O201" i="3"/>
  <c r="O183" i="3"/>
  <c r="O165" i="3"/>
  <c r="O147" i="3"/>
  <c r="O129" i="3"/>
  <c r="O111" i="3"/>
  <c r="O93" i="3"/>
  <c r="O75" i="3"/>
  <c r="O57" i="3"/>
  <c r="O39" i="3"/>
  <c r="O3" i="3"/>
  <c r="O1041" i="3"/>
  <c r="O1028" i="3"/>
  <c r="O758" i="3"/>
  <c r="O632" i="3"/>
  <c r="O560" i="3"/>
  <c r="O524" i="3"/>
  <c r="O470" i="3"/>
  <c r="O308" i="3"/>
  <c r="O729" i="3"/>
  <c r="O279" i="3"/>
  <c r="O1237" i="3"/>
  <c r="O1219" i="3"/>
  <c r="O1201" i="3"/>
  <c r="O1183" i="3"/>
  <c r="O1165" i="3"/>
  <c r="O1147" i="3"/>
  <c r="O1129" i="3"/>
  <c r="O1111" i="3"/>
  <c r="O1093" i="3"/>
  <c r="O1075" i="3"/>
  <c r="O1057" i="3"/>
  <c r="O1039" i="3"/>
  <c r="O1021" i="3"/>
  <c r="O1003" i="3"/>
  <c r="O985" i="3"/>
  <c r="O967" i="3"/>
  <c r="O949" i="3"/>
  <c r="O931" i="3"/>
  <c r="O913" i="3"/>
  <c r="O895" i="3"/>
  <c r="O877" i="3"/>
  <c r="O859" i="3"/>
  <c r="O841" i="3"/>
  <c r="O823" i="3"/>
  <c r="O805" i="3"/>
  <c r="O787" i="3"/>
  <c r="O769" i="3"/>
  <c r="O751" i="3"/>
  <c r="O733" i="3"/>
  <c r="O715" i="3"/>
  <c r="O697" i="3"/>
  <c r="O679" i="3"/>
  <c r="O661" i="3"/>
  <c r="O643" i="3"/>
  <c r="O625" i="3"/>
  <c r="O607" i="3"/>
  <c r="O589" i="3"/>
  <c r="O571" i="3"/>
  <c r="O553" i="3"/>
  <c r="O535" i="3"/>
  <c r="O517" i="3"/>
  <c r="O499" i="3"/>
  <c r="O481" i="3"/>
  <c r="O463" i="3"/>
  <c r="O445" i="3"/>
  <c r="O427" i="3"/>
  <c r="O409" i="3"/>
  <c r="O391" i="3"/>
  <c r="O373" i="3"/>
  <c r="O355" i="3"/>
  <c r="O337" i="3"/>
  <c r="O319" i="3"/>
  <c r="O301" i="3"/>
  <c r="O283" i="3"/>
  <c r="O265" i="3"/>
  <c r="O247" i="3"/>
  <c r="O229" i="3"/>
  <c r="O211" i="3"/>
  <c r="O193" i="3"/>
  <c r="O175" i="3"/>
  <c r="O157" i="3"/>
  <c r="O139" i="3"/>
  <c r="O121" i="3"/>
  <c r="O103" i="3"/>
  <c r="O85" i="3"/>
  <c r="O67" i="3"/>
  <c r="O49" i="3"/>
  <c r="O31" i="3"/>
  <c r="O13" i="3"/>
  <c r="M1225" i="3"/>
  <c r="M1226" i="3"/>
  <c r="M1189" i="3"/>
  <c r="M1190" i="3"/>
  <c r="M1153" i="3"/>
  <c r="M1154" i="3"/>
  <c r="M1099" i="3"/>
  <c r="M1100" i="3"/>
  <c r="M1063" i="3"/>
  <c r="O1063" i="3"/>
  <c r="M1064" i="3"/>
  <c r="M1010" i="3"/>
  <c r="O1009" i="3"/>
  <c r="M973" i="3"/>
  <c r="M974" i="3"/>
  <c r="M937" i="3"/>
  <c r="M901" i="3"/>
  <c r="M902" i="3"/>
  <c r="M847" i="3"/>
  <c r="M848" i="3"/>
  <c r="M811" i="3"/>
  <c r="M812" i="3"/>
  <c r="O811" i="3"/>
  <c r="M776" i="3"/>
  <c r="M722" i="3"/>
  <c r="M685" i="3"/>
  <c r="M686" i="3"/>
  <c r="M649" i="3"/>
  <c r="M596" i="3"/>
  <c r="M541" i="3"/>
  <c r="M542" i="3"/>
  <c r="M434" i="3"/>
  <c r="M433" i="3"/>
  <c r="M397" i="3"/>
  <c r="M398" i="3"/>
  <c r="M361" i="3"/>
  <c r="M362" i="3"/>
  <c r="M272" i="3"/>
  <c r="M235" i="3"/>
  <c r="M199" i="3"/>
  <c r="M200" i="3"/>
  <c r="M109" i="3"/>
  <c r="M73" i="3"/>
  <c r="M74" i="3"/>
  <c r="M38" i="3"/>
  <c r="M271" i="3"/>
  <c r="M1242" i="3"/>
  <c r="M1206" i="3"/>
  <c r="M1152" i="3"/>
  <c r="M1116" i="3"/>
  <c r="M1080" i="3"/>
  <c r="M1044" i="3"/>
  <c r="M1008" i="3"/>
  <c r="M972" i="3"/>
  <c r="M936" i="3"/>
  <c r="M900" i="3"/>
  <c r="M846" i="3"/>
  <c r="M792" i="3"/>
  <c r="M738" i="3"/>
  <c r="O666" i="3"/>
  <c r="M666" i="3"/>
  <c r="O630" i="3"/>
  <c r="M630" i="3"/>
  <c r="M558" i="3"/>
  <c r="O558" i="3"/>
  <c r="M540" i="3"/>
  <c r="M504" i="3"/>
  <c r="O450" i="3"/>
  <c r="M414" i="3"/>
  <c r="M378" i="3"/>
  <c r="O378" i="3"/>
  <c r="O342" i="3"/>
  <c r="M342" i="3"/>
  <c r="O324" i="3"/>
  <c r="M288" i="3"/>
  <c r="M234" i="3"/>
  <c r="O234" i="3"/>
  <c r="M216" i="3"/>
  <c r="M198" i="3"/>
  <c r="M180" i="3"/>
  <c r="M162" i="3"/>
  <c r="O162" i="3"/>
  <c r="M144" i="3"/>
  <c r="M126" i="3"/>
  <c r="M108" i="3"/>
  <c r="M90" i="3"/>
  <c r="M72" i="3"/>
  <c r="O72" i="3"/>
  <c r="M54" i="3"/>
  <c r="M36" i="3"/>
  <c r="O36" i="3"/>
  <c r="O38" i="3"/>
  <c r="M1241" i="3"/>
  <c r="M1223" i="3"/>
  <c r="M1205" i="3"/>
  <c r="O1205" i="3"/>
  <c r="M1187" i="3"/>
  <c r="O1169" i="3"/>
  <c r="O1151" i="3"/>
  <c r="M1133" i="3"/>
  <c r="M1097" i="3"/>
  <c r="M1079" i="3"/>
  <c r="O1061" i="3"/>
  <c r="M1061" i="3"/>
  <c r="M1043" i="3"/>
  <c r="O1025" i="3"/>
  <c r="M1007" i="3"/>
  <c r="O1007" i="3"/>
  <c r="M989" i="3"/>
  <c r="M971" i="3"/>
  <c r="O971" i="3"/>
  <c r="M953" i="3"/>
  <c r="M935" i="3"/>
  <c r="M917" i="3"/>
  <c r="M899" i="3"/>
  <c r="O899" i="3"/>
  <c r="O881" i="3"/>
  <c r="M863" i="3"/>
  <c r="O827" i="3"/>
  <c r="M809" i="3"/>
  <c r="O791" i="3"/>
  <c r="M773" i="3"/>
  <c r="O755" i="3"/>
  <c r="M737" i="3"/>
  <c r="M719" i="3"/>
  <c r="O719" i="3"/>
  <c r="O701" i="3"/>
  <c r="M701" i="3"/>
  <c r="O683" i="3"/>
  <c r="M683" i="3"/>
  <c r="M665" i="3"/>
  <c r="M647" i="3"/>
  <c r="O629" i="3"/>
  <c r="M611" i="3"/>
  <c r="M539" i="3"/>
  <c r="M521" i="3"/>
  <c r="O503" i="3"/>
  <c r="M503" i="3"/>
  <c r="O485" i="3"/>
  <c r="M485" i="3"/>
  <c r="M467" i="3"/>
  <c r="O449" i="3"/>
  <c r="O431" i="3"/>
  <c r="M377" i="3"/>
  <c r="O377" i="3"/>
  <c r="M359" i="3"/>
  <c r="M341" i="3"/>
  <c r="M251" i="3"/>
  <c r="O251" i="3"/>
  <c r="M233" i="3"/>
  <c r="M215" i="3"/>
  <c r="O215" i="3"/>
  <c r="M197" i="3"/>
  <c r="O197" i="3"/>
  <c r="O161" i="3"/>
  <c r="M161" i="3"/>
  <c r="M143" i="3"/>
  <c r="O143" i="3"/>
  <c r="O125" i="3"/>
  <c r="M125" i="3"/>
  <c r="M89" i="3"/>
  <c r="M53" i="3"/>
  <c r="O35" i="3"/>
  <c r="M450" i="3"/>
  <c r="M379" i="3"/>
  <c r="M305" i="3"/>
  <c r="M269" i="3"/>
  <c r="O506" i="3"/>
  <c r="M1151" i="3"/>
  <c r="M827" i="3"/>
  <c r="O956" i="3"/>
  <c r="M1222" i="3"/>
  <c r="M1204" i="3"/>
  <c r="M1186" i="3"/>
  <c r="O1168" i="3"/>
  <c r="M1168" i="3"/>
  <c r="O1150" i="3"/>
  <c r="M1150" i="3"/>
  <c r="M1114" i="3"/>
  <c r="M1096" i="3"/>
  <c r="O1096" i="3"/>
  <c r="M1078" i="3"/>
  <c r="M1042" i="3"/>
  <c r="M1024" i="3"/>
  <c r="M1006" i="3"/>
  <c r="O988" i="3"/>
  <c r="O952" i="3"/>
  <c r="M934" i="3"/>
  <c r="O934" i="3"/>
  <c r="M916" i="3"/>
  <c r="O880" i="3"/>
  <c r="M880" i="3"/>
  <c r="M862" i="3"/>
  <c r="M844" i="3"/>
  <c r="O844" i="3"/>
  <c r="O826" i="3"/>
  <c r="O808" i="3"/>
  <c r="M790" i="3"/>
  <c r="O790" i="3"/>
  <c r="O772" i="3"/>
  <c r="M754" i="3"/>
  <c r="O736" i="3"/>
  <c r="M736" i="3"/>
  <c r="O718" i="3"/>
  <c r="M700" i="3"/>
  <c r="O700" i="3"/>
  <c r="M682" i="3"/>
  <c r="M646" i="3"/>
  <c r="M628" i="3"/>
  <c r="M592" i="3"/>
  <c r="M574" i="3"/>
  <c r="M556" i="3"/>
  <c r="M538" i="3"/>
  <c r="M520" i="3"/>
  <c r="O520" i="3"/>
  <c r="M502" i="3"/>
  <c r="O484" i="3"/>
  <c r="M466" i="3"/>
  <c r="M448" i="3"/>
  <c r="O430" i="3"/>
  <c r="M412" i="3"/>
  <c r="O412" i="3"/>
  <c r="O394" i="3"/>
  <c r="M376" i="3"/>
  <c r="M358" i="3"/>
  <c r="O340" i="3"/>
  <c r="M340" i="3"/>
  <c r="O304" i="3"/>
  <c r="M304" i="3"/>
  <c r="M268" i="3"/>
  <c r="O268" i="3"/>
  <c r="O250" i="3"/>
  <c r="O232" i="3"/>
  <c r="M232" i="3"/>
  <c r="M214" i="3"/>
  <c r="O196" i="3"/>
  <c r="O178" i="3"/>
  <c r="M160" i="3"/>
  <c r="O124" i="3"/>
  <c r="O88" i="3"/>
  <c r="O70" i="3"/>
  <c r="M70" i="3"/>
  <c r="M52" i="3"/>
  <c r="O34" i="3"/>
  <c r="O16" i="3"/>
  <c r="M16" i="3"/>
  <c r="M449" i="3"/>
  <c r="O504" i="3"/>
  <c r="O288" i="3"/>
  <c r="M826" i="3"/>
  <c r="M775" i="3"/>
  <c r="M721" i="3"/>
  <c r="O1099" i="3"/>
  <c r="O953" i="3"/>
  <c r="O883" i="3"/>
  <c r="M1239" i="3"/>
  <c r="M1221" i="3"/>
  <c r="O1203" i="3"/>
  <c r="M1185" i="3"/>
  <c r="M1167" i="3"/>
  <c r="O1167" i="3"/>
  <c r="M1149" i="3"/>
  <c r="O1131" i="3"/>
  <c r="M1113" i="3"/>
  <c r="O1113" i="3"/>
  <c r="O1095" i="3"/>
  <c r="M1095" i="3"/>
  <c r="M1077" i="3"/>
  <c r="O1023" i="3"/>
  <c r="M1023" i="3"/>
  <c r="M1005" i="3"/>
  <c r="M987" i="3"/>
  <c r="O987" i="3"/>
  <c r="M969" i="3"/>
  <c r="O951" i="3"/>
  <c r="M933" i="3"/>
  <c r="O933" i="3"/>
  <c r="O915" i="3"/>
  <c r="M897" i="3"/>
  <c r="O879" i="3"/>
  <c r="M879" i="3"/>
  <c r="O843" i="3"/>
  <c r="M825" i="3"/>
  <c r="O807" i="3"/>
  <c r="M807" i="3"/>
  <c r="M789" i="3"/>
  <c r="O771" i="3"/>
  <c r="M771" i="3"/>
  <c r="M753" i="3"/>
  <c r="O753" i="3"/>
  <c r="M735" i="3"/>
  <c r="O717" i="3"/>
  <c r="M699" i="3"/>
  <c r="O699" i="3"/>
  <c r="O681" i="3"/>
  <c r="O663" i="3"/>
  <c r="M663" i="3"/>
  <c r="M645" i="3"/>
  <c r="O627" i="3"/>
  <c r="M627" i="3"/>
  <c r="M591" i="3"/>
  <c r="O591" i="3"/>
  <c r="O573" i="3"/>
  <c r="M555" i="3"/>
  <c r="O519" i="3"/>
  <c r="M501" i="3"/>
  <c r="M483" i="3"/>
  <c r="O483" i="3"/>
  <c r="O447" i="3"/>
  <c r="M447" i="3"/>
  <c r="M429" i="3"/>
  <c r="M411" i="3"/>
  <c r="O411" i="3"/>
  <c r="O393" i="3"/>
  <c r="O375" i="3"/>
  <c r="O357" i="3"/>
  <c r="O339" i="3"/>
  <c r="M339" i="3"/>
  <c r="M321" i="3"/>
  <c r="O303" i="3"/>
  <c r="M303" i="3"/>
  <c r="O285" i="3"/>
  <c r="M267" i="3"/>
  <c r="O267" i="3"/>
  <c r="O231" i="3"/>
  <c r="O213" i="3"/>
  <c r="M213" i="3"/>
  <c r="O195" i="3"/>
  <c r="M195" i="3"/>
  <c r="O177" i="3"/>
  <c r="O159" i="3"/>
  <c r="M123" i="3"/>
  <c r="O123" i="3"/>
  <c r="O87" i="3"/>
  <c r="M87" i="3"/>
  <c r="M69" i="3"/>
  <c r="O51" i="3"/>
  <c r="O33" i="3"/>
  <c r="M33" i="3"/>
  <c r="M15" i="3"/>
  <c r="M584" i="3"/>
  <c r="M440" i="3"/>
  <c r="M404" i="3"/>
  <c r="M296" i="3"/>
  <c r="M236" i="3"/>
  <c r="M37" i="3"/>
  <c r="O502" i="3"/>
  <c r="O448" i="3"/>
  <c r="O341" i="3"/>
  <c r="O287" i="3"/>
  <c r="O236" i="3"/>
  <c r="M718" i="3"/>
  <c r="O721" i="3"/>
  <c r="O1238" i="3"/>
  <c r="M1238" i="3"/>
  <c r="O1220" i="3"/>
  <c r="M1202" i="3"/>
  <c r="M1166" i="3"/>
  <c r="O1166" i="3"/>
  <c r="O1148" i="3"/>
  <c r="M1148" i="3"/>
  <c r="M1130" i="3"/>
  <c r="O1112" i="3"/>
  <c r="M1112" i="3"/>
  <c r="O1094" i="3"/>
  <c r="M1076" i="3"/>
  <c r="O1076" i="3"/>
  <c r="M1058" i="3"/>
  <c r="O1058" i="3"/>
  <c r="O1040" i="3"/>
  <c r="M1040" i="3"/>
  <c r="M1022" i="3"/>
  <c r="O1022" i="3"/>
  <c r="O1004" i="3"/>
  <c r="M968" i="3"/>
  <c r="O932" i="3"/>
  <c r="M932" i="3"/>
  <c r="O914" i="3"/>
  <c r="M896" i="3"/>
  <c r="M878" i="3"/>
  <c r="O860" i="3"/>
  <c r="M860" i="3"/>
  <c r="O842" i="3"/>
  <c r="M842" i="3"/>
  <c r="M824" i="3"/>
  <c r="O824" i="3"/>
  <c r="O806" i="3"/>
  <c r="M806" i="3"/>
  <c r="O788" i="3"/>
  <c r="O770" i="3"/>
  <c r="M770" i="3"/>
  <c r="M752" i="3"/>
  <c r="O752" i="3"/>
  <c r="O734" i="3"/>
  <c r="O716" i="3"/>
  <c r="M716" i="3"/>
  <c r="O698" i="3"/>
  <c r="M698" i="3"/>
  <c r="O662" i="3"/>
  <c r="M644" i="3"/>
  <c r="O626" i="3"/>
  <c r="M626" i="3"/>
  <c r="M608" i="3"/>
  <c r="M590" i="3"/>
  <c r="O572" i="3"/>
  <c r="M572" i="3"/>
  <c r="O554" i="3"/>
  <c r="O500" i="3"/>
  <c r="M500" i="3"/>
  <c r="M482" i="3"/>
  <c r="O482" i="3"/>
  <c r="M464" i="3"/>
  <c r="O464" i="3"/>
  <c r="O446" i="3"/>
  <c r="M446" i="3"/>
  <c r="O428" i="3"/>
  <c r="M428" i="3"/>
  <c r="O392" i="3"/>
  <c r="M392" i="3"/>
  <c r="O374" i="3"/>
  <c r="O356" i="3"/>
  <c r="O338" i="3"/>
  <c r="M338" i="3"/>
  <c r="M320" i="3"/>
  <c r="O320" i="3"/>
  <c r="M302" i="3"/>
  <c r="O302" i="3"/>
  <c r="M284" i="3"/>
  <c r="O266" i="3"/>
  <c r="M248" i="3"/>
  <c r="O230" i="3"/>
  <c r="M230" i="3"/>
  <c r="M194" i="3"/>
  <c r="O194" i="3"/>
  <c r="O176" i="3"/>
  <c r="M176" i="3"/>
  <c r="M158" i="3"/>
  <c r="O158" i="3"/>
  <c r="O122" i="3"/>
  <c r="O104" i="3"/>
  <c r="M104" i="3"/>
  <c r="O86" i="3"/>
  <c r="M68" i="3"/>
  <c r="O50" i="3"/>
  <c r="M32" i="3"/>
  <c r="O14" i="3"/>
  <c r="M474" i="3"/>
  <c r="M439" i="3"/>
  <c r="M403" i="3"/>
  <c r="M231" i="3"/>
  <c r="M146" i="3"/>
  <c r="M35" i="3"/>
  <c r="O541" i="3"/>
  <c r="O501" i="3"/>
  <c r="O398" i="3"/>
  <c r="O286" i="3"/>
  <c r="M1009" i="3"/>
  <c r="M915" i="3"/>
  <c r="M772" i="3"/>
  <c r="M717" i="3"/>
  <c r="O1223" i="3"/>
  <c r="O865" i="3"/>
  <c r="O789" i="3"/>
  <c r="M438" i="3"/>
  <c r="M145" i="3"/>
  <c r="M110" i="3"/>
  <c r="M34" i="3"/>
  <c r="O540" i="3"/>
  <c r="O284" i="3"/>
  <c r="O180" i="3"/>
  <c r="O126" i="3"/>
  <c r="M1184" i="3"/>
  <c r="M1004" i="3"/>
  <c r="M914" i="3"/>
  <c r="M763" i="3"/>
  <c r="O1222" i="3"/>
  <c r="O1149" i="3"/>
  <c r="O1087" i="3"/>
  <c r="O944" i="3"/>
  <c r="O862" i="3"/>
  <c r="M614" i="3"/>
  <c r="M326" i="3"/>
  <c r="M223" i="3"/>
  <c r="M142" i="3"/>
  <c r="M107" i="3"/>
  <c r="M71" i="3"/>
  <c r="O539" i="3"/>
  <c r="O179" i="3"/>
  <c r="O69" i="3"/>
  <c r="O1006" i="3"/>
  <c r="O861" i="3"/>
  <c r="M56" i="3"/>
  <c r="M576" i="3"/>
  <c r="M431" i="3"/>
  <c r="M395" i="3"/>
  <c r="M323" i="3"/>
  <c r="M287" i="3"/>
  <c r="M178" i="3"/>
  <c r="O665" i="3"/>
  <c r="O323" i="3"/>
  <c r="O269" i="3"/>
  <c r="O847" i="3"/>
  <c r="O1244" i="3"/>
  <c r="O1226" i="3"/>
  <c r="O1172" i="3"/>
  <c r="O1154" i="3"/>
  <c r="O1136" i="3"/>
  <c r="O1118" i="3"/>
  <c r="O1100" i="3"/>
  <c r="O1082" i="3"/>
  <c r="O1064" i="3"/>
  <c r="O1046" i="3"/>
  <c r="O1010" i="3"/>
  <c r="O992" i="3"/>
  <c r="O974" i="3"/>
  <c r="O902" i="3"/>
  <c r="O884" i="3"/>
  <c r="O866" i="3"/>
  <c r="O848" i="3"/>
  <c r="O830" i="3"/>
  <c r="O812" i="3"/>
  <c r="O794" i="3"/>
  <c r="O776" i="3"/>
  <c r="O722" i="3"/>
  <c r="O704" i="3"/>
  <c r="O686" i="3"/>
  <c r="O650" i="3"/>
  <c r="O614" i="3"/>
  <c r="O596" i="3"/>
  <c r="O578" i="3"/>
  <c r="O542" i="3"/>
  <c r="O452" i="3"/>
  <c r="O434" i="3"/>
  <c r="O416" i="3"/>
  <c r="O380" i="3"/>
  <c r="O362" i="3"/>
  <c r="O344" i="3"/>
  <c r="O290" i="3"/>
  <c r="O272" i="3"/>
  <c r="O254" i="3"/>
  <c r="O200" i="3"/>
  <c r="O146" i="3"/>
  <c r="O110" i="3"/>
  <c r="O74" i="3"/>
  <c r="M1243" i="3"/>
  <c r="M1207" i="3"/>
  <c r="O1171" i="3"/>
  <c r="M1172" i="3"/>
  <c r="M1136" i="3"/>
  <c r="M1135" i="3"/>
  <c r="M1117" i="3"/>
  <c r="M1081" i="3"/>
  <c r="M1045" i="3"/>
  <c r="O1027" i="3"/>
  <c r="M1027" i="3"/>
  <c r="M1028" i="3"/>
  <c r="M992" i="3"/>
  <c r="M956" i="3"/>
  <c r="M919" i="3"/>
  <c r="M920" i="3"/>
  <c r="O919" i="3"/>
  <c r="M884" i="3"/>
  <c r="M883" i="3"/>
  <c r="M866" i="3"/>
  <c r="M830" i="3"/>
  <c r="M829" i="3"/>
  <c r="M793" i="3"/>
  <c r="M758" i="3"/>
  <c r="M757" i="3"/>
  <c r="M739" i="3"/>
  <c r="M740" i="3"/>
  <c r="M704" i="3"/>
  <c r="M703" i="3"/>
  <c r="O667" i="3"/>
  <c r="M631" i="3"/>
  <c r="O631" i="3"/>
  <c r="M632" i="3"/>
  <c r="M577" i="3"/>
  <c r="M578" i="3"/>
  <c r="M559" i="3"/>
  <c r="O559" i="3"/>
  <c r="M560" i="3"/>
  <c r="M523" i="3"/>
  <c r="M487" i="3"/>
  <c r="M488" i="3"/>
  <c r="M451" i="3"/>
  <c r="M415" i="3"/>
  <c r="M416" i="3"/>
  <c r="M343" i="3"/>
  <c r="M308" i="3"/>
  <c r="M289" i="3"/>
  <c r="M253" i="3"/>
  <c r="M254" i="3"/>
  <c r="M217" i="3"/>
  <c r="M218" i="3"/>
  <c r="M182" i="3"/>
  <c r="M164" i="3"/>
  <c r="M163" i="3"/>
  <c r="M127" i="3"/>
  <c r="M91" i="3"/>
  <c r="M92" i="3"/>
  <c r="M20" i="3"/>
  <c r="M668" i="3"/>
  <c r="M307" i="3"/>
  <c r="O92" i="3"/>
  <c r="M1188" i="3"/>
  <c r="M1134" i="3"/>
  <c r="M1098" i="3"/>
  <c r="M1062" i="3"/>
  <c r="M1026" i="3"/>
  <c r="M990" i="3"/>
  <c r="M954" i="3"/>
  <c r="M882" i="3"/>
  <c r="M864" i="3"/>
  <c r="M828" i="3"/>
  <c r="M810" i="3"/>
  <c r="M756" i="3"/>
  <c r="M720" i="3"/>
  <c r="M684" i="3"/>
  <c r="O648" i="3"/>
  <c r="M612" i="3"/>
  <c r="O522" i="3"/>
  <c r="M522" i="3"/>
  <c r="O486" i="3"/>
  <c r="M432" i="3"/>
  <c r="O432" i="3"/>
  <c r="M396" i="3"/>
  <c r="M360" i="3"/>
  <c r="M18" i="3"/>
  <c r="M667" i="3"/>
  <c r="M524" i="3"/>
  <c r="M452" i="3"/>
  <c r="M380" i="3"/>
  <c r="M344" i="3"/>
  <c r="M270" i="3"/>
  <c r="M613" i="3"/>
  <c r="M506" i="3"/>
  <c r="M470" i="3"/>
  <c r="M325" i="3"/>
  <c r="M181" i="3"/>
  <c r="O938" i="3"/>
  <c r="M650" i="3"/>
  <c r="M505" i="3"/>
  <c r="M469" i="3"/>
  <c r="M324" i="3"/>
  <c r="M290" i="3"/>
  <c r="M179" i="3"/>
  <c r="O668" i="3"/>
  <c r="O577" i="3"/>
  <c r="O488" i="3"/>
  <c r="O326" i="3"/>
  <c r="O270" i="3"/>
  <c r="O20" i="3"/>
  <c r="M755" i="3"/>
  <c r="O937" i="3"/>
  <c r="O775" i="3"/>
  <c r="M575" i="3"/>
  <c r="M430" i="3"/>
  <c r="M394" i="3"/>
  <c r="M322" i="3"/>
  <c r="M252" i="3"/>
  <c r="O575" i="3"/>
  <c r="O322" i="3"/>
  <c r="O216" i="3"/>
  <c r="O164" i="3"/>
  <c r="M1171" i="3"/>
  <c r="M1082" i="3"/>
  <c r="M991" i="3"/>
  <c r="M702" i="3"/>
  <c r="O1208" i="3"/>
  <c r="O1135" i="3"/>
  <c r="O845" i="3"/>
  <c r="O1243" i="3"/>
  <c r="O1225" i="3"/>
  <c r="O1081" i="3"/>
  <c r="O901" i="3"/>
  <c r="O649" i="3"/>
  <c r="O595" i="3"/>
  <c r="M1249" i="3"/>
  <c r="M1250" i="3"/>
  <c r="O1231" i="3"/>
  <c r="M1231" i="3"/>
  <c r="M1232" i="3"/>
  <c r="M1213" i="3"/>
  <c r="M1214" i="3"/>
  <c r="O1214" i="3"/>
  <c r="O1195" i="3"/>
  <c r="M1177" i="3"/>
  <c r="M1178" i="3"/>
  <c r="O1177" i="3"/>
  <c r="M1159" i="3"/>
  <c r="O1159" i="3"/>
  <c r="M1141" i="3"/>
  <c r="M1123" i="3"/>
  <c r="O1124" i="3"/>
  <c r="O1123" i="3"/>
  <c r="M1106" i="3"/>
  <c r="O1106" i="3"/>
  <c r="O1105" i="3"/>
  <c r="M1088" i="3"/>
  <c r="M1087" i="3"/>
  <c r="O1069" i="3"/>
  <c r="M1069" i="3"/>
  <c r="O1052" i="3"/>
  <c r="M1051" i="3"/>
  <c r="M1033" i="3"/>
  <c r="M1034" i="3"/>
  <c r="O1034" i="3"/>
  <c r="O1015" i="3"/>
  <c r="O1016" i="3"/>
  <c r="M998" i="3"/>
  <c r="M997" i="3"/>
  <c r="M979" i="3"/>
  <c r="O979" i="3"/>
  <c r="O980" i="3"/>
  <c r="M980" i="3"/>
  <c r="O961" i="3"/>
  <c r="O962" i="3"/>
  <c r="M961" i="3"/>
  <c r="M944" i="3"/>
  <c r="M943" i="3"/>
  <c r="M925" i="3"/>
  <c r="O907" i="3"/>
  <c r="M907" i="3"/>
  <c r="M908" i="3"/>
  <c r="O908" i="3"/>
  <c r="O871" i="3"/>
  <c r="O872" i="3"/>
  <c r="M871" i="3"/>
  <c r="O853" i="3"/>
  <c r="M854" i="3"/>
  <c r="M853" i="3"/>
  <c r="O854" i="3"/>
  <c r="O836" i="3"/>
  <c r="M836" i="3"/>
  <c r="M817" i="3"/>
  <c r="O817" i="3"/>
  <c r="M818" i="3"/>
  <c r="O799" i="3"/>
  <c r="M781" i="3"/>
  <c r="M782" i="3"/>
  <c r="M764" i="3"/>
  <c r="O745" i="3"/>
  <c r="M745" i="3"/>
  <c r="M727" i="3"/>
  <c r="M728" i="3"/>
  <c r="O727" i="3"/>
  <c r="M709" i="3"/>
  <c r="M710" i="3"/>
  <c r="M691" i="3"/>
  <c r="O673" i="3"/>
  <c r="M673" i="3"/>
  <c r="M674" i="3"/>
  <c r="O655" i="3"/>
  <c r="O656" i="3"/>
  <c r="M655" i="3"/>
  <c r="M656" i="3"/>
  <c r="O637" i="3"/>
  <c r="O619" i="3"/>
  <c r="M620" i="3"/>
  <c r="O620" i="3"/>
  <c r="O601" i="3"/>
  <c r="M601" i="3"/>
  <c r="O602" i="3"/>
  <c r="M602" i="3"/>
  <c r="O583" i="3"/>
  <c r="O584" i="3"/>
  <c r="O565" i="3"/>
  <c r="M566" i="3"/>
  <c r="O566" i="3"/>
  <c r="O547" i="3"/>
  <c r="M548" i="3"/>
  <c r="O529" i="3"/>
  <c r="M529" i="3"/>
  <c r="M530" i="3"/>
  <c r="O511" i="3"/>
  <c r="O512" i="3"/>
  <c r="M511" i="3"/>
  <c r="M512" i="3"/>
  <c r="M494" i="3"/>
  <c r="O493" i="3"/>
  <c r="O494" i="3"/>
  <c r="M475" i="3"/>
  <c r="M476" i="3"/>
  <c r="O457" i="3"/>
  <c r="O458" i="3"/>
  <c r="M457" i="3"/>
  <c r="M421" i="3"/>
  <c r="M422" i="3"/>
  <c r="O403" i="3"/>
  <c r="O404" i="3"/>
  <c r="M386" i="3"/>
  <c r="O367" i="3"/>
  <c r="M367" i="3"/>
  <c r="M368" i="3"/>
  <c r="O368" i="3"/>
  <c r="M349" i="3"/>
  <c r="O349" i="3"/>
  <c r="M331" i="3"/>
  <c r="M332" i="3"/>
  <c r="O331" i="3"/>
  <c r="O313" i="3"/>
  <c r="M313" i="3"/>
  <c r="O278" i="3"/>
  <c r="M277" i="3"/>
  <c r="M278" i="3"/>
  <c r="O277" i="3"/>
  <c r="M259" i="3"/>
  <c r="O241" i="3"/>
  <c r="M224" i="3"/>
  <c r="O205" i="3"/>
  <c r="M205" i="3"/>
  <c r="O206" i="3"/>
  <c r="O187" i="3"/>
  <c r="O188" i="3"/>
  <c r="M187" i="3"/>
  <c r="O169" i="3"/>
  <c r="O170" i="3"/>
  <c r="O151" i="3"/>
  <c r="M151" i="3"/>
  <c r="M152" i="3"/>
  <c r="M133" i="3"/>
  <c r="M134" i="3"/>
  <c r="O133" i="3"/>
  <c r="M115" i="3"/>
  <c r="O97" i="3"/>
  <c r="O98" i="3"/>
  <c r="M98" i="3"/>
  <c r="M79" i="3"/>
  <c r="M80" i="3"/>
  <c r="O80" i="3"/>
  <c r="O61" i="3"/>
  <c r="M62" i="3"/>
  <c r="O43" i="3"/>
  <c r="M43" i="3"/>
  <c r="M44" i="3"/>
  <c r="O25" i="3"/>
  <c r="O7" i="3"/>
  <c r="M7" i="3"/>
  <c r="M8" i="3"/>
  <c r="O8" i="3"/>
  <c r="M681" i="3"/>
  <c r="M573" i="3"/>
  <c r="M393" i="3"/>
  <c r="M250" i="3"/>
  <c r="O476" i="3"/>
  <c r="O429" i="3"/>
  <c r="O321" i="3"/>
  <c r="O260" i="3"/>
  <c r="O160" i="3"/>
  <c r="O108" i="3"/>
  <c r="O56" i="3"/>
  <c r="M1170" i="3"/>
  <c r="M1124" i="3"/>
  <c r="M988" i="3"/>
  <c r="M898" i="3"/>
  <c r="O1133" i="3"/>
  <c r="O991" i="3"/>
  <c r="O920" i="3"/>
  <c r="O763" i="3"/>
  <c r="M1248" i="3"/>
  <c r="O1248" i="3"/>
  <c r="M1230" i="3"/>
  <c r="M1212" i="3"/>
  <c r="O1194" i="3"/>
  <c r="M1194" i="3"/>
  <c r="M1176" i="3"/>
  <c r="O1176" i="3"/>
  <c r="O1158" i="3"/>
  <c r="O1140" i="3"/>
  <c r="M1140" i="3"/>
  <c r="M1122" i="3"/>
  <c r="O1122" i="3"/>
  <c r="O1104" i="3"/>
  <c r="M1086" i="3"/>
  <c r="O1068" i="3"/>
  <c r="M1050" i="3"/>
  <c r="O1032" i="3"/>
  <c r="O1014" i="3"/>
  <c r="O996" i="3"/>
  <c r="M996" i="3"/>
  <c r="M978" i="3"/>
  <c r="O978" i="3"/>
  <c r="O960" i="3"/>
  <c r="M960" i="3"/>
  <c r="O942" i="3"/>
  <c r="M924" i="3"/>
  <c r="O924" i="3"/>
  <c r="O906" i="3"/>
  <c r="M906" i="3"/>
  <c r="M888" i="3"/>
  <c r="O870" i="3"/>
  <c r="M852" i="3"/>
  <c r="O852" i="3"/>
  <c r="M834" i="3"/>
  <c r="O816" i="3"/>
  <c r="M816" i="3"/>
  <c r="M798" i="3"/>
  <c r="M780" i="3"/>
  <c r="O780" i="3"/>
  <c r="M762" i="3"/>
  <c r="O762" i="3"/>
  <c r="M744" i="3"/>
  <c r="O744" i="3"/>
  <c r="M726" i="3"/>
  <c r="M708" i="3"/>
  <c r="M690" i="3"/>
  <c r="M672" i="3"/>
  <c r="O672" i="3"/>
  <c r="O654" i="3"/>
  <c r="M654" i="3"/>
  <c r="O618" i="3"/>
  <c r="M618" i="3"/>
  <c r="M600" i="3"/>
  <c r="O582" i="3"/>
  <c r="O546" i="3"/>
  <c r="O528" i="3"/>
  <c r="O510" i="3"/>
  <c r="M510" i="3"/>
  <c r="O420" i="3"/>
  <c r="O348" i="3"/>
  <c r="M348" i="3"/>
  <c r="M330" i="3"/>
  <c r="O330" i="3"/>
  <c r="O312" i="3"/>
  <c r="M294" i="3"/>
  <c r="O276" i="3"/>
  <c r="O240" i="3"/>
  <c r="M222" i="3"/>
  <c r="O222" i="3"/>
  <c r="M204" i="3"/>
  <c r="O204" i="3"/>
  <c r="O186" i="3"/>
  <c r="M186" i="3"/>
  <c r="O168" i="3"/>
  <c r="M150" i="3"/>
  <c r="O150" i="3"/>
  <c r="M132" i="3"/>
  <c r="O132" i="3"/>
  <c r="M114" i="3"/>
  <c r="O114" i="3"/>
  <c r="O96" i="3"/>
  <c r="O60" i="3"/>
  <c r="M60" i="3"/>
  <c r="M42" i="3"/>
  <c r="O42" i="3"/>
  <c r="O24" i="3"/>
  <c r="M680" i="3"/>
  <c r="M493" i="3"/>
  <c r="M249" i="3"/>
  <c r="M170" i="3"/>
  <c r="M55" i="3"/>
  <c r="O612" i="3"/>
  <c r="O475" i="3"/>
  <c r="O366" i="3"/>
  <c r="O314" i="3"/>
  <c r="O259" i="3"/>
  <c r="O107" i="3"/>
  <c r="O54" i="3"/>
  <c r="M1169" i="3"/>
  <c r="M986" i="3"/>
  <c r="M942" i="3"/>
  <c r="M746" i="3"/>
  <c r="O1130" i="3"/>
  <c r="O1051" i="3"/>
  <c r="O989" i="3"/>
  <c r="O835" i="3"/>
  <c r="M638" i="3"/>
  <c r="M492" i="3"/>
  <c r="M420" i="3"/>
  <c r="M314" i="3"/>
  <c r="M206" i="3"/>
  <c r="M169" i="3"/>
  <c r="M51" i="3"/>
  <c r="M19" i="3"/>
  <c r="O611" i="3"/>
  <c r="O474" i="3"/>
  <c r="O422" i="3"/>
  <c r="O258" i="3"/>
  <c r="O106" i="3"/>
  <c r="O53" i="3"/>
  <c r="M1070" i="3"/>
  <c r="M1025" i="3"/>
  <c r="M890" i="3"/>
  <c r="M845" i="3"/>
  <c r="M794" i="3"/>
  <c r="O1189" i="3"/>
  <c r="O986" i="3"/>
  <c r="O834" i="3"/>
  <c r="O1204" i="3"/>
  <c r="O1132" i="3"/>
  <c r="O1060" i="3"/>
  <c r="M637" i="3"/>
  <c r="M565" i="3"/>
  <c r="M528" i="3"/>
  <c r="M458" i="3"/>
  <c r="M385" i="3"/>
  <c r="M350" i="3"/>
  <c r="M312" i="3"/>
  <c r="M276" i="3"/>
  <c r="M168" i="3"/>
  <c r="M128" i="3"/>
  <c r="M50" i="3"/>
  <c r="M17" i="3"/>
  <c r="O647" i="3"/>
  <c r="O609" i="3"/>
  <c r="O564" i="3"/>
  <c r="O518" i="3"/>
  <c r="O421" i="3"/>
  <c r="O152" i="3"/>
  <c r="O105" i="3"/>
  <c r="M1208" i="3"/>
  <c r="M1118" i="3"/>
  <c r="M1068" i="3"/>
  <c r="M889" i="3"/>
  <c r="M843" i="3"/>
  <c r="M791" i="3"/>
  <c r="M692" i="3"/>
  <c r="O1187" i="3"/>
  <c r="O1045" i="3"/>
  <c r="O898" i="3"/>
  <c r="O829" i="3"/>
  <c r="M636" i="3"/>
  <c r="M564" i="3"/>
  <c r="M456" i="3"/>
  <c r="M384" i="3"/>
  <c r="M242" i="3"/>
  <c r="M124" i="3"/>
  <c r="M88" i="3"/>
  <c r="M14" i="3"/>
  <c r="O645" i="3"/>
  <c r="O608" i="3"/>
  <c r="O466" i="3"/>
  <c r="O305" i="3"/>
  <c r="O44" i="3"/>
  <c r="M1203" i="3"/>
  <c r="M1160" i="3"/>
  <c r="M1115" i="3"/>
  <c r="M938" i="3"/>
  <c r="M788" i="3"/>
  <c r="M734" i="3"/>
  <c r="O1186" i="3"/>
  <c r="O1115" i="3"/>
  <c r="O1043" i="3"/>
  <c r="O973" i="3"/>
  <c r="O896" i="3"/>
  <c r="O825" i="3"/>
  <c r="M1244" i="3"/>
  <c r="M659" i="3"/>
  <c r="M515" i="3"/>
  <c r="O593" i="3"/>
  <c r="O521" i="3"/>
  <c r="O467" i="3"/>
  <c r="O413" i="3"/>
  <c r="O17" i="3"/>
  <c r="M1234" i="3"/>
  <c r="M1217" i="3"/>
  <c r="O1198" i="3"/>
  <c r="O1199" i="3"/>
  <c r="M1180" i="3"/>
  <c r="M1162" i="3"/>
  <c r="M1163" i="3"/>
  <c r="M1145" i="3"/>
  <c r="M1144" i="3"/>
  <c r="M1126" i="3"/>
  <c r="M1127" i="3"/>
  <c r="M1109" i="3"/>
  <c r="M1072" i="3"/>
  <c r="M1073" i="3"/>
  <c r="M1055" i="3"/>
  <c r="O1054" i="3"/>
  <c r="O1055" i="3"/>
  <c r="M1036" i="3"/>
  <c r="M1037" i="3"/>
  <c r="O1019" i="3"/>
  <c r="M1001" i="3"/>
  <c r="M1000" i="3"/>
  <c r="M947" i="3"/>
  <c r="M946" i="3"/>
  <c r="M928" i="3"/>
  <c r="M911" i="3"/>
  <c r="M910" i="3"/>
  <c r="M892" i="3"/>
  <c r="M893" i="3"/>
  <c r="M874" i="3"/>
  <c r="M875" i="3"/>
  <c r="M838" i="3"/>
  <c r="O838" i="3"/>
  <c r="M839" i="3"/>
  <c r="O839" i="3"/>
  <c r="M821" i="3"/>
  <c r="M802" i="3"/>
  <c r="M784" i="3"/>
  <c r="M785" i="3"/>
  <c r="M766" i="3"/>
  <c r="M767" i="3"/>
  <c r="M748" i="3"/>
  <c r="O749" i="3"/>
  <c r="M731" i="3"/>
  <c r="O730" i="3"/>
  <c r="M695" i="3"/>
  <c r="M677" i="3"/>
  <c r="M622" i="3"/>
  <c r="M587" i="3"/>
  <c r="M586" i="3"/>
  <c r="M568" i="3"/>
  <c r="M569" i="3"/>
  <c r="M533" i="3"/>
  <c r="O496" i="3"/>
  <c r="M443" i="3"/>
  <c r="M425" i="3"/>
  <c r="M406" i="3"/>
  <c r="M407" i="3"/>
  <c r="M388" i="3"/>
  <c r="M389" i="3"/>
  <c r="O316" i="3"/>
  <c r="M316" i="3"/>
  <c r="M298" i="3"/>
  <c r="M299" i="3"/>
  <c r="M263" i="3"/>
  <c r="M244" i="3"/>
  <c r="M245" i="3"/>
  <c r="M209" i="3"/>
  <c r="M173" i="3"/>
  <c r="M154" i="3"/>
  <c r="M155" i="3"/>
  <c r="O118" i="3"/>
  <c r="M101" i="3"/>
  <c r="O101" i="3"/>
  <c r="M83" i="3"/>
  <c r="M64" i="3"/>
  <c r="O65" i="3"/>
  <c r="O10" i="3"/>
  <c r="O11" i="3"/>
  <c r="M371" i="3"/>
  <c r="M227" i="3"/>
  <c r="M100" i="3"/>
  <c r="M11" i="3"/>
  <c r="O461" i="3"/>
  <c r="O389" i="3"/>
  <c r="O352" i="3"/>
  <c r="O280" i="3"/>
  <c r="O244" i="3"/>
  <c r="O172" i="3"/>
  <c r="O1127" i="3"/>
  <c r="O982" i="3"/>
  <c r="O875" i="3"/>
  <c r="M1440" i="3"/>
  <c r="M1233" i="3"/>
  <c r="M1197" i="3"/>
  <c r="O1197" i="3"/>
  <c r="M1179" i="3"/>
  <c r="O1125" i="3"/>
  <c r="M1107" i="3"/>
  <c r="M1089" i="3"/>
  <c r="O1053" i="3"/>
  <c r="M1035" i="3"/>
  <c r="M1017" i="3"/>
  <c r="M999" i="3"/>
  <c r="M981" i="3"/>
  <c r="M945" i="3"/>
  <c r="M927" i="3"/>
  <c r="M891" i="3"/>
  <c r="M873" i="3"/>
  <c r="O873" i="3"/>
  <c r="M855" i="3"/>
  <c r="O837" i="3"/>
  <c r="M819" i="3"/>
  <c r="M801" i="3"/>
  <c r="M783" i="3"/>
  <c r="M424" i="3"/>
  <c r="M370" i="3"/>
  <c r="M226" i="3"/>
  <c r="M10" i="3"/>
  <c r="O659" i="3"/>
  <c r="O460" i="3"/>
  <c r="O388" i="3"/>
  <c r="M1108" i="3"/>
  <c r="M1071" i="3"/>
  <c r="M965" i="3"/>
  <c r="O766" i="3"/>
  <c r="O1202" i="3"/>
  <c r="O878" i="3"/>
  <c r="M1229" i="3"/>
  <c r="O1229" i="3"/>
  <c r="M1211" i="3"/>
  <c r="O1211" i="3"/>
  <c r="M1193" i="3"/>
  <c r="O1193" i="3"/>
  <c r="M1175" i="3"/>
  <c r="O1175" i="3"/>
  <c r="M1157" i="3"/>
  <c r="O1157" i="3"/>
  <c r="M1139" i="3"/>
  <c r="O1139" i="3"/>
  <c r="M1121" i="3"/>
  <c r="O1121" i="3"/>
  <c r="M1103" i="3"/>
  <c r="M1085" i="3"/>
  <c r="M1067" i="3"/>
  <c r="O1067" i="3"/>
  <c r="M1049" i="3"/>
  <c r="O1049" i="3"/>
  <c r="M1031" i="3"/>
  <c r="O1031" i="3"/>
  <c r="M1013" i="3"/>
  <c r="O1013" i="3"/>
  <c r="M995" i="3"/>
  <c r="O995" i="3"/>
  <c r="M977" i="3"/>
  <c r="O977" i="3"/>
  <c r="M959" i="3"/>
  <c r="M941" i="3"/>
  <c r="O941" i="3"/>
  <c r="M923" i="3"/>
  <c r="M905" i="3"/>
  <c r="M887" i="3"/>
  <c r="O887" i="3"/>
  <c r="M869" i="3"/>
  <c r="O869" i="3"/>
  <c r="M851" i="3"/>
  <c r="M833" i="3"/>
  <c r="O833" i="3"/>
  <c r="M815" i="3"/>
  <c r="M797" i="3"/>
  <c r="M779" i="3"/>
  <c r="O779" i="3"/>
  <c r="M761" i="3"/>
  <c r="O761" i="3"/>
  <c r="M743" i="3"/>
  <c r="O743" i="3"/>
  <c r="M725" i="3"/>
  <c r="O725" i="3"/>
  <c r="M707" i="3"/>
  <c r="O707" i="3"/>
  <c r="M689" i="3"/>
  <c r="O689" i="3"/>
  <c r="M671" i="3"/>
  <c r="O653" i="3"/>
  <c r="M653" i="3"/>
  <c r="M635" i="3"/>
  <c r="O581" i="3"/>
  <c r="M563" i="3"/>
  <c r="O545" i="3"/>
  <c r="M545" i="3"/>
  <c r="M509" i="3"/>
  <c r="O491" i="3"/>
  <c r="M491" i="3"/>
  <c r="O473" i="3"/>
  <c r="M455" i="3"/>
  <c r="O419" i="3"/>
  <c r="O401" i="3"/>
  <c r="O383" i="3"/>
  <c r="M383" i="3"/>
  <c r="M365" i="3"/>
  <c r="O329" i="3"/>
  <c r="M329" i="3"/>
  <c r="M311" i="3"/>
  <c r="O275" i="3"/>
  <c r="M257" i="3"/>
  <c r="O239" i="3"/>
  <c r="O221" i="3"/>
  <c r="M221" i="3"/>
  <c r="M185" i="3"/>
  <c r="O167" i="3"/>
  <c r="M149" i="3"/>
  <c r="M113" i="3"/>
  <c r="O59" i="3"/>
  <c r="O23" i="3"/>
  <c r="P23" i="3" s="1"/>
  <c r="P24" i="3" s="1"/>
  <c r="P25" i="3" s="1"/>
  <c r="P26" i="3" s="1"/>
  <c r="P27" i="3" s="1"/>
  <c r="P28" i="3" s="1"/>
  <c r="P29" i="3" s="1"/>
  <c r="P30" i="3" s="1"/>
  <c r="P31" i="3" s="1"/>
  <c r="P32" i="3" s="1"/>
  <c r="P33" i="3" s="1"/>
  <c r="P34" i="3" s="1"/>
  <c r="P35" i="3" s="1"/>
  <c r="P36" i="3" s="1"/>
  <c r="P37" i="3" s="1"/>
  <c r="P38" i="3" s="1"/>
  <c r="P39" i="3" s="1"/>
  <c r="P40" i="3" s="1"/>
  <c r="P41" i="3" s="1"/>
  <c r="O5" i="3"/>
  <c r="M473" i="3"/>
  <c r="M334" i="3"/>
  <c r="M275" i="3"/>
  <c r="O587" i="3"/>
  <c r="O551" i="3"/>
  <c r="M1216" i="3"/>
  <c r="O959" i="3"/>
  <c r="O911" i="3"/>
  <c r="O1234" i="3"/>
  <c r="O1090" i="3"/>
  <c r="O946" i="3"/>
  <c r="O910" i="3"/>
  <c r="O226" i="3"/>
  <c r="O136" i="3"/>
  <c r="O46" i="3"/>
  <c r="M676" i="3"/>
  <c r="M617" i="3"/>
  <c r="M532" i="3"/>
  <c r="M59" i="3"/>
  <c r="M29" i="3"/>
  <c r="O617" i="3"/>
  <c r="O586" i="3"/>
  <c r="O550" i="3"/>
  <c r="M1215" i="3"/>
  <c r="O909" i="3"/>
  <c r="O803" i="3"/>
  <c r="M442" i="3"/>
  <c r="M119" i="3"/>
  <c r="M28" i="3"/>
  <c r="O515" i="3"/>
  <c r="O335" i="3"/>
  <c r="O298" i="3"/>
  <c r="O263" i="3"/>
  <c r="O155" i="3"/>
  <c r="M803" i="3"/>
  <c r="M765" i="3"/>
  <c r="O857" i="3"/>
  <c r="O801" i="3"/>
  <c r="O818" i="3"/>
  <c r="O782" i="3"/>
  <c r="O710" i="3"/>
  <c r="O674" i="3"/>
  <c r="O350" i="3"/>
  <c r="O296" i="3"/>
  <c r="O242" i="3"/>
  <c r="M1183" i="3"/>
  <c r="M1147" i="3"/>
  <c r="M1111" i="3"/>
  <c r="M1057" i="3"/>
  <c r="M967" i="3"/>
  <c r="M895" i="3"/>
  <c r="M859" i="3"/>
  <c r="M841" i="3"/>
  <c r="M823" i="3"/>
  <c r="M805" i="3"/>
  <c r="M769" i="3"/>
  <c r="M733" i="3"/>
  <c r="M715" i="3"/>
  <c r="M697" i="3"/>
  <c r="M625" i="3"/>
  <c r="M463" i="3"/>
  <c r="M445" i="3"/>
  <c r="M301" i="3"/>
  <c r="M175" i="3"/>
  <c r="M103" i="3"/>
  <c r="M13" i="3"/>
  <c r="M499" i="3"/>
  <c r="M139" i="3"/>
  <c r="O459" i="3"/>
  <c r="M1219" i="3"/>
  <c r="M985" i="3"/>
  <c r="M1237" i="3"/>
  <c r="O1207" i="3"/>
  <c r="O1153" i="3"/>
  <c r="O1117" i="3"/>
  <c r="O955" i="3"/>
  <c r="O793" i="3"/>
  <c r="O757" i="3"/>
  <c r="O703" i="3"/>
  <c r="O685" i="3"/>
  <c r="O613" i="3"/>
  <c r="O523" i="3"/>
  <c r="O505" i="3"/>
  <c r="O487" i="3"/>
  <c r="O469" i="3"/>
  <c r="O451" i="3"/>
  <c r="O433" i="3"/>
  <c r="O415" i="3"/>
  <c r="O397" i="3"/>
  <c r="O379" i="3"/>
  <c r="O361" i="3"/>
  <c r="O343" i="3"/>
  <c r="O325" i="3"/>
  <c r="O307" i="3"/>
  <c r="O289" i="3"/>
  <c r="O271" i="3"/>
  <c r="O253" i="3"/>
  <c r="O235" i="3"/>
  <c r="O217" i="3"/>
  <c r="O199" i="3"/>
  <c r="O181" i="3"/>
  <c r="O163" i="3"/>
  <c r="O145" i="3"/>
  <c r="O127" i="3"/>
  <c r="O109" i="3"/>
  <c r="O91" i="3"/>
  <c r="O73" i="3"/>
  <c r="O55" i="3"/>
  <c r="O37" i="3"/>
  <c r="O19" i="3"/>
  <c r="M319" i="3"/>
  <c r="M67" i="3"/>
  <c r="M931" i="3"/>
  <c r="O1242" i="3"/>
  <c r="O1224" i="3"/>
  <c r="O1206" i="3"/>
  <c r="O1188" i="3"/>
  <c r="O1170" i="3"/>
  <c r="O1152" i="3"/>
  <c r="O1134" i="3"/>
  <c r="O1116" i="3"/>
  <c r="O1098" i="3"/>
  <c r="O1080" i="3"/>
  <c r="O1062" i="3"/>
  <c r="O1044" i="3"/>
  <c r="O1026" i="3"/>
  <c r="O1008" i="3"/>
  <c r="O990" i="3"/>
  <c r="O972" i="3"/>
  <c r="O954" i="3"/>
  <c r="O936" i="3"/>
  <c r="O918" i="3"/>
  <c r="O900" i="3"/>
  <c r="O882" i="3"/>
  <c r="O864" i="3"/>
  <c r="O846" i="3"/>
  <c r="O828" i="3"/>
  <c r="O810" i="3"/>
  <c r="O792" i="3"/>
  <c r="O774" i="3"/>
  <c r="O756" i="3"/>
  <c r="O738" i="3"/>
  <c r="O720" i="3"/>
  <c r="O702" i="3"/>
  <c r="O684" i="3"/>
  <c r="O594" i="3"/>
  <c r="O468" i="3"/>
  <c r="O414" i="3"/>
  <c r="O360" i="3"/>
  <c r="O306" i="3"/>
  <c r="O252" i="3"/>
  <c r="O90" i="3"/>
  <c r="O18" i="3"/>
  <c r="M675" i="3"/>
  <c r="M657" i="3"/>
  <c r="M639" i="3"/>
  <c r="M621" i="3"/>
  <c r="M603" i="3"/>
  <c r="M585" i="3"/>
  <c r="M567" i="3"/>
  <c r="M549" i="3"/>
  <c r="M531" i="3"/>
  <c r="M513" i="3"/>
  <c r="M495" i="3"/>
  <c r="M477" i="3"/>
  <c r="M441" i="3"/>
  <c r="M423" i="3"/>
  <c r="M405" i="3"/>
  <c r="M387" i="3"/>
  <c r="M369" i="3"/>
  <c r="M351" i="3"/>
  <c r="M333" i="3"/>
  <c r="M315" i="3"/>
  <c r="M297" i="3"/>
  <c r="M279" i="3"/>
  <c r="M261" i="3"/>
  <c r="M243" i="3"/>
  <c r="M225" i="3"/>
  <c r="M207" i="3"/>
  <c r="M189" i="3"/>
  <c r="M171" i="3"/>
  <c r="M153" i="3"/>
  <c r="M135" i="3"/>
  <c r="M117" i="3"/>
  <c r="M99" i="3"/>
  <c r="M81" i="3"/>
  <c r="M63" i="3"/>
  <c r="M27" i="3"/>
  <c r="M9" i="3"/>
  <c r="M517" i="3"/>
  <c r="M229" i="3"/>
  <c r="O351" i="3"/>
  <c r="O171" i="3"/>
  <c r="O693" i="3"/>
  <c r="O1185" i="3"/>
  <c r="O1077" i="3"/>
  <c r="O1217" i="3"/>
  <c r="O1163" i="3"/>
  <c r="O1145" i="3"/>
  <c r="O1073" i="3"/>
  <c r="O983" i="3"/>
  <c r="O965" i="3"/>
  <c r="O929" i="3"/>
  <c r="O821" i="3"/>
  <c r="O767" i="3"/>
  <c r="O713" i="3"/>
  <c r="O623" i="3"/>
  <c r="O533" i="3"/>
  <c r="O443" i="3"/>
  <c r="O425" i="3"/>
  <c r="O371" i="3"/>
  <c r="O317" i="3"/>
  <c r="O281" i="3"/>
  <c r="O119" i="3"/>
  <c r="O83" i="3"/>
  <c r="M643" i="3"/>
  <c r="M355" i="3"/>
  <c r="M31" i="3"/>
  <c r="O369" i="3"/>
  <c r="M1129" i="3"/>
  <c r="O1216" i="3"/>
  <c r="O1180" i="3"/>
  <c r="O1144" i="3"/>
  <c r="O1126" i="3"/>
  <c r="O1108" i="3"/>
  <c r="O1072" i="3"/>
  <c r="O1036" i="3"/>
  <c r="O1000" i="3"/>
  <c r="O964" i="3"/>
  <c r="O928" i="3"/>
  <c r="O892" i="3"/>
  <c r="O874" i="3"/>
  <c r="O856" i="3"/>
  <c r="O820" i="3"/>
  <c r="O802" i="3"/>
  <c r="O784" i="3"/>
  <c r="O748" i="3"/>
  <c r="O532" i="3"/>
  <c r="O478" i="3"/>
  <c r="O424" i="3"/>
  <c r="O262" i="3"/>
  <c r="O190" i="3"/>
  <c r="O100" i="3"/>
  <c r="O82" i="3"/>
  <c r="O28" i="3"/>
  <c r="O495" i="3"/>
  <c r="O315" i="3"/>
  <c r="O9" i="3"/>
  <c r="M1021" i="3"/>
  <c r="M751" i="3"/>
  <c r="O1440" i="3"/>
  <c r="O1107" i="3"/>
  <c r="O1089" i="3"/>
  <c r="O1035" i="3"/>
  <c r="O999" i="3"/>
  <c r="O981" i="3"/>
  <c r="O963" i="3"/>
  <c r="O945" i="3"/>
  <c r="O927" i="3"/>
  <c r="O891" i="3"/>
  <c r="O855" i="3"/>
  <c r="O819" i="3"/>
  <c r="O783" i="3"/>
  <c r="O747" i="3"/>
  <c r="O711" i="3"/>
  <c r="O675" i="3"/>
  <c r="O603" i="3"/>
  <c r="O405" i="3"/>
  <c r="O297" i="3"/>
  <c r="O243" i="3"/>
  <c r="O189" i="3"/>
  <c r="O135" i="3"/>
  <c r="O81" i="3"/>
  <c r="O1250" i="3"/>
  <c r="O1196" i="3"/>
  <c r="O1142" i="3"/>
  <c r="O1088" i="3"/>
  <c r="O926" i="3"/>
  <c r="O764" i="3"/>
  <c r="O746" i="3"/>
  <c r="O692" i="3"/>
  <c r="O386" i="3"/>
  <c r="O224" i="3"/>
  <c r="O62" i="3"/>
  <c r="M1164" i="3"/>
  <c r="M1056" i="3"/>
  <c r="M840" i="3"/>
  <c r="M606" i="3"/>
  <c r="M282" i="3"/>
  <c r="M1200" i="3"/>
  <c r="M768" i="3"/>
  <c r="O1249" i="3"/>
  <c r="O1097" i="3"/>
  <c r="O935" i="3"/>
  <c r="O917" i="3"/>
  <c r="O863" i="3"/>
  <c r="O809" i="3"/>
  <c r="O773" i="3"/>
  <c r="O395" i="3"/>
  <c r="O233" i="3"/>
  <c r="O71" i="3"/>
  <c r="M444" i="3"/>
  <c r="M174" i="3"/>
  <c r="M12" i="3"/>
  <c r="M966" i="3"/>
  <c r="M732" i="3"/>
  <c r="O1240" i="3"/>
  <c r="O1078" i="3"/>
  <c r="O1024" i="3"/>
  <c r="O970" i="3"/>
  <c r="O916" i="3"/>
  <c r="O754" i="3"/>
  <c r="O682" i="3"/>
  <c r="O664" i="3"/>
  <c r="O646" i="3"/>
  <c r="O628" i="3"/>
  <c r="O610" i="3"/>
  <c r="O592" i="3"/>
  <c r="O574" i="3"/>
  <c r="O556" i="3"/>
  <c r="O538" i="3"/>
  <c r="O376" i="3"/>
  <c r="O214" i="3"/>
  <c r="O52" i="3"/>
  <c r="O1221" i="3"/>
  <c r="O1059" i="3"/>
  <c r="O897" i="3"/>
  <c r="O735" i="3"/>
  <c r="O1212" i="3"/>
  <c r="O1050" i="3"/>
  <c r="O888" i="3"/>
  <c r="O726" i="3"/>
  <c r="N485" i="3" l="1"/>
  <c r="N486" i="3" s="1"/>
  <c r="N487" i="3" s="1"/>
  <c r="N488" i="3" s="1"/>
  <c r="N489" i="3" s="1"/>
  <c r="N490" i="3" s="1"/>
  <c r="N491" i="3" s="1"/>
  <c r="N492" i="3" s="1"/>
  <c r="N493" i="3" s="1"/>
  <c r="N494" i="3" s="1"/>
  <c r="N495" i="3" s="1"/>
  <c r="N496" i="3" s="1"/>
  <c r="N497" i="3" s="1"/>
  <c r="N498" i="3" s="1"/>
  <c r="N499" i="3" s="1"/>
  <c r="N500" i="3" s="1"/>
  <c r="N501" i="3" s="1"/>
  <c r="N502" i="3" s="1"/>
  <c r="N503" i="3" s="1"/>
  <c r="N504" i="3" s="1"/>
  <c r="N505" i="3" s="1"/>
  <c r="N506" i="3" s="1"/>
  <c r="N507" i="3" s="1"/>
  <c r="N508" i="3" s="1"/>
  <c r="N509" i="3" s="1"/>
  <c r="N510" i="3" s="1"/>
  <c r="N511" i="3" s="1"/>
  <c r="N512" i="3" s="1"/>
  <c r="N513" i="3" s="1"/>
  <c r="N514" i="3" s="1"/>
  <c r="N515" i="3" s="1"/>
  <c r="N516" i="3" s="1"/>
  <c r="N517" i="3" s="1"/>
  <c r="N518" i="3" s="1"/>
  <c r="N519" i="3" s="1"/>
  <c r="N520" i="3" s="1"/>
  <c r="N521" i="3" s="1"/>
  <c r="N522" i="3" s="1"/>
  <c r="N523" i="3" s="1"/>
  <c r="N524" i="3" s="1"/>
  <c r="N525" i="3" s="1"/>
  <c r="N526" i="3" s="1"/>
  <c r="N527" i="3" s="1"/>
  <c r="N528" i="3" s="1"/>
  <c r="N529" i="3" s="1"/>
  <c r="N530" i="3" s="1"/>
  <c r="N531" i="3" s="1"/>
  <c r="N532" i="3" s="1"/>
  <c r="N533" i="3" s="1"/>
  <c r="N534" i="3" s="1"/>
  <c r="N535" i="3" s="1"/>
  <c r="N536" i="3" s="1"/>
  <c r="N537" i="3" s="1"/>
  <c r="N538" i="3" s="1"/>
  <c r="N539" i="3" s="1"/>
  <c r="N540" i="3" s="1"/>
  <c r="N541" i="3" s="1"/>
  <c r="N542" i="3" s="1"/>
  <c r="N543" i="3" s="1"/>
  <c r="N544" i="3" s="1"/>
  <c r="N545" i="3" s="1"/>
  <c r="N546" i="3" s="1"/>
  <c r="N547" i="3" s="1"/>
  <c r="N548" i="3" s="1"/>
  <c r="N549" i="3" s="1"/>
  <c r="N550" i="3" s="1"/>
  <c r="N551" i="3" s="1"/>
  <c r="N552" i="3" s="1"/>
  <c r="N553" i="3" s="1"/>
  <c r="N554" i="3" s="1"/>
  <c r="N555" i="3" s="1"/>
  <c r="N556" i="3" s="1"/>
  <c r="N557" i="3" s="1"/>
  <c r="N558" i="3" s="1"/>
  <c r="N559" i="3" s="1"/>
  <c r="N560" i="3" s="1"/>
  <c r="N561" i="3" s="1"/>
  <c r="N562" i="3" s="1"/>
  <c r="N563" i="3" s="1"/>
  <c r="N564" i="3" s="1"/>
  <c r="N565" i="3" s="1"/>
  <c r="N566" i="3" s="1"/>
  <c r="N567" i="3" s="1"/>
  <c r="N568" i="3" s="1"/>
  <c r="N569" i="3" s="1"/>
  <c r="N570" i="3" s="1"/>
  <c r="N571" i="3" s="1"/>
  <c r="N572" i="3" s="1"/>
  <c r="N573" i="3" s="1"/>
  <c r="N574" i="3" s="1"/>
  <c r="N575" i="3" s="1"/>
  <c r="N576" i="3" s="1"/>
  <c r="N577" i="3" s="1"/>
  <c r="N578" i="3" s="1"/>
  <c r="N579" i="3" s="1"/>
  <c r="N580" i="3" s="1"/>
  <c r="N581" i="3" s="1"/>
  <c r="N582" i="3" s="1"/>
  <c r="N583" i="3" s="1"/>
  <c r="N584" i="3" s="1"/>
  <c r="N585" i="3" s="1"/>
  <c r="N586" i="3" s="1"/>
  <c r="N587" i="3" s="1"/>
  <c r="N588" i="3" s="1"/>
  <c r="N589" i="3" s="1"/>
  <c r="N590" i="3" s="1"/>
  <c r="N591" i="3" s="1"/>
  <c r="N592" i="3" s="1"/>
  <c r="N593" i="3" s="1"/>
  <c r="N594" i="3" s="1"/>
  <c r="N595" i="3" s="1"/>
  <c r="N596" i="3" s="1"/>
  <c r="N597" i="3" s="1"/>
  <c r="N598" i="3" s="1"/>
  <c r="N599" i="3" s="1"/>
  <c r="N600" i="3" s="1"/>
  <c r="N601" i="3" s="1"/>
  <c r="N602" i="3" s="1"/>
  <c r="N603" i="3" s="1"/>
  <c r="N604" i="3" s="1"/>
  <c r="N605" i="3" s="1"/>
  <c r="N606" i="3" s="1"/>
  <c r="N607" i="3" s="1"/>
  <c r="N608" i="3" s="1"/>
  <c r="N609" i="3" s="1"/>
  <c r="N610" i="3" s="1"/>
  <c r="N611" i="3" s="1"/>
  <c r="N612" i="3" s="1"/>
  <c r="N613" i="3" s="1"/>
  <c r="N614" i="3" s="1"/>
  <c r="N615" i="3" s="1"/>
  <c r="N616" i="3" s="1"/>
  <c r="N617" i="3" s="1"/>
  <c r="N618" i="3" s="1"/>
  <c r="N619" i="3" s="1"/>
  <c r="N620" i="3" s="1"/>
  <c r="N621" i="3" s="1"/>
  <c r="N622" i="3" s="1"/>
  <c r="N623" i="3" s="1"/>
  <c r="N624" i="3" s="1"/>
  <c r="N625" i="3" s="1"/>
  <c r="N626" i="3" s="1"/>
  <c r="N627" i="3" s="1"/>
  <c r="N628" i="3" s="1"/>
  <c r="N629" i="3" s="1"/>
  <c r="N630" i="3" s="1"/>
  <c r="N631" i="3" s="1"/>
  <c r="N632" i="3" s="1"/>
  <c r="N633" i="3" s="1"/>
  <c r="N634" i="3" s="1"/>
  <c r="N635" i="3" s="1"/>
  <c r="N636" i="3" s="1"/>
  <c r="N637" i="3" s="1"/>
  <c r="N638" i="3" s="1"/>
  <c r="N639" i="3" s="1"/>
  <c r="N640" i="3" s="1"/>
  <c r="N641" i="3" s="1"/>
  <c r="N642" i="3" s="1"/>
  <c r="N643" i="3" s="1"/>
  <c r="N644" i="3" s="1"/>
  <c r="N645" i="3" s="1"/>
  <c r="N646" i="3" s="1"/>
  <c r="N647" i="3" s="1"/>
  <c r="N648" i="3" s="1"/>
  <c r="N649" i="3" s="1"/>
  <c r="N650" i="3" s="1"/>
  <c r="N651" i="3" s="1"/>
  <c r="N652" i="3" s="1"/>
  <c r="N653" i="3" s="1"/>
  <c r="N654" i="3" s="1"/>
  <c r="N655" i="3" s="1"/>
  <c r="N656" i="3" s="1"/>
  <c r="N657" i="3" s="1"/>
  <c r="N658" i="3" s="1"/>
  <c r="N659" i="3" s="1"/>
  <c r="N660" i="3" s="1"/>
  <c r="N661" i="3" s="1"/>
  <c r="N662" i="3" s="1"/>
  <c r="N663" i="3" s="1"/>
  <c r="N664" i="3" s="1"/>
  <c r="N665" i="3" s="1"/>
  <c r="N666" i="3" s="1"/>
  <c r="N667" i="3" s="1"/>
  <c r="N668" i="3" s="1"/>
  <c r="N669" i="3" s="1"/>
  <c r="N670" i="3" s="1"/>
  <c r="N671" i="3" s="1"/>
  <c r="N672" i="3" s="1"/>
  <c r="N673" i="3" s="1"/>
  <c r="N674" i="3" s="1"/>
  <c r="N675" i="3" s="1"/>
  <c r="N676" i="3" s="1"/>
  <c r="N677" i="3" s="1"/>
  <c r="N678" i="3" s="1"/>
  <c r="N679" i="3" s="1"/>
  <c r="N680" i="3" s="1"/>
  <c r="N681" i="3" s="1"/>
  <c r="N682" i="3" s="1"/>
  <c r="N683" i="3" s="1"/>
  <c r="N684" i="3" s="1"/>
  <c r="N685" i="3" s="1"/>
  <c r="N686" i="3" s="1"/>
  <c r="N687" i="3" s="1"/>
  <c r="N688" i="3" s="1"/>
  <c r="N689" i="3" s="1"/>
  <c r="N690" i="3" s="1"/>
  <c r="N691" i="3" s="1"/>
  <c r="N692" i="3" s="1"/>
  <c r="N693" i="3" s="1"/>
  <c r="N694" i="3" s="1"/>
  <c r="N695" i="3" s="1"/>
  <c r="N696" i="3" s="1"/>
  <c r="N697" i="3" s="1"/>
  <c r="N698" i="3" s="1"/>
  <c r="N699" i="3" s="1"/>
  <c r="N700" i="3" s="1"/>
  <c r="N701" i="3" s="1"/>
  <c r="N702" i="3" s="1"/>
  <c r="N703" i="3" s="1"/>
  <c r="N704" i="3" s="1"/>
  <c r="N705" i="3" s="1"/>
  <c r="N706" i="3" s="1"/>
  <c r="N707" i="3" s="1"/>
  <c r="N708" i="3" s="1"/>
  <c r="N709" i="3" s="1"/>
  <c r="N710" i="3" s="1"/>
  <c r="N711" i="3" s="1"/>
  <c r="N712" i="3" s="1"/>
  <c r="N713" i="3" s="1"/>
  <c r="N714" i="3" s="1"/>
  <c r="N715" i="3" s="1"/>
  <c r="N716" i="3" s="1"/>
  <c r="N717" i="3" s="1"/>
  <c r="N718" i="3" s="1"/>
  <c r="N719" i="3" s="1"/>
  <c r="N720" i="3" s="1"/>
  <c r="N721" i="3" s="1"/>
  <c r="N722" i="3" s="1"/>
  <c r="N723" i="3" s="1"/>
  <c r="N724" i="3" s="1"/>
  <c r="N725" i="3" s="1"/>
  <c r="N726" i="3" s="1"/>
  <c r="N727" i="3" s="1"/>
  <c r="N728" i="3" s="1"/>
  <c r="N729" i="3" s="1"/>
  <c r="N730" i="3" s="1"/>
  <c r="N731" i="3" s="1"/>
  <c r="N732" i="3" s="1"/>
  <c r="N733" i="3" s="1"/>
  <c r="N734" i="3" s="1"/>
  <c r="N735" i="3" s="1"/>
  <c r="N736" i="3" s="1"/>
  <c r="N737" i="3" s="1"/>
  <c r="N738" i="3" s="1"/>
  <c r="N739" i="3" s="1"/>
  <c r="N740" i="3" s="1"/>
  <c r="N741" i="3" s="1"/>
  <c r="N742" i="3" s="1"/>
  <c r="N743" i="3" s="1"/>
  <c r="N744" i="3" s="1"/>
  <c r="N745" i="3" s="1"/>
  <c r="N746" i="3" s="1"/>
  <c r="N747" i="3" s="1"/>
  <c r="N748" i="3" s="1"/>
  <c r="N749" i="3" s="1"/>
  <c r="N750" i="3" s="1"/>
  <c r="N751" i="3" s="1"/>
  <c r="N752" i="3" s="1"/>
  <c r="N753" i="3" s="1"/>
  <c r="N754" i="3" s="1"/>
  <c r="N755" i="3" s="1"/>
  <c r="N756" i="3" s="1"/>
  <c r="N757" i="3" s="1"/>
  <c r="N758" i="3" s="1"/>
  <c r="N759" i="3" s="1"/>
  <c r="N760" i="3" s="1"/>
  <c r="N761" i="3" s="1"/>
  <c r="N762" i="3" s="1"/>
  <c r="N763" i="3" s="1"/>
  <c r="N764" i="3" s="1"/>
  <c r="N765" i="3" s="1"/>
  <c r="N766" i="3" s="1"/>
  <c r="N767" i="3" s="1"/>
  <c r="N768" i="3" s="1"/>
  <c r="N769" i="3" s="1"/>
  <c r="N770" i="3" s="1"/>
  <c r="N771" i="3" s="1"/>
  <c r="N772" i="3" s="1"/>
  <c r="N773" i="3" s="1"/>
  <c r="N774" i="3" s="1"/>
  <c r="N775" i="3" s="1"/>
  <c r="N776" i="3" s="1"/>
  <c r="N777" i="3" s="1"/>
  <c r="N778" i="3" s="1"/>
  <c r="N779" i="3" s="1"/>
  <c r="N780" i="3" s="1"/>
  <c r="N781" i="3" s="1"/>
  <c r="N782" i="3" s="1"/>
  <c r="N783" i="3" s="1"/>
  <c r="N784" i="3" s="1"/>
  <c r="N785" i="3" s="1"/>
  <c r="N786" i="3" s="1"/>
  <c r="N787" i="3" s="1"/>
  <c r="N788" i="3" s="1"/>
  <c r="N789" i="3" s="1"/>
  <c r="N790" i="3" s="1"/>
  <c r="N791" i="3" s="1"/>
  <c r="N792" i="3" s="1"/>
  <c r="N793" i="3" s="1"/>
  <c r="N794" i="3" s="1"/>
  <c r="N795" i="3" s="1"/>
  <c r="N796" i="3" s="1"/>
  <c r="N797" i="3" s="1"/>
  <c r="N798" i="3" s="1"/>
  <c r="N799" i="3" s="1"/>
  <c r="N800" i="3" s="1"/>
  <c r="N801" i="3" s="1"/>
  <c r="N802" i="3" s="1"/>
  <c r="N803" i="3" s="1"/>
  <c r="N804" i="3" s="1"/>
  <c r="N805" i="3" s="1"/>
  <c r="N806" i="3" s="1"/>
  <c r="N807" i="3" s="1"/>
  <c r="N808" i="3" s="1"/>
  <c r="N809" i="3" s="1"/>
  <c r="N810" i="3" s="1"/>
  <c r="N811" i="3" s="1"/>
  <c r="N812" i="3" s="1"/>
  <c r="N813" i="3" s="1"/>
  <c r="N814" i="3" s="1"/>
  <c r="N815" i="3" s="1"/>
  <c r="N816" i="3" s="1"/>
  <c r="N817" i="3" s="1"/>
  <c r="N818" i="3" s="1"/>
  <c r="N819" i="3" s="1"/>
  <c r="N820" i="3" s="1"/>
  <c r="N821" i="3" s="1"/>
  <c r="N822" i="3" s="1"/>
  <c r="N823" i="3" s="1"/>
  <c r="N824" i="3" s="1"/>
  <c r="N825" i="3" s="1"/>
  <c r="N826" i="3" s="1"/>
  <c r="N827" i="3" s="1"/>
  <c r="N828" i="3" s="1"/>
  <c r="N829" i="3" s="1"/>
  <c r="N830" i="3" s="1"/>
  <c r="N831" i="3" s="1"/>
  <c r="N832" i="3" s="1"/>
  <c r="N833" i="3" s="1"/>
  <c r="N834" i="3" s="1"/>
  <c r="N835" i="3" s="1"/>
  <c r="N836" i="3" s="1"/>
  <c r="N837" i="3" s="1"/>
  <c r="N838" i="3" s="1"/>
  <c r="N839" i="3" s="1"/>
  <c r="N840" i="3" s="1"/>
  <c r="N841" i="3" s="1"/>
  <c r="N842" i="3" s="1"/>
  <c r="N843" i="3" s="1"/>
  <c r="N844" i="3" s="1"/>
  <c r="N845" i="3" s="1"/>
  <c r="N846" i="3" s="1"/>
  <c r="N847" i="3" s="1"/>
  <c r="N848" i="3" s="1"/>
  <c r="N849" i="3" s="1"/>
  <c r="N850" i="3" s="1"/>
  <c r="N851" i="3" s="1"/>
  <c r="N852" i="3" s="1"/>
  <c r="N853" i="3" s="1"/>
  <c r="N854" i="3" s="1"/>
  <c r="N855" i="3" s="1"/>
  <c r="N856" i="3" s="1"/>
  <c r="N857" i="3" s="1"/>
  <c r="N858" i="3" s="1"/>
  <c r="N859" i="3" s="1"/>
  <c r="N860" i="3" s="1"/>
  <c r="N861" i="3" s="1"/>
  <c r="N862" i="3" s="1"/>
  <c r="N863" i="3" s="1"/>
  <c r="N864" i="3" s="1"/>
  <c r="N865" i="3" s="1"/>
  <c r="N866" i="3" s="1"/>
  <c r="N867" i="3" s="1"/>
  <c r="N868" i="3" s="1"/>
  <c r="N869" i="3" s="1"/>
  <c r="N870" i="3" s="1"/>
  <c r="N871" i="3" s="1"/>
  <c r="N872" i="3" s="1"/>
  <c r="N873" i="3" s="1"/>
  <c r="N874" i="3" s="1"/>
  <c r="N875" i="3" s="1"/>
  <c r="N876" i="3" s="1"/>
  <c r="N877" i="3" s="1"/>
  <c r="N878" i="3" s="1"/>
  <c r="N879" i="3" s="1"/>
  <c r="N880" i="3" s="1"/>
  <c r="N881" i="3" s="1"/>
  <c r="N882" i="3" s="1"/>
  <c r="N883" i="3" s="1"/>
  <c r="N884" i="3" s="1"/>
  <c r="N885" i="3" s="1"/>
  <c r="N886" i="3" s="1"/>
  <c r="N887" i="3" s="1"/>
  <c r="N888" i="3" s="1"/>
  <c r="N889" i="3" s="1"/>
  <c r="N890" i="3" s="1"/>
  <c r="N891" i="3" s="1"/>
  <c r="N892" i="3" s="1"/>
  <c r="N893" i="3" s="1"/>
  <c r="N894" i="3" s="1"/>
  <c r="N895" i="3" s="1"/>
  <c r="N896" i="3" s="1"/>
  <c r="N897" i="3" s="1"/>
  <c r="N898" i="3" s="1"/>
  <c r="N899" i="3" s="1"/>
  <c r="N900" i="3" s="1"/>
  <c r="N901" i="3" s="1"/>
  <c r="N902" i="3" s="1"/>
  <c r="N903" i="3" s="1"/>
  <c r="N904" i="3" s="1"/>
  <c r="N905" i="3" s="1"/>
  <c r="N906" i="3" s="1"/>
  <c r="N907" i="3" s="1"/>
  <c r="N908" i="3" s="1"/>
  <c r="N909" i="3" s="1"/>
  <c r="N910" i="3" s="1"/>
  <c r="N911" i="3" s="1"/>
  <c r="N912" i="3" s="1"/>
  <c r="N913" i="3" s="1"/>
  <c r="N914" i="3" s="1"/>
  <c r="N915" i="3" s="1"/>
  <c r="N916" i="3" s="1"/>
  <c r="N917" i="3" s="1"/>
  <c r="N918" i="3" s="1"/>
  <c r="N919" i="3" s="1"/>
  <c r="N920" i="3" s="1"/>
  <c r="N921" i="3" s="1"/>
  <c r="N922" i="3" s="1"/>
  <c r="N923" i="3" s="1"/>
  <c r="N924" i="3" s="1"/>
  <c r="N925" i="3" s="1"/>
  <c r="N926" i="3" s="1"/>
  <c r="N927" i="3" s="1"/>
  <c r="N928" i="3" s="1"/>
  <c r="N929" i="3" s="1"/>
  <c r="N930" i="3" s="1"/>
  <c r="N931" i="3" s="1"/>
  <c r="N932" i="3" s="1"/>
  <c r="N933" i="3" s="1"/>
  <c r="N934" i="3" s="1"/>
  <c r="N935" i="3" s="1"/>
  <c r="N936" i="3" s="1"/>
  <c r="N937" i="3" s="1"/>
  <c r="N938" i="3" s="1"/>
  <c r="N939" i="3" s="1"/>
  <c r="N940" i="3" s="1"/>
  <c r="N941" i="3" s="1"/>
  <c r="N942" i="3" s="1"/>
  <c r="N943" i="3" s="1"/>
  <c r="N944" i="3" s="1"/>
  <c r="N945" i="3" s="1"/>
  <c r="N946" i="3" s="1"/>
  <c r="N947" i="3" s="1"/>
  <c r="N948" i="3" s="1"/>
  <c r="N949" i="3" s="1"/>
  <c r="N950" i="3" s="1"/>
  <c r="N951" i="3" s="1"/>
  <c r="N952" i="3" s="1"/>
  <c r="N953" i="3" s="1"/>
  <c r="N954" i="3" s="1"/>
  <c r="N955" i="3" s="1"/>
  <c r="N956" i="3" s="1"/>
  <c r="N957" i="3" s="1"/>
  <c r="N958" i="3" s="1"/>
  <c r="N959" i="3" s="1"/>
  <c r="N960" i="3" s="1"/>
  <c r="N961" i="3" s="1"/>
  <c r="N962" i="3" s="1"/>
  <c r="N963" i="3" s="1"/>
  <c r="N964" i="3" s="1"/>
  <c r="N965" i="3" s="1"/>
  <c r="N966" i="3" s="1"/>
  <c r="N967" i="3" s="1"/>
  <c r="N968" i="3" s="1"/>
  <c r="N969" i="3" s="1"/>
  <c r="N970" i="3" s="1"/>
  <c r="N971" i="3" s="1"/>
  <c r="N972" i="3" s="1"/>
  <c r="N973" i="3" s="1"/>
  <c r="N974" i="3" s="1"/>
  <c r="N975" i="3" s="1"/>
  <c r="N976" i="3" s="1"/>
  <c r="N977" i="3" s="1"/>
  <c r="N978" i="3" s="1"/>
  <c r="N979" i="3" s="1"/>
  <c r="N980" i="3" s="1"/>
  <c r="N981" i="3" s="1"/>
  <c r="N982" i="3" s="1"/>
  <c r="N983" i="3" s="1"/>
  <c r="N984" i="3" s="1"/>
  <c r="N985" i="3" s="1"/>
  <c r="N986" i="3" s="1"/>
  <c r="N987" i="3" s="1"/>
  <c r="N988" i="3" s="1"/>
  <c r="N989" i="3" s="1"/>
  <c r="N990" i="3" s="1"/>
  <c r="N991" i="3" s="1"/>
  <c r="N992" i="3" s="1"/>
  <c r="N993" i="3" s="1"/>
  <c r="N994" i="3" s="1"/>
  <c r="N995" i="3" s="1"/>
  <c r="N996" i="3" s="1"/>
  <c r="N997" i="3" s="1"/>
  <c r="N998" i="3" s="1"/>
  <c r="N999" i="3" s="1"/>
  <c r="N1000" i="3" s="1"/>
  <c r="N1001" i="3" s="1"/>
  <c r="N1002" i="3" s="1"/>
  <c r="N1003" i="3" s="1"/>
  <c r="N1004" i="3" s="1"/>
  <c r="N1005" i="3" s="1"/>
  <c r="N1006" i="3" s="1"/>
  <c r="N1007" i="3" s="1"/>
  <c r="N1008" i="3" s="1"/>
  <c r="N1009" i="3" s="1"/>
  <c r="N1010" i="3" s="1"/>
  <c r="N1011" i="3" s="1"/>
  <c r="N1012" i="3" s="1"/>
  <c r="N1013" i="3" s="1"/>
  <c r="N1014" i="3" s="1"/>
  <c r="N1015" i="3" s="1"/>
  <c r="N1016" i="3" s="1"/>
  <c r="N1017" i="3" s="1"/>
  <c r="N1018" i="3" s="1"/>
  <c r="N1019" i="3" s="1"/>
  <c r="N1020" i="3" s="1"/>
  <c r="N1021" i="3" s="1"/>
  <c r="N1022" i="3" s="1"/>
  <c r="N1023" i="3" s="1"/>
  <c r="N1024" i="3" s="1"/>
  <c r="N1025" i="3" s="1"/>
  <c r="N1026" i="3" s="1"/>
  <c r="N1027" i="3" s="1"/>
  <c r="N1028" i="3" s="1"/>
  <c r="N1029" i="3" s="1"/>
  <c r="N1030" i="3" s="1"/>
  <c r="N1031" i="3" s="1"/>
  <c r="N1032" i="3" s="1"/>
  <c r="N1033" i="3" s="1"/>
  <c r="N1034" i="3" s="1"/>
  <c r="N1035" i="3" s="1"/>
  <c r="N1036" i="3" s="1"/>
  <c r="N1037" i="3" s="1"/>
  <c r="N1038" i="3" s="1"/>
  <c r="N1039" i="3" s="1"/>
  <c r="N1040" i="3" s="1"/>
  <c r="N1041" i="3" s="1"/>
  <c r="N1042" i="3" s="1"/>
  <c r="N1043" i="3" s="1"/>
  <c r="N1044" i="3" s="1"/>
  <c r="N1045" i="3" s="1"/>
  <c r="N1046" i="3" s="1"/>
  <c r="N1047" i="3" s="1"/>
  <c r="N1048" i="3" s="1"/>
  <c r="N1049" i="3" s="1"/>
  <c r="N1050" i="3" s="1"/>
  <c r="N1051" i="3" s="1"/>
  <c r="N1052" i="3" s="1"/>
  <c r="N1053" i="3" s="1"/>
  <c r="N1054" i="3" s="1"/>
  <c r="N1055" i="3" s="1"/>
  <c r="N1056" i="3" s="1"/>
  <c r="N1057" i="3" s="1"/>
  <c r="N1058" i="3" s="1"/>
  <c r="N1059" i="3" s="1"/>
  <c r="N1060" i="3" s="1"/>
  <c r="N1061" i="3" s="1"/>
  <c r="N1062" i="3" s="1"/>
  <c r="N1063" i="3" s="1"/>
  <c r="N1064" i="3" s="1"/>
  <c r="N1065" i="3" s="1"/>
  <c r="N1066" i="3" s="1"/>
  <c r="N1067" i="3" s="1"/>
  <c r="N1068" i="3" s="1"/>
  <c r="N1069" i="3" s="1"/>
  <c r="N1070" i="3" s="1"/>
  <c r="N1071" i="3" s="1"/>
  <c r="N1072" i="3" s="1"/>
  <c r="N1073" i="3" s="1"/>
  <c r="N1074" i="3" s="1"/>
  <c r="N1075" i="3" s="1"/>
  <c r="N1076" i="3" s="1"/>
  <c r="N1077" i="3" s="1"/>
  <c r="N1078" i="3" s="1"/>
  <c r="N1079" i="3" s="1"/>
  <c r="N1080" i="3" s="1"/>
  <c r="N1081" i="3" s="1"/>
  <c r="N1082" i="3" s="1"/>
  <c r="N1083" i="3" s="1"/>
  <c r="N1084" i="3" s="1"/>
  <c r="N1085" i="3" s="1"/>
  <c r="N1086" i="3" s="1"/>
  <c r="N1087" i="3" s="1"/>
  <c r="N1088" i="3" s="1"/>
  <c r="N1089" i="3" s="1"/>
  <c r="N1090" i="3" s="1"/>
  <c r="N1091" i="3" s="1"/>
  <c r="N1092" i="3" s="1"/>
  <c r="N1093" i="3" s="1"/>
  <c r="N1094" i="3" s="1"/>
  <c r="N1095" i="3" s="1"/>
  <c r="N1096" i="3" s="1"/>
  <c r="N1097" i="3" s="1"/>
  <c r="N1098" i="3" s="1"/>
  <c r="N1099" i="3" s="1"/>
  <c r="N1100" i="3" s="1"/>
  <c r="N1101" i="3" s="1"/>
  <c r="N1102" i="3" s="1"/>
  <c r="N1103" i="3" s="1"/>
  <c r="N1104" i="3" s="1"/>
  <c r="N1105" i="3" s="1"/>
  <c r="N1106" i="3" s="1"/>
  <c r="N1107" i="3" s="1"/>
  <c r="N1108" i="3" s="1"/>
  <c r="N1109" i="3" s="1"/>
  <c r="N1110" i="3" s="1"/>
  <c r="N1111" i="3" s="1"/>
  <c r="N1112" i="3" s="1"/>
  <c r="N1113" i="3" s="1"/>
  <c r="N1114" i="3" s="1"/>
  <c r="N1115" i="3" s="1"/>
  <c r="N1116" i="3" s="1"/>
  <c r="N1117" i="3" s="1"/>
  <c r="N1118" i="3" s="1"/>
  <c r="N1119" i="3" s="1"/>
  <c r="N1120" i="3" s="1"/>
  <c r="N1121" i="3" s="1"/>
  <c r="N1122" i="3" s="1"/>
  <c r="N1123" i="3" s="1"/>
  <c r="N1124" i="3" s="1"/>
  <c r="N1125" i="3" s="1"/>
  <c r="N1126" i="3" s="1"/>
  <c r="N1127" i="3" s="1"/>
  <c r="N1128" i="3" s="1"/>
  <c r="N1129" i="3" s="1"/>
  <c r="N1130" i="3" s="1"/>
  <c r="N1131" i="3" s="1"/>
  <c r="N1132" i="3" s="1"/>
  <c r="N1133" i="3" s="1"/>
  <c r="N1134" i="3" s="1"/>
  <c r="N1135" i="3" s="1"/>
  <c r="N1136" i="3" s="1"/>
  <c r="N1137" i="3" s="1"/>
  <c r="N1138" i="3" s="1"/>
  <c r="N1139" i="3" s="1"/>
  <c r="N1140" i="3" s="1"/>
  <c r="N1141" i="3" s="1"/>
  <c r="N1142" i="3" s="1"/>
  <c r="N1143" i="3" s="1"/>
  <c r="N1144" i="3" s="1"/>
  <c r="N1145" i="3" s="1"/>
  <c r="N1146" i="3" s="1"/>
  <c r="N1147" i="3" s="1"/>
  <c r="N1148" i="3" s="1"/>
  <c r="N1149" i="3" s="1"/>
  <c r="N1150" i="3" s="1"/>
  <c r="N1151" i="3" s="1"/>
  <c r="N1152" i="3" s="1"/>
  <c r="N1153" i="3" s="1"/>
  <c r="N1154" i="3" s="1"/>
  <c r="N1155" i="3" s="1"/>
  <c r="N1156" i="3" s="1"/>
  <c r="N1157" i="3" s="1"/>
  <c r="N1158" i="3" s="1"/>
  <c r="N1159" i="3" s="1"/>
  <c r="N1160" i="3" s="1"/>
  <c r="N1161" i="3" s="1"/>
  <c r="N1162" i="3" s="1"/>
  <c r="N1163" i="3" s="1"/>
  <c r="N1164" i="3" s="1"/>
  <c r="N1165" i="3" s="1"/>
  <c r="N1166" i="3" s="1"/>
  <c r="N1167" i="3" s="1"/>
  <c r="N1168" i="3" s="1"/>
  <c r="N1169" i="3" s="1"/>
  <c r="N1170" i="3" s="1"/>
  <c r="N1171" i="3" s="1"/>
  <c r="N1172" i="3" s="1"/>
  <c r="N1173" i="3" s="1"/>
  <c r="N1174" i="3" s="1"/>
  <c r="N1175" i="3" s="1"/>
  <c r="N1176" i="3" s="1"/>
  <c r="N1177" i="3" s="1"/>
  <c r="N1178" i="3" s="1"/>
  <c r="N1179" i="3" s="1"/>
  <c r="N1180" i="3" s="1"/>
  <c r="N1181" i="3" s="1"/>
  <c r="N1182" i="3" s="1"/>
  <c r="N1183" i="3" s="1"/>
  <c r="N1184" i="3" s="1"/>
  <c r="N1185" i="3" s="1"/>
  <c r="N1186" i="3" s="1"/>
  <c r="N1187" i="3" s="1"/>
  <c r="N1188" i="3" s="1"/>
  <c r="N1189" i="3" s="1"/>
  <c r="N1190" i="3" s="1"/>
  <c r="N1191" i="3" s="1"/>
  <c r="N1192" i="3" s="1"/>
  <c r="N1193" i="3" s="1"/>
  <c r="N1194" i="3" s="1"/>
  <c r="N1195" i="3" s="1"/>
  <c r="N1196" i="3" s="1"/>
  <c r="N1197" i="3" s="1"/>
  <c r="N1198" i="3" s="1"/>
  <c r="N1199" i="3" s="1"/>
  <c r="N1200" i="3" s="1"/>
  <c r="N1201" i="3" s="1"/>
  <c r="N1202" i="3" s="1"/>
  <c r="N1203" i="3" s="1"/>
  <c r="N1204" i="3" s="1"/>
  <c r="N1205" i="3" s="1"/>
  <c r="N1206" i="3" s="1"/>
  <c r="N1207" i="3" s="1"/>
  <c r="N1208" i="3" s="1"/>
  <c r="N1209" i="3" s="1"/>
  <c r="N1210" i="3" s="1"/>
  <c r="N1211" i="3" s="1"/>
  <c r="N1212" i="3" s="1"/>
  <c r="N1213" i="3" s="1"/>
  <c r="N1214" i="3" s="1"/>
  <c r="N1215" i="3" s="1"/>
  <c r="N1216" i="3" s="1"/>
  <c r="N1217" i="3" s="1"/>
  <c r="N1218" i="3" s="1"/>
  <c r="N1219" i="3" s="1"/>
  <c r="N1220" i="3" s="1"/>
  <c r="N1221" i="3" s="1"/>
  <c r="N1222" i="3" s="1"/>
  <c r="N1223" i="3" s="1"/>
  <c r="N1224" i="3" s="1"/>
  <c r="N1225" i="3" s="1"/>
  <c r="N1226" i="3" s="1"/>
  <c r="N1227" i="3" s="1"/>
  <c r="N1228" i="3" s="1"/>
  <c r="N1229" i="3" s="1"/>
  <c r="N1230" i="3" s="1"/>
  <c r="N1231" i="3" s="1"/>
  <c r="N1232" i="3" s="1"/>
  <c r="N1233" i="3" s="1"/>
  <c r="N1234" i="3" s="1"/>
  <c r="N1235" i="3" s="1"/>
  <c r="N1236" i="3" s="1"/>
  <c r="N1237" i="3" s="1"/>
  <c r="N1238" i="3" s="1"/>
  <c r="N1239" i="3" s="1"/>
  <c r="N1240" i="3" s="1"/>
  <c r="N1241" i="3" s="1"/>
  <c r="N1242" i="3" s="1"/>
  <c r="N1243" i="3" s="1"/>
  <c r="N1244" i="3" s="1"/>
  <c r="N1245" i="3" s="1"/>
  <c r="N1246" i="3" s="1"/>
  <c r="N1247" i="3" s="1"/>
  <c r="N1248" i="3" s="1"/>
  <c r="N1249" i="3" s="1"/>
  <c r="N1250" i="3" s="1"/>
  <c r="N1251" i="3" s="1"/>
  <c r="N1252" i="3" s="1"/>
  <c r="N1253" i="3" s="1"/>
  <c r="N1254" i="3" s="1"/>
  <c r="N1255" i="3" s="1"/>
  <c r="N1256" i="3" s="1"/>
  <c r="N1257" i="3" s="1"/>
  <c r="N1258" i="3" s="1"/>
  <c r="N1259" i="3" s="1"/>
  <c r="N1260" i="3" s="1"/>
  <c r="N1261" i="3" s="1"/>
  <c r="N1262" i="3" s="1"/>
  <c r="N1263" i="3" s="1"/>
  <c r="N1264" i="3" s="1"/>
  <c r="N1265" i="3" s="1"/>
  <c r="N1266" i="3" s="1"/>
  <c r="N1267" i="3" s="1"/>
  <c r="N1268" i="3" s="1"/>
  <c r="N1269" i="3" s="1"/>
  <c r="N1270" i="3" s="1"/>
  <c r="N1271" i="3" s="1"/>
  <c r="N1272" i="3" s="1"/>
  <c r="N1273" i="3" s="1"/>
  <c r="N1274" i="3" s="1"/>
  <c r="N1275" i="3" s="1"/>
  <c r="N1276" i="3" s="1"/>
  <c r="N1277" i="3" s="1"/>
  <c r="N1278" i="3" s="1"/>
  <c r="N1279" i="3" s="1"/>
  <c r="N1280" i="3" s="1"/>
  <c r="N1281" i="3" s="1"/>
  <c r="N1282" i="3" s="1"/>
  <c r="N1283" i="3" s="1"/>
  <c r="N1284" i="3" s="1"/>
  <c r="N1285" i="3" s="1"/>
  <c r="N1286" i="3" s="1"/>
  <c r="N1287" i="3" s="1"/>
  <c r="N1288" i="3" s="1"/>
  <c r="N1289" i="3" s="1"/>
  <c r="N1290" i="3" s="1"/>
  <c r="N1291" i="3" s="1"/>
  <c r="N1292" i="3" s="1"/>
  <c r="N1293" i="3" s="1"/>
  <c r="N1294" i="3" s="1"/>
  <c r="N1295" i="3" s="1"/>
  <c r="N1296" i="3" s="1"/>
  <c r="N1297" i="3" s="1"/>
  <c r="N1298" i="3" s="1"/>
  <c r="N1299" i="3" s="1"/>
  <c r="N1300" i="3" s="1"/>
  <c r="N1301" i="3" s="1"/>
  <c r="N1302" i="3" s="1"/>
  <c r="N1303" i="3" s="1"/>
  <c r="N1304" i="3" s="1"/>
  <c r="N1305" i="3" s="1"/>
  <c r="N1306" i="3" s="1"/>
  <c r="N1307" i="3" s="1"/>
  <c r="N1308" i="3" s="1"/>
  <c r="N1309" i="3" s="1"/>
  <c r="N1310" i="3" s="1"/>
  <c r="N1311" i="3" s="1"/>
  <c r="N1312" i="3" s="1"/>
  <c r="N1313" i="3" s="1"/>
  <c r="N1314" i="3" s="1"/>
  <c r="N1315" i="3" s="1"/>
  <c r="N1316" i="3" s="1"/>
  <c r="N1317" i="3" s="1"/>
  <c r="N1318" i="3" s="1"/>
  <c r="N1319" i="3" s="1"/>
  <c r="N1320" i="3" s="1"/>
  <c r="N1321" i="3" s="1"/>
  <c r="N1322" i="3" s="1"/>
  <c r="N1323" i="3" s="1"/>
  <c r="N1324" i="3" s="1"/>
  <c r="N1325" i="3" s="1"/>
  <c r="N1326" i="3" s="1"/>
  <c r="N1327" i="3" s="1"/>
  <c r="N1328" i="3" s="1"/>
  <c r="N1329" i="3" s="1"/>
  <c r="N1330" i="3" s="1"/>
  <c r="N1331" i="3" s="1"/>
  <c r="N1332" i="3" s="1"/>
  <c r="N1333" i="3" s="1"/>
  <c r="N1334" i="3" s="1"/>
  <c r="N1335" i="3" s="1"/>
  <c r="N1336" i="3" s="1"/>
  <c r="N1337" i="3" s="1"/>
  <c r="N1338" i="3" s="1"/>
  <c r="N1339" i="3" s="1"/>
  <c r="N1340" i="3" s="1"/>
  <c r="N1341" i="3" s="1"/>
  <c r="N1342" i="3" s="1"/>
  <c r="N1343" i="3" s="1"/>
  <c r="N1344" i="3" s="1"/>
  <c r="N1345" i="3" s="1"/>
  <c r="N1346" i="3" s="1"/>
  <c r="N1347" i="3" s="1"/>
  <c r="N1348" i="3" s="1"/>
  <c r="N1349" i="3" s="1"/>
  <c r="N1350" i="3" s="1"/>
  <c r="N1351" i="3" s="1"/>
  <c r="N1352" i="3" s="1"/>
  <c r="N1353" i="3" s="1"/>
  <c r="N1354" i="3" s="1"/>
  <c r="N1355" i="3" s="1"/>
  <c r="N1356" i="3" s="1"/>
  <c r="N1357" i="3" s="1"/>
  <c r="N1358" i="3" s="1"/>
  <c r="N1359" i="3" s="1"/>
  <c r="N1360" i="3" s="1"/>
  <c r="N1361" i="3" s="1"/>
  <c r="N1362" i="3" s="1"/>
  <c r="N1363" i="3" s="1"/>
  <c r="N1364" i="3" s="1"/>
  <c r="N1365" i="3" s="1"/>
  <c r="N1366" i="3" s="1"/>
  <c r="N1367" i="3" s="1"/>
  <c r="N1368" i="3" s="1"/>
  <c r="N1369" i="3" s="1"/>
  <c r="N1370" i="3" s="1"/>
  <c r="N1371" i="3" s="1"/>
  <c r="N1372" i="3" s="1"/>
  <c r="N1373" i="3" s="1"/>
  <c r="N1374" i="3" s="1"/>
  <c r="N1375" i="3" s="1"/>
  <c r="N1376" i="3" s="1"/>
  <c r="N1377" i="3" s="1"/>
  <c r="N1378" i="3" s="1"/>
  <c r="N1379" i="3" s="1"/>
  <c r="N1380" i="3" s="1"/>
  <c r="N1381" i="3" s="1"/>
  <c r="N1382" i="3" s="1"/>
  <c r="N1383" i="3" s="1"/>
  <c r="N1384" i="3" s="1"/>
  <c r="N1385" i="3" s="1"/>
  <c r="N1386" i="3" s="1"/>
  <c r="N1387" i="3" s="1"/>
  <c r="N1388" i="3" s="1"/>
  <c r="N1389" i="3" s="1"/>
  <c r="N1390" i="3" s="1"/>
  <c r="N1391" i="3" s="1"/>
  <c r="N1392" i="3" s="1"/>
  <c r="N1393" i="3" s="1"/>
  <c r="N1394" i="3" s="1"/>
  <c r="N1395" i="3" s="1"/>
  <c r="N1396" i="3" s="1"/>
  <c r="N1397" i="3" s="1"/>
  <c r="N1398" i="3" s="1"/>
  <c r="N1399" i="3" s="1"/>
  <c r="N1400" i="3" s="1"/>
  <c r="N1401" i="3" s="1"/>
  <c r="N1402" i="3" s="1"/>
  <c r="N1403" i="3" s="1"/>
  <c r="N1404" i="3" s="1"/>
  <c r="N1405" i="3" s="1"/>
  <c r="N1406" i="3" s="1"/>
  <c r="N1407" i="3" s="1"/>
  <c r="N1408" i="3" s="1"/>
  <c r="N1409" i="3" s="1"/>
  <c r="N1410" i="3" s="1"/>
  <c r="N1411" i="3" s="1"/>
  <c r="N1412" i="3" s="1"/>
  <c r="N1413" i="3" s="1"/>
  <c r="N1414" i="3" s="1"/>
  <c r="N1415" i="3" s="1"/>
  <c r="N1416" i="3" s="1"/>
  <c r="N1417" i="3" s="1"/>
  <c r="N1418" i="3" s="1"/>
  <c r="N1419" i="3" s="1"/>
  <c r="N1420" i="3" s="1"/>
  <c r="N1421" i="3" s="1"/>
  <c r="N1422" i="3" s="1"/>
  <c r="N1423" i="3" s="1"/>
  <c r="N1424" i="3" s="1"/>
  <c r="N1425" i="3" s="1"/>
  <c r="N1426" i="3" s="1"/>
  <c r="N1427" i="3" s="1"/>
  <c r="N1428" i="3" s="1"/>
  <c r="N1429" i="3" s="1"/>
  <c r="N1430" i="3" s="1"/>
  <c r="N1431" i="3" s="1"/>
  <c r="N1432" i="3" s="1"/>
  <c r="N1433" i="3" s="1"/>
  <c r="N1434" i="3" s="1"/>
  <c r="N1435" i="3" s="1"/>
  <c r="N1436" i="3" s="1"/>
  <c r="N1437" i="3" s="1"/>
  <c r="N1438" i="3" s="1"/>
  <c r="N1439" i="3" s="1"/>
  <c r="N1440" i="3" s="1"/>
  <c r="P42" i="3"/>
  <c r="P43" i="3" s="1"/>
  <c r="P44" i="3" s="1"/>
  <c r="P45" i="3" s="1"/>
  <c r="P46" i="3" s="1"/>
  <c r="P47" i="3" s="1"/>
  <c r="P48" i="3" s="1"/>
  <c r="P49" i="3" s="1"/>
  <c r="P50" i="3" s="1"/>
  <c r="P51" i="3" s="1"/>
  <c r="P52" i="3" s="1"/>
  <c r="P53" i="3" s="1"/>
  <c r="P54" i="3" s="1"/>
  <c r="P55" i="3" s="1"/>
  <c r="P56" i="3" s="1"/>
  <c r="P57" i="3" s="1"/>
  <c r="P58" i="3" s="1"/>
  <c r="P59" i="3" s="1"/>
  <c r="P60" i="3" s="1"/>
  <c r="P61" i="3" s="1"/>
  <c r="P62" i="3" s="1"/>
  <c r="P63" i="3" s="1"/>
  <c r="P64" i="3" s="1"/>
  <c r="P65" i="3" s="1"/>
  <c r="P66" i="3" s="1"/>
  <c r="P67" i="3" s="1"/>
  <c r="P68" i="3" s="1"/>
  <c r="P69" i="3" s="1"/>
  <c r="P70" i="3" s="1"/>
  <c r="P71" i="3" s="1"/>
  <c r="P72" i="3" s="1"/>
  <c r="P73" i="3" s="1"/>
  <c r="P74" i="3" s="1"/>
  <c r="P75" i="3" s="1"/>
  <c r="P76" i="3" s="1"/>
  <c r="P77" i="3" s="1"/>
  <c r="P78" i="3" s="1"/>
  <c r="P79" i="3" s="1"/>
  <c r="P80" i="3" s="1"/>
  <c r="P81" i="3" s="1"/>
  <c r="P82" i="3" s="1"/>
  <c r="P83" i="3" s="1"/>
  <c r="P84" i="3" s="1"/>
  <c r="P85" i="3" s="1"/>
  <c r="P86" i="3" s="1"/>
  <c r="P87" i="3" s="1"/>
  <c r="P88" i="3" s="1"/>
  <c r="P89" i="3" s="1"/>
  <c r="P90" i="3" s="1"/>
  <c r="P91" i="3" s="1"/>
  <c r="P92" i="3" s="1"/>
  <c r="P93" i="3" s="1"/>
  <c r="P94" i="3" s="1"/>
  <c r="P95" i="3" s="1"/>
  <c r="P96" i="3" s="1"/>
  <c r="P97" i="3" s="1"/>
  <c r="P98" i="3" s="1"/>
  <c r="P99" i="3" s="1"/>
  <c r="P100" i="3" s="1"/>
  <c r="P101" i="3" s="1"/>
  <c r="P102" i="3" s="1"/>
  <c r="P103" i="3" s="1"/>
  <c r="P104" i="3" s="1"/>
  <c r="P105" i="3" s="1"/>
  <c r="P106" i="3" s="1"/>
  <c r="P107" i="3" s="1"/>
  <c r="P108" i="3" s="1"/>
  <c r="P109" i="3" s="1"/>
  <c r="P110" i="3" s="1"/>
  <c r="P111" i="3" s="1"/>
  <c r="P112" i="3" s="1"/>
  <c r="P113" i="3" s="1"/>
  <c r="P114" i="3" s="1"/>
  <c r="P115" i="3" s="1"/>
  <c r="P116" i="3" s="1"/>
  <c r="P117" i="3" s="1"/>
  <c r="P118" i="3" s="1"/>
  <c r="P119" i="3" s="1"/>
  <c r="P120" i="3" s="1"/>
  <c r="P121" i="3" s="1"/>
  <c r="P122" i="3" s="1"/>
  <c r="P123" i="3" s="1"/>
  <c r="P124" i="3" s="1"/>
  <c r="P125" i="3" s="1"/>
  <c r="P126" i="3" s="1"/>
  <c r="P127" i="3" s="1"/>
  <c r="P128" i="3" s="1"/>
  <c r="P129" i="3" s="1"/>
  <c r="P130" i="3" s="1"/>
  <c r="P131" i="3" s="1"/>
  <c r="P132" i="3" s="1"/>
  <c r="P133" i="3" s="1"/>
  <c r="P134" i="3" s="1"/>
  <c r="P135" i="3" s="1"/>
  <c r="P136" i="3" s="1"/>
  <c r="P137" i="3" s="1"/>
  <c r="P138" i="3" s="1"/>
  <c r="P139" i="3" s="1"/>
  <c r="P140" i="3" s="1"/>
  <c r="P141" i="3" s="1"/>
  <c r="P142" i="3" s="1"/>
  <c r="P143" i="3" s="1"/>
  <c r="P144" i="3" s="1"/>
  <c r="P145" i="3" s="1"/>
  <c r="P146" i="3" s="1"/>
  <c r="P147" i="3" s="1"/>
  <c r="P148" i="3" s="1"/>
  <c r="P149" i="3" s="1"/>
  <c r="P150" i="3" s="1"/>
  <c r="P151" i="3" s="1"/>
  <c r="P152" i="3" s="1"/>
  <c r="P153" i="3" s="1"/>
  <c r="P154" i="3" s="1"/>
  <c r="P155" i="3" s="1"/>
  <c r="P156" i="3" s="1"/>
  <c r="P157" i="3" s="1"/>
  <c r="P158" i="3" s="1"/>
  <c r="P159" i="3" s="1"/>
  <c r="P160" i="3" s="1"/>
  <c r="P161" i="3" s="1"/>
  <c r="P162" i="3" s="1"/>
  <c r="P163" i="3" s="1"/>
  <c r="P164" i="3" s="1"/>
  <c r="P165" i="3" s="1"/>
  <c r="P166" i="3" s="1"/>
  <c r="P167" i="3" s="1"/>
  <c r="P168" i="3" s="1"/>
  <c r="P169" i="3" s="1"/>
  <c r="P170" i="3" s="1"/>
  <c r="P171" i="3" s="1"/>
  <c r="P172" i="3" s="1"/>
  <c r="P173" i="3" s="1"/>
  <c r="P174" i="3" s="1"/>
  <c r="P175" i="3" s="1"/>
  <c r="P176" i="3" s="1"/>
  <c r="P177" i="3" s="1"/>
  <c r="P178" i="3" s="1"/>
  <c r="P179" i="3" s="1"/>
  <c r="P180" i="3" s="1"/>
  <c r="P181" i="3" s="1"/>
  <c r="P182" i="3" s="1"/>
  <c r="P183" i="3" s="1"/>
  <c r="P184" i="3" s="1"/>
  <c r="P185" i="3" s="1"/>
  <c r="P186" i="3" s="1"/>
  <c r="P187" i="3" s="1"/>
  <c r="P188" i="3" s="1"/>
  <c r="P189" i="3" s="1"/>
  <c r="P190" i="3" s="1"/>
  <c r="P191" i="3" s="1"/>
  <c r="P192" i="3" s="1"/>
  <c r="P193" i="3" s="1"/>
  <c r="P194" i="3" s="1"/>
  <c r="P195" i="3" s="1"/>
  <c r="P196" i="3" s="1"/>
  <c r="P197" i="3" s="1"/>
  <c r="P198" i="3" s="1"/>
  <c r="P199" i="3" s="1"/>
  <c r="P200" i="3" s="1"/>
  <c r="P201" i="3" s="1"/>
  <c r="P202" i="3" s="1"/>
  <c r="P203" i="3" s="1"/>
  <c r="P204" i="3" s="1"/>
  <c r="P205" i="3" s="1"/>
  <c r="P206" i="3" s="1"/>
  <c r="P207" i="3" s="1"/>
  <c r="P208" i="3" s="1"/>
  <c r="P209" i="3" s="1"/>
  <c r="P210" i="3" s="1"/>
  <c r="P211" i="3" s="1"/>
  <c r="P212" i="3" s="1"/>
  <c r="P213" i="3" s="1"/>
  <c r="P214" i="3" s="1"/>
  <c r="P215" i="3" s="1"/>
  <c r="P216" i="3" s="1"/>
  <c r="P217" i="3" s="1"/>
  <c r="P218" i="3" s="1"/>
  <c r="P219" i="3" s="1"/>
  <c r="P220" i="3" s="1"/>
  <c r="P221" i="3" s="1"/>
  <c r="P222" i="3" s="1"/>
  <c r="P223" i="3" s="1"/>
  <c r="P224" i="3" s="1"/>
  <c r="P225" i="3" s="1"/>
  <c r="P226" i="3" s="1"/>
  <c r="P227" i="3" s="1"/>
  <c r="P228" i="3" s="1"/>
  <c r="P229" i="3" s="1"/>
  <c r="P230" i="3" s="1"/>
  <c r="P231" i="3" s="1"/>
  <c r="P232" i="3" s="1"/>
  <c r="P233" i="3" s="1"/>
  <c r="P234" i="3" s="1"/>
  <c r="P235" i="3" s="1"/>
  <c r="P236" i="3" s="1"/>
  <c r="P237" i="3" s="1"/>
  <c r="P238" i="3" s="1"/>
  <c r="P239" i="3" s="1"/>
  <c r="P240" i="3" s="1"/>
  <c r="P241" i="3" s="1"/>
  <c r="P242" i="3" s="1"/>
  <c r="P243" i="3" s="1"/>
  <c r="P244" i="3" s="1"/>
  <c r="P245" i="3" s="1"/>
  <c r="P246" i="3" s="1"/>
  <c r="P247" i="3" s="1"/>
  <c r="P248" i="3" s="1"/>
  <c r="P249" i="3" s="1"/>
  <c r="P250" i="3" s="1"/>
  <c r="P251" i="3" s="1"/>
  <c r="P252" i="3" s="1"/>
  <c r="P253" i="3" s="1"/>
  <c r="P254" i="3" s="1"/>
  <c r="P255" i="3" s="1"/>
  <c r="P256" i="3" s="1"/>
  <c r="P257" i="3" s="1"/>
  <c r="P258" i="3" s="1"/>
  <c r="P259" i="3" s="1"/>
  <c r="P260" i="3" s="1"/>
  <c r="P261" i="3" s="1"/>
  <c r="P262" i="3" s="1"/>
  <c r="P263" i="3" s="1"/>
  <c r="P264" i="3" s="1"/>
  <c r="P265" i="3" s="1"/>
  <c r="P266" i="3" s="1"/>
  <c r="P267" i="3" s="1"/>
  <c r="P268" i="3" s="1"/>
  <c r="P269" i="3" s="1"/>
  <c r="P270" i="3" s="1"/>
  <c r="P271" i="3" s="1"/>
  <c r="P272" i="3" s="1"/>
  <c r="P273" i="3" s="1"/>
  <c r="P274" i="3" s="1"/>
  <c r="P275" i="3" s="1"/>
  <c r="P276" i="3" s="1"/>
  <c r="P277" i="3" s="1"/>
  <c r="P278" i="3" s="1"/>
  <c r="P279" i="3" s="1"/>
  <c r="P280" i="3" s="1"/>
  <c r="P281" i="3" s="1"/>
  <c r="P282" i="3" s="1"/>
  <c r="P283" i="3" s="1"/>
  <c r="P284" i="3" s="1"/>
  <c r="P285" i="3" s="1"/>
  <c r="P286" i="3" s="1"/>
  <c r="P287" i="3" s="1"/>
  <c r="P288" i="3" s="1"/>
  <c r="P289" i="3" s="1"/>
  <c r="P290" i="3" s="1"/>
  <c r="P291" i="3" s="1"/>
  <c r="P292" i="3" s="1"/>
  <c r="P293" i="3" s="1"/>
  <c r="P294" i="3" s="1"/>
  <c r="P295" i="3" s="1"/>
  <c r="P296" i="3" s="1"/>
  <c r="P297" i="3" s="1"/>
  <c r="P298" i="3" s="1"/>
  <c r="P299" i="3" s="1"/>
  <c r="P300" i="3" s="1"/>
  <c r="P301" i="3" s="1"/>
  <c r="P302" i="3" s="1"/>
  <c r="P303" i="3" s="1"/>
  <c r="P304" i="3" s="1"/>
  <c r="P305" i="3" s="1"/>
  <c r="P306" i="3" s="1"/>
  <c r="P307" i="3" s="1"/>
  <c r="P308" i="3" s="1"/>
  <c r="P309" i="3" s="1"/>
  <c r="P310" i="3" s="1"/>
  <c r="P311" i="3" s="1"/>
  <c r="P312" i="3" s="1"/>
  <c r="P313" i="3" s="1"/>
  <c r="P314" i="3" s="1"/>
  <c r="P315" i="3" s="1"/>
  <c r="P316" i="3" s="1"/>
  <c r="P317" i="3" s="1"/>
  <c r="P318" i="3" s="1"/>
  <c r="P319" i="3" s="1"/>
  <c r="P320" i="3" s="1"/>
  <c r="P321" i="3" s="1"/>
  <c r="P322" i="3" s="1"/>
  <c r="P323" i="3" s="1"/>
  <c r="P324" i="3" s="1"/>
  <c r="P325" i="3" s="1"/>
  <c r="P326" i="3" s="1"/>
  <c r="P327" i="3" s="1"/>
  <c r="P328" i="3" s="1"/>
  <c r="P329" i="3" s="1"/>
  <c r="P330" i="3" s="1"/>
  <c r="P331" i="3" s="1"/>
  <c r="P332" i="3" s="1"/>
  <c r="P333" i="3" s="1"/>
  <c r="P334" i="3" s="1"/>
  <c r="P335" i="3" s="1"/>
  <c r="P336" i="3" s="1"/>
  <c r="P337" i="3" s="1"/>
  <c r="P338" i="3" s="1"/>
  <c r="P339" i="3" s="1"/>
  <c r="P340" i="3" s="1"/>
  <c r="P341" i="3" s="1"/>
  <c r="P342" i="3" s="1"/>
  <c r="P343" i="3" s="1"/>
  <c r="P344" i="3" s="1"/>
  <c r="P345" i="3" s="1"/>
  <c r="P346" i="3" s="1"/>
  <c r="P347" i="3" s="1"/>
  <c r="P348" i="3" s="1"/>
  <c r="P349" i="3" s="1"/>
  <c r="P350" i="3" s="1"/>
  <c r="P351" i="3" s="1"/>
  <c r="P352" i="3" s="1"/>
  <c r="P353" i="3" s="1"/>
  <c r="P354" i="3" s="1"/>
  <c r="P355" i="3" s="1"/>
  <c r="P356" i="3" s="1"/>
  <c r="P357" i="3" s="1"/>
  <c r="P358" i="3" s="1"/>
  <c r="P359" i="3" s="1"/>
  <c r="P360" i="3" s="1"/>
  <c r="P361" i="3" s="1"/>
  <c r="P362" i="3" s="1"/>
  <c r="P363" i="3" s="1"/>
  <c r="P364" i="3" s="1"/>
  <c r="P365" i="3" s="1"/>
  <c r="P366" i="3" s="1"/>
  <c r="P367" i="3" s="1"/>
  <c r="P368" i="3" s="1"/>
  <c r="P369" i="3" s="1"/>
  <c r="P370" i="3" s="1"/>
  <c r="P371" i="3" s="1"/>
  <c r="P372" i="3" s="1"/>
  <c r="P373" i="3" s="1"/>
  <c r="P374" i="3" s="1"/>
  <c r="P375" i="3" s="1"/>
  <c r="P376" i="3" s="1"/>
  <c r="P377" i="3" s="1"/>
  <c r="P378" i="3" s="1"/>
  <c r="P379" i="3" s="1"/>
  <c r="P380" i="3" s="1"/>
  <c r="P381" i="3" s="1"/>
  <c r="P382" i="3" s="1"/>
  <c r="P383" i="3" s="1"/>
  <c r="P384" i="3" s="1"/>
  <c r="P385" i="3" s="1"/>
  <c r="P386" i="3" s="1"/>
  <c r="P387" i="3" s="1"/>
  <c r="P388" i="3" s="1"/>
  <c r="P389" i="3" s="1"/>
  <c r="P390" i="3" s="1"/>
  <c r="P391" i="3" s="1"/>
  <c r="P392" i="3" s="1"/>
  <c r="P393" i="3" s="1"/>
  <c r="P394" i="3" s="1"/>
  <c r="P395" i="3" s="1"/>
  <c r="P396" i="3" s="1"/>
  <c r="P397" i="3" s="1"/>
  <c r="P398" i="3" s="1"/>
  <c r="P399" i="3" s="1"/>
  <c r="P400" i="3" s="1"/>
  <c r="P401" i="3" s="1"/>
  <c r="P402" i="3" s="1"/>
  <c r="P403" i="3" s="1"/>
  <c r="P404" i="3" s="1"/>
  <c r="P405" i="3" s="1"/>
  <c r="P406" i="3" s="1"/>
  <c r="P407" i="3" s="1"/>
  <c r="P408" i="3" s="1"/>
  <c r="P409" i="3" s="1"/>
  <c r="P410" i="3" s="1"/>
  <c r="P411" i="3" s="1"/>
  <c r="P412" i="3" s="1"/>
  <c r="P413" i="3" s="1"/>
  <c r="P414" i="3" s="1"/>
  <c r="P415" i="3" s="1"/>
  <c r="P416" i="3" s="1"/>
  <c r="P417" i="3" s="1"/>
  <c r="P418" i="3" s="1"/>
  <c r="P419" i="3" s="1"/>
  <c r="P420" i="3" s="1"/>
  <c r="P421" i="3" s="1"/>
  <c r="P422" i="3" s="1"/>
  <c r="P423" i="3" s="1"/>
  <c r="P424" i="3" s="1"/>
  <c r="P425" i="3" s="1"/>
  <c r="P426" i="3" s="1"/>
  <c r="P427" i="3" s="1"/>
  <c r="P428" i="3" s="1"/>
  <c r="P429" i="3" s="1"/>
  <c r="P430" i="3" s="1"/>
  <c r="P431" i="3" s="1"/>
  <c r="P432" i="3" s="1"/>
  <c r="P433" i="3" s="1"/>
  <c r="P434" i="3" s="1"/>
  <c r="P435" i="3" s="1"/>
  <c r="P436" i="3" s="1"/>
  <c r="P437" i="3" s="1"/>
  <c r="P438" i="3" s="1"/>
  <c r="P439" i="3" s="1"/>
  <c r="P440" i="3" s="1"/>
  <c r="P441" i="3" s="1"/>
  <c r="P442" i="3" s="1"/>
  <c r="P443" i="3" s="1"/>
  <c r="P444" i="3" s="1"/>
  <c r="P445" i="3" s="1"/>
  <c r="P446" i="3" s="1"/>
  <c r="P447" i="3" s="1"/>
  <c r="P448" i="3" s="1"/>
  <c r="P449" i="3" s="1"/>
  <c r="P450" i="3" s="1"/>
  <c r="P451" i="3" s="1"/>
  <c r="P452" i="3" s="1"/>
  <c r="P453" i="3" s="1"/>
  <c r="P454" i="3" s="1"/>
  <c r="P455" i="3" s="1"/>
  <c r="P456" i="3" s="1"/>
  <c r="P457" i="3" s="1"/>
  <c r="P458" i="3" s="1"/>
  <c r="P459" i="3" s="1"/>
  <c r="P460" i="3" s="1"/>
  <c r="P461" i="3" s="1"/>
  <c r="P462" i="3" s="1"/>
  <c r="P463" i="3" s="1"/>
  <c r="P464" i="3" s="1"/>
  <c r="P465" i="3" s="1"/>
  <c r="P466" i="3" s="1"/>
  <c r="P467" i="3" s="1"/>
  <c r="P468" i="3" s="1"/>
  <c r="P469" i="3" s="1"/>
  <c r="P470" i="3" s="1"/>
  <c r="P471" i="3" s="1"/>
  <c r="P472" i="3" s="1"/>
  <c r="P473" i="3" s="1"/>
  <c r="P474" i="3" s="1"/>
  <c r="P475" i="3" s="1"/>
  <c r="P476" i="3" s="1"/>
  <c r="P477" i="3" s="1"/>
  <c r="P478" i="3" s="1"/>
  <c r="P479" i="3" s="1"/>
  <c r="P480" i="3" s="1"/>
  <c r="P481" i="3" s="1"/>
  <c r="P482" i="3" s="1"/>
  <c r="P483" i="3" s="1"/>
  <c r="P484" i="3" s="1"/>
  <c r="P485" i="3" s="1"/>
  <c r="P486" i="3" s="1"/>
  <c r="P487" i="3" s="1"/>
  <c r="P488" i="3" s="1"/>
  <c r="P489" i="3" s="1"/>
  <c r="P490" i="3" s="1"/>
  <c r="P491" i="3" s="1"/>
  <c r="P492" i="3" s="1"/>
  <c r="P493" i="3" s="1"/>
  <c r="P494" i="3" s="1"/>
  <c r="P495" i="3" s="1"/>
  <c r="P496" i="3" s="1"/>
  <c r="P497" i="3" s="1"/>
  <c r="P498" i="3" s="1"/>
  <c r="P499" i="3" s="1"/>
  <c r="P500" i="3" s="1"/>
  <c r="P501" i="3" s="1"/>
  <c r="P502" i="3" s="1"/>
  <c r="P503" i="3" s="1"/>
  <c r="P504" i="3" s="1"/>
  <c r="P505" i="3" s="1"/>
  <c r="P506" i="3" s="1"/>
  <c r="P507" i="3" s="1"/>
  <c r="P508" i="3" s="1"/>
  <c r="P509" i="3" s="1"/>
  <c r="P510" i="3" s="1"/>
  <c r="P511" i="3" s="1"/>
  <c r="P512" i="3" s="1"/>
  <c r="P513" i="3" s="1"/>
  <c r="P514" i="3" s="1"/>
  <c r="P515" i="3" s="1"/>
  <c r="P516" i="3" s="1"/>
  <c r="P517" i="3" s="1"/>
  <c r="P518" i="3" s="1"/>
  <c r="P519" i="3" s="1"/>
  <c r="P520" i="3" s="1"/>
  <c r="P521" i="3" s="1"/>
  <c r="P522" i="3" s="1"/>
  <c r="P523" i="3" s="1"/>
  <c r="P524" i="3" s="1"/>
  <c r="P525" i="3" s="1"/>
  <c r="P526" i="3" s="1"/>
  <c r="P527" i="3" s="1"/>
  <c r="P528" i="3" s="1"/>
  <c r="P529" i="3" s="1"/>
  <c r="P530" i="3" s="1"/>
  <c r="P531" i="3" s="1"/>
  <c r="P532" i="3" s="1"/>
  <c r="P533" i="3" s="1"/>
  <c r="P534" i="3" s="1"/>
  <c r="P535" i="3" s="1"/>
  <c r="P536" i="3" s="1"/>
  <c r="P537" i="3" s="1"/>
  <c r="P538" i="3" s="1"/>
  <c r="P539" i="3" s="1"/>
  <c r="P540" i="3" s="1"/>
  <c r="P541" i="3" s="1"/>
  <c r="P542" i="3" s="1"/>
  <c r="P543" i="3" s="1"/>
  <c r="P544" i="3" s="1"/>
  <c r="P545" i="3" s="1"/>
  <c r="P546" i="3" s="1"/>
  <c r="P547" i="3" s="1"/>
  <c r="P548" i="3" s="1"/>
  <c r="P549" i="3" s="1"/>
  <c r="P550" i="3" s="1"/>
  <c r="P551" i="3" s="1"/>
  <c r="P552" i="3" s="1"/>
  <c r="P553" i="3" s="1"/>
  <c r="P554" i="3" s="1"/>
  <c r="P555" i="3" s="1"/>
  <c r="P556" i="3" s="1"/>
  <c r="P557" i="3" s="1"/>
  <c r="P558" i="3" s="1"/>
  <c r="P559" i="3" s="1"/>
  <c r="P560" i="3" s="1"/>
  <c r="P561" i="3" s="1"/>
  <c r="P562" i="3" s="1"/>
  <c r="P563" i="3" s="1"/>
  <c r="P564" i="3" s="1"/>
  <c r="P565" i="3" s="1"/>
  <c r="P566" i="3" s="1"/>
  <c r="P567" i="3" s="1"/>
  <c r="P568" i="3" s="1"/>
  <c r="P569" i="3" s="1"/>
  <c r="P570" i="3" s="1"/>
  <c r="P571" i="3" s="1"/>
  <c r="P572" i="3" s="1"/>
  <c r="P573" i="3" s="1"/>
  <c r="P574" i="3" s="1"/>
  <c r="P575" i="3" s="1"/>
  <c r="P576" i="3" s="1"/>
  <c r="P577" i="3" s="1"/>
  <c r="P578" i="3" s="1"/>
  <c r="P579" i="3" s="1"/>
  <c r="P580" i="3" s="1"/>
  <c r="P581" i="3" s="1"/>
  <c r="P582" i="3" s="1"/>
  <c r="P583" i="3" s="1"/>
  <c r="P584" i="3" s="1"/>
  <c r="P585" i="3" s="1"/>
  <c r="P586" i="3" s="1"/>
  <c r="P587" i="3" s="1"/>
  <c r="P588" i="3" s="1"/>
  <c r="P589" i="3" s="1"/>
  <c r="P590" i="3" s="1"/>
  <c r="P591" i="3" s="1"/>
  <c r="P592" i="3" s="1"/>
  <c r="P593" i="3" s="1"/>
  <c r="P594" i="3" s="1"/>
  <c r="P595" i="3" s="1"/>
  <c r="P596" i="3" s="1"/>
  <c r="P597" i="3" s="1"/>
  <c r="P598" i="3" s="1"/>
  <c r="P599" i="3" s="1"/>
  <c r="P600" i="3" s="1"/>
  <c r="P601" i="3" s="1"/>
  <c r="P602" i="3" s="1"/>
  <c r="P603" i="3" s="1"/>
  <c r="P604" i="3" s="1"/>
  <c r="P605" i="3" s="1"/>
  <c r="P606" i="3" s="1"/>
  <c r="P607" i="3" s="1"/>
  <c r="P608" i="3" s="1"/>
  <c r="P609" i="3" s="1"/>
  <c r="P610" i="3" s="1"/>
  <c r="P611" i="3" s="1"/>
  <c r="P612" i="3" s="1"/>
  <c r="P613" i="3" s="1"/>
  <c r="P614" i="3" s="1"/>
  <c r="P615" i="3" s="1"/>
  <c r="P616" i="3" s="1"/>
  <c r="P617" i="3" s="1"/>
  <c r="P618" i="3" s="1"/>
  <c r="P619" i="3" s="1"/>
  <c r="P620" i="3" s="1"/>
  <c r="P621" i="3" s="1"/>
  <c r="P622" i="3" s="1"/>
  <c r="P623" i="3" s="1"/>
  <c r="P624" i="3" s="1"/>
  <c r="P625" i="3" s="1"/>
  <c r="P626" i="3" s="1"/>
  <c r="P627" i="3" s="1"/>
  <c r="P628" i="3" s="1"/>
  <c r="P629" i="3" s="1"/>
  <c r="P630" i="3" s="1"/>
  <c r="P631" i="3" s="1"/>
  <c r="P632" i="3" s="1"/>
  <c r="P633" i="3" s="1"/>
  <c r="P634" i="3" s="1"/>
  <c r="P635" i="3" s="1"/>
  <c r="P636" i="3" s="1"/>
  <c r="P637" i="3" s="1"/>
  <c r="P638" i="3" s="1"/>
  <c r="P639" i="3" s="1"/>
  <c r="P640" i="3" s="1"/>
  <c r="P641" i="3" s="1"/>
  <c r="P642" i="3" s="1"/>
  <c r="P643" i="3" s="1"/>
  <c r="P644" i="3" s="1"/>
  <c r="P645" i="3" s="1"/>
  <c r="P646" i="3" s="1"/>
  <c r="P647" i="3" s="1"/>
  <c r="P648" i="3" s="1"/>
  <c r="P649" i="3" s="1"/>
  <c r="P650" i="3" s="1"/>
  <c r="P651" i="3" s="1"/>
  <c r="P652" i="3" s="1"/>
  <c r="P653" i="3" s="1"/>
  <c r="P654" i="3" s="1"/>
  <c r="P655" i="3" s="1"/>
  <c r="P656" i="3" s="1"/>
  <c r="P657" i="3" s="1"/>
  <c r="P658" i="3" s="1"/>
  <c r="P659" i="3" s="1"/>
  <c r="P660" i="3" s="1"/>
  <c r="P661" i="3" s="1"/>
  <c r="P662" i="3" s="1"/>
  <c r="P663" i="3" s="1"/>
  <c r="P664" i="3" s="1"/>
  <c r="P665" i="3" s="1"/>
  <c r="P666" i="3" s="1"/>
  <c r="P667" i="3" s="1"/>
  <c r="P668" i="3" s="1"/>
  <c r="P669" i="3" s="1"/>
  <c r="P670" i="3" s="1"/>
  <c r="P671" i="3" s="1"/>
  <c r="P672" i="3" s="1"/>
  <c r="P673" i="3" s="1"/>
  <c r="P674" i="3" s="1"/>
  <c r="P675" i="3" s="1"/>
  <c r="P676" i="3" s="1"/>
  <c r="P677" i="3" s="1"/>
  <c r="P678" i="3" s="1"/>
  <c r="P679" i="3" s="1"/>
  <c r="P680" i="3" s="1"/>
  <c r="P681" i="3" s="1"/>
  <c r="P682" i="3" s="1"/>
  <c r="P683" i="3" s="1"/>
  <c r="P684" i="3" s="1"/>
  <c r="P685" i="3" s="1"/>
  <c r="P686" i="3" s="1"/>
  <c r="P687" i="3" s="1"/>
  <c r="P688" i="3" s="1"/>
  <c r="P689" i="3" s="1"/>
  <c r="P690" i="3" s="1"/>
  <c r="P691" i="3" s="1"/>
  <c r="P692" i="3" s="1"/>
  <c r="P693" i="3" s="1"/>
  <c r="P694" i="3" s="1"/>
  <c r="P695" i="3" s="1"/>
  <c r="P696" i="3" s="1"/>
  <c r="P697" i="3" s="1"/>
  <c r="P698" i="3" s="1"/>
  <c r="P699" i="3" s="1"/>
  <c r="P700" i="3" s="1"/>
  <c r="P701" i="3" s="1"/>
  <c r="P702" i="3" s="1"/>
  <c r="P703" i="3" s="1"/>
  <c r="P704" i="3" s="1"/>
  <c r="P705" i="3" s="1"/>
  <c r="P706" i="3" s="1"/>
  <c r="P707" i="3" s="1"/>
  <c r="P708" i="3" s="1"/>
  <c r="P709" i="3" s="1"/>
  <c r="P710" i="3" s="1"/>
  <c r="P711" i="3" s="1"/>
  <c r="P712" i="3" s="1"/>
  <c r="P713" i="3" s="1"/>
  <c r="P714" i="3" s="1"/>
  <c r="P715" i="3" s="1"/>
  <c r="P716" i="3" s="1"/>
  <c r="P717" i="3" s="1"/>
  <c r="P718" i="3" s="1"/>
  <c r="P719" i="3" s="1"/>
  <c r="P720" i="3" s="1"/>
  <c r="P721" i="3" s="1"/>
  <c r="P722" i="3" s="1"/>
  <c r="P723" i="3" s="1"/>
  <c r="P724" i="3" s="1"/>
  <c r="P725" i="3" s="1"/>
  <c r="P726" i="3" s="1"/>
  <c r="P727" i="3" s="1"/>
  <c r="P728" i="3" s="1"/>
  <c r="P729" i="3" s="1"/>
  <c r="P730" i="3" s="1"/>
  <c r="P731" i="3" s="1"/>
  <c r="P732" i="3" s="1"/>
  <c r="P733" i="3" s="1"/>
  <c r="P734" i="3" s="1"/>
  <c r="P735" i="3" s="1"/>
  <c r="P736" i="3" s="1"/>
  <c r="P737" i="3" s="1"/>
  <c r="P738" i="3" s="1"/>
  <c r="P739" i="3" s="1"/>
  <c r="P740" i="3" s="1"/>
  <c r="P741" i="3" s="1"/>
  <c r="P742" i="3" s="1"/>
  <c r="P743" i="3" s="1"/>
  <c r="P744" i="3" s="1"/>
  <c r="P745" i="3" s="1"/>
  <c r="P746" i="3" s="1"/>
  <c r="P747" i="3" s="1"/>
  <c r="P748" i="3" s="1"/>
  <c r="P749" i="3" s="1"/>
  <c r="P750" i="3" s="1"/>
  <c r="P751" i="3" s="1"/>
  <c r="P752" i="3" s="1"/>
  <c r="P753" i="3" s="1"/>
  <c r="P754" i="3" s="1"/>
  <c r="P755" i="3" s="1"/>
  <c r="P756" i="3" s="1"/>
  <c r="P757" i="3" s="1"/>
  <c r="P758" i="3" s="1"/>
  <c r="P759" i="3" s="1"/>
  <c r="P760" i="3" s="1"/>
  <c r="P761" i="3" s="1"/>
  <c r="P762" i="3" s="1"/>
  <c r="P763" i="3" s="1"/>
  <c r="P764" i="3" s="1"/>
  <c r="P765" i="3" s="1"/>
  <c r="P766" i="3" s="1"/>
  <c r="P767" i="3" s="1"/>
  <c r="P768" i="3" s="1"/>
  <c r="P769" i="3" s="1"/>
  <c r="P770" i="3" s="1"/>
  <c r="P771" i="3" s="1"/>
  <c r="P772" i="3" s="1"/>
  <c r="P773" i="3" s="1"/>
  <c r="P774" i="3" s="1"/>
  <c r="P775" i="3" s="1"/>
  <c r="P776" i="3" s="1"/>
  <c r="P777" i="3" s="1"/>
  <c r="P778" i="3" s="1"/>
  <c r="P779" i="3" s="1"/>
  <c r="P780" i="3" s="1"/>
  <c r="P781" i="3" s="1"/>
  <c r="P782" i="3" s="1"/>
  <c r="P783" i="3" s="1"/>
  <c r="P784" i="3" s="1"/>
  <c r="P785" i="3" s="1"/>
  <c r="P786" i="3" s="1"/>
  <c r="P787" i="3" s="1"/>
  <c r="P788" i="3" s="1"/>
  <c r="P789" i="3" s="1"/>
  <c r="P790" i="3" s="1"/>
  <c r="P791" i="3" s="1"/>
  <c r="P792" i="3" s="1"/>
  <c r="P793" i="3" s="1"/>
  <c r="P794" i="3" s="1"/>
  <c r="P795" i="3" s="1"/>
  <c r="P796" i="3" s="1"/>
  <c r="P797" i="3" s="1"/>
  <c r="P798" i="3" s="1"/>
  <c r="P799" i="3" s="1"/>
  <c r="P800" i="3" s="1"/>
  <c r="P801" i="3" s="1"/>
  <c r="P802" i="3" s="1"/>
  <c r="P803" i="3" s="1"/>
  <c r="P804" i="3" s="1"/>
  <c r="P805" i="3" s="1"/>
  <c r="P806" i="3" s="1"/>
  <c r="P807" i="3" s="1"/>
  <c r="P808" i="3" s="1"/>
  <c r="P809" i="3" s="1"/>
  <c r="P810" i="3" s="1"/>
  <c r="P811" i="3" s="1"/>
  <c r="P812" i="3" s="1"/>
  <c r="P813" i="3" s="1"/>
  <c r="P814" i="3" s="1"/>
  <c r="P815" i="3" s="1"/>
  <c r="P816" i="3" s="1"/>
  <c r="P817" i="3" s="1"/>
  <c r="P818" i="3" s="1"/>
  <c r="P819" i="3" s="1"/>
  <c r="P820" i="3" s="1"/>
  <c r="P821" i="3" s="1"/>
  <c r="P822" i="3" s="1"/>
  <c r="P823" i="3" s="1"/>
  <c r="P824" i="3" s="1"/>
  <c r="P825" i="3" s="1"/>
  <c r="P826" i="3" s="1"/>
  <c r="P827" i="3" s="1"/>
  <c r="P828" i="3" s="1"/>
  <c r="P829" i="3" s="1"/>
  <c r="P830" i="3" s="1"/>
  <c r="P831" i="3" s="1"/>
  <c r="P832" i="3" s="1"/>
  <c r="P833" i="3" s="1"/>
  <c r="P834" i="3" s="1"/>
  <c r="P835" i="3" s="1"/>
  <c r="P836" i="3" s="1"/>
  <c r="P837" i="3" s="1"/>
  <c r="P838" i="3" s="1"/>
  <c r="P839" i="3" s="1"/>
  <c r="P840" i="3" s="1"/>
  <c r="P841" i="3" s="1"/>
  <c r="P842" i="3" s="1"/>
  <c r="P843" i="3" s="1"/>
  <c r="P844" i="3" s="1"/>
  <c r="P845" i="3" s="1"/>
  <c r="P846" i="3" s="1"/>
  <c r="P847" i="3" s="1"/>
  <c r="P848" i="3" s="1"/>
  <c r="P849" i="3" s="1"/>
  <c r="P850" i="3" s="1"/>
  <c r="P851" i="3" s="1"/>
  <c r="P852" i="3" s="1"/>
  <c r="P853" i="3" s="1"/>
  <c r="P854" i="3" s="1"/>
  <c r="P855" i="3" s="1"/>
  <c r="P856" i="3" s="1"/>
  <c r="P857" i="3" s="1"/>
  <c r="P858" i="3" s="1"/>
  <c r="P859" i="3" s="1"/>
  <c r="P860" i="3" s="1"/>
  <c r="P861" i="3" s="1"/>
  <c r="P862" i="3" s="1"/>
  <c r="P863" i="3" s="1"/>
  <c r="P864" i="3" s="1"/>
  <c r="P865" i="3" s="1"/>
  <c r="P866" i="3" s="1"/>
  <c r="P867" i="3" s="1"/>
  <c r="P868" i="3" s="1"/>
  <c r="P869" i="3" s="1"/>
  <c r="P870" i="3" s="1"/>
  <c r="P871" i="3" s="1"/>
  <c r="P872" i="3" s="1"/>
  <c r="P873" i="3" s="1"/>
  <c r="P874" i="3" s="1"/>
  <c r="P875" i="3" s="1"/>
  <c r="P876" i="3" s="1"/>
  <c r="P877" i="3" s="1"/>
  <c r="P878" i="3" s="1"/>
  <c r="P879" i="3" s="1"/>
  <c r="P880" i="3" s="1"/>
  <c r="P881" i="3" s="1"/>
  <c r="P882" i="3" s="1"/>
  <c r="P883" i="3" s="1"/>
  <c r="P884" i="3" s="1"/>
  <c r="P885" i="3" s="1"/>
  <c r="P886" i="3" s="1"/>
  <c r="P887" i="3" s="1"/>
  <c r="P888" i="3" s="1"/>
  <c r="P889" i="3" s="1"/>
  <c r="P890" i="3" s="1"/>
  <c r="P891" i="3" s="1"/>
  <c r="P892" i="3" s="1"/>
  <c r="P893" i="3" s="1"/>
  <c r="P894" i="3" s="1"/>
  <c r="P895" i="3" s="1"/>
  <c r="P896" i="3" s="1"/>
  <c r="P897" i="3" s="1"/>
  <c r="P898" i="3" s="1"/>
  <c r="P899" i="3" s="1"/>
  <c r="P900" i="3" s="1"/>
  <c r="P901" i="3" s="1"/>
  <c r="P902" i="3" s="1"/>
  <c r="P903" i="3" s="1"/>
  <c r="P904" i="3" s="1"/>
  <c r="P905" i="3" s="1"/>
  <c r="P906" i="3" s="1"/>
  <c r="P907" i="3" s="1"/>
  <c r="P908" i="3" s="1"/>
  <c r="P909" i="3" s="1"/>
  <c r="P910" i="3" s="1"/>
  <c r="P911" i="3" s="1"/>
  <c r="P912" i="3" s="1"/>
  <c r="P913" i="3" s="1"/>
  <c r="P914" i="3" s="1"/>
  <c r="P915" i="3" s="1"/>
  <c r="P916" i="3" s="1"/>
  <c r="P917" i="3" s="1"/>
  <c r="P918" i="3" s="1"/>
  <c r="P919" i="3" s="1"/>
  <c r="P920" i="3" s="1"/>
  <c r="P921" i="3" s="1"/>
  <c r="P922" i="3" s="1"/>
  <c r="P923" i="3" s="1"/>
  <c r="P924" i="3" s="1"/>
  <c r="P925" i="3" s="1"/>
  <c r="P926" i="3" s="1"/>
  <c r="P927" i="3" s="1"/>
  <c r="P928" i="3" s="1"/>
  <c r="P929" i="3" s="1"/>
  <c r="P930" i="3" s="1"/>
  <c r="P931" i="3" s="1"/>
  <c r="P932" i="3" s="1"/>
  <c r="P933" i="3" s="1"/>
  <c r="P934" i="3" s="1"/>
  <c r="P935" i="3" s="1"/>
  <c r="P936" i="3" s="1"/>
  <c r="P937" i="3" s="1"/>
  <c r="P938" i="3" s="1"/>
  <c r="P939" i="3" s="1"/>
  <c r="P940" i="3" s="1"/>
  <c r="P941" i="3" s="1"/>
  <c r="P942" i="3" s="1"/>
  <c r="P943" i="3" s="1"/>
  <c r="P944" i="3" s="1"/>
  <c r="P945" i="3" s="1"/>
  <c r="P946" i="3" s="1"/>
  <c r="P947" i="3" s="1"/>
  <c r="P948" i="3" s="1"/>
  <c r="P949" i="3" s="1"/>
  <c r="P950" i="3" s="1"/>
  <c r="P951" i="3" s="1"/>
  <c r="P952" i="3" s="1"/>
  <c r="P953" i="3" s="1"/>
  <c r="P954" i="3" s="1"/>
  <c r="P955" i="3" s="1"/>
  <c r="P956" i="3" s="1"/>
  <c r="P957" i="3" s="1"/>
  <c r="P958" i="3" s="1"/>
  <c r="P959" i="3" s="1"/>
  <c r="P960" i="3" s="1"/>
  <c r="P961" i="3" s="1"/>
  <c r="P962" i="3" s="1"/>
  <c r="P963" i="3" s="1"/>
  <c r="P964" i="3" s="1"/>
  <c r="P965" i="3" s="1"/>
  <c r="P966" i="3" s="1"/>
  <c r="P967" i="3" s="1"/>
  <c r="P968" i="3" s="1"/>
  <c r="P969" i="3" s="1"/>
  <c r="P970" i="3" s="1"/>
  <c r="P971" i="3" s="1"/>
  <c r="P972" i="3" s="1"/>
  <c r="P973" i="3" s="1"/>
  <c r="P974" i="3" s="1"/>
  <c r="P975" i="3" s="1"/>
  <c r="P976" i="3" s="1"/>
  <c r="P977" i="3" s="1"/>
  <c r="P978" i="3" s="1"/>
  <c r="P979" i="3" s="1"/>
  <c r="P980" i="3" s="1"/>
  <c r="P981" i="3" s="1"/>
  <c r="P982" i="3" s="1"/>
  <c r="P983" i="3" s="1"/>
  <c r="P984" i="3" s="1"/>
  <c r="P985" i="3" s="1"/>
  <c r="P986" i="3" s="1"/>
  <c r="P987" i="3" s="1"/>
  <c r="P988" i="3" s="1"/>
  <c r="P989" i="3" s="1"/>
  <c r="P990" i="3" s="1"/>
  <c r="P991" i="3" s="1"/>
  <c r="P992" i="3" s="1"/>
  <c r="P993" i="3" s="1"/>
  <c r="P994" i="3" s="1"/>
  <c r="P995" i="3" s="1"/>
  <c r="P996" i="3" s="1"/>
  <c r="P997" i="3" s="1"/>
  <c r="P998" i="3" s="1"/>
  <c r="P999" i="3" s="1"/>
  <c r="P1000" i="3" s="1"/>
  <c r="P1001" i="3" s="1"/>
  <c r="P1002" i="3" s="1"/>
  <c r="P1003" i="3" s="1"/>
  <c r="P1004" i="3" s="1"/>
  <c r="P1005" i="3" s="1"/>
  <c r="P1006" i="3" s="1"/>
  <c r="P1007" i="3" s="1"/>
  <c r="P1008" i="3" s="1"/>
  <c r="P1009" i="3" s="1"/>
  <c r="P1010" i="3" s="1"/>
  <c r="P1011" i="3" s="1"/>
  <c r="P1012" i="3" s="1"/>
  <c r="P1013" i="3" s="1"/>
  <c r="P1014" i="3" s="1"/>
  <c r="P1015" i="3" s="1"/>
  <c r="P1016" i="3" s="1"/>
  <c r="P1017" i="3" s="1"/>
  <c r="P1018" i="3" s="1"/>
  <c r="P1019" i="3" s="1"/>
  <c r="P1020" i="3" s="1"/>
  <c r="P1021" i="3" s="1"/>
  <c r="P1022" i="3" s="1"/>
  <c r="P1023" i="3" s="1"/>
  <c r="P1024" i="3" s="1"/>
  <c r="P1025" i="3" s="1"/>
  <c r="P1026" i="3" s="1"/>
  <c r="P1027" i="3" s="1"/>
  <c r="P1028" i="3" s="1"/>
  <c r="P1029" i="3" s="1"/>
  <c r="P1030" i="3" s="1"/>
  <c r="P1031" i="3" s="1"/>
  <c r="P1032" i="3" s="1"/>
  <c r="P1033" i="3" s="1"/>
  <c r="P1034" i="3" s="1"/>
  <c r="P1035" i="3" s="1"/>
  <c r="P1036" i="3" s="1"/>
  <c r="P1037" i="3" s="1"/>
  <c r="P1038" i="3" s="1"/>
  <c r="P1039" i="3" s="1"/>
  <c r="P1040" i="3" s="1"/>
  <c r="P1041" i="3" s="1"/>
  <c r="P1042" i="3" s="1"/>
  <c r="P1043" i="3" s="1"/>
  <c r="P1044" i="3" s="1"/>
  <c r="P1045" i="3" s="1"/>
  <c r="P1046" i="3" s="1"/>
  <c r="P1047" i="3" s="1"/>
  <c r="P1048" i="3" s="1"/>
  <c r="P1049" i="3" s="1"/>
  <c r="P1050" i="3" s="1"/>
  <c r="P1051" i="3" s="1"/>
  <c r="P1052" i="3" s="1"/>
  <c r="P1053" i="3" s="1"/>
  <c r="P1054" i="3" s="1"/>
  <c r="P1055" i="3" s="1"/>
  <c r="P1056" i="3" s="1"/>
  <c r="P1057" i="3" s="1"/>
  <c r="P1058" i="3" s="1"/>
  <c r="P1059" i="3" s="1"/>
  <c r="P1060" i="3" s="1"/>
  <c r="P1061" i="3" s="1"/>
  <c r="P1062" i="3" s="1"/>
  <c r="P1063" i="3" s="1"/>
  <c r="P1064" i="3" s="1"/>
  <c r="P1065" i="3" s="1"/>
  <c r="P1066" i="3" s="1"/>
  <c r="P1067" i="3" s="1"/>
  <c r="P1068" i="3" s="1"/>
  <c r="P1069" i="3" s="1"/>
  <c r="P1070" i="3" s="1"/>
  <c r="P1071" i="3" s="1"/>
  <c r="P1072" i="3" s="1"/>
  <c r="P1073" i="3" s="1"/>
  <c r="P1074" i="3" s="1"/>
  <c r="P1075" i="3" s="1"/>
  <c r="P1076" i="3" s="1"/>
  <c r="P1077" i="3" s="1"/>
  <c r="P1078" i="3" s="1"/>
  <c r="P1079" i="3" s="1"/>
  <c r="P1080" i="3" s="1"/>
  <c r="P1081" i="3" s="1"/>
  <c r="P1082" i="3" s="1"/>
  <c r="P1083" i="3" s="1"/>
  <c r="P1084" i="3" s="1"/>
  <c r="P1085" i="3" s="1"/>
  <c r="P1086" i="3" s="1"/>
  <c r="P1087" i="3" s="1"/>
  <c r="P1088" i="3" s="1"/>
  <c r="P1089" i="3" s="1"/>
  <c r="P1090" i="3" s="1"/>
  <c r="P1091" i="3" s="1"/>
  <c r="P1092" i="3" s="1"/>
  <c r="P1093" i="3" s="1"/>
  <c r="P1094" i="3" s="1"/>
  <c r="P1095" i="3" s="1"/>
  <c r="P1096" i="3" s="1"/>
  <c r="P1097" i="3" s="1"/>
  <c r="P1098" i="3" s="1"/>
  <c r="P1099" i="3" s="1"/>
  <c r="P1100" i="3" s="1"/>
  <c r="P1101" i="3" s="1"/>
  <c r="P1102" i="3" s="1"/>
  <c r="P1103" i="3" s="1"/>
  <c r="P1104" i="3" s="1"/>
  <c r="P1105" i="3" s="1"/>
  <c r="P1106" i="3" s="1"/>
  <c r="P1107" i="3" s="1"/>
  <c r="P1108" i="3" s="1"/>
  <c r="P1109" i="3" s="1"/>
  <c r="P1110" i="3" s="1"/>
  <c r="P1111" i="3" s="1"/>
  <c r="P1112" i="3" s="1"/>
  <c r="P1113" i="3" s="1"/>
  <c r="P1114" i="3" s="1"/>
  <c r="P1115" i="3" s="1"/>
  <c r="P1116" i="3" s="1"/>
  <c r="P1117" i="3" s="1"/>
  <c r="P1118" i="3" s="1"/>
  <c r="P1119" i="3" s="1"/>
  <c r="P1120" i="3" s="1"/>
  <c r="P1121" i="3" s="1"/>
  <c r="P1122" i="3" s="1"/>
  <c r="P1123" i="3" s="1"/>
  <c r="P1124" i="3" s="1"/>
  <c r="P1125" i="3" s="1"/>
  <c r="P1126" i="3" s="1"/>
  <c r="P1127" i="3" s="1"/>
  <c r="P1128" i="3" s="1"/>
  <c r="P1129" i="3" s="1"/>
  <c r="P1130" i="3" s="1"/>
  <c r="P1131" i="3" s="1"/>
  <c r="P1132" i="3" s="1"/>
  <c r="P1133" i="3" s="1"/>
  <c r="P1134" i="3" s="1"/>
  <c r="P1135" i="3" s="1"/>
  <c r="P1136" i="3" s="1"/>
  <c r="P1137" i="3" s="1"/>
  <c r="P1138" i="3" s="1"/>
  <c r="P1139" i="3" s="1"/>
  <c r="P1140" i="3" s="1"/>
  <c r="P1141" i="3" s="1"/>
  <c r="P1142" i="3" s="1"/>
  <c r="P1143" i="3" s="1"/>
  <c r="P1144" i="3" s="1"/>
  <c r="P1145" i="3" s="1"/>
  <c r="P1146" i="3" s="1"/>
  <c r="P1147" i="3" s="1"/>
  <c r="P1148" i="3" s="1"/>
  <c r="P1149" i="3" s="1"/>
  <c r="P1150" i="3" s="1"/>
  <c r="P1151" i="3" s="1"/>
  <c r="P1152" i="3" s="1"/>
  <c r="P1153" i="3" s="1"/>
  <c r="P1154" i="3" s="1"/>
  <c r="P1155" i="3" s="1"/>
  <c r="P1156" i="3" s="1"/>
  <c r="P1157" i="3" s="1"/>
  <c r="P1158" i="3" s="1"/>
  <c r="P1159" i="3" s="1"/>
  <c r="P1160" i="3" s="1"/>
  <c r="P1161" i="3" s="1"/>
  <c r="P1162" i="3" s="1"/>
  <c r="P1163" i="3" s="1"/>
  <c r="P1164" i="3" s="1"/>
  <c r="P1165" i="3" s="1"/>
  <c r="P1166" i="3" s="1"/>
  <c r="P1167" i="3" s="1"/>
  <c r="P1168" i="3" s="1"/>
  <c r="P1169" i="3" s="1"/>
  <c r="P1170" i="3" s="1"/>
  <c r="P1171" i="3" s="1"/>
  <c r="P1172" i="3" s="1"/>
  <c r="P1173" i="3" s="1"/>
  <c r="P1174" i="3" s="1"/>
  <c r="P1175" i="3" s="1"/>
  <c r="P1176" i="3" s="1"/>
  <c r="P1177" i="3" s="1"/>
  <c r="P1178" i="3" s="1"/>
  <c r="P1179" i="3" s="1"/>
  <c r="P1180" i="3" s="1"/>
  <c r="P1181" i="3" s="1"/>
  <c r="P1182" i="3" s="1"/>
  <c r="P1183" i="3" s="1"/>
  <c r="P1184" i="3" s="1"/>
  <c r="P1185" i="3" s="1"/>
  <c r="P1186" i="3" s="1"/>
  <c r="P1187" i="3" s="1"/>
  <c r="P1188" i="3" s="1"/>
  <c r="P1189" i="3" s="1"/>
  <c r="P1190" i="3" s="1"/>
  <c r="P1191" i="3" s="1"/>
  <c r="P1192" i="3" s="1"/>
  <c r="P1193" i="3" s="1"/>
  <c r="P1194" i="3" s="1"/>
  <c r="P1195" i="3" s="1"/>
  <c r="P1196" i="3" s="1"/>
  <c r="P1197" i="3" s="1"/>
  <c r="P1198" i="3" s="1"/>
  <c r="P1199" i="3" s="1"/>
  <c r="P1200" i="3" s="1"/>
  <c r="P1201" i="3" s="1"/>
  <c r="P1202" i="3" s="1"/>
  <c r="P1203" i="3" s="1"/>
  <c r="P1204" i="3" s="1"/>
  <c r="P1205" i="3" s="1"/>
  <c r="P1206" i="3" s="1"/>
  <c r="P1207" i="3" s="1"/>
  <c r="P1208" i="3" s="1"/>
  <c r="P1209" i="3" s="1"/>
  <c r="P1210" i="3" s="1"/>
  <c r="P1211" i="3" s="1"/>
  <c r="P1212" i="3" s="1"/>
  <c r="P1213" i="3" s="1"/>
  <c r="P1214" i="3" s="1"/>
  <c r="P1215" i="3" s="1"/>
  <c r="P1216" i="3" s="1"/>
  <c r="P1217" i="3" s="1"/>
  <c r="P1218" i="3" s="1"/>
  <c r="P1219" i="3" s="1"/>
  <c r="P1220" i="3" s="1"/>
  <c r="P1221" i="3" s="1"/>
  <c r="P1222" i="3" s="1"/>
  <c r="P1223" i="3" s="1"/>
  <c r="P1224" i="3" s="1"/>
  <c r="P1225" i="3" s="1"/>
  <c r="P1226" i="3" s="1"/>
  <c r="P1227" i="3" s="1"/>
  <c r="P1228" i="3" s="1"/>
  <c r="P1229" i="3" s="1"/>
  <c r="P1230" i="3" s="1"/>
  <c r="P1231" i="3" s="1"/>
  <c r="P1232" i="3" s="1"/>
  <c r="P1233" i="3" s="1"/>
  <c r="P1234" i="3" s="1"/>
  <c r="P1235" i="3" s="1"/>
  <c r="P1236" i="3" s="1"/>
  <c r="P1237" i="3" s="1"/>
  <c r="P1238" i="3" s="1"/>
  <c r="P1239" i="3" s="1"/>
  <c r="P1240" i="3" s="1"/>
  <c r="P1241" i="3" s="1"/>
  <c r="P1242" i="3" s="1"/>
  <c r="P1243" i="3" s="1"/>
  <c r="P1244" i="3" s="1"/>
  <c r="P1245" i="3" s="1"/>
  <c r="P1246" i="3" s="1"/>
  <c r="P1247" i="3" s="1"/>
  <c r="P1248" i="3" s="1"/>
  <c r="P1249" i="3" s="1"/>
  <c r="P1250" i="3" s="1"/>
  <c r="P1251" i="3" s="1"/>
  <c r="P1252" i="3" s="1"/>
  <c r="P1253" i="3" s="1"/>
  <c r="P1254" i="3" s="1"/>
  <c r="P1255" i="3" s="1"/>
  <c r="P1256" i="3" s="1"/>
  <c r="P1257" i="3" s="1"/>
  <c r="P1258" i="3" s="1"/>
  <c r="P1259" i="3" s="1"/>
  <c r="P1260" i="3" s="1"/>
  <c r="P1261" i="3" s="1"/>
  <c r="P1262" i="3" s="1"/>
  <c r="P1263" i="3" s="1"/>
  <c r="P1264" i="3" s="1"/>
  <c r="P1265" i="3" s="1"/>
  <c r="P1266" i="3" s="1"/>
  <c r="P1267" i="3" s="1"/>
  <c r="P1268" i="3" s="1"/>
  <c r="P1269" i="3" s="1"/>
  <c r="P1270" i="3" s="1"/>
  <c r="P1271" i="3" s="1"/>
  <c r="P1272" i="3" s="1"/>
  <c r="P1273" i="3" s="1"/>
  <c r="P1274" i="3" s="1"/>
  <c r="P1275" i="3" s="1"/>
  <c r="P1276" i="3" s="1"/>
  <c r="P1277" i="3" s="1"/>
  <c r="P1278" i="3" s="1"/>
  <c r="P1279" i="3" s="1"/>
  <c r="P1280" i="3" s="1"/>
  <c r="P1281" i="3" s="1"/>
  <c r="P1282" i="3" s="1"/>
  <c r="P1283" i="3" s="1"/>
  <c r="P1284" i="3" s="1"/>
  <c r="P1285" i="3" s="1"/>
  <c r="P1286" i="3" s="1"/>
  <c r="P1287" i="3" s="1"/>
  <c r="P1288" i="3" s="1"/>
  <c r="P1289" i="3" s="1"/>
  <c r="P1290" i="3" s="1"/>
  <c r="P1291" i="3" s="1"/>
  <c r="P1292" i="3" s="1"/>
  <c r="P1293" i="3" s="1"/>
  <c r="P1294" i="3" s="1"/>
  <c r="P1295" i="3" s="1"/>
  <c r="P1296" i="3" s="1"/>
  <c r="P1297" i="3" s="1"/>
  <c r="P1298" i="3" s="1"/>
  <c r="P1299" i="3" s="1"/>
  <c r="P1300" i="3" s="1"/>
  <c r="P1301" i="3" s="1"/>
  <c r="P1302" i="3" s="1"/>
  <c r="P1303" i="3" s="1"/>
  <c r="P1304" i="3" s="1"/>
  <c r="P1305" i="3" s="1"/>
  <c r="P1306" i="3" s="1"/>
  <c r="P1307" i="3" s="1"/>
  <c r="P1308" i="3" s="1"/>
  <c r="P1309" i="3" s="1"/>
  <c r="P1310" i="3" s="1"/>
  <c r="P1311" i="3" s="1"/>
  <c r="P1312" i="3" s="1"/>
  <c r="P1313" i="3" s="1"/>
  <c r="P1314" i="3" s="1"/>
  <c r="P1315" i="3" s="1"/>
  <c r="P1316" i="3" s="1"/>
  <c r="P1317" i="3" s="1"/>
  <c r="P1318" i="3" s="1"/>
  <c r="P1319" i="3" s="1"/>
  <c r="P1320" i="3" s="1"/>
  <c r="P1321" i="3" s="1"/>
  <c r="P1322" i="3" s="1"/>
  <c r="P1323" i="3" s="1"/>
  <c r="P1324" i="3" s="1"/>
  <c r="P1325" i="3" s="1"/>
  <c r="P1326" i="3" s="1"/>
  <c r="P1327" i="3" s="1"/>
  <c r="P1328" i="3" s="1"/>
  <c r="P1329" i="3" s="1"/>
  <c r="P1330" i="3" s="1"/>
  <c r="P1331" i="3" s="1"/>
  <c r="P1332" i="3" s="1"/>
  <c r="P1333" i="3" s="1"/>
  <c r="P1334" i="3" s="1"/>
  <c r="P1335" i="3" s="1"/>
  <c r="P1336" i="3" s="1"/>
  <c r="P1337" i="3" s="1"/>
  <c r="P1338" i="3" s="1"/>
  <c r="P1339" i="3" s="1"/>
  <c r="P1340" i="3" s="1"/>
  <c r="P1341" i="3" s="1"/>
  <c r="P1342" i="3" s="1"/>
  <c r="P1343" i="3" s="1"/>
  <c r="P1344" i="3" s="1"/>
  <c r="P1345" i="3" s="1"/>
  <c r="P1346" i="3" s="1"/>
  <c r="P1347" i="3" s="1"/>
  <c r="P1348" i="3" s="1"/>
  <c r="P1349" i="3" s="1"/>
  <c r="P1350" i="3" s="1"/>
  <c r="P1351" i="3" s="1"/>
  <c r="P1352" i="3" s="1"/>
  <c r="P1353" i="3" s="1"/>
  <c r="P1354" i="3" s="1"/>
  <c r="P1355" i="3" s="1"/>
  <c r="P1356" i="3" s="1"/>
  <c r="P1357" i="3" s="1"/>
  <c r="P1358" i="3" s="1"/>
  <c r="P1359" i="3" s="1"/>
  <c r="P1360" i="3" s="1"/>
  <c r="P1361" i="3" s="1"/>
  <c r="P1362" i="3" s="1"/>
  <c r="P1363" i="3" s="1"/>
  <c r="P1364" i="3" s="1"/>
  <c r="P1365" i="3" s="1"/>
  <c r="P1366" i="3" s="1"/>
  <c r="P1367" i="3" s="1"/>
  <c r="P1368" i="3" s="1"/>
  <c r="P1369" i="3" s="1"/>
  <c r="P1370" i="3" s="1"/>
  <c r="P1371" i="3" s="1"/>
  <c r="P1372" i="3" s="1"/>
  <c r="P1373" i="3" s="1"/>
  <c r="P1374" i="3" s="1"/>
  <c r="P1375" i="3" s="1"/>
  <c r="P1376" i="3" s="1"/>
  <c r="P1377" i="3" s="1"/>
  <c r="P1378" i="3" s="1"/>
  <c r="P1379" i="3" s="1"/>
  <c r="P1380" i="3" s="1"/>
  <c r="P1381" i="3" s="1"/>
  <c r="P1382" i="3" s="1"/>
  <c r="P1383" i="3" s="1"/>
  <c r="P1384" i="3" s="1"/>
  <c r="P1385" i="3" s="1"/>
  <c r="P1386" i="3" s="1"/>
  <c r="P1387" i="3" s="1"/>
  <c r="P1388" i="3" s="1"/>
  <c r="P1389" i="3" s="1"/>
  <c r="P1390" i="3" s="1"/>
  <c r="P1391" i="3" s="1"/>
  <c r="P1392" i="3" s="1"/>
  <c r="P1393" i="3" s="1"/>
  <c r="P1394" i="3" s="1"/>
  <c r="P1395" i="3" s="1"/>
  <c r="P1396" i="3" s="1"/>
  <c r="P1397" i="3" s="1"/>
  <c r="P1398" i="3" s="1"/>
  <c r="P1399" i="3" s="1"/>
  <c r="P1400" i="3" s="1"/>
  <c r="P1401" i="3" s="1"/>
  <c r="P1402" i="3" s="1"/>
  <c r="P1403" i="3" s="1"/>
  <c r="P1404" i="3" s="1"/>
  <c r="P1405" i="3" s="1"/>
  <c r="P1406" i="3" s="1"/>
  <c r="P1407" i="3" s="1"/>
  <c r="P1408" i="3" s="1"/>
  <c r="P1409" i="3" s="1"/>
  <c r="P1410" i="3" s="1"/>
  <c r="P1411" i="3" s="1"/>
  <c r="P1412" i="3" s="1"/>
  <c r="P1413" i="3" s="1"/>
  <c r="P1414" i="3" s="1"/>
  <c r="P1415" i="3" s="1"/>
  <c r="P1416" i="3" s="1"/>
  <c r="P1417" i="3" s="1"/>
  <c r="P1418" i="3" s="1"/>
  <c r="P1419" i="3" s="1"/>
  <c r="P1420" i="3" s="1"/>
  <c r="P1421" i="3" s="1"/>
  <c r="P1422" i="3" s="1"/>
  <c r="P1423" i="3" s="1"/>
  <c r="P1424" i="3" s="1"/>
  <c r="P1425" i="3" s="1"/>
  <c r="P1426" i="3" s="1"/>
  <c r="P1427" i="3" s="1"/>
  <c r="P1428" i="3" s="1"/>
  <c r="P1429" i="3" s="1"/>
  <c r="P1430" i="3" s="1"/>
  <c r="P1431" i="3" s="1"/>
  <c r="P1432" i="3" s="1"/>
  <c r="P1433" i="3" s="1"/>
  <c r="P1434" i="3" s="1"/>
  <c r="P1435" i="3" s="1"/>
  <c r="P1436" i="3" s="1"/>
  <c r="P1437" i="3" s="1"/>
  <c r="P1438" i="3" s="1"/>
  <c r="P1439" i="3" s="1"/>
  <c r="P1440" i="3" s="1"/>
  <c r="I4" i="3"/>
  <c r="L5" i="3"/>
  <c r="J43" i="3"/>
  <c r="J44" i="3" s="1"/>
  <c r="J45" i="3" s="1"/>
  <c r="J46" i="3" s="1"/>
  <c r="J47" i="3" s="1"/>
  <c r="J48" i="3" s="1"/>
  <c r="J49" i="3" s="1"/>
  <c r="J50" i="3" s="1"/>
  <c r="J51" i="3" s="1"/>
  <c r="J52" i="3" s="1"/>
  <c r="J53" i="3" s="1"/>
  <c r="J54" i="3" s="1"/>
  <c r="J55" i="3" s="1"/>
  <c r="J56" i="3" s="1"/>
  <c r="J57" i="3" s="1"/>
  <c r="J58" i="3" s="1"/>
  <c r="J59" i="3" s="1"/>
  <c r="J60" i="3" s="1"/>
  <c r="J61" i="3" s="1"/>
  <c r="J62" i="3" s="1"/>
  <c r="J63" i="3" s="1"/>
  <c r="J64" i="3" s="1"/>
  <c r="L7" i="1"/>
  <c r="J7" i="1"/>
  <c r="J6" i="1"/>
  <c r="L6" i="1"/>
  <c r="J65" i="3" l="1"/>
  <c r="J66" i="3" s="1"/>
  <c r="J67" i="3" s="1"/>
  <c r="J68" i="3" s="1"/>
  <c r="J69" i="3" s="1"/>
  <c r="J70" i="3" s="1"/>
  <c r="J71" i="3" s="1"/>
  <c r="J72" i="3" s="1"/>
  <c r="J73" i="3" s="1"/>
  <c r="J74" i="3" s="1"/>
  <c r="J75" i="3" s="1"/>
  <c r="J76" i="3" s="1"/>
  <c r="J77" i="3" s="1"/>
  <c r="J78" i="3" s="1"/>
  <c r="J79" i="3" s="1"/>
  <c r="J80" i="3" s="1"/>
  <c r="J81" i="3" s="1"/>
  <c r="J82" i="3" s="1"/>
  <c r="J83" i="3" s="1"/>
  <c r="J84" i="3" s="1"/>
  <c r="J85" i="3" s="1"/>
  <c r="I5" i="3"/>
  <c r="L6" i="3"/>
  <c r="J8" i="1" a="1"/>
  <c r="J8" i="1" s="1"/>
  <c r="L8" i="1" a="1"/>
  <c r="L8" i="1" s="1"/>
  <c r="I6" i="3" l="1"/>
  <c r="L7" i="3"/>
  <c r="J86" i="3"/>
  <c r="J87" i="3" s="1"/>
  <c r="J88" i="3" s="1"/>
  <c r="J89" i="3" s="1"/>
  <c r="J90" i="3" s="1"/>
  <c r="J91" i="3" s="1"/>
  <c r="J92" i="3" s="1"/>
  <c r="J93" i="3" s="1"/>
  <c r="J94" i="3" s="1"/>
  <c r="J95" i="3" s="1"/>
  <c r="J96" i="3" s="1"/>
  <c r="J97" i="3" s="1"/>
  <c r="J98" i="3" s="1"/>
  <c r="J99" i="3" s="1"/>
  <c r="J100" i="3" s="1"/>
  <c r="J101" i="3" s="1"/>
  <c r="J102" i="3" s="1"/>
  <c r="J103" i="3" s="1"/>
  <c r="J104" i="3" s="1"/>
  <c r="J105" i="3" s="1"/>
  <c r="L8" i="3" l="1"/>
  <c r="I7" i="3"/>
  <c r="J106" i="3"/>
  <c r="J107" i="3" s="1"/>
  <c r="J108" i="3" s="1"/>
  <c r="J109" i="3" s="1"/>
  <c r="J110" i="3" s="1"/>
  <c r="J111" i="3" s="1"/>
  <c r="J112" i="3" s="1"/>
  <c r="J113" i="3" s="1"/>
  <c r="J114" i="3" s="1"/>
  <c r="J115" i="3" s="1"/>
  <c r="J116" i="3" s="1"/>
  <c r="J117" i="3" s="1"/>
  <c r="J118" i="3" s="1"/>
  <c r="J119" i="3" s="1"/>
  <c r="J120" i="3" s="1"/>
  <c r="J121" i="3" s="1"/>
  <c r="J122" i="3" s="1"/>
  <c r="J123" i="3" s="1"/>
  <c r="J124" i="3" s="1"/>
  <c r="J125" i="3" s="1"/>
  <c r="J126" i="3" s="1"/>
  <c r="J127" i="3" s="1"/>
  <c r="J128" i="3" l="1"/>
  <c r="J129" i="3" s="1"/>
  <c r="J130" i="3" s="1"/>
  <c r="J131" i="3" s="1"/>
  <c r="J132" i="3" s="1"/>
  <c r="J133" i="3" s="1"/>
  <c r="J134" i="3" s="1"/>
  <c r="J135" i="3" s="1"/>
  <c r="J136" i="3" s="1"/>
  <c r="J137" i="3" s="1"/>
  <c r="J138" i="3" s="1"/>
  <c r="J139" i="3" s="1"/>
  <c r="J140" i="3" s="1"/>
  <c r="J141" i="3" s="1"/>
  <c r="J142" i="3" s="1"/>
  <c r="J143" i="3" s="1"/>
  <c r="J144" i="3" s="1"/>
  <c r="J145" i="3" s="1"/>
  <c r="J146" i="3" s="1"/>
  <c r="J147" i="3" s="1"/>
  <c r="J148" i="3" s="1"/>
  <c r="J149" i="3" s="1"/>
  <c r="L9" i="3"/>
  <c r="I8" i="3"/>
  <c r="J150" i="3" l="1"/>
  <c r="J151" i="3" s="1"/>
  <c r="J152" i="3" s="1"/>
  <c r="J153" i="3" s="1"/>
  <c r="J154" i="3" s="1"/>
  <c r="J155" i="3" s="1"/>
  <c r="J156" i="3" s="1"/>
  <c r="J157" i="3" s="1"/>
  <c r="J158" i="3" s="1"/>
  <c r="J159" i="3" s="1"/>
  <c r="J160" i="3" s="1"/>
  <c r="J161" i="3" s="1"/>
  <c r="J162" i="3" s="1"/>
  <c r="J163" i="3" s="1"/>
  <c r="J164" i="3" s="1"/>
  <c r="J165" i="3" s="1"/>
  <c r="J166" i="3" s="1"/>
  <c r="J167" i="3" s="1"/>
  <c r="J168" i="3" s="1"/>
  <c r="J169" i="3" s="1"/>
  <c r="J170" i="3" s="1"/>
  <c r="L10" i="3"/>
  <c r="I9" i="3"/>
  <c r="J171" i="3" l="1"/>
  <c r="J172" i="3" s="1"/>
  <c r="J173" i="3" s="1"/>
  <c r="J174" i="3" s="1"/>
  <c r="J175" i="3" s="1"/>
  <c r="J176" i="3" s="1"/>
  <c r="J177" i="3" s="1"/>
  <c r="J178" i="3" s="1"/>
  <c r="J179" i="3" s="1"/>
  <c r="J180" i="3" s="1"/>
  <c r="J181" i="3" s="1"/>
  <c r="J182" i="3" s="1"/>
  <c r="J183" i="3" s="1"/>
  <c r="J184" i="3" s="1"/>
  <c r="J185" i="3" s="1"/>
  <c r="J186" i="3" s="1"/>
  <c r="J187" i="3" s="1"/>
  <c r="J188" i="3" s="1"/>
  <c r="J189" i="3" s="1"/>
  <c r="J190" i="3" s="1"/>
  <c r="J191" i="3" s="1"/>
  <c r="I10" i="3"/>
  <c r="L11" i="3"/>
  <c r="J192" i="3" l="1"/>
  <c r="J193" i="3" s="1"/>
  <c r="J194" i="3" s="1"/>
  <c r="J195" i="3" s="1"/>
  <c r="J196" i="3" s="1"/>
  <c r="J197" i="3" s="1"/>
  <c r="J198" i="3" s="1"/>
  <c r="J199" i="3" s="1"/>
  <c r="J200" i="3" s="1"/>
  <c r="J201" i="3" s="1"/>
  <c r="J202" i="3" s="1"/>
  <c r="J203" i="3" s="1"/>
  <c r="J204" i="3" s="1"/>
  <c r="J205" i="3" s="1"/>
  <c r="J206" i="3" s="1"/>
  <c r="J207" i="3" s="1"/>
  <c r="J208" i="3" s="1"/>
  <c r="J209" i="3" s="1"/>
  <c r="J210" i="3" s="1"/>
  <c r="J211" i="3" s="1"/>
  <c r="J212" i="3" s="1"/>
  <c r="J213" i="3" s="1"/>
  <c r="L12" i="3"/>
  <c r="I11" i="3"/>
  <c r="I12" i="3" l="1"/>
  <c r="L13" i="3"/>
  <c r="J214" i="3"/>
  <c r="J215" i="3" s="1"/>
  <c r="J216" i="3" s="1"/>
  <c r="J217" i="3" s="1"/>
  <c r="J218" i="3" s="1"/>
  <c r="J219" i="3" s="1"/>
  <c r="J220" i="3" s="1"/>
  <c r="J221" i="3" s="1"/>
  <c r="J222" i="3" s="1"/>
  <c r="J223" i="3" s="1"/>
  <c r="J224" i="3" s="1"/>
  <c r="J225" i="3" s="1"/>
  <c r="J226" i="3" s="1"/>
  <c r="J227" i="3" s="1"/>
  <c r="J228" i="3" s="1"/>
  <c r="J229" i="3" s="1"/>
  <c r="J230" i="3" s="1"/>
  <c r="J231" i="3" s="1"/>
  <c r="J232" i="3" s="1"/>
  <c r="J233" i="3" s="1"/>
  <c r="J234" i="3" l="1"/>
  <c r="J235" i="3" s="1"/>
  <c r="J236" i="3" s="1"/>
  <c r="J237" i="3" s="1"/>
  <c r="J238" i="3" s="1"/>
  <c r="J239" i="3" s="1"/>
  <c r="J240" i="3" s="1"/>
  <c r="J241" i="3" s="1"/>
  <c r="J242" i="3" s="1"/>
  <c r="J243" i="3" s="1"/>
  <c r="J244" i="3" s="1"/>
  <c r="J245" i="3" s="1"/>
  <c r="J246" i="3" s="1"/>
  <c r="J247" i="3" s="1"/>
  <c r="J248" i="3" s="1"/>
  <c r="J249" i="3" s="1"/>
  <c r="J250" i="3" s="1"/>
  <c r="J251" i="3" s="1"/>
  <c r="J252" i="3" s="1"/>
  <c r="J253" i="3" s="1"/>
  <c r="J254" i="3" s="1"/>
  <c r="J255" i="3" s="1"/>
  <c r="I13" i="3"/>
  <c r="L14" i="3"/>
  <c r="J256" i="3" l="1"/>
  <c r="J257" i="3" s="1"/>
  <c r="J258" i="3" s="1"/>
  <c r="J259" i="3" s="1"/>
  <c r="J260" i="3" s="1"/>
  <c r="J261" i="3" s="1"/>
  <c r="J262" i="3" s="1"/>
  <c r="J263" i="3" s="1"/>
  <c r="J264" i="3" s="1"/>
  <c r="J265" i="3" s="1"/>
  <c r="J266" i="3" s="1"/>
  <c r="J267" i="3" s="1"/>
  <c r="J268" i="3" s="1"/>
  <c r="J269" i="3" s="1"/>
  <c r="J270" i="3" s="1"/>
  <c r="J271" i="3" s="1"/>
  <c r="J272" i="3" s="1"/>
  <c r="J273" i="3" s="1"/>
  <c r="J274" i="3" s="1"/>
  <c r="I14" i="3"/>
  <c r="L15" i="3"/>
  <c r="J275" i="3" l="1"/>
  <c r="J276" i="3" s="1"/>
  <c r="J277" i="3" s="1"/>
  <c r="J278" i="3" s="1"/>
  <c r="J279" i="3" s="1"/>
  <c r="J280" i="3" s="1"/>
  <c r="J281" i="3" s="1"/>
  <c r="J282" i="3" s="1"/>
  <c r="J283" i="3" s="1"/>
  <c r="J284" i="3" s="1"/>
  <c r="J285" i="3" s="1"/>
  <c r="J286" i="3" s="1"/>
  <c r="J287" i="3" s="1"/>
  <c r="J288" i="3" s="1"/>
  <c r="J289" i="3" s="1"/>
  <c r="J290" i="3" s="1"/>
  <c r="J291" i="3" s="1"/>
  <c r="J292" i="3" s="1"/>
  <c r="J293" i="3" s="1"/>
  <c r="I15" i="3"/>
  <c r="L16" i="3"/>
  <c r="J294" i="3" l="1"/>
  <c r="J295" i="3" s="1"/>
  <c r="J296" i="3" s="1"/>
  <c r="J297" i="3" s="1"/>
  <c r="J298" i="3" s="1"/>
  <c r="J299" i="3" s="1"/>
  <c r="J300" i="3" s="1"/>
  <c r="J301" i="3" s="1"/>
  <c r="J302" i="3" s="1"/>
  <c r="J303" i="3" s="1"/>
  <c r="J304" i="3" s="1"/>
  <c r="J305" i="3" s="1"/>
  <c r="J306" i="3" s="1"/>
  <c r="J307" i="3" s="1"/>
  <c r="J308" i="3" s="1"/>
  <c r="J309" i="3" s="1"/>
  <c r="J310" i="3" s="1"/>
  <c r="J311" i="3" s="1"/>
  <c r="J312" i="3" s="1"/>
  <c r="J313" i="3" s="1"/>
  <c r="J314" i="3" s="1"/>
  <c r="J315" i="3" s="1"/>
  <c r="J316" i="3" s="1"/>
  <c r="I16" i="3"/>
  <c r="L17" i="3"/>
  <c r="J317" i="3" l="1"/>
  <c r="J318" i="3" s="1"/>
  <c r="J319" i="3" s="1"/>
  <c r="J320" i="3" s="1"/>
  <c r="J321" i="3" s="1"/>
  <c r="J322" i="3" s="1"/>
  <c r="J323" i="3" s="1"/>
  <c r="J324" i="3" s="1"/>
  <c r="J325" i="3" s="1"/>
  <c r="J326" i="3" s="1"/>
  <c r="J327" i="3" s="1"/>
  <c r="J328" i="3" s="1"/>
  <c r="J329" i="3" s="1"/>
  <c r="J330" i="3" s="1"/>
  <c r="J331" i="3" s="1"/>
  <c r="J332" i="3" s="1"/>
  <c r="J333" i="3" s="1"/>
  <c r="J334" i="3" s="1"/>
  <c r="J335" i="3" s="1"/>
  <c r="J336" i="3" s="1"/>
  <c r="J337" i="3" s="1"/>
  <c r="L18" i="3"/>
  <c r="I17" i="3"/>
  <c r="J338" i="3" l="1"/>
  <c r="J339" i="3" s="1"/>
  <c r="J340" i="3" s="1"/>
  <c r="J341" i="3" s="1"/>
  <c r="J342" i="3" s="1"/>
  <c r="J343" i="3" s="1"/>
  <c r="J344" i="3" s="1"/>
  <c r="J345" i="3" s="1"/>
  <c r="J346" i="3" s="1"/>
  <c r="J347" i="3" s="1"/>
  <c r="J348" i="3" s="1"/>
  <c r="J349" i="3" s="1"/>
  <c r="J350" i="3" s="1"/>
  <c r="J351" i="3" s="1"/>
  <c r="J352" i="3" s="1"/>
  <c r="J353" i="3" s="1"/>
  <c r="J354" i="3" s="1"/>
  <c r="J355" i="3" s="1"/>
  <c r="J356" i="3" s="1"/>
  <c r="J357" i="3" s="1"/>
  <c r="I18" i="3"/>
  <c r="L19" i="3"/>
  <c r="J358" i="3" l="1"/>
  <c r="J359" i="3" s="1"/>
  <c r="J360" i="3" s="1"/>
  <c r="J361" i="3" s="1"/>
  <c r="J362" i="3" s="1"/>
  <c r="J363" i="3" s="1"/>
  <c r="J364" i="3" s="1"/>
  <c r="J365" i="3" s="1"/>
  <c r="J366" i="3" s="1"/>
  <c r="J367" i="3" s="1"/>
  <c r="J368" i="3" s="1"/>
  <c r="J369" i="3" s="1"/>
  <c r="J370" i="3" s="1"/>
  <c r="J371" i="3" s="1"/>
  <c r="J372" i="3" s="1"/>
  <c r="J373" i="3" s="1"/>
  <c r="J374" i="3" s="1"/>
  <c r="J375" i="3" s="1"/>
  <c r="J376" i="3" s="1"/>
  <c r="J377" i="3" s="1"/>
  <c r="J378" i="3" s="1"/>
  <c r="J379" i="3" s="1"/>
  <c r="L20" i="3"/>
  <c r="I19" i="3"/>
  <c r="J380" i="3" l="1"/>
  <c r="J381" i="3" s="1"/>
  <c r="J382" i="3" s="1"/>
  <c r="J383" i="3" s="1"/>
  <c r="J384" i="3" s="1"/>
  <c r="J385" i="3" s="1"/>
  <c r="J386" i="3" s="1"/>
  <c r="J387" i="3" s="1"/>
  <c r="J388" i="3" s="1"/>
  <c r="J389" i="3" s="1"/>
  <c r="J390" i="3" s="1"/>
  <c r="J391" i="3" s="1"/>
  <c r="J392" i="3" s="1"/>
  <c r="J393" i="3" s="1"/>
  <c r="J394" i="3" s="1"/>
  <c r="J395" i="3" s="1"/>
  <c r="J396" i="3" s="1"/>
  <c r="J397" i="3" s="1"/>
  <c r="J398" i="3" s="1"/>
  <c r="J399" i="3" s="1"/>
  <c r="J400" i="3" s="1"/>
  <c r="L21" i="3"/>
  <c r="I20" i="3"/>
  <c r="L22" i="3" l="1"/>
  <c r="I21" i="3"/>
  <c r="J401" i="3"/>
  <c r="J402" i="3" s="1"/>
  <c r="J403" i="3" s="1"/>
  <c r="J404" i="3" s="1"/>
  <c r="J405" i="3" s="1"/>
  <c r="J406" i="3" s="1"/>
  <c r="J407" i="3" s="1"/>
  <c r="J408" i="3" s="1"/>
  <c r="J409" i="3" s="1"/>
  <c r="J410" i="3" s="1"/>
  <c r="J411" i="3" s="1"/>
  <c r="J412" i="3" s="1"/>
  <c r="J413" i="3" s="1"/>
  <c r="J414" i="3" s="1"/>
  <c r="J415" i="3" s="1"/>
  <c r="J416" i="3" s="1"/>
  <c r="J417" i="3" s="1"/>
  <c r="J418" i="3" s="1"/>
  <c r="J419" i="3" s="1"/>
  <c r="J420" i="3" s="1"/>
  <c r="J421" i="3" s="1"/>
  <c r="J422" i="3" s="1"/>
  <c r="J423" i="3" l="1"/>
  <c r="J424" i="3" s="1"/>
  <c r="J425" i="3" s="1"/>
  <c r="J426" i="3" s="1"/>
  <c r="J427" i="3" s="1"/>
  <c r="J428" i="3" s="1"/>
  <c r="J429" i="3" s="1"/>
  <c r="J430" i="3" s="1"/>
  <c r="J431" i="3" s="1"/>
  <c r="J432" i="3" s="1"/>
  <c r="J433" i="3" s="1"/>
  <c r="J434" i="3" s="1"/>
  <c r="J435" i="3" s="1"/>
  <c r="J436" i="3" s="1"/>
  <c r="J437" i="3" s="1"/>
  <c r="J438" i="3" s="1"/>
  <c r="J439" i="3" s="1"/>
  <c r="J440" i="3" s="1"/>
  <c r="J441" i="3" s="1"/>
  <c r="J442" i="3" s="1"/>
  <c r="J443" i="3" s="1"/>
  <c r="I22" i="3"/>
  <c r="L23" i="3"/>
  <c r="J444" i="3" l="1"/>
  <c r="J445" i="3" s="1"/>
  <c r="J446" i="3" s="1"/>
  <c r="J447" i="3" s="1"/>
  <c r="J448" i="3" s="1"/>
  <c r="J449" i="3" s="1"/>
  <c r="J450" i="3" s="1"/>
  <c r="J451" i="3" s="1"/>
  <c r="J452" i="3" s="1"/>
  <c r="J453" i="3" s="1"/>
  <c r="J454" i="3" s="1"/>
  <c r="J455" i="3" s="1"/>
  <c r="J456" i="3" s="1"/>
  <c r="J457" i="3" s="1"/>
  <c r="J458" i="3" s="1"/>
  <c r="J459" i="3" s="1"/>
  <c r="J460" i="3" s="1"/>
  <c r="J461" i="3" s="1"/>
  <c r="J462" i="3" s="1"/>
  <c r="J463" i="3" s="1"/>
  <c r="J464" i="3" s="1"/>
  <c r="I23" i="3"/>
  <c r="K23" i="3" s="1"/>
  <c r="L24" i="3"/>
  <c r="L25" i="3" l="1"/>
  <c r="I24" i="3"/>
  <c r="J465" i="3"/>
  <c r="J466" i="3" s="1"/>
  <c r="J467" i="3" s="1"/>
  <c r="J468" i="3" s="1"/>
  <c r="J469" i="3" s="1"/>
  <c r="J470" i="3" s="1"/>
  <c r="J471" i="3" s="1"/>
  <c r="J472" i="3" s="1"/>
  <c r="J473" i="3" s="1"/>
  <c r="J474" i="3" s="1"/>
  <c r="J475" i="3" s="1"/>
  <c r="J476" i="3" s="1"/>
  <c r="J477" i="3" s="1"/>
  <c r="J478" i="3" s="1"/>
  <c r="J479" i="3" s="1"/>
  <c r="J480" i="3" s="1"/>
  <c r="J481" i="3" s="1"/>
  <c r="J482" i="3" s="1"/>
  <c r="J483" i="3" s="1"/>
  <c r="J484" i="3" s="1"/>
  <c r="J485" i="3" s="1"/>
  <c r="J486" i="3" l="1"/>
  <c r="J487" i="3" s="1"/>
  <c r="J488" i="3" s="1"/>
  <c r="J489" i="3" s="1"/>
  <c r="J490" i="3" s="1"/>
  <c r="J491" i="3" s="1"/>
  <c r="J492" i="3" s="1"/>
  <c r="J493" i="3" s="1"/>
  <c r="J494" i="3" s="1"/>
  <c r="J495" i="3" s="1"/>
  <c r="J496" i="3" s="1"/>
  <c r="J497" i="3" s="1"/>
  <c r="J498" i="3" s="1"/>
  <c r="J499" i="3" s="1"/>
  <c r="J500" i="3" s="1"/>
  <c r="J501" i="3" s="1"/>
  <c r="J502" i="3" s="1"/>
  <c r="J503" i="3" s="1"/>
  <c r="J504" i="3" s="1"/>
  <c r="J505" i="3" s="1"/>
  <c r="J506" i="3" s="1"/>
  <c r="J507" i="3" s="1"/>
  <c r="L26" i="3"/>
  <c r="I25" i="3"/>
  <c r="J508" i="3" l="1"/>
  <c r="J509" i="3" s="1"/>
  <c r="J510" i="3" s="1"/>
  <c r="J511" i="3" s="1"/>
  <c r="J512" i="3" s="1"/>
  <c r="J513" i="3" s="1"/>
  <c r="J514" i="3" s="1"/>
  <c r="J515" i="3" s="1"/>
  <c r="J516" i="3" s="1"/>
  <c r="J517" i="3" s="1"/>
  <c r="J518" i="3" s="1"/>
  <c r="J519" i="3" s="1"/>
  <c r="J520" i="3" s="1"/>
  <c r="J521" i="3" s="1"/>
  <c r="J522" i="3" s="1"/>
  <c r="J523" i="3" s="1"/>
  <c r="J524" i="3" s="1"/>
  <c r="J525" i="3" s="1"/>
  <c r="J526" i="3" s="1"/>
  <c r="J527" i="3" s="1"/>
  <c r="L27" i="3"/>
  <c r="I26" i="3"/>
  <c r="J528" i="3" l="1"/>
  <c r="J529" i="3" s="1"/>
  <c r="J530" i="3" s="1"/>
  <c r="J531" i="3" s="1"/>
  <c r="J532" i="3" s="1"/>
  <c r="J533" i="3" s="1"/>
  <c r="J534" i="3" s="1"/>
  <c r="J535" i="3" s="1"/>
  <c r="J536" i="3" s="1"/>
  <c r="J537" i="3" s="1"/>
  <c r="J538" i="3" s="1"/>
  <c r="J539" i="3" s="1"/>
  <c r="J540" i="3" s="1"/>
  <c r="J541" i="3" s="1"/>
  <c r="J542" i="3" s="1"/>
  <c r="J543" i="3" s="1"/>
  <c r="J544" i="3" s="1"/>
  <c r="J545" i="3" s="1"/>
  <c r="J546" i="3" s="1"/>
  <c r="L28" i="3"/>
  <c r="I27" i="3"/>
  <c r="J547" i="3" l="1"/>
  <c r="J548" i="3" s="1"/>
  <c r="J549" i="3" s="1"/>
  <c r="J550" i="3" s="1"/>
  <c r="J551" i="3" s="1"/>
  <c r="J552" i="3" s="1"/>
  <c r="J553" i="3" s="1"/>
  <c r="J554" i="3" s="1"/>
  <c r="J555" i="3" s="1"/>
  <c r="J556" i="3" s="1"/>
  <c r="J557" i="3" s="1"/>
  <c r="J558" i="3" s="1"/>
  <c r="J559" i="3" s="1"/>
  <c r="J560" i="3" s="1"/>
  <c r="J561" i="3" s="1"/>
  <c r="J562" i="3" s="1"/>
  <c r="J563" i="3" s="1"/>
  <c r="J564" i="3" s="1"/>
  <c r="J565" i="3" s="1"/>
  <c r="J566" i="3" s="1"/>
  <c r="J567" i="3" s="1"/>
  <c r="J568" i="3" s="1"/>
  <c r="J569" i="3" s="1"/>
  <c r="L29" i="3"/>
  <c r="I28" i="3"/>
  <c r="J570" i="3" l="1"/>
  <c r="J571" i="3" s="1"/>
  <c r="J572" i="3" s="1"/>
  <c r="J573" i="3" s="1"/>
  <c r="J574" i="3" s="1"/>
  <c r="J575" i="3" s="1"/>
  <c r="J576" i="3" s="1"/>
  <c r="J577" i="3" s="1"/>
  <c r="J578" i="3" s="1"/>
  <c r="J579" i="3" s="1"/>
  <c r="J580" i="3" s="1"/>
  <c r="J581" i="3" s="1"/>
  <c r="J582" i="3" s="1"/>
  <c r="J583" i="3" s="1"/>
  <c r="J584" i="3" s="1"/>
  <c r="J585" i="3" s="1"/>
  <c r="J586" i="3" s="1"/>
  <c r="J587" i="3" s="1"/>
  <c r="J588" i="3" s="1"/>
  <c r="J589" i="3" s="1"/>
  <c r="I29" i="3"/>
  <c r="L30" i="3"/>
  <c r="J590" i="3" l="1"/>
  <c r="J591" i="3" s="1"/>
  <c r="J592" i="3" s="1"/>
  <c r="J593" i="3" s="1"/>
  <c r="J594" i="3" s="1"/>
  <c r="J595" i="3" s="1"/>
  <c r="J596" i="3" s="1"/>
  <c r="J597" i="3" s="1"/>
  <c r="J598" i="3" s="1"/>
  <c r="J599" i="3" s="1"/>
  <c r="J600" i="3" s="1"/>
  <c r="J601" i="3" s="1"/>
  <c r="J602" i="3" s="1"/>
  <c r="J603" i="3" s="1"/>
  <c r="J604" i="3" s="1"/>
  <c r="J605" i="3" s="1"/>
  <c r="J606" i="3" s="1"/>
  <c r="J607" i="3" s="1"/>
  <c r="J608" i="3" s="1"/>
  <c r="J609" i="3" s="1"/>
  <c r="J610" i="3" s="1"/>
  <c r="I30" i="3"/>
  <c r="L31" i="3"/>
  <c r="I31" i="3" l="1"/>
  <c r="L32" i="3"/>
  <c r="J611" i="3"/>
  <c r="J612" i="3" s="1"/>
  <c r="J613" i="3" s="1"/>
  <c r="J614" i="3" s="1"/>
  <c r="J615" i="3" s="1"/>
  <c r="J616" i="3" s="1"/>
  <c r="J617" i="3" s="1"/>
  <c r="J618" i="3" s="1"/>
  <c r="J619" i="3" s="1"/>
  <c r="J620" i="3" s="1"/>
  <c r="J621" i="3" s="1"/>
  <c r="J622" i="3" s="1"/>
  <c r="J623" i="3" s="1"/>
  <c r="J624" i="3" s="1"/>
  <c r="J625" i="3" s="1"/>
  <c r="J626" i="3" s="1"/>
  <c r="J627" i="3" s="1"/>
  <c r="J628" i="3" s="1"/>
  <c r="J629" i="3" s="1"/>
  <c r="J630" i="3" s="1"/>
  <c r="J631" i="3" s="1"/>
  <c r="J632" i="3" l="1"/>
  <c r="J633" i="3" s="1"/>
  <c r="J634" i="3" s="1"/>
  <c r="J635" i="3" s="1"/>
  <c r="J636" i="3" s="1"/>
  <c r="J637" i="3" s="1"/>
  <c r="J638" i="3" s="1"/>
  <c r="J639" i="3" s="1"/>
  <c r="J640" i="3" s="1"/>
  <c r="J641" i="3" s="1"/>
  <c r="J642" i="3" s="1"/>
  <c r="J643" i="3" s="1"/>
  <c r="J644" i="3" s="1"/>
  <c r="J645" i="3" s="1"/>
  <c r="J646" i="3" s="1"/>
  <c r="J647" i="3" s="1"/>
  <c r="J648" i="3" s="1"/>
  <c r="J649" i="3" s="1"/>
  <c r="J650" i="3" s="1"/>
  <c r="J651" i="3" s="1"/>
  <c r="I32" i="3"/>
  <c r="L33" i="3"/>
  <c r="J652" i="3" l="1"/>
  <c r="J653" i="3" s="1"/>
  <c r="J654" i="3" s="1"/>
  <c r="J655" i="3" s="1"/>
  <c r="J656" i="3" s="1"/>
  <c r="J657" i="3" s="1"/>
  <c r="J658" i="3" s="1"/>
  <c r="J659" i="3" s="1"/>
  <c r="J660" i="3" s="1"/>
  <c r="J661" i="3" s="1"/>
  <c r="J662" i="3" s="1"/>
  <c r="J663" i="3" s="1"/>
  <c r="J664" i="3" s="1"/>
  <c r="J665" i="3" s="1"/>
  <c r="J666" i="3" s="1"/>
  <c r="J667" i="3" s="1"/>
  <c r="J668" i="3" s="1"/>
  <c r="J669" i="3" s="1"/>
  <c r="J670" i="3" s="1"/>
  <c r="J671" i="3" s="1"/>
  <c r="J672" i="3" s="1"/>
  <c r="J673" i="3" s="1"/>
  <c r="J674" i="3" s="1"/>
  <c r="I33" i="3"/>
  <c r="L34" i="3"/>
  <c r="I34" i="3" l="1"/>
  <c r="L35" i="3"/>
  <c r="J675" i="3"/>
  <c r="J676" i="3" s="1"/>
  <c r="J677" i="3" s="1"/>
  <c r="J678" i="3" s="1"/>
  <c r="J679" i="3" s="1"/>
  <c r="J680" i="3" s="1"/>
  <c r="J681" i="3" s="1"/>
  <c r="J682" i="3" s="1"/>
  <c r="J683" i="3" s="1"/>
  <c r="J684" i="3" s="1"/>
  <c r="J685" i="3" s="1"/>
  <c r="J686" i="3" s="1"/>
  <c r="J687" i="3" s="1"/>
  <c r="J688" i="3" s="1"/>
  <c r="J689" i="3" s="1"/>
  <c r="J690" i="3" s="1"/>
  <c r="J691" i="3" s="1"/>
  <c r="J692" i="3" s="1"/>
  <c r="J693" i="3" s="1"/>
  <c r="J694" i="3" s="1"/>
  <c r="J695" i="3" s="1"/>
  <c r="J696" i="3" l="1"/>
  <c r="J697" i="3" s="1"/>
  <c r="J698" i="3" s="1"/>
  <c r="J699" i="3" s="1"/>
  <c r="J700" i="3" s="1"/>
  <c r="J701" i="3" s="1"/>
  <c r="J702" i="3" s="1"/>
  <c r="J703" i="3" s="1"/>
  <c r="J704" i="3" s="1"/>
  <c r="J705" i="3" s="1"/>
  <c r="J706" i="3" s="1"/>
  <c r="J707" i="3" s="1"/>
  <c r="J708" i="3" s="1"/>
  <c r="J709" i="3" s="1"/>
  <c r="J710" i="3" s="1"/>
  <c r="J711" i="3" s="1"/>
  <c r="J712" i="3" s="1"/>
  <c r="J713" i="3" s="1"/>
  <c r="J714" i="3" s="1"/>
  <c r="J715" i="3" s="1"/>
  <c r="J716" i="3" s="1"/>
  <c r="L36" i="3"/>
  <c r="I35" i="3"/>
  <c r="J717" i="3" l="1"/>
  <c r="J718" i="3" s="1"/>
  <c r="J719" i="3" s="1"/>
  <c r="J720" i="3" s="1"/>
  <c r="J721" i="3" s="1"/>
  <c r="J722" i="3" s="1"/>
  <c r="J723" i="3" s="1"/>
  <c r="J724" i="3" s="1"/>
  <c r="J725" i="3" s="1"/>
  <c r="J726" i="3" s="1"/>
  <c r="J727" i="3" s="1"/>
  <c r="J728" i="3" s="1"/>
  <c r="J729" i="3" s="1"/>
  <c r="J730" i="3" s="1"/>
  <c r="J731" i="3" s="1"/>
  <c r="J732" i="3" s="1"/>
  <c r="J733" i="3" s="1"/>
  <c r="J734" i="3" s="1"/>
  <c r="J735" i="3" s="1"/>
  <c r="J736" i="3" s="1"/>
  <c r="J737" i="3" s="1"/>
  <c r="I36" i="3"/>
  <c r="L37" i="3"/>
  <c r="J738" i="3" l="1"/>
  <c r="J739" i="3" s="1"/>
  <c r="J740" i="3" s="1"/>
  <c r="J741" i="3" s="1"/>
  <c r="J742" i="3" s="1"/>
  <c r="J743" i="3" s="1"/>
  <c r="J744" i="3" s="1"/>
  <c r="J745" i="3" s="1"/>
  <c r="J746" i="3" s="1"/>
  <c r="J747" i="3" s="1"/>
  <c r="J748" i="3" s="1"/>
  <c r="J749" i="3" s="1"/>
  <c r="J750" i="3" s="1"/>
  <c r="J751" i="3" s="1"/>
  <c r="J752" i="3" s="1"/>
  <c r="J753" i="3" s="1"/>
  <c r="J754" i="3" s="1"/>
  <c r="J755" i="3" s="1"/>
  <c r="J756" i="3" s="1"/>
  <c r="J757" i="3" s="1"/>
  <c r="J758" i="3" s="1"/>
  <c r="I37" i="3"/>
  <c r="L38" i="3"/>
  <c r="J759" i="3" l="1"/>
  <c r="J760" i="3" s="1"/>
  <c r="J761" i="3" s="1"/>
  <c r="J762" i="3" s="1"/>
  <c r="J763" i="3" s="1"/>
  <c r="J764" i="3" s="1"/>
  <c r="J765" i="3" s="1"/>
  <c r="J766" i="3" s="1"/>
  <c r="J767" i="3" s="1"/>
  <c r="J768" i="3" s="1"/>
  <c r="J769" i="3" s="1"/>
  <c r="J770" i="3" s="1"/>
  <c r="J771" i="3" s="1"/>
  <c r="J772" i="3" s="1"/>
  <c r="J773" i="3" s="1"/>
  <c r="J774" i="3" s="1"/>
  <c r="J775" i="3" s="1"/>
  <c r="J776" i="3" s="1"/>
  <c r="J777" i="3" s="1"/>
  <c r="J778" i="3" s="1"/>
  <c r="I38" i="3"/>
  <c r="L39" i="3"/>
  <c r="J779" i="3" l="1"/>
  <c r="J780" i="3" s="1"/>
  <c r="J781" i="3" s="1"/>
  <c r="J782" i="3" s="1"/>
  <c r="J783" i="3" s="1"/>
  <c r="J784" i="3" s="1"/>
  <c r="J785" i="3" s="1"/>
  <c r="J786" i="3" s="1"/>
  <c r="J787" i="3" s="1"/>
  <c r="J788" i="3" s="1"/>
  <c r="J789" i="3" s="1"/>
  <c r="J790" i="3" s="1"/>
  <c r="J791" i="3" s="1"/>
  <c r="J792" i="3" s="1"/>
  <c r="J793" i="3" s="1"/>
  <c r="J794" i="3" s="1"/>
  <c r="J795" i="3" s="1"/>
  <c r="J796" i="3" s="1"/>
  <c r="J797" i="3" s="1"/>
  <c r="I39" i="3"/>
  <c r="L40" i="3"/>
  <c r="J798" i="3" l="1"/>
  <c r="J799" i="3" s="1"/>
  <c r="J800" i="3" s="1"/>
  <c r="J801" i="3" s="1"/>
  <c r="J802" i="3" s="1"/>
  <c r="J803" i="3" s="1"/>
  <c r="J804" i="3" s="1"/>
  <c r="J805" i="3" s="1"/>
  <c r="J806" i="3" s="1"/>
  <c r="J807" i="3" s="1"/>
  <c r="J808" i="3" s="1"/>
  <c r="J809" i="3" s="1"/>
  <c r="J810" i="3" s="1"/>
  <c r="J811" i="3" s="1"/>
  <c r="J812" i="3" s="1"/>
  <c r="J813" i="3" s="1"/>
  <c r="J814" i="3" s="1"/>
  <c r="J815" i="3" s="1"/>
  <c r="J816" i="3" s="1"/>
  <c r="J817" i="3" s="1"/>
  <c r="J818" i="3" s="1"/>
  <c r="J819" i="3" s="1"/>
  <c r="J820" i="3" s="1"/>
  <c r="I40" i="3"/>
  <c r="L41" i="3"/>
  <c r="I41" i="3" l="1"/>
  <c r="L42" i="3"/>
  <c r="J821" i="3"/>
  <c r="J822" i="3" s="1"/>
  <c r="J823" i="3" s="1"/>
  <c r="J824" i="3" s="1"/>
  <c r="J825" i="3" s="1"/>
  <c r="J826" i="3" s="1"/>
  <c r="J827" i="3" s="1"/>
  <c r="J828" i="3" s="1"/>
  <c r="J829" i="3" s="1"/>
  <c r="J830" i="3" s="1"/>
  <c r="J831" i="3" s="1"/>
  <c r="J832" i="3" s="1"/>
  <c r="J833" i="3" s="1"/>
  <c r="J834" i="3" s="1"/>
  <c r="J835" i="3" s="1"/>
  <c r="J836" i="3" s="1"/>
  <c r="J837" i="3" s="1"/>
  <c r="J838" i="3" s="1"/>
  <c r="J839" i="3" s="1"/>
  <c r="J840" i="3" l="1"/>
  <c r="J841" i="3" s="1"/>
  <c r="J842" i="3" s="1"/>
  <c r="J843" i="3" s="1"/>
  <c r="J844" i="3" s="1"/>
  <c r="J845" i="3" s="1"/>
  <c r="J846" i="3" s="1"/>
  <c r="J847" i="3" s="1"/>
  <c r="J848" i="3" s="1"/>
  <c r="J849" i="3" s="1"/>
  <c r="J850" i="3" s="1"/>
  <c r="J851" i="3" s="1"/>
  <c r="J852" i="3" s="1"/>
  <c r="J853" i="3" s="1"/>
  <c r="J854" i="3" s="1"/>
  <c r="J855" i="3" s="1"/>
  <c r="J856" i="3" s="1"/>
  <c r="J857" i="3" s="1"/>
  <c r="J858" i="3" s="1"/>
  <c r="J859" i="3" s="1"/>
  <c r="J860" i="3" s="1"/>
  <c r="J861" i="3" s="1"/>
  <c r="I42" i="3"/>
  <c r="K42" i="3" s="1"/>
  <c r="L43" i="3" l="1"/>
  <c r="J862" i="3"/>
  <c r="J863" i="3" s="1"/>
  <c r="J864" i="3" s="1"/>
  <c r="J865" i="3" s="1"/>
  <c r="J866" i="3" s="1"/>
  <c r="J867" i="3" s="1"/>
  <c r="J868" i="3" s="1"/>
  <c r="J869" i="3" s="1"/>
  <c r="J870" i="3" s="1"/>
  <c r="J871" i="3" s="1"/>
  <c r="J872" i="3" s="1"/>
  <c r="J873" i="3" s="1"/>
  <c r="J874" i="3" s="1"/>
  <c r="J875" i="3" s="1"/>
  <c r="J876" i="3" s="1"/>
  <c r="J877" i="3" s="1"/>
  <c r="J878" i="3" s="1"/>
  <c r="J879" i="3" s="1"/>
  <c r="J880" i="3" s="1"/>
  <c r="J881" i="3" s="1"/>
  <c r="J882" i="3" s="1"/>
  <c r="J883" i="3" l="1"/>
  <c r="J884" i="3" s="1"/>
  <c r="J885" i="3" s="1"/>
  <c r="J886" i="3" s="1"/>
  <c r="J887" i="3" s="1"/>
  <c r="J888" i="3" s="1"/>
  <c r="J889" i="3" s="1"/>
  <c r="J890" i="3" s="1"/>
  <c r="J891" i="3" s="1"/>
  <c r="J892" i="3" s="1"/>
  <c r="J893" i="3" s="1"/>
  <c r="J894" i="3" s="1"/>
  <c r="J895" i="3" s="1"/>
  <c r="J896" i="3" s="1"/>
  <c r="J897" i="3" s="1"/>
  <c r="J898" i="3" s="1"/>
  <c r="J899" i="3" s="1"/>
  <c r="J900" i="3" s="1"/>
  <c r="J901" i="3" s="1"/>
  <c r="J902" i="3" s="1"/>
  <c r="I43" i="3"/>
  <c r="L44" i="3"/>
  <c r="J903" i="3" l="1"/>
  <c r="J904" i="3" s="1"/>
  <c r="J905" i="3" s="1"/>
  <c r="J906" i="3" s="1"/>
  <c r="J907" i="3" s="1"/>
  <c r="J908" i="3" s="1"/>
  <c r="J909" i="3" s="1"/>
  <c r="J910" i="3" s="1"/>
  <c r="J911" i="3" s="1"/>
  <c r="J912" i="3" s="1"/>
  <c r="J913" i="3" s="1"/>
  <c r="J914" i="3" s="1"/>
  <c r="J915" i="3" s="1"/>
  <c r="J916" i="3" s="1"/>
  <c r="J917" i="3" s="1"/>
  <c r="J918" i="3" s="1"/>
  <c r="J919" i="3" s="1"/>
  <c r="J920" i="3" s="1"/>
  <c r="J921" i="3" s="1"/>
  <c r="J922" i="3" s="1"/>
  <c r="J923" i="3" s="1"/>
  <c r="J924" i="3" s="1"/>
  <c r="J925" i="3" s="1"/>
  <c r="L45" i="3"/>
  <c r="I44" i="3"/>
  <c r="J926" i="3" l="1"/>
  <c r="J927" i="3" s="1"/>
  <c r="J928" i="3" s="1"/>
  <c r="J929" i="3" s="1"/>
  <c r="J930" i="3" s="1"/>
  <c r="J931" i="3" s="1"/>
  <c r="J932" i="3" s="1"/>
  <c r="J933" i="3" s="1"/>
  <c r="J934" i="3" s="1"/>
  <c r="J935" i="3" s="1"/>
  <c r="J936" i="3" s="1"/>
  <c r="J937" i="3" s="1"/>
  <c r="J938" i="3" s="1"/>
  <c r="J939" i="3" s="1"/>
  <c r="J940" i="3" s="1"/>
  <c r="J941" i="3" s="1"/>
  <c r="J942" i="3" s="1"/>
  <c r="J943" i="3" s="1"/>
  <c r="J944" i="3" s="1"/>
  <c r="J945" i="3" s="1"/>
  <c r="I45" i="3"/>
  <c r="L46" i="3"/>
  <c r="J946" i="3" l="1"/>
  <c r="J947" i="3" s="1"/>
  <c r="J948" i="3" s="1"/>
  <c r="J949" i="3" s="1"/>
  <c r="J950" i="3" s="1"/>
  <c r="J951" i="3" s="1"/>
  <c r="J952" i="3" s="1"/>
  <c r="J953" i="3" s="1"/>
  <c r="J954" i="3" s="1"/>
  <c r="J955" i="3" s="1"/>
  <c r="J956" i="3" s="1"/>
  <c r="J957" i="3" s="1"/>
  <c r="J958" i="3" s="1"/>
  <c r="J959" i="3" s="1"/>
  <c r="J960" i="3" s="1"/>
  <c r="J961" i="3" s="1"/>
  <c r="J962" i="3" s="1"/>
  <c r="J963" i="3" s="1"/>
  <c r="J964" i="3" s="1"/>
  <c r="J965" i="3" s="1"/>
  <c r="J966" i="3" s="1"/>
  <c r="J967" i="3" s="1"/>
  <c r="L47" i="3"/>
  <c r="I46" i="3"/>
  <c r="J968" i="3" l="1"/>
  <c r="J969" i="3" s="1"/>
  <c r="J970" i="3" s="1"/>
  <c r="J971" i="3" s="1"/>
  <c r="J972" i="3" s="1"/>
  <c r="J973" i="3" s="1"/>
  <c r="J974" i="3" s="1"/>
  <c r="J975" i="3" s="1"/>
  <c r="J976" i="3" s="1"/>
  <c r="J977" i="3" s="1"/>
  <c r="J978" i="3" s="1"/>
  <c r="J979" i="3" s="1"/>
  <c r="J980" i="3" s="1"/>
  <c r="J981" i="3" s="1"/>
  <c r="J982" i="3" s="1"/>
  <c r="J983" i="3" s="1"/>
  <c r="J984" i="3" s="1"/>
  <c r="J985" i="3" s="1"/>
  <c r="J986" i="3" s="1"/>
  <c r="J987" i="3" s="1"/>
  <c r="J988" i="3" s="1"/>
  <c r="L48" i="3"/>
  <c r="I47" i="3"/>
  <c r="J989" i="3" l="1"/>
  <c r="J990" i="3" s="1"/>
  <c r="J991" i="3" s="1"/>
  <c r="J992" i="3" s="1"/>
  <c r="J993" i="3" s="1"/>
  <c r="J994" i="3" s="1"/>
  <c r="J995" i="3" s="1"/>
  <c r="J996" i="3" s="1"/>
  <c r="J997" i="3" s="1"/>
  <c r="J998" i="3" s="1"/>
  <c r="J999" i="3" s="1"/>
  <c r="J1000" i="3" s="1"/>
  <c r="J1001" i="3" s="1"/>
  <c r="J1002" i="3" s="1"/>
  <c r="J1003" i="3" s="1"/>
  <c r="J1004" i="3" s="1"/>
  <c r="J1005" i="3" s="1"/>
  <c r="J1006" i="3" s="1"/>
  <c r="J1007" i="3" s="1"/>
  <c r="J1008" i="3" s="1"/>
  <c r="I48" i="3"/>
  <c r="L49" i="3"/>
  <c r="J1009" i="3" l="1"/>
  <c r="J1010" i="3" s="1"/>
  <c r="J1011" i="3" s="1"/>
  <c r="J1012" i="3" s="1"/>
  <c r="J1013" i="3" s="1"/>
  <c r="J1014" i="3" s="1"/>
  <c r="J1015" i="3" s="1"/>
  <c r="J1016" i="3" s="1"/>
  <c r="J1017" i="3" s="1"/>
  <c r="J1018" i="3" s="1"/>
  <c r="J1019" i="3" s="1"/>
  <c r="J1020" i="3" s="1"/>
  <c r="J1021" i="3" s="1"/>
  <c r="J1022" i="3" s="1"/>
  <c r="J1023" i="3" s="1"/>
  <c r="J1024" i="3" s="1"/>
  <c r="J1025" i="3" s="1"/>
  <c r="J1026" i="3" s="1"/>
  <c r="J1027" i="3" s="1"/>
  <c r="J1028" i="3" s="1"/>
  <c r="J1029" i="3" s="1"/>
  <c r="I49" i="3"/>
  <c r="L50" i="3"/>
  <c r="J1030" i="3" l="1"/>
  <c r="J1031" i="3" s="1"/>
  <c r="J1032" i="3" s="1"/>
  <c r="J1033" i="3" s="1"/>
  <c r="J1034" i="3" s="1"/>
  <c r="J1035" i="3" s="1"/>
  <c r="J1036" i="3" s="1"/>
  <c r="J1037" i="3" s="1"/>
  <c r="J1038" i="3" s="1"/>
  <c r="J1039" i="3" s="1"/>
  <c r="J1040" i="3" s="1"/>
  <c r="J1041" i="3" s="1"/>
  <c r="J1042" i="3" s="1"/>
  <c r="J1043" i="3" s="1"/>
  <c r="J1044" i="3" s="1"/>
  <c r="J1045" i="3" s="1"/>
  <c r="J1046" i="3" s="1"/>
  <c r="J1047" i="3" s="1"/>
  <c r="J1048" i="3" s="1"/>
  <c r="J1049" i="3" s="1"/>
  <c r="L51" i="3"/>
  <c r="I50" i="3"/>
  <c r="J1050" i="3" l="1"/>
  <c r="J1051" i="3" s="1"/>
  <c r="J1052" i="3" s="1"/>
  <c r="J1053" i="3" s="1"/>
  <c r="J1054" i="3" s="1"/>
  <c r="J1055" i="3" s="1"/>
  <c r="J1056" i="3" s="1"/>
  <c r="J1057" i="3" s="1"/>
  <c r="J1058" i="3" s="1"/>
  <c r="J1059" i="3" s="1"/>
  <c r="J1060" i="3" s="1"/>
  <c r="J1061" i="3" s="1"/>
  <c r="J1062" i="3" s="1"/>
  <c r="J1063" i="3" s="1"/>
  <c r="J1064" i="3" s="1"/>
  <c r="J1065" i="3" s="1"/>
  <c r="J1066" i="3" s="1"/>
  <c r="J1067" i="3" s="1"/>
  <c r="J1068" i="3" s="1"/>
  <c r="J1069" i="3" s="1"/>
  <c r="I51" i="3"/>
  <c r="L52" i="3"/>
  <c r="J1070" i="3" l="1"/>
  <c r="J1071" i="3" s="1"/>
  <c r="J1072" i="3" s="1"/>
  <c r="J1073" i="3" s="1"/>
  <c r="J1074" i="3" s="1"/>
  <c r="J1075" i="3" s="1"/>
  <c r="J1076" i="3" s="1"/>
  <c r="J1077" i="3" s="1"/>
  <c r="J1078" i="3" s="1"/>
  <c r="J1079" i="3" s="1"/>
  <c r="J1080" i="3" s="1"/>
  <c r="J1081" i="3" s="1"/>
  <c r="J1082" i="3" s="1"/>
  <c r="J1083" i="3" s="1"/>
  <c r="J1084" i="3" s="1"/>
  <c r="J1085" i="3" s="1"/>
  <c r="J1086" i="3" s="1"/>
  <c r="J1087" i="3" s="1"/>
  <c r="J1088" i="3" s="1"/>
  <c r="J1089" i="3" s="1"/>
  <c r="J1090" i="3" s="1"/>
  <c r="J1091" i="3" s="1"/>
  <c r="I52" i="3"/>
  <c r="L53" i="3"/>
  <c r="J1092" i="3" l="1"/>
  <c r="J1093" i="3" s="1"/>
  <c r="J1094" i="3" s="1"/>
  <c r="J1095" i="3" s="1"/>
  <c r="J1096" i="3" s="1"/>
  <c r="J1097" i="3" s="1"/>
  <c r="J1098" i="3" s="1"/>
  <c r="J1099" i="3" s="1"/>
  <c r="J1100" i="3" s="1"/>
  <c r="J1101" i="3" s="1"/>
  <c r="J1102" i="3" s="1"/>
  <c r="J1103" i="3" s="1"/>
  <c r="J1104" i="3" s="1"/>
  <c r="J1105" i="3" s="1"/>
  <c r="J1106" i="3" s="1"/>
  <c r="J1107" i="3" s="1"/>
  <c r="J1108" i="3" s="1"/>
  <c r="J1109" i="3" s="1"/>
  <c r="J1110" i="3" s="1"/>
  <c r="J1111" i="3" s="1"/>
  <c r="J1112" i="3" s="1"/>
  <c r="J1113" i="3" s="1"/>
  <c r="L54" i="3"/>
  <c r="I53" i="3"/>
  <c r="J1114" i="3" l="1"/>
  <c r="J1115" i="3" s="1"/>
  <c r="J1116" i="3" s="1"/>
  <c r="J1117" i="3" s="1"/>
  <c r="J1118" i="3" s="1"/>
  <c r="J1119" i="3" s="1"/>
  <c r="J1120" i="3" s="1"/>
  <c r="J1121" i="3" s="1"/>
  <c r="J1122" i="3" s="1"/>
  <c r="J1123" i="3" s="1"/>
  <c r="J1124" i="3" s="1"/>
  <c r="J1125" i="3" s="1"/>
  <c r="J1126" i="3" s="1"/>
  <c r="J1127" i="3" s="1"/>
  <c r="J1128" i="3" s="1"/>
  <c r="J1129" i="3" s="1"/>
  <c r="J1130" i="3" s="1"/>
  <c r="J1131" i="3" s="1"/>
  <c r="J1132" i="3" s="1"/>
  <c r="I54" i="3"/>
  <c r="L55" i="3"/>
  <c r="J1133" i="3" l="1"/>
  <c r="J1134" i="3" s="1"/>
  <c r="J1135" i="3" s="1"/>
  <c r="J1136" i="3" s="1"/>
  <c r="J1137" i="3" s="1"/>
  <c r="J1138" i="3" s="1"/>
  <c r="J1139" i="3" s="1"/>
  <c r="J1140" i="3" s="1"/>
  <c r="J1141" i="3" s="1"/>
  <c r="J1142" i="3" s="1"/>
  <c r="J1143" i="3" s="1"/>
  <c r="J1144" i="3" s="1"/>
  <c r="J1145" i="3" s="1"/>
  <c r="J1146" i="3" s="1"/>
  <c r="J1147" i="3" s="1"/>
  <c r="J1148" i="3" s="1"/>
  <c r="J1149" i="3" s="1"/>
  <c r="J1150" i="3" s="1"/>
  <c r="J1151" i="3" s="1"/>
  <c r="J1152" i="3" s="1"/>
  <c r="J1153" i="3" s="1"/>
  <c r="J1154" i="3" s="1"/>
  <c r="I55" i="3"/>
  <c r="L56" i="3"/>
  <c r="J1155" i="3" l="1"/>
  <c r="J1156" i="3" s="1"/>
  <c r="J1157" i="3" s="1"/>
  <c r="J1158" i="3" s="1"/>
  <c r="J1159" i="3" s="1"/>
  <c r="J1160" i="3" s="1"/>
  <c r="J1161" i="3" s="1"/>
  <c r="J1162" i="3" s="1"/>
  <c r="J1163" i="3" s="1"/>
  <c r="J1164" i="3" s="1"/>
  <c r="J1165" i="3" s="1"/>
  <c r="J1166" i="3" s="1"/>
  <c r="J1167" i="3" s="1"/>
  <c r="J1168" i="3" s="1"/>
  <c r="J1169" i="3" s="1"/>
  <c r="J1170" i="3" s="1"/>
  <c r="J1171" i="3" s="1"/>
  <c r="J1172" i="3" s="1"/>
  <c r="J1173" i="3" s="1"/>
  <c r="J1174" i="3" s="1"/>
  <c r="J1175" i="3" s="1"/>
  <c r="J1176" i="3" s="1"/>
  <c r="L57" i="3"/>
  <c r="I56" i="3"/>
  <c r="J1177" i="3" l="1"/>
  <c r="J1178" i="3" s="1"/>
  <c r="J1179" i="3" s="1"/>
  <c r="J1180" i="3" s="1"/>
  <c r="J1181" i="3" s="1"/>
  <c r="J1182" i="3" s="1"/>
  <c r="J1183" i="3" s="1"/>
  <c r="J1184" i="3" s="1"/>
  <c r="J1185" i="3" s="1"/>
  <c r="J1186" i="3" s="1"/>
  <c r="J1187" i="3" s="1"/>
  <c r="J1188" i="3" s="1"/>
  <c r="J1189" i="3" s="1"/>
  <c r="J1190" i="3" s="1"/>
  <c r="J1191" i="3" s="1"/>
  <c r="J1192" i="3" s="1"/>
  <c r="J1193" i="3" s="1"/>
  <c r="J1194" i="3" s="1"/>
  <c r="J1195" i="3" s="1"/>
  <c r="J1196" i="3" s="1"/>
  <c r="I57" i="3"/>
  <c r="L58" i="3"/>
  <c r="J1197" i="3" l="1"/>
  <c r="J1198" i="3" s="1"/>
  <c r="J1199" i="3" s="1"/>
  <c r="J1200" i="3" s="1"/>
  <c r="J1201" i="3" s="1"/>
  <c r="J1202" i="3" s="1"/>
  <c r="J1203" i="3" s="1"/>
  <c r="J1204" i="3" s="1"/>
  <c r="J1205" i="3" s="1"/>
  <c r="J1206" i="3" s="1"/>
  <c r="J1207" i="3" s="1"/>
  <c r="J1208" i="3" s="1"/>
  <c r="J1209" i="3" s="1"/>
  <c r="J1210" i="3" s="1"/>
  <c r="J1211" i="3" s="1"/>
  <c r="J1212" i="3" s="1"/>
  <c r="J1213" i="3" s="1"/>
  <c r="J1214" i="3" s="1"/>
  <c r="J1215" i="3" s="1"/>
  <c r="J1216" i="3" s="1"/>
  <c r="J1217" i="3" s="1"/>
  <c r="J1218" i="3" s="1"/>
  <c r="J1219" i="3" s="1"/>
  <c r="I58" i="3"/>
  <c r="L59" i="3"/>
  <c r="J1220" i="3" l="1"/>
  <c r="J1221" i="3" s="1"/>
  <c r="J1222" i="3" s="1"/>
  <c r="J1223" i="3" s="1"/>
  <c r="J1224" i="3" s="1"/>
  <c r="J1225" i="3" s="1"/>
  <c r="J1226" i="3" s="1"/>
  <c r="J1227" i="3" s="1"/>
  <c r="J1228" i="3" s="1"/>
  <c r="J1229" i="3" s="1"/>
  <c r="J1230" i="3" s="1"/>
  <c r="J1231" i="3" s="1"/>
  <c r="J1232" i="3" s="1"/>
  <c r="J1233" i="3" s="1"/>
  <c r="J1234" i="3" s="1"/>
  <c r="J1235" i="3" s="1"/>
  <c r="J1236" i="3" s="1"/>
  <c r="J1237" i="3" s="1"/>
  <c r="J1238" i="3" s="1"/>
  <c r="J1239" i="3" s="1"/>
  <c r="I59" i="3"/>
  <c r="L60" i="3"/>
  <c r="J1240" i="3" l="1"/>
  <c r="J1241" i="3" s="1"/>
  <c r="J1242" i="3" s="1"/>
  <c r="J1243" i="3" s="1"/>
  <c r="J1244" i="3" s="1"/>
  <c r="J1245" i="3" s="1"/>
  <c r="J1246" i="3" s="1"/>
  <c r="J1247" i="3" s="1"/>
  <c r="J1248" i="3" s="1"/>
  <c r="J1249" i="3" s="1"/>
  <c r="J1250" i="3" s="1"/>
  <c r="J1251" i="3" s="1"/>
  <c r="J1252" i="3" s="1"/>
  <c r="J1253" i="3" s="1"/>
  <c r="J1254" i="3" s="1"/>
  <c r="J1255" i="3" s="1"/>
  <c r="J1256" i="3" s="1"/>
  <c r="J1257" i="3" s="1"/>
  <c r="J1258" i="3" s="1"/>
  <c r="J1259" i="3" s="1"/>
  <c r="J1260" i="3" s="1"/>
  <c r="L61" i="3"/>
  <c r="I60" i="3"/>
  <c r="L62" i="3" l="1"/>
  <c r="I61" i="3"/>
  <c r="J1261" i="3"/>
  <c r="J1262" i="3" s="1"/>
  <c r="J1263" i="3" s="1"/>
  <c r="J1264" i="3" s="1"/>
  <c r="J1265" i="3" s="1"/>
  <c r="J1266" i="3" s="1"/>
  <c r="J1267" i="3" s="1"/>
  <c r="J1268" i="3" s="1"/>
  <c r="J1269" i="3" s="1"/>
  <c r="J1270" i="3" s="1"/>
  <c r="J1271" i="3" s="1"/>
  <c r="J1272" i="3" s="1"/>
  <c r="J1273" i="3" s="1"/>
  <c r="J1274" i="3" s="1"/>
  <c r="J1275" i="3" s="1"/>
  <c r="J1276" i="3" s="1"/>
  <c r="J1277" i="3" s="1"/>
  <c r="J1278" i="3" s="1"/>
  <c r="J1279" i="3" s="1"/>
  <c r="J1280" i="3" s="1"/>
  <c r="J1281" i="3" l="1"/>
  <c r="J1282" i="3" s="1"/>
  <c r="J1283" i="3" s="1"/>
  <c r="J1284" i="3" s="1"/>
  <c r="J1285" i="3" s="1"/>
  <c r="J1286" i="3" s="1"/>
  <c r="J1287" i="3" s="1"/>
  <c r="J1288" i="3" s="1"/>
  <c r="J1289" i="3" s="1"/>
  <c r="J1290" i="3" s="1"/>
  <c r="J1291" i="3" s="1"/>
  <c r="J1292" i="3" s="1"/>
  <c r="J1293" i="3" s="1"/>
  <c r="J1294" i="3" s="1"/>
  <c r="J1295" i="3" s="1"/>
  <c r="J1296" i="3" s="1"/>
  <c r="J1297" i="3" s="1"/>
  <c r="J1298" i="3" s="1"/>
  <c r="J1299" i="3" s="1"/>
  <c r="L63" i="3"/>
  <c r="I62" i="3"/>
  <c r="J1300" i="3" l="1"/>
  <c r="J1301" i="3" s="1"/>
  <c r="J1302" i="3" s="1"/>
  <c r="J1303" i="3" s="1"/>
  <c r="J1304" i="3" s="1"/>
  <c r="J1305" i="3" s="1"/>
  <c r="J1306" i="3" s="1"/>
  <c r="J1307" i="3" s="1"/>
  <c r="J1308" i="3" s="1"/>
  <c r="J1309" i="3" s="1"/>
  <c r="J1310" i="3" s="1"/>
  <c r="J1311" i="3" s="1"/>
  <c r="J1312" i="3" s="1"/>
  <c r="J1313" i="3" s="1"/>
  <c r="J1314" i="3" s="1"/>
  <c r="J1315" i="3" s="1"/>
  <c r="J1316" i="3" s="1"/>
  <c r="J1317" i="3" s="1"/>
  <c r="J1318" i="3" s="1"/>
  <c r="J1319" i="3" s="1"/>
  <c r="J1320" i="3" s="1"/>
  <c r="I63" i="3"/>
  <c r="L64" i="3"/>
  <c r="I64" i="3" l="1"/>
  <c r="K64" i="3" s="1"/>
  <c r="L65" i="3"/>
  <c r="J1321" i="3"/>
  <c r="J1322" i="3" s="1"/>
  <c r="J1323" i="3" s="1"/>
  <c r="J1324" i="3" s="1"/>
  <c r="J1325" i="3" s="1"/>
  <c r="J1326" i="3" s="1"/>
  <c r="J1327" i="3" s="1"/>
  <c r="J1328" i="3" s="1"/>
  <c r="J1329" i="3" s="1"/>
  <c r="J1330" i="3" s="1"/>
  <c r="J1331" i="3" s="1"/>
  <c r="J1332" i="3" s="1"/>
  <c r="J1333" i="3" s="1"/>
  <c r="J1334" i="3" s="1"/>
  <c r="J1335" i="3" s="1"/>
  <c r="J1336" i="3" s="1"/>
  <c r="J1337" i="3" s="1"/>
  <c r="J1338" i="3" s="1"/>
  <c r="J1339" i="3" s="1"/>
  <c r="J1340" i="3" s="1"/>
  <c r="J1341" i="3" s="1"/>
  <c r="J1342" i="3" l="1"/>
  <c r="J1343" i="3" s="1"/>
  <c r="J1344" i="3" s="1"/>
  <c r="J1345" i="3" s="1"/>
  <c r="J1346" i="3" s="1"/>
  <c r="J1347" i="3" s="1"/>
  <c r="J1348" i="3" s="1"/>
  <c r="J1349" i="3" s="1"/>
  <c r="J1350" i="3" s="1"/>
  <c r="J1351" i="3" s="1"/>
  <c r="J1352" i="3" s="1"/>
  <c r="J1353" i="3" s="1"/>
  <c r="J1354" i="3" s="1"/>
  <c r="J1355" i="3" s="1"/>
  <c r="J1356" i="3" s="1"/>
  <c r="J1357" i="3" s="1"/>
  <c r="J1358" i="3" s="1"/>
  <c r="J1359" i="3" s="1"/>
  <c r="J1360" i="3" s="1"/>
  <c r="J1361" i="3" s="1"/>
  <c r="J1362" i="3" s="1"/>
  <c r="L66" i="3"/>
  <c r="I65" i="3"/>
  <c r="I66" i="3" l="1"/>
  <c r="L67" i="3"/>
  <c r="J1363" i="3"/>
  <c r="J1364" i="3" s="1"/>
  <c r="J1365" i="3" s="1"/>
  <c r="J1366" i="3" s="1"/>
  <c r="J1367" i="3" s="1"/>
  <c r="J1368" i="3" s="1"/>
  <c r="J1369" i="3" s="1"/>
  <c r="J1370" i="3" s="1"/>
  <c r="J1371" i="3" s="1"/>
  <c r="J1372" i="3" s="1"/>
  <c r="J1373" i="3" s="1"/>
  <c r="J1374" i="3" s="1"/>
  <c r="J1375" i="3" s="1"/>
  <c r="J1376" i="3" s="1"/>
  <c r="J1377" i="3" s="1"/>
  <c r="J1378" i="3" s="1"/>
  <c r="J1379" i="3" s="1"/>
  <c r="J1380" i="3" s="1"/>
  <c r="J1381" i="3" s="1"/>
  <c r="J1382" i="3" s="1"/>
  <c r="J1383" i="3" l="1"/>
  <c r="J1384" i="3" s="1"/>
  <c r="J1385" i="3" s="1"/>
  <c r="J1386" i="3" s="1"/>
  <c r="J1387" i="3" s="1"/>
  <c r="J1388" i="3" s="1"/>
  <c r="J1389" i="3" s="1"/>
  <c r="J1390" i="3" s="1"/>
  <c r="J1391" i="3" s="1"/>
  <c r="J1392" i="3" s="1"/>
  <c r="J1393" i="3" s="1"/>
  <c r="J1394" i="3" s="1"/>
  <c r="J1395" i="3" s="1"/>
  <c r="J1396" i="3" s="1"/>
  <c r="J1397" i="3" s="1"/>
  <c r="J1398" i="3" s="1"/>
  <c r="J1399" i="3" s="1"/>
  <c r="J1400" i="3" s="1"/>
  <c r="J1401" i="3" s="1"/>
  <c r="J1402" i="3" s="1"/>
  <c r="J1403" i="3" s="1"/>
  <c r="J1404" i="3" s="1"/>
  <c r="I67" i="3"/>
  <c r="L68" i="3"/>
  <c r="J1405" i="3" l="1"/>
  <c r="J1406" i="3" s="1"/>
  <c r="J1407" i="3" s="1"/>
  <c r="J1408" i="3" s="1"/>
  <c r="J1409" i="3" s="1"/>
  <c r="J1410" i="3" s="1"/>
  <c r="J1411" i="3" s="1"/>
  <c r="J1412" i="3" s="1"/>
  <c r="J1413" i="3" s="1"/>
  <c r="J1414" i="3" s="1"/>
  <c r="J1415" i="3" s="1"/>
  <c r="J1416" i="3" s="1"/>
  <c r="J1417" i="3" s="1"/>
  <c r="J1418" i="3" s="1"/>
  <c r="J1419" i="3" s="1"/>
  <c r="J1420" i="3" s="1"/>
  <c r="J1421" i="3" s="1"/>
  <c r="J1422" i="3" s="1"/>
  <c r="J1423" i="3" s="1"/>
  <c r="J1424" i="3" s="1"/>
  <c r="J1425" i="3" s="1"/>
  <c r="L69" i="3"/>
  <c r="I68" i="3"/>
  <c r="L70" i="3" l="1"/>
  <c r="I69" i="3"/>
  <c r="J1426" i="3"/>
  <c r="J1427" i="3" s="1"/>
  <c r="J1428" i="3" s="1"/>
  <c r="J1429" i="3" s="1"/>
  <c r="J1430" i="3" s="1"/>
  <c r="J1431" i="3" s="1"/>
  <c r="J1432" i="3" s="1"/>
  <c r="J1433" i="3" s="1"/>
  <c r="J1434" i="3" s="1"/>
  <c r="J1435" i="3" s="1"/>
  <c r="J1436" i="3" s="1"/>
  <c r="J1437" i="3" s="1"/>
  <c r="J1438" i="3" s="1"/>
  <c r="J1439" i="3" s="1"/>
  <c r="J1440" i="3" s="1"/>
  <c r="I70" i="3" l="1"/>
  <c r="L71" i="3"/>
  <c r="L72" i="3" l="1"/>
  <c r="I71" i="3"/>
  <c r="I72" i="3" l="1"/>
  <c r="L73" i="3"/>
  <c r="I73" i="3" l="1"/>
  <c r="L74" i="3"/>
  <c r="I74" i="3" l="1"/>
  <c r="L75" i="3"/>
  <c r="L76" i="3" l="1"/>
  <c r="I75" i="3"/>
  <c r="I76" i="3" l="1"/>
  <c r="L77" i="3"/>
  <c r="L78" i="3" l="1"/>
  <c r="I77" i="3"/>
  <c r="I78" i="3" l="1"/>
  <c r="L79" i="3"/>
  <c r="I79" i="3" l="1"/>
  <c r="L80" i="3"/>
  <c r="I80" i="3" l="1"/>
  <c r="L81" i="3"/>
  <c r="I81" i="3" l="1"/>
  <c r="L82" i="3"/>
  <c r="L83" i="3" l="1"/>
  <c r="I82" i="3"/>
  <c r="L84" i="3" l="1"/>
  <c r="I83" i="3"/>
  <c r="I84" i="3" l="1"/>
  <c r="L85" i="3"/>
  <c r="I85" i="3" l="1"/>
  <c r="K85" i="3" s="1"/>
  <c r="L86" i="3" l="1"/>
  <c r="L87" i="3" l="1"/>
  <c r="I86" i="3"/>
  <c r="I87" i="3" l="1"/>
  <c r="L88" i="3"/>
  <c r="I88" i="3" l="1"/>
  <c r="L89" i="3"/>
  <c r="I89" i="3" l="1"/>
  <c r="L90" i="3"/>
  <c r="I90" i="3" l="1"/>
  <c r="L91" i="3"/>
  <c r="I91" i="3" l="1"/>
  <c r="L92" i="3"/>
  <c r="I92" i="3" l="1"/>
  <c r="L93" i="3"/>
  <c r="L94" i="3" l="1"/>
  <c r="I93" i="3"/>
  <c r="I94" i="3" l="1"/>
  <c r="L95" i="3"/>
  <c r="L96" i="3" l="1"/>
  <c r="I95" i="3"/>
  <c r="I96" i="3" l="1"/>
  <c r="L97" i="3"/>
  <c r="I97" i="3" l="1"/>
  <c r="L98" i="3"/>
  <c r="I98" i="3" l="1"/>
  <c r="L99" i="3"/>
  <c r="I99" i="3" l="1"/>
  <c r="L100" i="3"/>
  <c r="I100" i="3" l="1"/>
  <c r="L101" i="3"/>
  <c r="I101" i="3" l="1"/>
  <c r="L102" i="3"/>
  <c r="I102" i="3" l="1"/>
  <c r="L103" i="3"/>
  <c r="L104" i="3" l="1"/>
  <c r="I103" i="3"/>
  <c r="L105" i="3" l="1"/>
  <c r="I104" i="3"/>
  <c r="I105" i="3" l="1"/>
  <c r="K105" i="3" s="1"/>
  <c r="L106" i="3" s="1"/>
  <c r="L107" i="3" l="1"/>
  <c r="I106" i="3"/>
  <c r="L108" i="3" l="1"/>
  <c r="I107" i="3"/>
  <c r="I108" i="3" l="1"/>
  <c r="L109" i="3"/>
  <c r="I109" i="3" l="1"/>
  <c r="L110" i="3"/>
  <c r="L111" i="3" l="1"/>
  <c r="I110" i="3"/>
  <c r="I111" i="3" l="1"/>
  <c r="L112" i="3"/>
  <c r="I112" i="3" l="1"/>
  <c r="L113" i="3"/>
  <c r="I113" i="3" l="1"/>
  <c r="L114" i="3"/>
  <c r="I114" i="3" l="1"/>
  <c r="L115" i="3"/>
  <c r="I115" i="3" l="1"/>
  <c r="L116" i="3"/>
  <c r="L117" i="3" l="1"/>
  <c r="I116" i="3"/>
  <c r="L118" i="3" l="1"/>
  <c r="I117" i="3"/>
  <c r="I118" i="3" l="1"/>
  <c r="L119" i="3"/>
  <c r="I119" i="3" l="1"/>
  <c r="L120" i="3"/>
  <c r="I120" i="3" l="1"/>
  <c r="L121" i="3"/>
  <c r="I121" i="3" l="1"/>
  <c r="L122" i="3"/>
  <c r="L123" i="3" l="1"/>
  <c r="I122" i="3"/>
  <c r="L124" i="3" l="1"/>
  <c r="I123" i="3"/>
  <c r="I124" i="3" l="1"/>
  <c r="L125" i="3"/>
  <c r="L126" i="3" l="1"/>
  <c r="I125" i="3"/>
  <c r="I126" i="3" l="1"/>
  <c r="L127" i="3"/>
  <c r="I127" i="3" l="1"/>
  <c r="K127" i="3" s="1"/>
  <c r="L128" i="3" s="1"/>
  <c r="L129" i="3" l="1"/>
  <c r="I128" i="3"/>
  <c r="L130" i="3" l="1"/>
  <c r="I129" i="3"/>
  <c r="L131" i="3" l="1"/>
  <c r="I130" i="3"/>
  <c r="I131" i="3" l="1"/>
  <c r="L132" i="3"/>
  <c r="I132" i="3" l="1"/>
  <c r="L133" i="3"/>
  <c r="I133" i="3" l="1"/>
  <c r="L134" i="3"/>
  <c r="I134" i="3" l="1"/>
  <c r="L135" i="3"/>
  <c r="I135" i="3" l="1"/>
  <c r="L136" i="3"/>
  <c r="I136" i="3" l="1"/>
  <c r="L137" i="3"/>
  <c r="I137" i="3" l="1"/>
  <c r="L138" i="3"/>
  <c r="I138" i="3" l="1"/>
  <c r="L139" i="3"/>
  <c r="I139" i="3" l="1"/>
  <c r="L140" i="3"/>
  <c r="I140" i="3" l="1"/>
  <c r="L141" i="3"/>
  <c r="L142" i="3" l="1"/>
  <c r="I141" i="3"/>
  <c r="I142" i="3" l="1"/>
  <c r="L143" i="3"/>
  <c r="L144" i="3" l="1"/>
  <c r="I143" i="3"/>
  <c r="I144" i="3" l="1"/>
  <c r="L145" i="3"/>
  <c r="I145" i="3" l="1"/>
  <c r="L146" i="3"/>
  <c r="I146" i="3" l="1"/>
  <c r="L147" i="3"/>
  <c r="L148" i="3" l="1"/>
  <c r="I147" i="3"/>
  <c r="L149" i="3" l="1"/>
  <c r="I148" i="3"/>
  <c r="I149" i="3" l="1"/>
  <c r="K149" i="3" s="1"/>
  <c r="L150" i="3" s="1"/>
  <c r="L151" i="3" l="1"/>
  <c r="I150" i="3"/>
  <c r="L152" i="3" l="1"/>
  <c r="I151" i="3"/>
  <c r="L153" i="3" l="1"/>
  <c r="I152" i="3"/>
  <c r="L154" i="3" l="1"/>
  <c r="I153" i="3"/>
  <c r="I154" i="3" l="1"/>
  <c r="L155" i="3"/>
  <c r="I155" i="3" l="1"/>
  <c r="L156" i="3"/>
  <c r="I156" i="3" l="1"/>
  <c r="L157" i="3"/>
  <c r="I157" i="3" l="1"/>
  <c r="L158" i="3"/>
  <c r="I158" i="3" l="1"/>
  <c r="L159" i="3"/>
  <c r="I159" i="3" l="1"/>
  <c r="L160" i="3"/>
  <c r="L161" i="3" l="1"/>
  <c r="I160" i="3"/>
  <c r="L162" i="3" l="1"/>
  <c r="I161" i="3"/>
  <c r="L163" i="3" l="1"/>
  <c r="I162" i="3"/>
  <c r="I163" i="3" l="1"/>
  <c r="L164" i="3"/>
  <c r="I164" i="3" l="1"/>
  <c r="L165" i="3"/>
  <c r="I165" i="3" l="1"/>
  <c r="L166" i="3"/>
  <c r="I166" i="3" l="1"/>
  <c r="L167" i="3"/>
  <c r="I167" i="3" l="1"/>
  <c r="L168" i="3"/>
  <c r="L169" i="3" l="1"/>
  <c r="I168" i="3"/>
  <c r="L170" i="3" l="1"/>
  <c r="I169" i="3"/>
  <c r="I170" i="3" l="1"/>
  <c r="K170" i="3" s="1"/>
  <c r="L171" i="3" s="1"/>
  <c r="L172" i="3" l="1"/>
  <c r="I171" i="3"/>
  <c r="I172" i="3" l="1"/>
  <c r="L173" i="3"/>
  <c r="I173" i="3" l="1"/>
  <c r="L174" i="3"/>
  <c r="I174" i="3" l="1"/>
  <c r="L175" i="3"/>
  <c r="I175" i="3" l="1"/>
  <c r="L176" i="3"/>
  <c r="L177" i="3" l="1"/>
  <c r="I176" i="3"/>
  <c r="I177" i="3" l="1"/>
  <c r="L178" i="3"/>
  <c r="L179" i="3" l="1"/>
  <c r="I178" i="3"/>
  <c r="L180" i="3" l="1"/>
  <c r="I179" i="3"/>
  <c r="L181" i="3" l="1"/>
  <c r="I180" i="3"/>
  <c r="L182" i="3" l="1"/>
  <c r="I181" i="3"/>
  <c r="I182" i="3" l="1"/>
  <c r="L183" i="3"/>
  <c r="I183" i="3" l="1"/>
  <c r="L184" i="3"/>
  <c r="I184" i="3" l="1"/>
  <c r="L185" i="3"/>
  <c r="I185" i="3" l="1"/>
  <c r="L186" i="3"/>
  <c r="I186" i="3" l="1"/>
  <c r="L187" i="3"/>
  <c r="I187" i="3" l="1"/>
  <c r="L188" i="3"/>
  <c r="I188" i="3" l="1"/>
  <c r="L189" i="3"/>
  <c r="L190" i="3" l="1"/>
  <c r="I189" i="3"/>
  <c r="L191" i="3" l="1"/>
  <c r="I190" i="3"/>
  <c r="I191" i="3" l="1"/>
  <c r="K191" i="3" s="1"/>
  <c r="L192" i="3" s="1"/>
  <c r="I192" i="3" l="1"/>
  <c r="L193" i="3"/>
  <c r="I193" i="3" l="1"/>
  <c r="L194" i="3"/>
  <c r="L195" i="3" l="1"/>
  <c r="I194" i="3"/>
  <c r="I195" i="3" l="1"/>
  <c r="L196" i="3"/>
  <c r="I196" i="3" l="1"/>
  <c r="L197" i="3"/>
  <c r="L198" i="3" l="1"/>
  <c r="I197" i="3"/>
  <c r="L199" i="3" l="1"/>
  <c r="I198" i="3"/>
  <c r="L200" i="3" l="1"/>
  <c r="I199" i="3"/>
  <c r="L201" i="3" l="1"/>
  <c r="I200" i="3"/>
  <c r="I201" i="3" l="1"/>
  <c r="L202" i="3"/>
  <c r="L203" i="3" l="1"/>
  <c r="I202" i="3"/>
  <c r="I203" i="3" l="1"/>
  <c r="L204" i="3"/>
  <c r="L205" i="3" l="1"/>
  <c r="I204" i="3"/>
  <c r="I205" i="3" l="1"/>
  <c r="L206" i="3"/>
  <c r="I206" i="3" l="1"/>
  <c r="L207" i="3"/>
  <c r="I207" i="3" l="1"/>
  <c r="L208" i="3"/>
  <c r="I208" i="3" l="1"/>
  <c r="L209" i="3"/>
  <c r="I209" i="3" l="1"/>
  <c r="L210" i="3"/>
  <c r="I210" i="3" l="1"/>
  <c r="L211" i="3"/>
  <c r="L212" i="3" l="1"/>
  <c r="I211" i="3"/>
  <c r="L213" i="3" l="1"/>
  <c r="I212" i="3"/>
  <c r="I213" i="3" l="1"/>
  <c r="K213" i="3" s="1"/>
  <c r="L214" i="3" s="1"/>
  <c r="I214" i="3" l="1"/>
  <c r="L215" i="3"/>
  <c r="I215" i="3" l="1"/>
  <c r="L216" i="3"/>
  <c r="L217" i="3" l="1"/>
  <c r="I216" i="3"/>
  <c r="L218" i="3" l="1"/>
  <c r="I217" i="3"/>
  <c r="L219" i="3" l="1"/>
  <c r="I218" i="3"/>
  <c r="L220" i="3" l="1"/>
  <c r="I219" i="3"/>
  <c r="I220" i="3" l="1"/>
  <c r="L221" i="3"/>
  <c r="I221" i="3" l="1"/>
  <c r="L222" i="3"/>
  <c r="I222" i="3" l="1"/>
  <c r="L223" i="3"/>
  <c r="I223" i="3" l="1"/>
  <c r="L224" i="3"/>
  <c r="I224" i="3" l="1"/>
  <c r="L225" i="3"/>
  <c r="I225" i="3" l="1"/>
  <c r="L226" i="3"/>
  <c r="I226" i="3" l="1"/>
  <c r="L227" i="3"/>
  <c r="I227" i="3" l="1"/>
  <c r="L228" i="3"/>
  <c r="I228" i="3" l="1"/>
  <c r="L229" i="3"/>
  <c r="I229" i="3" l="1"/>
  <c r="L230" i="3"/>
  <c r="L231" i="3" l="1"/>
  <c r="I230" i="3"/>
  <c r="I231" i="3" l="1"/>
  <c r="L232" i="3"/>
  <c r="I232" i="3" l="1"/>
  <c r="L233" i="3"/>
  <c r="I233" i="3" l="1"/>
  <c r="K233" i="3" s="1"/>
  <c r="L234" i="3" s="1"/>
  <c r="L235" i="3" l="1"/>
  <c r="I234" i="3"/>
  <c r="I235" i="3" l="1"/>
  <c r="L236" i="3"/>
  <c r="I236" i="3" l="1"/>
  <c r="L237" i="3"/>
  <c r="L238" i="3" l="1"/>
  <c r="I237" i="3"/>
  <c r="L239" i="3" l="1"/>
  <c r="I238" i="3"/>
  <c r="I239" i="3" l="1"/>
  <c r="L240" i="3"/>
  <c r="I240" i="3" l="1"/>
  <c r="L241" i="3"/>
  <c r="I241" i="3" l="1"/>
  <c r="L242" i="3"/>
  <c r="I242" i="3" l="1"/>
  <c r="L243" i="3"/>
  <c r="L244" i="3" l="1"/>
  <c r="I243" i="3"/>
  <c r="L245" i="3" l="1"/>
  <c r="I244" i="3"/>
  <c r="I245" i="3" l="1"/>
  <c r="L246" i="3"/>
  <c r="I246" i="3" l="1"/>
  <c r="L247" i="3"/>
  <c r="I247" i="3" l="1"/>
  <c r="L248" i="3"/>
  <c r="I248" i="3" l="1"/>
  <c r="L249" i="3"/>
  <c r="I249" i="3" l="1"/>
  <c r="L250" i="3"/>
  <c r="I250" i="3" l="1"/>
  <c r="L251" i="3"/>
  <c r="L252" i="3" l="1"/>
  <c r="I251" i="3"/>
  <c r="L253" i="3" l="1"/>
  <c r="I252" i="3"/>
  <c r="L254" i="3" l="1"/>
  <c r="I253" i="3"/>
  <c r="L255" i="3" l="1"/>
  <c r="I254" i="3"/>
  <c r="I255" i="3" l="1"/>
  <c r="K255" i="3" s="1"/>
  <c r="L256" i="3" s="1"/>
  <c r="L257" i="3" l="1"/>
  <c r="I256" i="3"/>
  <c r="L258" i="3" l="1"/>
  <c r="I257" i="3"/>
  <c r="I258" i="3" l="1"/>
  <c r="L259" i="3"/>
  <c r="I259" i="3" l="1"/>
  <c r="L260" i="3"/>
  <c r="I260" i="3" l="1"/>
  <c r="L261" i="3"/>
  <c r="I261" i="3" l="1"/>
  <c r="L262" i="3"/>
  <c r="L263" i="3" l="1"/>
  <c r="I262" i="3"/>
  <c r="L264" i="3" l="1"/>
  <c r="I263" i="3"/>
  <c r="I264" i="3" l="1"/>
  <c r="L265" i="3"/>
  <c r="I265" i="3" l="1"/>
  <c r="L266" i="3"/>
  <c r="I266" i="3" l="1"/>
  <c r="L267" i="3"/>
  <c r="L268" i="3" l="1"/>
  <c r="I267" i="3"/>
  <c r="L269" i="3" l="1"/>
  <c r="I268" i="3"/>
  <c r="L270" i="3" l="1"/>
  <c r="I269" i="3"/>
  <c r="I270" i="3" l="1"/>
  <c r="L271" i="3"/>
  <c r="I271" i="3" l="1"/>
  <c r="L272" i="3"/>
  <c r="I272" i="3" l="1"/>
  <c r="L273" i="3"/>
  <c r="L274" i="3" l="1"/>
  <c r="I273" i="3"/>
  <c r="I274" i="3" l="1"/>
  <c r="K274" i="3" s="1"/>
  <c r="L275" i="3"/>
  <c r="I275" i="3" l="1"/>
  <c r="L276" i="3"/>
  <c r="L277" i="3" l="1"/>
  <c r="I276" i="3"/>
  <c r="L278" i="3" l="1"/>
  <c r="I277" i="3"/>
  <c r="L279" i="3" l="1"/>
  <c r="I278" i="3"/>
  <c r="I279" i="3" l="1"/>
  <c r="L280" i="3"/>
  <c r="I280" i="3" l="1"/>
  <c r="L281" i="3"/>
  <c r="I281" i="3" l="1"/>
  <c r="L282" i="3"/>
  <c r="I282" i="3" l="1"/>
  <c r="L283" i="3"/>
  <c r="I283" i="3" l="1"/>
  <c r="L284" i="3"/>
  <c r="I284" i="3" l="1"/>
  <c r="L285" i="3"/>
  <c r="I285" i="3" l="1"/>
  <c r="L286" i="3"/>
  <c r="I286" i="3" l="1"/>
  <c r="L287" i="3"/>
  <c r="L288" i="3" l="1"/>
  <c r="I287" i="3"/>
  <c r="I288" i="3" l="1"/>
  <c r="L289" i="3"/>
  <c r="I289" i="3" l="1"/>
  <c r="L290" i="3"/>
  <c r="L291" i="3" l="1"/>
  <c r="I290" i="3"/>
  <c r="I291" i="3" l="1"/>
  <c r="L292" i="3"/>
  <c r="I292" i="3" l="1"/>
  <c r="L293" i="3"/>
  <c r="I293" i="3" l="1"/>
  <c r="K293" i="3" s="1"/>
  <c r="L294" i="3" s="1"/>
  <c r="L295" i="3" l="1"/>
  <c r="I294" i="3"/>
  <c r="I295" i="3" l="1"/>
  <c r="L296" i="3"/>
  <c r="I296" i="3" l="1"/>
  <c r="L297" i="3"/>
  <c r="L298" i="3" l="1"/>
  <c r="I297" i="3"/>
  <c r="I298" i="3" l="1"/>
  <c r="L299" i="3"/>
  <c r="L300" i="3" l="1"/>
  <c r="I299" i="3"/>
  <c r="I300" i="3" l="1"/>
  <c r="L301" i="3"/>
  <c r="L302" i="3" l="1"/>
  <c r="I301" i="3"/>
  <c r="L303" i="3" l="1"/>
  <c r="I302" i="3"/>
  <c r="I303" i="3" l="1"/>
  <c r="L304" i="3"/>
  <c r="I304" i="3" l="1"/>
  <c r="L305" i="3"/>
  <c r="L306" i="3" l="1"/>
  <c r="I305" i="3"/>
  <c r="I306" i="3" l="1"/>
  <c r="L307" i="3"/>
  <c r="I307" i="3" l="1"/>
  <c r="L308" i="3"/>
  <c r="I308" i="3" l="1"/>
  <c r="L309" i="3"/>
  <c r="L310" i="3" l="1"/>
  <c r="I309" i="3"/>
  <c r="L311" i="3" l="1"/>
  <c r="I310" i="3"/>
  <c r="I311" i="3" l="1"/>
  <c r="L312" i="3"/>
  <c r="I312" i="3" l="1"/>
  <c r="L313" i="3"/>
  <c r="L314" i="3" l="1"/>
  <c r="I313" i="3"/>
  <c r="L315" i="3" l="1"/>
  <c r="I314" i="3"/>
  <c r="I315" i="3" l="1"/>
  <c r="L316" i="3"/>
  <c r="I316" i="3" l="1"/>
  <c r="K316" i="3" s="1"/>
  <c r="L317" i="3" s="1"/>
  <c r="I317" i="3" l="1"/>
  <c r="L318" i="3"/>
  <c r="I318" i="3" l="1"/>
  <c r="L319" i="3"/>
  <c r="L320" i="3" l="1"/>
  <c r="I319" i="3"/>
  <c r="L321" i="3" l="1"/>
  <c r="I320" i="3"/>
  <c r="L322" i="3" l="1"/>
  <c r="I321" i="3"/>
  <c r="L323" i="3" l="1"/>
  <c r="I322" i="3"/>
  <c r="L324" i="3" l="1"/>
  <c r="I323" i="3"/>
  <c r="L325" i="3" l="1"/>
  <c r="I324" i="3"/>
  <c r="I325" i="3" l="1"/>
  <c r="L326" i="3"/>
  <c r="L327" i="3" l="1"/>
  <c r="I326" i="3"/>
  <c r="I327" i="3" l="1"/>
  <c r="L328" i="3"/>
  <c r="I328" i="3" l="1"/>
  <c r="L329" i="3"/>
  <c r="I329" i="3" l="1"/>
  <c r="L330" i="3"/>
  <c r="I330" i="3" l="1"/>
  <c r="L331" i="3"/>
  <c r="L332" i="3" l="1"/>
  <c r="I331" i="3"/>
  <c r="L333" i="3" l="1"/>
  <c r="I332" i="3"/>
  <c r="I333" i="3" l="1"/>
  <c r="L334" i="3"/>
  <c r="I334" i="3" l="1"/>
  <c r="L335" i="3"/>
  <c r="I335" i="3" l="1"/>
  <c r="L336" i="3"/>
  <c r="I336" i="3" l="1"/>
  <c r="L337" i="3"/>
  <c r="I337" i="3" l="1"/>
  <c r="K337" i="3" s="1"/>
  <c r="L338" i="3"/>
  <c r="I338" i="3" l="1"/>
  <c r="L339" i="3"/>
  <c r="I339" i="3" l="1"/>
  <c r="L340" i="3"/>
  <c r="L341" i="3" l="1"/>
  <c r="I340" i="3"/>
  <c r="L342" i="3" l="1"/>
  <c r="I341" i="3"/>
  <c r="L343" i="3" l="1"/>
  <c r="I342" i="3"/>
  <c r="L344" i="3" l="1"/>
  <c r="I343" i="3"/>
  <c r="I344" i="3" l="1"/>
  <c r="L345" i="3"/>
  <c r="I345" i="3" l="1"/>
  <c r="L346" i="3"/>
  <c r="L347" i="3" l="1"/>
  <c r="I346" i="3"/>
  <c r="I347" i="3" l="1"/>
  <c r="L348" i="3"/>
  <c r="I348" i="3" l="1"/>
  <c r="L349" i="3"/>
  <c r="I349" i="3" l="1"/>
  <c r="L350" i="3"/>
  <c r="I350" i="3" l="1"/>
  <c r="L351" i="3"/>
  <c r="L352" i="3" l="1"/>
  <c r="I351" i="3"/>
  <c r="L353" i="3" l="1"/>
  <c r="I352" i="3"/>
  <c r="I353" i="3" l="1"/>
  <c r="L354" i="3"/>
  <c r="I354" i="3" l="1"/>
  <c r="L355" i="3"/>
  <c r="I355" i="3" l="1"/>
  <c r="L356" i="3"/>
  <c r="I356" i="3" l="1"/>
  <c r="L357" i="3"/>
  <c r="I357" i="3" l="1"/>
  <c r="K357" i="3" s="1"/>
  <c r="L358" i="3"/>
  <c r="I358" i="3" l="1"/>
  <c r="L359" i="3"/>
  <c r="L360" i="3" l="1"/>
  <c r="I359" i="3"/>
  <c r="I360" i="3" l="1"/>
  <c r="L361" i="3"/>
  <c r="I361" i="3" l="1"/>
  <c r="L362" i="3"/>
  <c r="L363" i="3" l="1"/>
  <c r="I362" i="3"/>
  <c r="L364" i="3" l="1"/>
  <c r="I363" i="3"/>
  <c r="L365" i="3" l="1"/>
  <c r="I364" i="3"/>
  <c r="I365" i="3" l="1"/>
  <c r="L366" i="3"/>
  <c r="L367" i="3" l="1"/>
  <c r="I366" i="3"/>
  <c r="I367" i="3" l="1"/>
  <c r="L368" i="3"/>
  <c r="L369" i="3" l="1"/>
  <c r="I368" i="3"/>
  <c r="L370" i="3" l="1"/>
  <c r="I369" i="3"/>
  <c r="L371" i="3" l="1"/>
  <c r="I370" i="3"/>
  <c r="L372" i="3" l="1"/>
  <c r="I371" i="3"/>
  <c r="I372" i="3" l="1"/>
  <c r="L373" i="3"/>
  <c r="L374" i="3" l="1"/>
  <c r="I373" i="3"/>
  <c r="I374" i="3" l="1"/>
  <c r="L375" i="3"/>
  <c r="I375" i="3" l="1"/>
  <c r="L376" i="3"/>
  <c r="I376" i="3" l="1"/>
  <c r="L377" i="3"/>
  <c r="I377" i="3" l="1"/>
  <c r="L378" i="3"/>
  <c r="I378" i="3" l="1"/>
  <c r="L379" i="3"/>
  <c r="I379" i="3" l="1"/>
  <c r="K379" i="3" s="1"/>
  <c r="L380" i="3" s="1"/>
  <c r="I380" i="3" l="1"/>
  <c r="L381" i="3"/>
  <c r="I381" i="3" l="1"/>
  <c r="L382" i="3"/>
  <c r="L383" i="3" l="1"/>
  <c r="I382" i="3"/>
  <c r="L384" i="3" l="1"/>
  <c r="I383" i="3"/>
  <c r="L385" i="3" l="1"/>
  <c r="I384" i="3"/>
  <c r="L386" i="3" l="1"/>
  <c r="I385" i="3"/>
  <c r="I386" i="3" l="1"/>
  <c r="L387" i="3"/>
  <c r="L388" i="3" l="1"/>
  <c r="I387" i="3"/>
  <c r="I388" i="3" l="1"/>
  <c r="L389" i="3"/>
  <c r="L390" i="3" l="1"/>
  <c r="I389" i="3"/>
  <c r="I390" i="3" l="1"/>
  <c r="L391" i="3"/>
  <c r="I391" i="3" l="1"/>
  <c r="L392" i="3"/>
  <c r="L393" i="3" l="1"/>
  <c r="I392" i="3"/>
  <c r="I393" i="3" l="1"/>
  <c r="L394" i="3"/>
  <c r="I394" i="3" l="1"/>
  <c r="L395" i="3"/>
  <c r="L396" i="3" l="1"/>
  <c r="I395" i="3"/>
  <c r="I396" i="3" l="1"/>
  <c r="L397" i="3"/>
  <c r="I397" i="3" l="1"/>
  <c r="L398" i="3"/>
  <c r="L399" i="3" l="1"/>
  <c r="I398" i="3"/>
  <c r="I399" i="3" l="1"/>
  <c r="L400" i="3"/>
  <c r="I400" i="3" l="1"/>
  <c r="K400" i="3" s="1"/>
  <c r="L401" i="3" s="1"/>
  <c r="I401" i="3" l="1"/>
  <c r="L402" i="3"/>
  <c r="I402" i="3" l="1"/>
  <c r="L403" i="3"/>
  <c r="I403" i="3" l="1"/>
  <c r="L404" i="3"/>
  <c r="L405" i="3" l="1"/>
  <c r="I404" i="3"/>
  <c r="L406" i="3" l="1"/>
  <c r="I405" i="3"/>
  <c r="L407" i="3" l="1"/>
  <c r="I406" i="3"/>
  <c r="I407" i="3" l="1"/>
  <c r="L408" i="3"/>
  <c r="I408" i="3" l="1"/>
  <c r="L409" i="3"/>
  <c r="L410" i="3" l="1"/>
  <c r="I409" i="3"/>
  <c r="I410" i="3" l="1"/>
  <c r="L411" i="3"/>
  <c r="L412" i="3" l="1"/>
  <c r="I411" i="3"/>
  <c r="I412" i="3" l="1"/>
  <c r="L413" i="3"/>
  <c r="I413" i="3" l="1"/>
  <c r="L414" i="3"/>
  <c r="I414" i="3" l="1"/>
  <c r="L415" i="3"/>
  <c r="L416" i="3" l="1"/>
  <c r="I415" i="3"/>
  <c r="L417" i="3" l="1"/>
  <c r="I416" i="3"/>
  <c r="I417" i="3" l="1"/>
  <c r="L418" i="3"/>
  <c r="I418" i="3" l="1"/>
  <c r="L419" i="3"/>
  <c r="I419" i="3" l="1"/>
  <c r="L420" i="3"/>
  <c r="I420" i="3" l="1"/>
  <c r="L421" i="3"/>
  <c r="I421" i="3" l="1"/>
  <c r="L422" i="3"/>
  <c r="I422" i="3" l="1"/>
  <c r="K422" i="3" s="1"/>
  <c r="L423" i="3" s="1"/>
  <c r="L424" i="3" l="1"/>
  <c r="I423" i="3"/>
  <c r="I424" i="3" l="1"/>
  <c r="L425" i="3"/>
  <c r="L426" i="3" l="1"/>
  <c r="I425" i="3"/>
  <c r="I426" i="3" l="1"/>
  <c r="L427" i="3"/>
  <c r="L428" i="3" l="1"/>
  <c r="I427" i="3"/>
  <c r="L429" i="3" l="1"/>
  <c r="I428" i="3"/>
  <c r="L430" i="3" l="1"/>
  <c r="I429" i="3"/>
  <c r="I430" i="3" l="1"/>
  <c r="L431" i="3"/>
  <c r="L432" i="3" l="1"/>
  <c r="I431" i="3"/>
  <c r="I432" i="3" l="1"/>
  <c r="L433" i="3"/>
  <c r="I433" i="3" l="1"/>
  <c r="L434" i="3"/>
  <c r="I434" i="3" l="1"/>
  <c r="L435" i="3"/>
  <c r="I435" i="3" l="1"/>
  <c r="L436" i="3"/>
  <c r="L437" i="3" l="1"/>
  <c r="I436" i="3"/>
  <c r="I437" i="3" l="1"/>
  <c r="L438" i="3"/>
  <c r="I438" i="3" l="1"/>
  <c r="L439" i="3"/>
  <c r="I439" i="3" l="1"/>
  <c r="L440" i="3"/>
  <c r="I440" i="3" l="1"/>
  <c r="L441" i="3"/>
  <c r="I441" i="3" l="1"/>
  <c r="L442" i="3"/>
  <c r="I442" i="3" l="1"/>
  <c r="L443" i="3"/>
  <c r="I443" i="3" l="1"/>
  <c r="K443" i="3" s="1"/>
  <c r="L444" i="3" s="1"/>
  <c r="I444" i="3" l="1"/>
  <c r="L445" i="3"/>
  <c r="L446" i="3" l="1"/>
  <c r="I445" i="3"/>
  <c r="L447" i="3" l="1"/>
  <c r="I446" i="3"/>
  <c r="L448" i="3" l="1"/>
  <c r="I447" i="3"/>
  <c r="I448" i="3" l="1"/>
  <c r="L449" i="3"/>
  <c r="L450" i="3" l="1"/>
  <c r="I449" i="3"/>
  <c r="I450" i="3" l="1"/>
  <c r="L451" i="3"/>
  <c r="I451" i="3" l="1"/>
  <c r="L452" i="3"/>
  <c r="I452" i="3" l="1"/>
  <c r="L453" i="3"/>
  <c r="I453" i="3" l="1"/>
  <c r="L454" i="3"/>
  <c r="L455" i="3" l="1"/>
  <c r="I454" i="3"/>
  <c r="I455" i="3" l="1"/>
  <c r="L456" i="3"/>
  <c r="I456" i="3" l="1"/>
  <c r="L457" i="3"/>
  <c r="I457" i="3" l="1"/>
  <c r="L458" i="3"/>
  <c r="I458" i="3" l="1"/>
  <c r="L459" i="3"/>
  <c r="L460" i="3" l="1"/>
  <c r="I459" i="3"/>
  <c r="L461" i="3" l="1"/>
  <c r="I460" i="3"/>
  <c r="I461" i="3" l="1"/>
  <c r="L462" i="3"/>
  <c r="I462" i="3" l="1"/>
  <c r="L463" i="3"/>
  <c r="I463" i="3" l="1"/>
  <c r="L464" i="3"/>
  <c r="I464" i="3" l="1"/>
  <c r="K464" i="3" s="1"/>
  <c r="L465" i="3"/>
  <c r="L466" i="3" l="1"/>
  <c r="I465" i="3"/>
  <c r="I466" i="3" l="1"/>
  <c r="L467" i="3"/>
  <c r="L468" i="3" l="1"/>
  <c r="I467" i="3"/>
  <c r="L469" i="3" l="1"/>
  <c r="I468" i="3"/>
  <c r="L470" i="3" l="1"/>
  <c r="I469" i="3"/>
  <c r="I470" i="3" l="1"/>
  <c r="L471" i="3"/>
  <c r="I471" i="3" l="1"/>
  <c r="L472" i="3"/>
  <c r="I472" i="3" l="1"/>
  <c r="L473" i="3"/>
  <c r="I473" i="3" l="1"/>
  <c r="L474" i="3"/>
  <c r="I474" i="3" l="1"/>
  <c r="L475" i="3"/>
  <c r="I475" i="3" l="1"/>
  <c r="L476" i="3"/>
  <c r="I476" i="3" l="1"/>
  <c r="L477" i="3"/>
  <c r="I477" i="3" l="1"/>
  <c r="L478" i="3"/>
  <c r="I478" i="3" l="1"/>
  <c r="L479" i="3"/>
  <c r="L480" i="3" l="1"/>
  <c r="I479" i="3"/>
  <c r="I480" i="3" l="1"/>
  <c r="L481" i="3"/>
  <c r="I481" i="3" l="1"/>
  <c r="L482" i="3"/>
  <c r="I482" i="3" l="1"/>
  <c r="L483" i="3"/>
  <c r="L484" i="3" l="1"/>
  <c r="I483" i="3"/>
  <c r="I484" i="3" l="1"/>
  <c r="L485" i="3"/>
  <c r="I485" i="3" l="1"/>
  <c r="K485" i="3" s="1"/>
  <c r="L486" i="3" s="1"/>
  <c r="I486" i="3" l="1"/>
  <c r="L487" i="3"/>
  <c r="L488" i="3" l="1"/>
  <c r="I487" i="3"/>
  <c r="L489" i="3" l="1"/>
  <c r="I488" i="3"/>
  <c r="I489" i="3" l="1"/>
  <c r="L490" i="3"/>
  <c r="L491" i="3" l="1"/>
  <c r="I490" i="3"/>
  <c r="I491" i="3" l="1"/>
  <c r="L492" i="3"/>
  <c r="I492" i="3" l="1"/>
  <c r="L493" i="3"/>
  <c r="I493" i="3" l="1"/>
  <c r="L494" i="3"/>
  <c r="I494" i="3" l="1"/>
  <c r="L495" i="3"/>
  <c r="I495" i="3" l="1"/>
  <c r="L496" i="3"/>
  <c r="I496" i="3" l="1"/>
  <c r="L497" i="3"/>
  <c r="I497" i="3" l="1"/>
  <c r="L498" i="3"/>
  <c r="I498" i="3" l="1"/>
  <c r="L499" i="3"/>
  <c r="I499" i="3" l="1"/>
  <c r="L500" i="3"/>
  <c r="I500" i="3" l="1"/>
  <c r="L501" i="3"/>
  <c r="L502" i="3" l="1"/>
  <c r="I501" i="3"/>
  <c r="L503" i="3" l="1"/>
  <c r="I502" i="3"/>
  <c r="L504" i="3" l="1"/>
  <c r="I503" i="3"/>
  <c r="L505" i="3" l="1"/>
  <c r="I504" i="3"/>
  <c r="I505" i="3" l="1"/>
  <c r="L506" i="3"/>
  <c r="I506" i="3" l="1"/>
  <c r="L507" i="3"/>
  <c r="I507" i="3" l="1"/>
  <c r="K507" i="3" s="1"/>
  <c r="L508" i="3" s="1"/>
  <c r="I508" i="3" l="1"/>
  <c r="L509" i="3"/>
  <c r="L510" i="3" l="1"/>
  <c r="I509" i="3"/>
  <c r="L511" i="3" l="1"/>
  <c r="I510" i="3"/>
  <c r="I511" i="3" l="1"/>
  <c r="L512" i="3"/>
  <c r="I512" i="3" l="1"/>
  <c r="L513" i="3"/>
  <c r="I513" i="3" l="1"/>
  <c r="L514" i="3"/>
  <c r="I514" i="3" l="1"/>
  <c r="L515" i="3"/>
  <c r="I515" i="3" l="1"/>
  <c r="L516" i="3"/>
  <c r="I516" i="3" l="1"/>
  <c r="L517" i="3"/>
  <c r="L518" i="3" l="1"/>
  <c r="I517" i="3"/>
  <c r="I518" i="3" l="1"/>
  <c r="L519" i="3"/>
  <c r="L520" i="3" l="1"/>
  <c r="I519" i="3"/>
  <c r="I520" i="3" l="1"/>
  <c r="L521" i="3"/>
  <c r="L522" i="3" l="1"/>
  <c r="I521" i="3"/>
  <c r="I522" i="3" l="1"/>
  <c r="L523" i="3"/>
  <c r="L524" i="3" l="1"/>
  <c r="I523" i="3"/>
  <c r="L525" i="3" l="1"/>
  <c r="I524" i="3"/>
  <c r="I525" i="3" l="1"/>
  <c r="L526" i="3"/>
  <c r="I526" i="3" l="1"/>
  <c r="L527" i="3"/>
  <c r="I527" i="3" l="1"/>
  <c r="K527" i="3" s="1"/>
  <c r="L528" i="3" s="1"/>
  <c r="I528" i="3" l="1"/>
  <c r="L529" i="3"/>
  <c r="L530" i="3" l="1"/>
  <c r="I529" i="3"/>
  <c r="L531" i="3" l="1"/>
  <c r="I530" i="3"/>
  <c r="I531" i="3" l="1"/>
  <c r="L532" i="3"/>
  <c r="L533" i="3" l="1"/>
  <c r="I532" i="3"/>
  <c r="L534" i="3" l="1"/>
  <c r="I533" i="3"/>
  <c r="I534" i="3" l="1"/>
  <c r="L535" i="3"/>
  <c r="I535" i="3" l="1"/>
  <c r="L536" i="3"/>
  <c r="I536" i="3" l="1"/>
  <c r="L537" i="3"/>
  <c r="L538" i="3" l="1"/>
  <c r="I537" i="3"/>
  <c r="I538" i="3" l="1"/>
  <c r="L539" i="3"/>
  <c r="L540" i="3" l="1"/>
  <c r="I539" i="3"/>
  <c r="I540" i="3" l="1"/>
  <c r="L541" i="3"/>
  <c r="I541" i="3" l="1"/>
  <c r="L542" i="3"/>
  <c r="L543" i="3" l="1"/>
  <c r="I542" i="3"/>
  <c r="I543" i="3" l="1"/>
  <c r="L544" i="3"/>
  <c r="I544" i="3" l="1"/>
  <c r="L545" i="3"/>
  <c r="I545" i="3" l="1"/>
  <c r="L546" i="3"/>
  <c r="I546" i="3" l="1"/>
  <c r="K546" i="3" s="1"/>
  <c r="L547" i="3"/>
  <c r="I547" i="3" l="1"/>
  <c r="L548" i="3"/>
  <c r="I548" i="3" l="1"/>
  <c r="L549" i="3"/>
  <c r="I549" i="3" l="1"/>
  <c r="L550" i="3"/>
  <c r="L551" i="3" l="1"/>
  <c r="I550" i="3"/>
  <c r="I551" i="3" l="1"/>
  <c r="L552" i="3"/>
  <c r="I552" i="3" l="1"/>
  <c r="L553" i="3"/>
  <c r="L554" i="3" l="1"/>
  <c r="I553" i="3"/>
  <c r="I554" i="3" l="1"/>
  <c r="L555" i="3"/>
  <c r="I555" i="3" l="1"/>
  <c r="L556" i="3"/>
  <c r="L557" i="3" l="1"/>
  <c r="I556" i="3"/>
  <c r="L558" i="3" l="1"/>
  <c r="I557" i="3"/>
  <c r="I558" i="3" l="1"/>
  <c r="L559" i="3"/>
  <c r="I559" i="3" l="1"/>
  <c r="L560" i="3"/>
  <c r="I560" i="3" l="1"/>
  <c r="L561" i="3"/>
  <c r="L562" i="3" l="1"/>
  <c r="I561" i="3"/>
  <c r="L563" i="3" l="1"/>
  <c r="I562" i="3"/>
  <c r="I563" i="3" l="1"/>
  <c r="L564" i="3"/>
  <c r="I564" i="3" l="1"/>
  <c r="L565" i="3"/>
  <c r="I565" i="3" l="1"/>
  <c r="L566" i="3"/>
  <c r="L567" i="3" l="1"/>
  <c r="I566" i="3"/>
  <c r="I567" i="3" l="1"/>
  <c r="L568" i="3"/>
  <c r="L569" i="3" l="1"/>
  <c r="I568" i="3"/>
  <c r="I569" i="3" l="1"/>
  <c r="K569" i="3" s="1"/>
  <c r="L570" i="3"/>
  <c r="I570" i="3" l="1"/>
  <c r="L571" i="3"/>
  <c r="I571" i="3" l="1"/>
  <c r="L572" i="3"/>
  <c r="I572" i="3" l="1"/>
  <c r="L573" i="3"/>
  <c r="I573" i="3" l="1"/>
  <c r="L574" i="3"/>
  <c r="I574" i="3" l="1"/>
  <c r="L575" i="3"/>
  <c r="L576" i="3" l="1"/>
  <c r="I575" i="3"/>
  <c r="I576" i="3" l="1"/>
  <c r="L577" i="3"/>
  <c r="I577" i="3" l="1"/>
  <c r="L578" i="3"/>
  <c r="I578" i="3" l="1"/>
  <c r="L579" i="3"/>
  <c r="I579" i="3" l="1"/>
  <c r="L580" i="3"/>
  <c r="L581" i="3" l="1"/>
  <c r="I580" i="3"/>
  <c r="L582" i="3" l="1"/>
  <c r="I581" i="3"/>
  <c r="L583" i="3" l="1"/>
  <c r="I582" i="3"/>
  <c r="I583" i="3" l="1"/>
  <c r="L584" i="3"/>
  <c r="I584" i="3" l="1"/>
  <c r="L585" i="3"/>
  <c r="L586" i="3" l="1"/>
  <c r="I585" i="3"/>
  <c r="I586" i="3" l="1"/>
  <c r="L587" i="3"/>
  <c r="I587" i="3" l="1"/>
  <c r="L588" i="3"/>
  <c r="I588" i="3" l="1"/>
  <c r="L589" i="3"/>
  <c r="I589" i="3" l="1"/>
  <c r="K589" i="3" s="1"/>
  <c r="L590" i="3" s="1"/>
  <c r="L591" i="3" l="1"/>
  <c r="I590" i="3"/>
  <c r="I591" i="3" l="1"/>
  <c r="L592" i="3"/>
  <c r="I592" i="3" l="1"/>
  <c r="L593" i="3"/>
  <c r="L594" i="3" l="1"/>
  <c r="I593" i="3"/>
  <c r="I594" i="3" l="1"/>
  <c r="L595" i="3"/>
  <c r="I595" i="3" l="1"/>
  <c r="L596" i="3"/>
  <c r="I596" i="3" l="1"/>
  <c r="L597" i="3"/>
  <c r="I597" i="3" l="1"/>
  <c r="L598" i="3"/>
  <c r="I598" i="3" l="1"/>
  <c r="L599" i="3"/>
  <c r="L600" i="3" l="1"/>
  <c r="I599" i="3"/>
  <c r="L601" i="3" l="1"/>
  <c r="I600" i="3"/>
  <c r="L602" i="3" l="1"/>
  <c r="I601" i="3"/>
  <c r="L603" i="3" l="1"/>
  <c r="I602" i="3"/>
  <c r="I603" i="3" l="1"/>
  <c r="L604" i="3"/>
  <c r="L605" i="3" l="1"/>
  <c r="I604" i="3"/>
  <c r="I605" i="3" l="1"/>
  <c r="L606" i="3"/>
  <c r="I606" i="3" l="1"/>
  <c r="L607" i="3"/>
  <c r="I607" i="3" l="1"/>
  <c r="L608" i="3"/>
  <c r="L609" i="3" l="1"/>
  <c r="I608" i="3"/>
  <c r="L610" i="3" l="1"/>
  <c r="I609" i="3"/>
  <c r="I610" i="3" l="1"/>
  <c r="K610" i="3" s="1"/>
  <c r="L611" i="3" s="1"/>
  <c r="L612" i="3" l="1"/>
  <c r="I611" i="3"/>
  <c r="I612" i="3" l="1"/>
  <c r="L613" i="3"/>
  <c r="I613" i="3" l="1"/>
  <c r="L614" i="3"/>
  <c r="L615" i="3" l="1"/>
  <c r="I614" i="3"/>
  <c r="I615" i="3" l="1"/>
  <c r="L616" i="3"/>
  <c r="I616" i="3" l="1"/>
  <c r="L617" i="3"/>
  <c r="I617" i="3" l="1"/>
  <c r="L618" i="3"/>
  <c r="I618" i="3" l="1"/>
  <c r="L619" i="3"/>
  <c r="I619" i="3" l="1"/>
  <c r="L620" i="3"/>
  <c r="I620" i="3" l="1"/>
  <c r="L621" i="3"/>
  <c r="I621" i="3" l="1"/>
  <c r="L622" i="3"/>
  <c r="I622" i="3" l="1"/>
  <c r="L623" i="3"/>
  <c r="I623" i="3" l="1"/>
  <c r="L624" i="3"/>
  <c r="I624" i="3" l="1"/>
  <c r="L625" i="3"/>
  <c r="I625" i="3" l="1"/>
  <c r="L626" i="3"/>
  <c r="I626" i="3" l="1"/>
  <c r="L627" i="3"/>
  <c r="L628" i="3" l="1"/>
  <c r="I627" i="3"/>
  <c r="L629" i="3" l="1"/>
  <c r="I628" i="3"/>
  <c r="L630" i="3" l="1"/>
  <c r="I629" i="3"/>
  <c r="L631" i="3" l="1"/>
  <c r="I630" i="3"/>
  <c r="I631" i="3" l="1"/>
  <c r="K631" i="3" s="1"/>
  <c r="L632" i="3" s="1"/>
  <c r="L633" i="3" l="1"/>
  <c r="I632" i="3"/>
  <c r="I633" i="3" l="1"/>
  <c r="L634" i="3"/>
  <c r="I634" i="3" l="1"/>
  <c r="L635" i="3"/>
  <c r="I635" i="3" l="1"/>
  <c r="L636" i="3"/>
  <c r="I636" i="3" l="1"/>
  <c r="L637" i="3"/>
  <c r="L638" i="3" l="1"/>
  <c r="I637" i="3"/>
  <c r="I638" i="3" l="1"/>
  <c r="L639" i="3"/>
  <c r="L640" i="3" l="1"/>
  <c r="I639" i="3"/>
  <c r="I640" i="3" l="1"/>
  <c r="L641" i="3"/>
  <c r="I641" i="3" l="1"/>
  <c r="L642" i="3"/>
  <c r="I642" i="3" l="1"/>
  <c r="L643" i="3"/>
  <c r="I643" i="3" l="1"/>
  <c r="L644" i="3"/>
  <c r="I644" i="3" l="1"/>
  <c r="L645" i="3"/>
  <c r="I645" i="3" l="1"/>
  <c r="L646" i="3"/>
  <c r="L647" i="3" l="1"/>
  <c r="I646" i="3"/>
  <c r="L648" i="3" l="1"/>
  <c r="I647" i="3"/>
  <c r="I648" i="3" l="1"/>
  <c r="L649" i="3"/>
  <c r="L650" i="3" l="1"/>
  <c r="I649" i="3"/>
  <c r="L651" i="3" l="1"/>
  <c r="I650" i="3"/>
  <c r="I651" i="3" l="1"/>
  <c r="K651" i="3" s="1"/>
  <c r="L652" i="3" s="1"/>
  <c r="I652" i="3" l="1"/>
  <c r="L653" i="3"/>
  <c r="I653" i="3" l="1"/>
  <c r="L654" i="3"/>
  <c r="I654" i="3" l="1"/>
  <c r="L655" i="3"/>
  <c r="I655" i="3" l="1"/>
  <c r="L656" i="3"/>
  <c r="L657" i="3" l="1"/>
  <c r="I656" i="3"/>
  <c r="L658" i="3" l="1"/>
  <c r="I657" i="3"/>
  <c r="I658" i="3" l="1"/>
  <c r="L659" i="3"/>
  <c r="I659" i="3" l="1"/>
  <c r="L660" i="3"/>
  <c r="I660" i="3" l="1"/>
  <c r="L661" i="3"/>
  <c r="I661" i="3" l="1"/>
  <c r="L662" i="3"/>
  <c r="L663" i="3" l="1"/>
  <c r="I662" i="3"/>
  <c r="I663" i="3" l="1"/>
  <c r="L664" i="3"/>
  <c r="L665" i="3" l="1"/>
  <c r="I664" i="3"/>
  <c r="L666" i="3" l="1"/>
  <c r="I665" i="3"/>
  <c r="I666" i="3" l="1"/>
  <c r="L667" i="3"/>
  <c r="I667" i="3" l="1"/>
  <c r="L668" i="3"/>
  <c r="I668" i="3" l="1"/>
  <c r="L669" i="3"/>
  <c r="L670" i="3" l="1"/>
  <c r="I669" i="3"/>
  <c r="L671" i="3" l="1"/>
  <c r="I670" i="3"/>
  <c r="L672" i="3" l="1"/>
  <c r="I671" i="3"/>
  <c r="I672" i="3" l="1"/>
  <c r="L673" i="3"/>
  <c r="I673" i="3" l="1"/>
  <c r="L674" i="3"/>
  <c r="I674" i="3" l="1"/>
  <c r="K674" i="3" s="1"/>
  <c r="L675" i="3" s="1"/>
  <c r="I675" i="3" l="1"/>
  <c r="L676" i="3"/>
  <c r="I676" i="3" l="1"/>
  <c r="L677" i="3"/>
  <c r="L678" i="3" l="1"/>
  <c r="I677" i="3"/>
  <c r="I678" i="3" l="1"/>
  <c r="L679" i="3"/>
  <c r="I679" i="3" l="1"/>
  <c r="L680" i="3"/>
  <c r="I680" i="3" l="1"/>
  <c r="L681" i="3"/>
  <c r="I681" i="3" l="1"/>
  <c r="L682" i="3"/>
  <c r="I682" i="3" l="1"/>
  <c r="L683" i="3"/>
  <c r="L684" i="3" l="1"/>
  <c r="I683" i="3"/>
  <c r="I684" i="3" l="1"/>
  <c r="L685" i="3"/>
  <c r="I685" i="3" l="1"/>
  <c r="L686" i="3"/>
  <c r="L687" i="3" l="1"/>
  <c r="I686" i="3"/>
  <c r="L688" i="3" l="1"/>
  <c r="I687" i="3"/>
  <c r="I688" i="3" l="1"/>
  <c r="L689" i="3"/>
  <c r="L690" i="3" l="1"/>
  <c r="I689" i="3"/>
  <c r="L691" i="3" l="1"/>
  <c r="I690" i="3"/>
  <c r="L692" i="3" l="1"/>
  <c r="I691" i="3"/>
  <c r="L693" i="3" l="1"/>
  <c r="I692" i="3"/>
  <c r="I693" i="3" l="1"/>
  <c r="L694" i="3"/>
  <c r="L695" i="3" l="1"/>
  <c r="I694" i="3"/>
  <c r="I695" i="3" l="1"/>
  <c r="K695" i="3" s="1"/>
  <c r="L696" i="3"/>
  <c r="I696" i="3" l="1"/>
  <c r="L697" i="3"/>
  <c r="I697" i="3" l="1"/>
  <c r="L698" i="3"/>
  <c r="I698" i="3" l="1"/>
  <c r="L699" i="3"/>
  <c r="I699" i="3" l="1"/>
  <c r="L700" i="3"/>
  <c r="I700" i="3" l="1"/>
  <c r="L701" i="3"/>
  <c r="L702" i="3" l="1"/>
  <c r="I701" i="3"/>
  <c r="I702" i="3" l="1"/>
  <c r="L703" i="3"/>
  <c r="I703" i="3" l="1"/>
  <c r="L704" i="3"/>
  <c r="L705" i="3" l="1"/>
  <c r="I704" i="3"/>
  <c r="L706" i="3" l="1"/>
  <c r="I705" i="3"/>
  <c r="L707" i="3" l="1"/>
  <c r="I706" i="3"/>
  <c r="I707" i="3" l="1"/>
  <c r="L708" i="3"/>
  <c r="I708" i="3" l="1"/>
  <c r="L709" i="3"/>
  <c r="L710" i="3" l="1"/>
  <c r="I709" i="3"/>
  <c r="L711" i="3" l="1"/>
  <c r="I710" i="3"/>
  <c r="I711" i="3" l="1"/>
  <c r="L712" i="3"/>
  <c r="I712" i="3" l="1"/>
  <c r="L713" i="3"/>
  <c r="L714" i="3" l="1"/>
  <c r="I713" i="3"/>
  <c r="I714" i="3" l="1"/>
  <c r="L715" i="3"/>
  <c r="I715" i="3" l="1"/>
  <c r="L716" i="3"/>
  <c r="I716" i="3" l="1"/>
  <c r="K716" i="3" s="1"/>
  <c r="L717" i="3" s="1"/>
  <c r="I717" i="3" l="1"/>
  <c r="L718" i="3"/>
  <c r="I718" i="3" l="1"/>
  <c r="L719" i="3"/>
  <c r="L720" i="3" l="1"/>
  <c r="I719" i="3"/>
  <c r="I720" i="3" l="1"/>
  <c r="L721" i="3"/>
  <c r="I721" i="3" l="1"/>
  <c r="L722" i="3"/>
  <c r="I722" i="3" l="1"/>
  <c r="L723" i="3"/>
  <c r="L724" i="3" l="1"/>
  <c r="I723" i="3"/>
  <c r="L725" i="3" l="1"/>
  <c r="I724" i="3"/>
  <c r="L726" i="3" l="1"/>
  <c r="I725" i="3"/>
  <c r="L727" i="3" l="1"/>
  <c r="I726" i="3"/>
  <c r="I727" i="3" l="1"/>
  <c r="L728" i="3"/>
  <c r="I728" i="3" l="1"/>
  <c r="L729" i="3"/>
  <c r="L730" i="3" l="1"/>
  <c r="I729" i="3"/>
  <c r="L731" i="3" l="1"/>
  <c r="I730" i="3"/>
  <c r="L732" i="3" l="1"/>
  <c r="I731" i="3"/>
  <c r="I732" i="3" l="1"/>
  <c r="L733" i="3"/>
  <c r="L734" i="3" l="1"/>
  <c r="I733" i="3"/>
  <c r="L735" i="3" l="1"/>
  <c r="I734" i="3"/>
  <c r="I735" i="3" l="1"/>
  <c r="L736" i="3"/>
  <c r="I736" i="3" l="1"/>
  <c r="L737" i="3"/>
  <c r="I737" i="3" l="1"/>
  <c r="K737" i="3" s="1"/>
  <c r="L738" i="3" s="1"/>
  <c r="I738" i="3" l="1"/>
  <c r="L739" i="3"/>
  <c r="I739" i="3" l="1"/>
  <c r="L740" i="3"/>
  <c r="I740" i="3" l="1"/>
  <c r="L741" i="3"/>
  <c r="I741" i="3" l="1"/>
  <c r="L742" i="3"/>
  <c r="I742" i="3" l="1"/>
  <c r="L743" i="3"/>
  <c r="L744" i="3" l="1"/>
  <c r="I743" i="3"/>
  <c r="L745" i="3" l="1"/>
  <c r="I744" i="3"/>
  <c r="I745" i="3" l="1"/>
  <c r="L746" i="3"/>
  <c r="I746" i="3" l="1"/>
  <c r="L747" i="3"/>
  <c r="L748" i="3" l="1"/>
  <c r="I747" i="3"/>
  <c r="L749" i="3" l="1"/>
  <c r="I748" i="3"/>
  <c r="L750" i="3" l="1"/>
  <c r="I749" i="3"/>
  <c r="I750" i="3" l="1"/>
  <c r="L751" i="3"/>
  <c r="L752" i="3" l="1"/>
  <c r="I751" i="3"/>
  <c r="L753" i="3" l="1"/>
  <c r="I752" i="3"/>
  <c r="I753" i="3" l="1"/>
  <c r="L754" i="3"/>
  <c r="I754" i="3" l="1"/>
  <c r="L755" i="3"/>
  <c r="L756" i="3" l="1"/>
  <c r="I755" i="3"/>
  <c r="I756" i="3" l="1"/>
  <c r="L757" i="3"/>
  <c r="I757" i="3" l="1"/>
  <c r="L758" i="3"/>
  <c r="I758" i="3" l="1"/>
  <c r="K758" i="3" s="1"/>
  <c r="L759" i="3"/>
  <c r="I759" i="3" l="1"/>
  <c r="L760" i="3"/>
  <c r="I760" i="3" l="1"/>
  <c r="L761" i="3"/>
  <c r="I761" i="3" l="1"/>
  <c r="L762" i="3"/>
  <c r="I762" i="3" l="1"/>
  <c r="L763" i="3"/>
  <c r="I763" i="3" l="1"/>
  <c r="L764" i="3"/>
  <c r="I764" i="3" l="1"/>
  <c r="L765" i="3"/>
  <c r="I765" i="3" l="1"/>
  <c r="L766" i="3"/>
  <c r="I766" i="3" l="1"/>
  <c r="L767" i="3"/>
  <c r="L768" i="3" l="1"/>
  <c r="I767" i="3"/>
  <c r="I768" i="3" l="1"/>
  <c r="L769" i="3"/>
  <c r="L770" i="3" l="1"/>
  <c r="I769" i="3"/>
  <c r="L771" i="3" l="1"/>
  <c r="I770" i="3"/>
  <c r="L772" i="3" l="1"/>
  <c r="I771" i="3"/>
  <c r="L773" i="3" l="1"/>
  <c r="I772" i="3"/>
  <c r="L774" i="3" l="1"/>
  <c r="I773" i="3"/>
  <c r="I774" i="3" l="1"/>
  <c r="L775" i="3"/>
  <c r="I775" i="3" l="1"/>
  <c r="L776" i="3"/>
  <c r="L777" i="3" l="1"/>
  <c r="I776" i="3"/>
  <c r="I777" i="3" l="1"/>
  <c r="L778" i="3"/>
  <c r="I778" i="3" l="1"/>
  <c r="K778" i="3" s="1"/>
  <c r="L779" i="3" s="1"/>
  <c r="L780" i="3" l="1"/>
  <c r="I779" i="3"/>
  <c r="I780" i="3" l="1"/>
  <c r="L781" i="3"/>
  <c r="L782" i="3" l="1"/>
  <c r="I781" i="3"/>
  <c r="I782" i="3" l="1"/>
  <c r="L783" i="3"/>
  <c r="I783" i="3" l="1"/>
  <c r="L784" i="3"/>
  <c r="I784" i="3" l="1"/>
  <c r="L785" i="3"/>
  <c r="I785" i="3" l="1"/>
  <c r="L786" i="3"/>
  <c r="I786" i="3" l="1"/>
  <c r="L787" i="3"/>
  <c r="I787" i="3" l="1"/>
  <c r="L788" i="3"/>
  <c r="I788" i="3" l="1"/>
  <c r="L789" i="3"/>
  <c r="L790" i="3" l="1"/>
  <c r="I789" i="3"/>
  <c r="L791" i="3" l="1"/>
  <c r="I790" i="3"/>
  <c r="L792" i="3" l="1"/>
  <c r="I791" i="3"/>
  <c r="L793" i="3" l="1"/>
  <c r="I792" i="3"/>
  <c r="L794" i="3" l="1"/>
  <c r="I793" i="3"/>
  <c r="I794" i="3" l="1"/>
  <c r="L795" i="3"/>
  <c r="L796" i="3" l="1"/>
  <c r="I795" i="3"/>
  <c r="L797" i="3" l="1"/>
  <c r="I796" i="3"/>
  <c r="I797" i="3" l="1"/>
  <c r="K797" i="3" s="1"/>
  <c r="L798" i="3" s="1"/>
  <c r="I798" i="3" l="1"/>
  <c r="L799" i="3"/>
  <c r="L800" i="3" l="1"/>
  <c r="I799" i="3"/>
  <c r="I800" i="3" l="1"/>
  <c r="L801" i="3"/>
  <c r="I801" i="3" l="1"/>
  <c r="L802" i="3"/>
  <c r="I802" i="3" l="1"/>
  <c r="L803" i="3"/>
  <c r="I803" i="3" l="1"/>
  <c r="L804" i="3"/>
  <c r="I804" i="3" l="1"/>
  <c r="L805" i="3"/>
  <c r="I805" i="3" l="1"/>
  <c r="L806" i="3"/>
  <c r="I806" i="3" l="1"/>
  <c r="L807" i="3"/>
  <c r="I807" i="3" l="1"/>
  <c r="L808" i="3"/>
  <c r="L809" i="3" l="1"/>
  <c r="I808" i="3"/>
  <c r="L810" i="3" l="1"/>
  <c r="I809" i="3"/>
  <c r="I810" i="3" l="1"/>
  <c r="L811" i="3"/>
  <c r="L812" i="3" l="1"/>
  <c r="I811" i="3"/>
  <c r="L813" i="3" l="1"/>
  <c r="I812" i="3"/>
  <c r="I813" i="3" l="1"/>
  <c r="L814" i="3"/>
  <c r="L815" i="3" l="1"/>
  <c r="I814" i="3"/>
  <c r="I815" i="3" l="1"/>
  <c r="L816" i="3"/>
  <c r="I816" i="3" l="1"/>
  <c r="L817" i="3"/>
  <c r="I817" i="3" l="1"/>
  <c r="L818" i="3"/>
  <c r="L819" i="3" l="1"/>
  <c r="I818" i="3"/>
  <c r="I819" i="3" l="1"/>
  <c r="L820" i="3"/>
  <c r="I820" i="3" l="1"/>
  <c r="K820" i="3" s="1"/>
  <c r="L821" i="3"/>
  <c r="I821" i="3" l="1"/>
  <c r="L822" i="3"/>
  <c r="I822" i="3" l="1"/>
  <c r="L823" i="3"/>
  <c r="L824" i="3" l="1"/>
  <c r="I823" i="3"/>
  <c r="I824" i="3" l="1"/>
  <c r="L825" i="3"/>
  <c r="I825" i="3" l="1"/>
  <c r="L826" i="3"/>
  <c r="I826" i="3" l="1"/>
  <c r="L827" i="3"/>
  <c r="L828" i="3" l="1"/>
  <c r="I827" i="3"/>
  <c r="L829" i="3" l="1"/>
  <c r="I828" i="3"/>
  <c r="I829" i="3" l="1"/>
  <c r="L830" i="3"/>
  <c r="I830" i="3" l="1"/>
  <c r="L831" i="3"/>
  <c r="L832" i="3" l="1"/>
  <c r="I831" i="3"/>
  <c r="I832" i="3" l="1"/>
  <c r="L833" i="3"/>
  <c r="I833" i="3" l="1"/>
  <c r="L834" i="3"/>
  <c r="I834" i="3" l="1"/>
  <c r="L835" i="3"/>
  <c r="I835" i="3" l="1"/>
  <c r="L836" i="3"/>
  <c r="I836" i="3" l="1"/>
  <c r="L837" i="3"/>
  <c r="I837" i="3" l="1"/>
  <c r="L838" i="3"/>
  <c r="I838" i="3" l="1"/>
  <c r="L839" i="3"/>
  <c r="I839" i="3" l="1"/>
  <c r="K839" i="3" s="1"/>
  <c r="L840" i="3"/>
  <c r="I840" i="3" l="1"/>
  <c r="L841" i="3"/>
  <c r="I841" i="3" l="1"/>
  <c r="L842" i="3"/>
  <c r="I842" i="3" l="1"/>
  <c r="L843" i="3"/>
  <c r="I843" i="3" l="1"/>
  <c r="L844" i="3"/>
  <c r="I844" i="3" l="1"/>
  <c r="L845" i="3"/>
  <c r="L846" i="3" l="1"/>
  <c r="I845" i="3"/>
  <c r="L847" i="3" l="1"/>
  <c r="I846" i="3"/>
  <c r="I847" i="3" l="1"/>
  <c r="L848" i="3"/>
  <c r="I848" i="3" l="1"/>
  <c r="L849" i="3"/>
  <c r="L850" i="3" l="1"/>
  <c r="I849" i="3"/>
  <c r="L851" i="3" l="1"/>
  <c r="I850" i="3"/>
  <c r="I851" i="3" l="1"/>
  <c r="L852" i="3"/>
  <c r="L853" i="3" l="1"/>
  <c r="I852" i="3"/>
  <c r="L854" i="3" l="1"/>
  <c r="I853" i="3"/>
  <c r="I854" i="3" l="1"/>
  <c r="L855" i="3"/>
  <c r="L856" i="3" l="1"/>
  <c r="I855" i="3"/>
  <c r="I856" i="3" l="1"/>
  <c r="L857" i="3"/>
  <c r="I857" i="3" l="1"/>
  <c r="L858" i="3"/>
  <c r="I858" i="3" l="1"/>
  <c r="L859" i="3"/>
  <c r="I859" i="3" l="1"/>
  <c r="L860" i="3"/>
  <c r="I860" i="3" l="1"/>
  <c r="L861" i="3"/>
  <c r="I861" i="3" l="1"/>
  <c r="K861" i="3" s="1"/>
  <c r="L862" i="3" s="1"/>
  <c r="I862" i="3" l="1"/>
  <c r="L863" i="3"/>
  <c r="L864" i="3" l="1"/>
  <c r="I863" i="3"/>
  <c r="I864" i="3" l="1"/>
  <c r="L865" i="3"/>
  <c r="I865" i="3" l="1"/>
  <c r="L866" i="3"/>
  <c r="L867" i="3" l="1"/>
  <c r="I866" i="3"/>
  <c r="I867" i="3" l="1"/>
  <c r="L868" i="3"/>
  <c r="I868" i="3" l="1"/>
  <c r="L869" i="3"/>
  <c r="I869" i="3" l="1"/>
  <c r="L870" i="3"/>
  <c r="I870" i="3" l="1"/>
  <c r="L871" i="3"/>
  <c r="L872" i="3" l="1"/>
  <c r="I871" i="3"/>
  <c r="L873" i="3" l="1"/>
  <c r="I872" i="3"/>
  <c r="L874" i="3" l="1"/>
  <c r="I873" i="3"/>
  <c r="L875" i="3" l="1"/>
  <c r="I874" i="3"/>
  <c r="I875" i="3" l="1"/>
  <c r="L876" i="3"/>
  <c r="I876" i="3" l="1"/>
  <c r="L877" i="3"/>
  <c r="L878" i="3" l="1"/>
  <c r="I877" i="3"/>
  <c r="L879" i="3" l="1"/>
  <c r="I878" i="3"/>
  <c r="L880" i="3" l="1"/>
  <c r="I879" i="3"/>
  <c r="I880" i="3" l="1"/>
  <c r="L881" i="3"/>
  <c r="I881" i="3" l="1"/>
  <c r="L882" i="3"/>
  <c r="I882" i="3" l="1"/>
  <c r="K882" i="3" s="1"/>
  <c r="L883" i="3"/>
  <c r="I883" i="3" l="1"/>
  <c r="L884" i="3"/>
  <c r="I884" i="3" l="1"/>
  <c r="L885" i="3"/>
  <c r="L886" i="3" l="1"/>
  <c r="I885" i="3"/>
  <c r="L887" i="3" l="1"/>
  <c r="I886" i="3"/>
  <c r="I887" i="3" l="1"/>
  <c r="L888" i="3"/>
  <c r="I888" i="3" l="1"/>
  <c r="L889" i="3"/>
  <c r="I889" i="3" l="1"/>
  <c r="L890" i="3"/>
  <c r="I890" i="3" l="1"/>
  <c r="L891" i="3"/>
  <c r="I891" i="3" l="1"/>
  <c r="L892" i="3"/>
  <c r="L893" i="3" l="1"/>
  <c r="I892" i="3"/>
  <c r="L894" i="3" l="1"/>
  <c r="I893" i="3"/>
  <c r="I894" i="3" l="1"/>
  <c r="L895" i="3"/>
  <c r="I895" i="3" l="1"/>
  <c r="L896" i="3"/>
  <c r="L897" i="3" l="1"/>
  <c r="I896" i="3"/>
  <c r="L898" i="3" l="1"/>
  <c r="I897" i="3"/>
  <c r="I898" i="3" l="1"/>
  <c r="L899" i="3"/>
  <c r="L900" i="3" l="1"/>
  <c r="I899" i="3"/>
  <c r="I900" i="3" l="1"/>
  <c r="L901" i="3"/>
  <c r="I901" i="3" l="1"/>
  <c r="L902" i="3"/>
  <c r="I902" i="3" l="1"/>
  <c r="K902" i="3" s="1"/>
  <c r="L903" i="3" s="1"/>
  <c r="I903" i="3" l="1"/>
  <c r="L904" i="3"/>
  <c r="L905" i="3" l="1"/>
  <c r="I904" i="3"/>
  <c r="I905" i="3" l="1"/>
  <c r="L906" i="3"/>
  <c r="I906" i="3" l="1"/>
  <c r="L907" i="3"/>
  <c r="I907" i="3" l="1"/>
  <c r="L908" i="3"/>
  <c r="I908" i="3" l="1"/>
  <c r="L909" i="3"/>
  <c r="I909" i="3" l="1"/>
  <c r="L910" i="3"/>
  <c r="I910" i="3" l="1"/>
  <c r="L911" i="3"/>
  <c r="I911" i="3" l="1"/>
  <c r="L912" i="3"/>
  <c r="I912" i="3" l="1"/>
  <c r="L913" i="3"/>
  <c r="I913" i="3" l="1"/>
  <c r="L914" i="3"/>
  <c r="I914" i="3" l="1"/>
  <c r="L915" i="3"/>
  <c r="I915" i="3" l="1"/>
  <c r="L916" i="3"/>
  <c r="I916" i="3" l="1"/>
  <c r="L917" i="3"/>
  <c r="L918" i="3" l="1"/>
  <c r="I917" i="3"/>
  <c r="I918" i="3" l="1"/>
  <c r="L919" i="3"/>
  <c r="I919" i="3" l="1"/>
  <c r="L920" i="3"/>
  <c r="L921" i="3" l="1"/>
  <c r="I920" i="3"/>
  <c r="I921" i="3" l="1"/>
  <c r="L922" i="3"/>
  <c r="I922" i="3" l="1"/>
  <c r="L923" i="3"/>
  <c r="L924" i="3" l="1"/>
  <c r="I923" i="3"/>
  <c r="I924" i="3" l="1"/>
  <c r="L925" i="3"/>
  <c r="I925" i="3" l="1"/>
  <c r="K925" i="3" s="1"/>
  <c r="L926" i="3"/>
  <c r="I926" i="3" l="1"/>
  <c r="L927" i="3"/>
  <c r="I927" i="3" l="1"/>
  <c r="L928" i="3"/>
  <c r="I928" i="3" l="1"/>
  <c r="L929" i="3"/>
  <c r="I929" i="3" l="1"/>
  <c r="L930" i="3"/>
  <c r="I930" i="3" l="1"/>
  <c r="L931" i="3"/>
  <c r="L932" i="3" l="1"/>
  <c r="I931" i="3"/>
  <c r="L933" i="3" l="1"/>
  <c r="I932" i="3"/>
  <c r="I933" i="3" l="1"/>
  <c r="L934" i="3"/>
  <c r="I934" i="3" l="1"/>
  <c r="L935" i="3"/>
  <c r="L936" i="3" l="1"/>
  <c r="I935" i="3"/>
  <c r="I936" i="3" l="1"/>
  <c r="L937" i="3"/>
  <c r="L938" i="3" l="1"/>
  <c r="I937" i="3"/>
  <c r="L939" i="3" l="1"/>
  <c r="I938" i="3"/>
  <c r="I939" i="3" l="1"/>
  <c r="L940" i="3"/>
  <c r="I940" i="3" l="1"/>
  <c r="L941" i="3"/>
  <c r="I941" i="3" l="1"/>
  <c r="L942" i="3"/>
  <c r="L943" i="3" l="1"/>
  <c r="I942" i="3"/>
  <c r="I943" i="3" l="1"/>
  <c r="L944" i="3"/>
  <c r="I944" i="3" l="1"/>
  <c r="L945" i="3"/>
  <c r="I945" i="3" l="1"/>
  <c r="K945" i="3" s="1"/>
  <c r="L946" i="3" s="1"/>
  <c r="I946" i="3" l="1"/>
  <c r="L947" i="3"/>
  <c r="L948" i="3" l="1"/>
  <c r="I947" i="3"/>
  <c r="I948" i="3" l="1"/>
  <c r="L949" i="3"/>
  <c r="L950" i="3" l="1"/>
  <c r="I949" i="3"/>
  <c r="I950" i="3" l="1"/>
  <c r="L951" i="3"/>
  <c r="L952" i="3" l="1"/>
  <c r="I951" i="3"/>
  <c r="I952" i="3" l="1"/>
  <c r="L953" i="3"/>
  <c r="L954" i="3" l="1"/>
  <c r="I953" i="3"/>
  <c r="I954" i="3" l="1"/>
  <c r="L955" i="3"/>
  <c r="I955" i="3" l="1"/>
  <c r="L956" i="3"/>
  <c r="I956" i="3" l="1"/>
  <c r="L957" i="3"/>
  <c r="I957" i="3" l="1"/>
  <c r="L958" i="3"/>
  <c r="I958" i="3" l="1"/>
  <c r="L959" i="3"/>
  <c r="L960" i="3" l="1"/>
  <c r="I959" i="3"/>
  <c r="I960" i="3" l="1"/>
  <c r="L961" i="3"/>
  <c r="I961" i="3" l="1"/>
  <c r="L962" i="3"/>
  <c r="I962" i="3" l="1"/>
  <c r="L963" i="3"/>
  <c r="L964" i="3" l="1"/>
  <c r="I963" i="3"/>
  <c r="L965" i="3" l="1"/>
  <c r="I964" i="3"/>
  <c r="I965" i="3" l="1"/>
  <c r="L966" i="3"/>
  <c r="I966" i="3" l="1"/>
  <c r="L967" i="3"/>
  <c r="I967" i="3" l="1"/>
  <c r="K967" i="3" s="1"/>
  <c r="L968" i="3" s="1"/>
  <c r="I968" i="3" l="1"/>
  <c r="L969" i="3"/>
  <c r="L970" i="3" l="1"/>
  <c r="I969" i="3"/>
  <c r="I970" i="3" l="1"/>
  <c r="L971" i="3"/>
  <c r="L972" i="3" l="1"/>
  <c r="I971" i="3"/>
  <c r="L973" i="3" l="1"/>
  <c r="I972" i="3"/>
  <c r="L974" i="3" l="1"/>
  <c r="I973" i="3"/>
  <c r="L975" i="3" l="1"/>
  <c r="I974" i="3"/>
  <c r="I975" i="3" l="1"/>
  <c r="L976" i="3"/>
  <c r="I976" i="3" l="1"/>
  <c r="L977" i="3"/>
  <c r="I977" i="3" l="1"/>
  <c r="L978" i="3"/>
  <c r="I978" i="3" l="1"/>
  <c r="L979" i="3"/>
  <c r="I979" i="3" l="1"/>
  <c r="L980" i="3"/>
  <c r="L981" i="3" l="1"/>
  <c r="I980" i="3"/>
  <c r="I981" i="3" l="1"/>
  <c r="L982" i="3"/>
  <c r="L983" i="3" l="1"/>
  <c r="I982" i="3"/>
  <c r="L984" i="3" l="1"/>
  <c r="I983" i="3"/>
  <c r="I984" i="3" l="1"/>
  <c r="L985" i="3"/>
  <c r="I985" i="3" l="1"/>
  <c r="L986" i="3"/>
  <c r="I986" i="3" l="1"/>
  <c r="L987" i="3"/>
  <c r="I987" i="3" l="1"/>
  <c r="L988" i="3"/>
  <c r="I988" i="3" l="1"/>
  <c r="K988" i="3" s="1"/>
  <c r="L989" i="3" s="1"/>
  <c r="L990" i="3" l="1"/>
  <c r="I989" i="3"/>
  <c r="I990" i="3" l="1"/>
  <c r="L991" i="3"/>
  <c r="I991" i="3" l="1"/>
  <c r="L992" i="3"/>
  <c r="L993" i="3" l="1"/>
  <c r="I992" i="3"/>
  <c r="L994" i="3" l="1"/>
  <c r="I993" i="3"/>
  <c r="L995" i="3" l="1"/>
  <c r="I994" i="3"/>
  <c r="I995" i="3" l="1"/>
  <c r="L996" i="3"/>
  <c r="I996" i="3" l="1"/>
  <c r="L997" i="3"/>
  <c r="I997" i="3" l="1"/>
  <c r="L998" i="3"/>
  <c r="I998" i="3" l="1"/>
  <c r="L999" i="3"/>
  <c r="L1000" i="3" l="1"/>
  <c r="I999" i="3"/>
  <c r="I1000" i="3" l="1"/>
  <c r="L1001" i="3"/>
  <c r="I1001" i="3" l="1"/>
  <c r="L1002" i="3"/>
  <c r="I1002" i="3" l="1"/>
  <c r="L1003" i="3"/>
  <c r="I1003" i="3" l="1"/>
  <c r="L1004" i="3"/>
  <c r="I1004" i="3" l="1"/>
  <c r="L1005" i="3"/>
  <c r="I1005" i="3" l="1"/>
  <c r="L1006" i="3"/>
  <c r="I1006" i="3" l="1"/>
  <c r="L1007" i="3"/>
  <c r="L1008" i="3" l="1"/>
  <c r="I1007" i="3"/>
  <c r="I1008" i="3" l="1"/>
  <c r="K1008" i="3" s="1"/>
  <c r="L1009" i="3"/>
  <c r="I1009" i="3" l="1"/>
  <c r="L1010" i="3"/>
  <c r="L1011" i="3" l="1"/>
  <c r="I1010" i="3"/>
  <c r="L1012" i="3" l="1"/>
  <c r="I1011" i="3"/>
  <c r="L1013" i="3" l="1"/>
  <c r="I1012" i="3"/>
  <c r="L1014" i="3" l="1"/>
  <c r="I1013" i="3"/>
  <c r="L1015" i="3" l="1"/>
  <c r="I1014" i="3"/>
  <c r="I1015" i="3" l="1"/>
  <c r="L1016" i="3"/>
  <c r="I1016" i="3" l="1"/>
  <c r="L1017" i="3"/>
  <c r="I1017" i="3" l="1"/>
  <c r="L1018" i="3"/>
  <c r="L1019" i="3" l="1"/>
  <c r="I1018" i="3"/>
  <c r="I1019" i="3" l="1"/>
  <c r="L1020" i="3"/>
  <c r="I1020" i="3" l="1"/>
  <c r="L1021" i="3"/>
  <c r="I1021" i="3" l="1"/>
  <c r="L1022" i="3"/>
  <c r="I1022" i="3" l="1"/>
  <c r="L1023" i="3"/>
  <c r="I1023" i="3" l="1"/>
  <c r="L1024" i="3"/>
  <c r="I1024" i="3" l="1"/>
  <c r="L1025" i="3"/>
  <c r="L1026" i="3" l="1"/>
  <c r="I1025" i="3"/>
  <c r="I1026" i="3" l="1"/>
  <c r="L1027" i="3"/>
  <c r="I1027" i="3" l="1"/>
  <c r="L1028" i="3"/>
  <c r="I1028" i="3" l="1"/>
  <c r="L1029" i="3"/>
  <c r="I1029" i="3" l="1"/>
  <c r="K1029" i="3" s="1"/>
  <c r="L1030" i="3" s="1"/>
  <c r="I1030" i="3" l="1"/>
  <c r="L1031" i="3"/>
  <c r="I1031" i="3" l="1"/>
  <c r="L1032" i="3"/>
  <c r="L1033" i="3" l="1"/>
  <c r="I1032" i="3"/>
  <c r="L1034" i="3" l="1"/>
  <c r="I1033" i="3"/>
  <c r="L1035" i="3" l="1"/>
  <c r="I1034" i="3"/>
  <c r="I1035" i="3" l="1"/>
  <c r="L1036" i="3"/>
  <c r="I1036" i="3" l="1"/>
  <c r="L1037" i="3"/>
  <c r="L1038" i="3" l="1"/>
  <c r="I1037" i="3"/>
  <c r="I1038" i="3" l="1"/>
  <c r="L1039" i="3"/>
  <c r="I1039" i="3" l="1"/>
  <c r="L1040" i="3"/>
  <c r="I1040" i="3" l="1"/>
  <c r="L1041" i="3"/>
  <c r="L1042" i="3" l="1"/>
  <c r="I1041" i="3"/>
  <c r="I1042" i="3" l="1"/>
  <c r="L1043" i="3"/>
  <c r="I1043" i="3" l="1"/>
  <c r="L1044" i="3"/>
  <c r="L1045" i="3" l="1"/>
  <c r="I1044" i="3"/>
  <c r="L1046" i="3" l="1"/>
  <c r="I1045" i="3"/>
  <c r="I1046" i="3" l="1"/>
  <c r="L1047" i="3"/>
  <c r="I1047" i="3" l="1"/>
  <c r="L1048" i="3"/>
  <c r="I1048" i="3" l="1"/>
  <c r="L1049" i="3"/>
  <c r="I1049" i="3" l="1"/>
  <c r="K1049" i="3" s="1"/>
  <c r="L1050" i="3"/>
  <c r="I1050" i="3" l="1"/>
  <c r="L1051" i="3"/>
  <c r="I1051" i="3" l="1"/>
  <c r="L1052" i="3"/>
  <c r="L1053" i="3" l="1"/>
  <c r="I1052" i="3"/>
  <c r="L1054" i="3" l="1"/>
  <c r="I1053" i="3"/>
  <c r="L1055" i="3" l="1"/>
  <c r="I1054" i="3"/>
  <c r="L1056" i="3" l="1"/>
  <c r="I1055" i="3"/>
  <c r="I1056" i="3" l="1"/>
  <c r="L1057" i="3"/>
  <c r="I1057" i="3" l="1"/>
  <c r="L1058" i="3"/>
  <c r="L1059" i="3" l="1"/>
  <c r="I1058" i="3"/>
  <c r="I1059" i="3" l="1"/>
  <c r="L1060" i="3"/>
  <c r="I1060" i="3" l="1"/>
  <c r="L1061" i="3"/>
  <c r="I1061" i="3" l="1"/>
  <c r="L1062" i="3"/>
  <c r="I1062" i="3" l="1"/>
  <c r="L1063" i="3"/>
  <c r="I1063" i="3" l="1"/>
  <c r="L1064" i="3"/>
  <c r="I1064" i="3" l="1"/>
  <c r="L1065" i="3"/>
  <c r="I1065" i="3" l="1"/>
  <c r="L1066" i="3"/>
  <c r="I1066" i="3" l="1"/>
  <c r="L1067" i="3"/>
  <c r="I1067" i="3" l="1"/>
  <c r="L1068" i="3"/>
  <c r="I1068" i="3" l="1"/>
  <c r="L1069" i="3"/>
  <c r="I1069" i="3" l="1"/>
  <c r="K1069" i="3" s="1"/>
  <c r="L1070" i="3" s="1"/>
  <c r="L1071" i="3" l="1"/>
  <c r="I1070" i="3"/>
  <c r="I1071" i="3" l="1"/>
  <c r="L1072" i="3"/>
  <c r="I1072" i="3" l="1"/>
  <c r="L1073" i="3"/>
  <c r="I1073" i="3" l="1"/>
  <c r="L1074" i="3"/>
  <c r="I1074" i="3" l="1"/>
  <c r="L1075" i="3"/>
  <c r="L1076" i="3" l="1"/>
  <c r="I1075" i="3"/>
  <c r="I1076" i="3" l="1"/>
  <c r="L1077" i="3"/>
  <c r="I1077" i="3" l="1"/>
  <c r="L1078" i="3"/>
  <c r="I1078" i="3" l="1"/>
  <c r="L1079" i="3"/>
  <c r="L1080" i="3" l="1"/>
  <c r="I1079" i="3"/>
  <c r="I1080" i="3" l="1"/>
  <c r="L1081" i="3"/>
  <c r="I1081" i="3" l="1"/>
  <c r="L1082" i="3"/>
  <c r="I1082" i="3" l="1"/>
  <c r="L1083" i="3"/>
  <c r="I1083" i="3" l="1"/>
  <c r="L1084" i="3"/>
  <c r="I1084" i="3" l="1"/>
  <c r="L1085" i="3"/>
  <c r="I1085" i="3" l="1"/>
  <c r="L1086" i="3"/>
  <c r="I1086" i="3" l="1"/>
  <c r="L1087" i="3"/>
  <c r="L1088" i="3" l="1"/>
  <c r="I1087" i="3"/>
  <c r="L1089" i="3" l="1"/>
  <c r="I1088" i="3"/>
  <c r="L1090" i="3" l="1"/>
  <c r="I1089" i="3"/>
  <c r="L1091" i="3" l="1"/>
  <c r="I1090" i="3"/>
  <c r="I1091" i="3" l="1"/>
  <c r="K1091" i="3" s="1"/>
  <c r="L1092" i="3" s="1"/>
  <c r="I1092" i="3" l="1"/>
  <c r="L1093" i="3"/>
  <c r="L1094" i="3" l="1"/>
  <c r="I1093" i="3"/>
  <c r="L1095" i="3" l="1"/>
  <c r="I1094" i="3"/>
  <c r="L1096" i="3" l="1"/>
  <c r="I1095" i="3"/>
  <c r="I1096" i="3" l="1"/>
  <c r="L1097" i="3"/>
  <c r="L1098" i="3" l="1"/>
  <c r="I1097" i="3"/>
  <c r="I1098" i="3" l="1"/>
  <c r="L1099" i="3"/>
  <c r="I1099" i="3" l="1"/>
  <c r="L1100" i="3"/>
  <c r="I1100" i="3" l="1"/>
  <c r="L1101" i="3"/>
  <c r="I1101" i="3" l="1"/>
  <c r="L1102" i="3"/>
  <c r="I1102" i="3" l="1"/>
  <c r="L1103" i="3"/>
  <c r="I1103" i="3" l="1"/>
  <c r="L1104" i="3"/>
  <c r="I1104" i="3" l="1"/>
  <c r="L1105" i="3"/>
  <c r="I1105" i="3" l="1"/>
  <c r="L1106" i="3"/>
  <c r="I1106" i="3" l="1"/>
  <c r="L1107" i="3"/>
  <c r="I1107" i="3" l="1"/>
  <c r="L1108" i="3"/>
  <c r="L1109" i="3" l="1"/>
  <c r="I1108" i="3"/>
  <c r="I1109" i="3" l="1"/>
  <c r="L1110" i="3"/>
  <c r="I1110" i="3" l="1"/>
  <c r="L1111" i="3"/>
  <c r="L1112" i="3" l="1"/>
  <c r="I1111" i="3"/>
  <c r="L1113" i="3" l="1"/>
  <c r="I1112" i="3"/>
  <c r="I1113" i="3" l="1"/>
  <c r="K1113" i="3" s="1"/>
  <c r="L1114" i="3" s="1"/>
  <c r="L1115" i="3" l="1"/>
  <c r="I1114" i="3"/>
  <c r="L1116" i="3" l="1"/>
  <c r="I1115" i="3"/>
  <c r="L1117" i="3" l="1"/>
  <c r="I1116" i="3"/>
  <c r="I1117" i="3" l="1"/>
  <c r="L1118" i="3"/>
  <c r="I1118" i="3" l="1"/>
  <c r="L1119" i="3"/>
  <c r="I1119" i="3" l="1"/>
  <c r="L1120" i="3"/>
  <c r="I1120" i="3" l="1"/>
  <c r="L1121" i="3"/>
  <c r="I1121" i="3" l="1"/>
  <c r="L1122" i="3"/>
  <c r="I1122" i="3" l="1"/>
  <c r="L1123" i="3"/>
  <c r="I1123" i="3" l="1"/>
  <c r="L1124" i="3"/>
  <c r="I1124" i="3" l="1"/>
  <c r="L1125" i="3"/>
  <c r="I1125" i="3" l="1"/>
  <c r="L1126" i="3"/>
  <c r="I1126" i="3" l="1"/>
  <c r="L1127" i="3"/>
  <c r="I1127" i="3" l="1"/>
  <c r="L1128" i="3"/>
  <c r="I1128" i="3" l="1"/>
  <c r="L1129" i="3"/>
  <c r="I1129" i="3" l="1"/>
  <c r="L1130" i="3"/>
  <c r="I1130" i="3" l="1"/>
  <c r="L1131" i="3"/>
  <c r="L1132" i="3" l="1"/>
  <c r="I1131" i="3"/>
  <c r="I1132" i="3" l="1"/>
  <c r="K1132" i="3" s="1"/>
  <c r="L1133" i="3" s="1"/>
  <c r="L1134" i="3" l="1"/>
  <c r="I1133" i="3"/>
  <c r="L1135" i="3" l="1"/>
  <c r="I1134" i="3"/>
  <c r="L1136" i="3" l="1"/>
  <c r="I1135" i="3"/>
  <c r="L1137" i="3" l="1"/>
  <c r="I1136" i="3"/>
  <c r="I1137" i="3" l="1"/>
  <c r="L1138" i="3"/>
  <c r="I1138" i="3" l="1"/>
  <c r="L1139" i="3"/>
  <c r="L1140" i="3" l="1"/>
  <c r="I1139" i="3"/>
  <c r="L1141" i="3" l="1"/>
  <c r="I1140" i="3"/>
  <c r="I1141" i="3" l="1"/>
  <c r="L1142" i="3"/>
  <c r="I1142" i="3" l="1"/>
  <c r="L1143" i="3"/>
  <c r="I1143" i="3" l="1"/>
  <c r="L1144" i="3"/>
  <c r="I1144" i="3" l="1"/>
  <c r="L1145" i="3"/>
  <c r="I1145" i="3" l="1"/>
  <c r="L1146" i="3"/>
  <c r="I1146" i="3" l="1"/>
  <c r="L1147" i="3"/>
  <c r="I1147" i="3" l="1"/>
  <c r="L1148" i="3"/>
  <c r="I1148" i="3" l="1"/>
  <c r="L1149" i="3"/>
  <c r="I1149" i="3" l="1"/>
  <c r="L1150" i="3"/>
  <c r="I1150" i="3" l="1"/>
  <c r="L1151" i="3"/>
  <c r="L1152" i="3" l="1"/>
  <c r="I1151" i="3"/>
  <c r="L1153" i="3" l="1"/>
  <c r="I1152" i="3"/>
  <c r="I1153" i="3" l="1"/>
  <c r="L1154" i="3"/>
  <c r="I1154" i="3" l="1"/>
  <c r="K1154" i="3" s="1"/>
  <c r="L1155" i="3" s="1"/>
  <c r="L1156" i="3" l="1"/>
  <c r="I1155" i="3"/>
  <c r="I1156" i="3" l="1"/>
  <c r="L1157" i="3"/>
  <c r="I1157" i="3" l="1"/>
  <c r="L1158" i="3"/>
  <c r="L1159" i="3" l="1"/>
  <c r="I1158" i="3"/>
  <c r="L1160" i="3" l="1"/>
  <c r="I1159" i="3"/>
  <c r="I1160" i="3" l="1"/>
  <c r="L1161" i="3"/>
  <c r="L1162" i="3" l="1"/>
  <c r="I1161" i="3"/>
  <c r="L1163" i="3" l="1"/>
  <c r="I1162" i="3"/>
  <c r="I1163" i="3" l="1"/>
  <c r="L1164" i="3"/>
  <c r="I1164" i="3" l="1"/>
  <c r="L1165" i="3"/>
  <c r="L1166" i="3" l="1"/>
  <c r="I1165" i="3"/>
  <c r="I1166" i="3" l="1"/>
  <c r="L1167" i="3"/>
  <c r="L1168" i="3" l="1"/>
  <c r="I1167" i="3"/>
  <c r="I1168" i="3" l="1"/>
  <c r="L1169" i="3"/>
  <c r="L1170" i="3" l="1"/>
  <c r="I1169" i="3"/>
  <c r="I1170" i="3" l="1"/>
  <c r="L1171" i="3"/>
  <c r="L1172" i="3" l="1"/>
  <c r="I1171" i="3"/>
  <c r="I1172" i="3" l="1"/>
  <c r="L1173" i="3"/>
  <c r="I1173" i="3" l="1"/>
  <c r="L1174" i="3"/>
  <c r="L1175" i="3" l="1"/>
  <c r="I1174" i="3"/>
  <c r="I1175" i="3" l="1"/>
  <c r="L1176" i="3"/>
  <c r="I1176" i="3" l="1"/>
  <c r="K1176" i="3" s="1"/>
  <c r="L1177" i="3" s="1"/>
  <c r="I1177" i="3" l="1"/>
  <c r="L1178" i="3"/>
  <c r="I1178" i="3" l="1"/>
  <c r="L1179" i="3"/>
  <c r="I1179" i="3" l="1"/>
  <c r="L1180" i="3"/>
  <c r="I1180" i="3" l="1"/>
  <c r="L1181" i="3"/>
  <c r="L1182" i="3" l="1"/>
  <c r="I1181" i="3"/>
  <c r="I1182" i="3" l="1"/>
  <c r="L1183" i="3"/>
  <c r="I1183" i="3" l="1"/>
  <c r="L1184" i="3"/>
  <c r="I1184" i="3" l="1"/>
  <c r="L1185" i="3"/>
  <c r="I1185" i="3" l="1"/>
  <c r="L1186" i="3"/>
  <c r="L1187" i="3" l="1"/>
  <c r="I1186" i="3"/>
  <c r="L1188" i="3" l="1"/>
  <c r="I1187" i="3"/>
  <c r="L1189" i="3" l="1"/>
  <c r="I1188" i="3"/>
  <c r="I1189" i="3" l="1"/>
  <c r="L1190" i="3"/>
  <c r="L1191" i="3" l="1"/>
  <c r="I1190" i="3"/>
  <c r="I1191" i="3" l="1"/>
  <c r="L1192" i="3"/>
  <c r="L1193" i="3" l="1"/>
  <c r="I1192" i="3"/>
  <c r="I1193" i="3" l="1"/>
  <c r="L1194" i="3"/>
  <c r="I1194" i="3" l="1"/>
  <c r="L1195" i="3"/>
  <c r="I1195" i="3" l="1"/>
  <c r="L1196" i="3"/>
  <c r="I1196" i="3" l="1"/>
  <c r="K1196" i="3" s="1"/>
  <c r="L1197" i="3" s="1"/>
  <c r="I1197" i="3" l="1"/>
  <c r="L1198" i="3"/>
  <c r="I1198" i="3" l="1"/>
  <c r="L1199" i="3"/>
  <c r="I1199" i="3" l="1"/>
  <c r="L1200" i="3"/>
  <c r="I1200" i="3" l="1"/>
  <c r="L1201" i="3"/>
  <c r="I1201" i="3" l="1"/>
  <c r="L1202" i="3"/>
  <c r="I1202" i="3" l="1"/>
  <c r="L1203" i="3"/>
  <c r="I1203" i="3" l="1"/>
  <c r="L1204" i="3"/>
  <c r="I1204" i="3" l="1"/>
  <c r="L1205" i="3"/>
  <c r="L1206" i="3" l="1"/>
  <c r="I1205" i="3"/>
  <c r="L1207" i="3" l="1"/>
  <c r="I1206" i="3"/>
  <c r="I1207" i="3" l="1"/>
  <c r="L1208" i="3"/>
  <c r="L1209" i="3" l="1"/>
  <c r="I1208" i="3"/>
  <c r="L1210" i="3" l="1"/>
  <c r="I1209" i="3"/>
  <c r="I1210" i="3" l="1"/>
  <c r="L1211" i="3"/>
  <c r="I1211" i="3" l="1"/>
  <c r="L1212" i="3"/>
  <c r="L1213" i="3" l="1"/>
  <c r="I1212" i="3"/>
  <c r="I1213" i="3" l="1"/>
  <c r="L1214" i="3"/>
  <c r="L1215" i="3" l="1"/>
  <c r="I1214" i="3"/>
  <c r="L1216" i="3" l="1"/>
  <c r="I1215" i="3"/>
  <c r="L1217" i="3" l="1"/>
  <c r="I1216" i="3"/>
  <c r="I1217" i="3" l="1"/>
  <c r="L1218" i="3"/>
  <c r="I1218" i="3" l="1"/>
  <c r="L1219" i="3"/>
  <c r="I1219" i="3" l="1"/>
  <c r="K1219" i="3" s="1"/>
  <c r="L1220" i="3"/>
  <c r="I1220" i="3" l="1"/>
  <c r="L1221" i="3"/>
  <c r="I1221" i="3" l="1"/>
  <c r="L1222" i="3"/>
  <c r="I1222" i="3" l="1"/>
  <c r="L1223" i="3"/>
  <c r="L1224" i="3" l="1"/>
  <c r="I1223" i="3"/>
  <c r="I1224" i="3" l="1"/>
  <c r="L1225" i="3"/>
  <c r="I1225" i="3" l="1"/>
  <c r="L1226" i="3"/>
  <c r="I1226" i="3" l="1"/>
  <c r="L1227" i="3"/>
  <c r="I1227" i="3" l="1"/>
  <c r="L1228" i="3"/>
  <c r="L1229" i="3" l="1"/>
  <c r="I1228" i="3"/>
  <c r="L1230" i="3" l="1"/>
  <c r="I1229" i="3"/>
  <c r="L1231" i="3" l="1"/>
  <c r="I1230" i="3"/>
  <c r="I1231" i="3" l="1"/>
  <c r="L1232" i="3"/>
  <c r="I1232" i="3" l="1"/>
  <c r="L1233" i="3"/>
  <c r="I1233" i="3" l="1"/>
  <c r="L1234" i="3"/>
  <c r="L1235" i="3" l="1"/>
  <c r="I1234" i="3"/>
  <c r="L1236" i="3" l="1"/>
  <c r="I1235" i="3"/>
  <c r="I1236" i="3" l="1"/>
  <c r="L1237" i="3"/>
  <c r="I1237" i="3" l="1"/>
  <c r="L1238" i="3"/>
  <c r="I1238" i="3" l="1"/>
  <c r="L1239" i="3"/>
  <c r="I1239" i="3" l="1"/>
  <c r="K1239" i="3" s="1"/>
  <c r="L1240" i="3" s="1"/>
  <c r="I1240" i="3" l="1"/>
  <c r="L1241" i="3"/>
  <c r="L1242" i="3" l="1"/>
  <c r="I1241" i="3"/>
  <c r="I1242" i="3" l="1"/>
  <c r="L1243" i="3"/>
  <c r="I1243" i="3" l="1"/>
  <c r="L1244" i="3"/>
  <c r="I1244" i="3" l="1"/>
  <c r="L1245" i="3"/>
  <c r="I1245" i="3" l="1"/>
  <c r="L1246" i="3"/>
  <c r="I1246" i="3" l="1"/>
  <c r="L1247" i="3"/>
  <c r="L1248" i="3" l="1"/>
  <c r="I1247" i="3"/>
  <c r="L1249" i="3" l="1"/>
  <c r="I1248" i="3"/>
  <c r="I1249" i="3" l="1"/>
  <c r="L1250" i="3"/>
  <c r="I1250" i="3" l="1"/>
  <c r="L1251" i="3"/>
  <c r="I1251" i="3" l="1"/>
  <c r="L1252" i="3"/>
  <c r="I1252" i="3" l="1"/>
  <c r="L1253" i="3"/>
  <c r="I1253" i="3" l="1"/>
  <c r="L1254" i="3"/>
  <c r="I1254" i="3" l="1"/>
  <c r="L1255" i="3"/>
  <c r="I1255" i="3" l="1"/>
  <c r="L1256" i="3"/>
  <c r="L1257" i="3" l="1"/>
  <c r="I1256" i="3"/>
  <c r="I1257" i="3" l="1"/>
  <c r="L1258" i="3"/>
  <c r="L1259" i="3" l="1"/>
  <c r="I1258" i="3"/>
  <c r="L1260" i="3" l="1"/>
  <c r="I1259" i="3"/>
  <c r="I1260" i="3" l="1"/>
  <c r="K1260" i="3" s="1"/>
  <c r="L1261" i="3" s="1"/>
  <c r="L1262" i="3" l="1"/>
  <c r="I1261" i="3"/>
  <c r="L1263" i="3" l="1"/>
  <c r="I1262" i="3"/>
  <c r="I1263" i="3" l="1"/>
  <c r="L1264" i="3"/>
  <c r="I1264" i="3" l="1"/>
  <c r="L1265" i="3"/>
  <c r="I1265" i="3" l="1"/>
  <c r="L1266" i="3"/>
  <c r="L1267" i="3" l="1"/>
  <c r="I1266" i="3"/>
  <c r="I1267" i="3" l="1"/>
  <c r="L1268" i="3"/>
  <c r="I1268" i="3" l="1"/>
  <c r="L1269" i="3"/>
  <c r="I1269" i="3" l="1"/>
  <c r="L1270" i="3"/>
  <c r="I1270" i="3" l="1"/>
  <c r="L1271" i="3"/>
  <c r="L1272" i="3" l="1"/>
  <c r="I1271" i="3"/>
  <c r="I1272" i="3" l="1"/>
  <c r="L1273" i="3"/>
  <c r="I1273" i="3" l="1"/>
  <c r="L1274" i="3"/>
  <c r="L1275" i="3" l="1"/>
  <c r="I1274" i="3"/>
  <c r="I1275" i="3" l="1"/>
  <c r="L1276" i="3"/>
  <c r="I1276" i="3" l="1"/>
  <c r="L1277" i="3"/>
  <c r="L1278" i="3" l="1"/>
  <c r="I1277" i="3"/>
  <c r="I1278" i="3" l="1"/>
  <c r="L1279" i="3"/>
  <c r="I1279" i="3" l="1"/>
  <c r="L1280" i="3"/>
  <c r="I1280" i="3" l="1"/>
  <c r="K1280" i="3" s="1"/>
  <c r="L1281" i="3" s="1"/>
  <c r="L1282" i="3" l="1"/>
  <c r="I1281" i="3"/>
  <c r="I1282" i="3" l="1"/>
  <c r="L1283" i="3"/>
  <c r="I1283" i="3" l="1"/>
  <c r="L1284" i="3"/>
  <c r="I1284" i="3" l="1"/>
  <c r="L1285" i="3"/>
  <c r="L1286" i="3" l="1"/>
  <c r="I1285" i="3"/>
  <c r="L1287" i="3" l="1"/>
  <c r="I1286" i="3"/>
  <c r="I1287" i="3" l="1"/>
  <c r="L1288" i="3"/>
  <c r="I1288" i="3" l="1"/>
  <c r="L1289" i="3"/>
  <c r="I1289" i="3" l="1"/>
  <c r="L1290" i="3"/>
  <c r="I1290" i="3" l="1"/>
  <c r="L1291" i="3"/>
  <c r="I1291" i="3" l="1"/>
  <c r="L1292" i="3"/>
  <c r="I1292" i="3" l="1"/>
  <c r="L1293" i="3"/>
  <c r="I1293" i="3" l="1"/>
  <c r="L1294" i="3"/>
  <c r="L1295" i="3" l="1"/>
  <c r="I1294" i="3"/>
  <c r="L1296" i="3" l="1"/>
  <c r="I1295" i="3"/>
  <c r="I1296" i="3" l="1"/>
  <c r="L1297" i="3"/>
  <c r="I1297" i="3" l="1"/>
  <c r="L1298" i="3"/>
  <c r="I1298" i="3" l="1"/>
  <c r="L1299" i="3"/>
  <c r="I1299" i="3" l="1"/>
  <c r="K1299" i="3" s="1"/>
  <c r="L1300" i="3" s="1"/>
  <c r="I1300" i="3" l="1"/>
  <c r="L1301" i="3"/>
  <c r="I1301" i="3" l="1"/>
  <c r="L1302" i="3"/>
  <c r="L1303" i="3" l="1"/>
  <c r="I1302" i="3"/>
  <c r="I1303" i="3" l="1"/>
  <c r="L1304" i="3"/>
  <c r="I1304" i="3" l="1"/>
  <c r="L1305" i="3"/>
  <c r="I1305" i="3" l="1"/>
  <c r="L1306" i="3"/>
  <c r="L1307" i="3" l="1"/>
  <c r="I1306" i="3"/>
  <c r="L1308" i="3" l="1"/>
  <c r="I1307" i="3"/>
  <c r="I1308" i="3" l="1"/>
  <c r="L1309" i="3"/>
  <c r="I1309" i="3" l="1"/>
  <c r="L1310" i="3"/>
  <c r="I1310" i="3" l="1"/>
  <c r="L1311" i="3"/>
  <c r="L1312" i="3" l="1"/>
  <c r="I1311" i="3"/>
  <c r="L1313" i="3" l="1"/>
  <c r="I1312" i="3"/>
  <c r="L1314" i="3" l="1"/>
  <c r="I1313" i="3"/>
  <c r="I1314" i="3" l="1"/>
  <c r="L1315" i="3"/>
  <c r="L1316" i="3" l="1"/>
  <c r="I1315" i="3"/>
  <c r="L1317" i="3" l="1"/>
  <c r="I1316" i="3"/>
  <c r="I1317" i="3" l="1"/>
  <c r="L1318" i="3"/>
  <c r="I1318" i="3" l="1"/>
  <c r="L1319" i="3"/>
  <c r="I1319" i="3" l="1"/>
  <c r="L1320" i="3"/>
  <c r="I1320" i="3" l="1"/>
  <c r="K1320" i="3" s="1"/>
  <c r="L1321" i="3" s="1"/>
  <c r="I1321" i="3" l="1"/>
  <c r="L1322" i="3"/>
  <c r="I1322" i="3" l="1"/>
  <c r="L1323" i="3"/>
  <c r="L1324" i="3" l="1"/>
  <c r="I1323" i="3"/>
  <c r="I1324" i="3" l="1"/>
  <c r="L1325" i="3"/>
  <c r="L1326" i="3" l="1"/>
  <c r="I1325" i="3"/>
  <c r="I1326" i="3" l="1"/>
  <c r="L1327" i="3"/>
  <c r="I1327" i="3" l="1"/>
  <c r="L1328" i="3"/>
  <c r="I1328" i="3" l="1"/>
  <c r="L1329" i="3"/>
  <c r="I1329" i="3" l="1"/>
  <c r="L1330" i="3"/>
  <c r="L1331" i="3" l="1"/>
  <c r="I1330" i="3"/>
  <c r="L1332" i="3" l="1"/>
  <c r="I1331" i="3"/>
  <c r="I1332" i="3" l="1"/>
  <c r="L1333" i="3"/>
  <c r="I1333" i="3" l="1"/>
  <c r="L1334" i="3"/>
  <c r="I1334" i="3" l="1"/>
  <c r="L1335" i="3"/>
  <c r="L1336" i="3" l="1"/>
  <c r="I1335" i="3"/>
  <c r="I1336" i="3" l="1"/>
  <c r="L1337" i="3"/>
  <c r="I1337" i="3" l="1"/>
  <c r="L1338" i="3"/>
  <c r="I1338" i="3" l="1"/>
  <c r="L1339" i="3"/>
  <c r="I1339" i="3" l="1"/>
  <c r="L1340" i="3"/>
  <c r="I1340" i="3" l="1"/>
  <c r="L1341" i="3"/>
  <c r="I1341" i="3" l="1"/>
  <c r="K1341" i="3" s="1"/>
  <c r="L1342" i="3" s="1"/>
  <c r="L1343" i="3" l="1"/>
  <c r="I1342" i="3"/>
  <c r="L1344" i="3" l="1"/>
  <c r="I1343" i="3"/>
  <c r="I1344" i="3" l="1"/>
  <c r="L1345" i="3"/>
  <c r="I1345" i="3" l="1"/>
  <c r="L1346" i="3"/>
  <c r="I1346" i="3" l="1"/>
  <c r="L1347" i="3"/>
  <c r="I1347" i="3" l="1"/>
  <c r="L1348" i="3"/>
  <c r="L1349" i="3" l="1"/>
  <c r="I1348" i="3"/>
  <c r="L1350" i="3" l="1"/>
  <c r="I1349" i="3"/>
  <c r="L1351" i="3" l="1"/>
  <c r="I1350" i="3"/>
  <c r="I1351" i="3" l="1"/>
  <c r="L1352" i="3"/>
  <c r="I1352" i="3" l="1"/>
  <c r="L1353" i="3"/>
  <c r="I1353" i="3" l="1"/>
  <c r="L1354" i="3"/>
  <c r="L1355" i="3" l="1"/>
  <c r="I1354" i="3"/>
  <c r="L1356" i="3" l="1"/>
  <c r="I1355" i="3"/>
  <c r="L1357" i="3" l="1"/>
  <c r="I1356" i="3"/>
  <c r="L1358" i="3" l="1"/>
  <c r="I1357" i="3"/>
  <c r="I1358" i="3" l="1"/>
  <c r="L1359" i="3"/>
  <c r="I1359" i="3" l="1"/>
  <c r="L1360" i="3"/>
  <c r="I1360" i="3" l="1"/>
  <c r="L1361" i="3"/>
  <c r="L1362" i="3" l="1"/>
  <c r="I1361" i="3"/>
  <c r="I1362" i="3" l="1"/>
  <c r="K1362" i="3" s="1"/>
  <c r="L1363" i="3"/>
  <c r="I1363" i="3" l="1"/>
  <c r="L1364" i="3"/>
  <c r="I1364" i="3" l="1"/>
  <c r="L1365" i="3"/>
  <c r="I1365" i="3" l="1"/>
  <c r="L1366" i="3"/>
  <c r="I1366" i="3" l="1"/>
  <c r="L1367" i="3"/>
  <c r="L1368" i="3" l="1"/>
  <c r="I1367" i="3"/>
  <c r="I1368" i="3" l="1"/>
  <c r="L1369" i="3"/>
  <c r="I1369" i="3" l="1"/>
  <c r="L1370" i="3"/>
  <c r="I1370" i="3" l="1"/>
  <c r="L1371" i="3"/>
  <c r="I1371" i="3" l="1"/>
  <c r="L1372" i="3"/>
  <c r="L1373" i="3" l="1"/>
  <c r="I1372" i="3"/>
  <c r="I1373" i="3" l="1"/>
  <c r="L1374" i="3"/>
  <c r="I1374" i="3" l="1"/>
  <c r="L1375" i="3"/>
  <c r="L1376" i="3" l="1"/>
  <c r="I1375" i="3"/>
  <c r="L1377" i="3" l="1"/>
  <c r="I1376" i="3"/>
  <c r="L1378" i="3" l="1"/>
  <c r="I1377" i="3"/>
  <c r="L1379" i="3" l="1"/>
  <c r="I1378" i="3"/>
  <c r="I1379" i="3" l="1"/>
  <c r="L1380" i="3"/>
  <c r="I1380" i="3" l="1"/>
  <c r="L1381" i="3"/>
  <c r="I1381" i="3" l="1"/>
  <c r="L1382" i="3"/>
  <c r="I1382" i="3" l="1"/>
  <c r="K1382" i="3" s="1"/>
  <c r="L1383" i="3" s="1"/>
  <c r="I1383" i="3" l="1"/>
  <c r="L1384" i="3"/>
  <c r="I1384" i="3" l="1"/>
  <c r="L1385" i="3"/>
  <c r="I1385" i="3" l="1"/>
  <c r="L1386" i="3"/>
  <c r="I1386" i="3" l="1"/>
  <c r="L1387" i="3"/>
  <c r="I1387" i="3" l="1"/>
  <c r="L1388" i="3"/>
  <c r="I1388" i="3" l="1"/>
  <c r="L1389" i="3"/>
  <c r="I1389" i="3" l="1"/>
  <c r="L1390" i="3"/>
  <c r="I1390" i="3" l="1"/>
  <c r="L1391" i="3"/>
  <c r="L1392" i="3" l="1"/>
  <c r="I1391" i="3"/>
  <c r="L1393" i="3" l="1"/>
  <c r="I1392" i="3"/>
  <c r="L1394" i="3" l="1"/>
  <c r="I1393" i="3"/>
  <c r="L1395" i="3" l="1"/>
  <c r="I1394" i="3"/>
  <c r="L1396" i="3" l="1"/>
  <c r="I1395" i="3"/>
  <c r="L1397" i="3" l="1"/>
  <c r="I1396" i="3"/>
  <c r="L1398" i="3" l="1"/>
  <c r="I1397" i="3"/>
  <c r="I1398" i="3" l="1"/>
  <c r="L1399" i="3"/>
  <c r="L1400" i="3" l="1"/>
  <c r="I1399" i="3"/>
  <c r="I1400" i="3" l="1"/>
  <c r="L1401" i="3"/>
  <c r="I1401" i="3" l="1"/>
  <c r="L1402" i="3"/>
  <c r="I1402" i="3" l="1"/>
  <c r="L1403" i="3"/>
  <c r="L1404" i="3" l="1"/>
  <c r="I1403" i="3"/>
  <c r="I1404" i="3" l="1"/>
  <c r="K1404" i="3" s="1"/>
  <c r="L1405" i="3" s="1"/>
  <c r="L1406" i="3" l="1"/>
  <c r="I1405" i="3"/>
  <c r="I1406" i="3" l="1"/>
  <c r="L1407" i="3"/>
  <c r="I1407" i="3" l="1"/>
  <c r="L1408" i="3"/>
  <c r="I1408" i="3" l="1"/>
  <c r="L1409" i="3"/>
  <c r="I1409" i="3" l="1"/>
  <c r="L1410" i="3"/>
  <c r="I1410" i="3" l="1"/>
  <c r="L1411" i="3"/>
  <c r="I1411" i="3" l="1"/>
  <c r="L1412" i="3"/>
  <c r="I1412" i="3" l="1"/>
  <c r="L1413" i="3"/>
  <c r="I1413" i="3" l="1"/>
  <c r="L1414" i="3"/>
  <c r="I1414" i="3" l="1"/>
  <c r="L1415" i="3"/>
  <c r="L1416" i="3" l="1"/>
  <c r="I1415" i="3"/>
  <c r="I1416" i="3" l="1"/>
  <c r="L1417" i="3"/>
  <c r="L1418" i="3" l="1"/>
  <c r="I1417" i="3"/>
  <c r="L1419" i="3" l="1"/>
  <c r="I1418" i="3"/>
  <c r="L1420" i="3" l="1"/>
  <c r="I1419" i="3"/>
  <c r="I1420" i="3" l="1"/>
  <c r="L1421" i="3"/>
  <c r="L1422" i="3" l="1"/>
  <c r="I1421" i="3"/>
  <c r="I1422" i="3" l="1"/>
  <c r="L1423" i="3"/>
  <c r="I1423" i="3" l="1"/>
  <c r="L1424" i="3"/>
  <c r="I1424" i="3" l="1"/>
  <c r="L1425" i="3"/>
  <c r="I1425" i="3" l="1"/>
  <c r="K1425" i="3" s="1"/>
  <c r="L1426" i="3" s="1"/>
  <c r="I1426" i="3" l="1"/>
  <c r="L1427" i="3"/>
  <c r="H6" i="1"/>
  <c r="H7" i="1"/>
  <c r="L1428" i="3" l="1"/>
  <c r="I1427" i="3"/>
  <c r="L1429" i="3" l="1"/>
  <c r="I1428" i="3"/>
  <c r="I1429" i="3" l="1"/>
  <c r="L1430" i="3"/>
  <c r="I1430" i="3" l="1"/>
  <c r="L1431" i="3"/>
  <c r="I1431" i="3" l="1"/>
  <c r="L1432" i="3"/>
  <c r="I1432" i="3" l="1"/>
  <c r="L1433" i="3"/>
  <c r="I1433" i="3" l="1"/>
  <c r="L1434" i="3"/>
  <c r="I1434" i="3" l="1"/>
  <c r="L1435" i="3"/>
  <c r="L1436" i="3" l="1"/>
  <c r="I1435" i="3"/>
  <c r="L1437" i="3" l="1"/>
  <c r="I1436" i="3"/>
  <c r="L1438" i="3" l="1"/>
  <c r="I1437" i="3"/>
  <c r="L1439" i="3" l="1"/>
  <c r="I1438" i="3"/>
  <c r="L1440" i="3" l="1"/>
  <c r="I1439" i="3"/>
  <c r="I1440" i="3" l="1"/>
  <c r="H8" i="1" a="1"/>
  <c r="H8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0F0E49-AB77-4581-8F1D-097C7820C57D}" keepAlive="1" name="Query - Query1" description="Connection to the 'Query1' query in the workbook." type="5" refreshedVersion="7" background="1" saveData="1">
    <dbPr connection="Provider=Microsoft.Mashup.OleDb.1;Data Source=$Workbook$;Location=Query1;Extended Properties=&quot;&quot;" command="SELECT * FROM [Query1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<sst xmlns="http://schemas.openxmlformats.org/spreadsheetml/2006/main" count="33" uniqueCount="33">
  <si>
    <t>Date</t>
  </si>
  <si>
    <t>Open</t>
  </si>
  <si>
    <t>High</t>
  </si>
  <si>
    <t>Low</t>
  </si>
  <si>
    <t>Close</t>
  </si>
  <si>
    <t>Volume</t>
  </si>
  <si>
    <t>Adj Close</t>
  </si>
  <si>
    <t>Month</t>
  </si>
  <si>
    <t>Value</t>
  </si>
  <si>
    <t>Target Value</t>
  </si>
  <si>
    <t>Top Up</t>
  </si>
  <si>
    <t>Shares</t>
  </si>
  <si>
    <t>Fix Top Up</t>
  </si>
  <si>
    <t>Fix  top up sharez</t>
  </si>
  <si>
    <t>Enhanced top up</t>
  </si>
  <si>
    <t>Enhanced  top up sharez</t>
  </si>
  <si>
    <t>预设月增长率 （法一）</t>
  </si>
  <si>
    <t>方法一 （目标价值法）</t>
  </si>
  <si>
    <t>方法二 （无脑定投）</t>
  </si>
  <si>
    <t>方法三 （增强型定投）</t>
  </si>
  <si>
    <t>预设每月定投 （法一）</t>
  </si>
  <si>
    <t>实际月定投</t>
  </si>
  <si>
    <t>月定投基数</t>
  </si>
  <si>
    <t>预设Delta （适用于方法三）</t>
  </si>
  <si>
    <t>后期总投入</t>
  </si>
  <si>
    <t xml:space="preserve">初始资金： </t>
  </si>
  <si>
    <t>总追加次数</t>
  </si>
  <si>
    <t>最终净值</t>
  </si>
  <si>
    <t>股票名称</t>
  </si>
  <si>
    <t>起始日期</t>
  </si>
  <si>
    <t>截止日期</t>
  </si>
  <si>
    <t>avg</t>
  </si>
  <si>
    <t>MSFT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</si>
</sst>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* #,##0.00_-;\-&quot;$&quot;* #,##0.00_-;_-&quot;$&quot;* &quot;-&quot;??_-;_-@_-"/>
    <numFmt numFmtId="167" formatCode="_-&quot;$&quot;* #,##0_-;\-&quot;$&quot;* #,##0_-;_-&quot;$&quot;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232A31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4">
    <xf numFmtId="0" fontId="0" fillId="0" borderId="0" xfId="0"/>
    <xf numFmtId="14" fontId="0" fillId="0" borderId="0" xfId="0" applyNumberFormat="1"/>
    <xf numFmtId="0" fontId="0" fillId="0" borderId="0" xfId="0" applyNumberFormat="1"/>
    <xf numFmtId="3" fontId="0" fillId="0" borderId="0" xfId="0" applyNumberFormat="1"/>
    <xf numFmtId="0" fontId="0" fillId="0" borderId="1" xfId="0" applyBorder="1"/>
    <xf numFmtId="10" fontId="0" fillId="0" borderId="1" xfId="0" applyNumberFormat="1" applyBorder="1"/>
    <xf numFmtId="3" fontId="0" fillId="0" borderId="1" xfId="0" applyNumberFormat="1" applyBorder="1"/>
    <xf numFmtId="167" fontId="0" fillId="0" borderId="1" xfId="1" applyNumberFormat="1" applyFont="1" applyBorder="1"/>
    <xf numFmtId="167" fontId="0" fillId="0" borderId="1" xfId="0" applyNumberFormat="1" applyBorder="1"/>
    <xf numFmtId="9" fontId="0" fillId="0" borderId="1" xfId="2" applyFont="1" applyBorder="1"/>
    <xf numFmtId="167" fontId="2" fillId="0" borderId="1" xfId="1" applyNumberFormat="1" applyFont="1" applyBorder="1"/>
    <xf numFmtId="0" fontId="2" fillId="0" borderId="1" xfId="0" applyFont="1" applyBorder="1"/>
    <xf numFmtId="14" fontId="0" fillId="0" borderId="1" xfId="0" applyNumberFormat="1" applyBorder="1" applyAlignment="1">
      <alignment horizontal="center"/>
    </xf>
    <xf numFmtId="0" fontId="3" fillId="0" borderId="0" xfId="0" applyFont="1" applyAlignment="1">
      <alignment vertical="center" wrapText="1"/>
    </xf>
  </cellXfs>
  <cellStyles count="3">
    <cellStyle name="Currency" xfId="1" builtinId="4"/>
    <cellStyle name="Normal" xfId="0" builtinId="0"/>
    <cellStyle name="Per cent" xfId="2" builtinId="5"/>
  </cellStyles>
  <dxfs count="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" formatCode="#,##0"/>
    </dxf>
    <dxf>
      <numFmt numFmtId="3" formatCode="#,##0"/>
    </dxf>
    <dxf>
      <numFmt numFmtId="0" formatCode="General"/>
    </dxf>
    <dxf>
      <numFmt numFmtId="19" formatCode="d/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125186</xdr:colOff>
          <xdr:row>8</xdr:row>
          <xdr:rowOff>76200</xdr:rowOff>
        </xdr:from>
        <xdr:to>
          <xdr:col>2</xdr:col>
          <xdr:colOff>489857</xdr:colOff>
          <xdr:row>10</xdr:row>
          <xdr:rowOff>146957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1. 更新数据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228600</xdr:colOff>
          <xdr:row>11</xdr:row>
          <xdr:rowOff>27215</xdr:rowOff>
        </xdr:from>
        <xdr:to>
          <xdr:col>9</xdr:col>
          <xdr:colOff>1251857</xdr:colOff>
          <xdr:row>13</xdr:row>
          <xdr:rowOff>70758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2. 法二对齐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288472</xdr:colOff>
          <xdr:row>10</xdr:row>
          <xdr:rowOff>174172</xdr:rowOff>
        </xdr:from>
        <xdr:to>
          <xdr:col>11</xdr:col>
          <xdr:colOff>1311729</xdr:colOff>
          <xdr:row>13</xdr:row>
          <xdr:rowOff>32657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3. 法三对齐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AE0BAFC4-FA9D-4539-9BF8-6012E9CDAAAA}" autoFormatId="16" applyNumberFormats="0" applyBorderFormats="0" applyFontFormats="0" applyPatternFormats="0" applyAlignmentFormats="0" applyWidthHeightFormats="0">
  <queryTableRefresh nextId="18" unboundColumnsRight="10">
    <queryTableFields count="17">
      <queryTableField id="1" name="Date" tableColumnId="1"/>
      <queryTableField id="2" name="Open" tableColumnId="2"/>
      <queryTableField id="3" name="High" tableColumnId="3"/>
      <queryTableField id="4" name="Low" tableColumnId="4"/>
      <queryTableField id="5" name="Close" tableColumnId="5"/>
      <queryTableField id="6" name="Volume" tableColumnId="6"/>
      <queryTableField id="7" name="Adj Close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4740D76-A555-4046-A82D-E45664600F0B}" name="Query1" displayName="Query1" ref="A1:Q1440" tableType="queryTable" totalsRowShown="0">
  <autoFilter ref="A1:Q1440" xr:uid="{84740D76-A555-4046-A82D-E45664600F0B}"/>
  <tableColumns count="17">
    <tableColumn id="1" xr3:uid="{2D52671C-2C3C-459E-A311-CB9DCA25D99E}" uniqueName="1" name="Date" queryTableFieldId="1" dataDxfId="7"/>
    <tableColumn id="2" xr3:uid="{66BE8C34-C9CF-4605-AAEA-11909F2E13E2}" uniqueName="2" name="Open" queryTableFieldId="2"/>
    <tableColumn id="3" xr3:uid="{D508C000-CE69-4C9A-85C6-5FF1A034CB56}" uniqueName="3" name="High" queryTableFieldId="3"/>
    <tableColumn id="4" xr3:uid="{EA932314-D626-4B83-A3B6-A94AD3F56B87}" uniqueName="4" name="Low" queryTableFieldId="4"/>
    <tableColumn id="5" xr3:uid="{2214B0B3-3B67-4AF8-9BAE-8A5DBB34285D}" uniqueName="5" name="Close" queryTableFieldId="5"/>
    <tableColumn id="6" xr3:uid="{EC595D1B-4331-420E-9D37-8902A30BFAE2}" uniqueName="6" name="Volume" queryTableFieldId="6"/>
    <tableColumn id="7" xr3:uid="{144C0BB7-DD57-4594-ACD2-E39A770CD481}" uniqueName="7" name="Adj Close" queryTableFieldId="7"/>
    <tableColumn id="8" xr3:uid="{5BA00375-C0D0-46B4-9F39-E627CDBA47ED}" uniqueName="8" name="Month" queryTableFieldId="8" dataDxfId="6">
      <calculatedColumnFormula>MONTH(Query1[[#This Row],[Date]])</calculatedColumnFormula>
    </tableColumn>
    <tableColumn id="9" xr3:uid="{451422D6-0168-4D55-8A64-D181784EFE1E}" uniqueName="9" name="Value" queryTableFieldId="9" dataDxfId="5">
      <calculatedColumnFormula>Query1[[#This Row],[Shares]]*Query1[[#This Row],[Adj Close]]</calculatedColumnFormula>
    </tableColumn>
    <tableColumn id="10" xr3:uid="{D32EE86E-70F8-462D-A708-9D600559FE62}" uniqueName="10" name="Target Value" queryTableFieldId="10" dataDxfId="4">
      <calculatedColumnFormula>IF(ROW()&lt;3, Dashboard!$E$7, IF(Query1[[#This Row],[Month]]&lt;&gt;H1,J1*(1+Dashboard!$E$4)+Dashboard!$E$5,J1))</calculatedColumnFormula>
    </tableColumn>
    <tableColumn id="11" xr3:uid="{341F2D0C-D97A-483C-AFE3-FDBB8B38EEE7}" uniqueName="11" name="Top Up" queryTableFieldId="11">
      <calculatedColumnFormula>IF(ROW()&lt;3, 0,IF(Query1[[#This Row],[Month]]&lt;&gt;H1,IF((J2-I2&gt;0),J2-I2,0),0))</calculatedColumnFormula>
    </tableColumn>
    <tableColumn id="12" xr3:uid="{59551E7C-C3D7-475D-B564-30EAC6C37815}" uniqueName="12" name="Shares" queryTableFieldId="12" dataDxfId="3">
      <calculatedColumnFormula>IF(ROW()&lt;3, J2/G2, L1+K1/G1)</calculatedColumnFormula>
    </tableColumn>
    <tableColumn id="13" xr3:uid="{769FF358-0C9B-4230-AF1B-02FF92456626}" uniqueName="13" name="Fix Top Up" queryTableFieldId="13"/>
    <tableColumn id="14" xr3:uid="{5F5E5235-FD28-4CAC-8604-E0B23B6714A6}" uniqueName="14" name="Fix  top up sharez" queryTableFieldId="14" dataDxfId="2">
      <calculatedColumnFormula>IF(ROW()&lt;3, Query1[[#This Row],[Shares]], IF(Query1[[#This Row],[Month]]&lt;&gt;H1, N1+Query1[[#This Row],[Fix Top Up]]/Query1[[#This Row],[Adj Close]], N1))</calculatedColumnFormula>
    </tableColumn>
    <tableColumn id="15" xr3:uid="{B41923DD-3E57-47B7-BC62-862A422AC37C}" uniqueName="15" name="Enhanced top up" queryTableFieldId="15"/>
    <tableColumn id="16" xr3:uid="{DCA27BE7-1158-4D1D-B706-A59EB3C7B235}" uniqueName="16" name="Enhanced  top up sharez" queryTableFieldId="16" dataDxfId="1">
      <calculatedColumnFormula>IF(ROW()&lt;3, Query1[[#This Row],[Shares]], IF(Query1[[#This Row],[Month]]&lt;&gt;H1, P1+Query1[[#This Row],[Enhanced top up]]/Query1[[#This Row],[Adj Close]], P1))</calculatedColumnFormula>
    </tableColumn>
    <tableColumn id="17" xr3:uid="{CC49DFD7-86DD-4709-BCBE-32EEF9412A03}" uniqueName="17" name="avg" queryTableFieldId="17" dataDxfId="0">
      <calculatedColumnFormula>IFERROR(AVERAGE(
  IF(ROW()&gt;20, INDEX(G:G, ROW()-20), 0) :
  INDEX(G:G, ROW())
),0)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5CF5B-D9FB-4FBD-9AED-C9274613F54A}">
  <sheetPr codeName="Sheet1"/>
  <dimension ref="A1:Q1445"/>
  <sheetViews>
    <sheetView workbookViewId="0">
      <selection activeCell="B1" sqref="B1"/>
    </sheetView>
  </sheetViews>
  <sheetFormatPr defaultRowHeight="14.6" x14ac:dyDescent="0.4"/>
  <cols>
    <col min="1" max="1" width="10.3828125" bestFit="1" customWidth="1"/>
    <col min="2" max="5" width="11.84375" bestFit="1" customWidth="1"/>
    <col min="6" max="6" width="9.4609375" bestFit="1" customWidth="1"/>
    <col min="7" max="7" width="11.84375" bestFit="1" customWidth="1"/>
    <col min="8" max="9" width="8.765625" bestFit="1" customWidth="1"/>
    <col min="10" max="10" width="13.53515625" bestFit="1" customWidth="1"/>
    <col min="11" max="13" width="11.84375" bestFit="1" customWidth="1"/>
    <col min="14" max="14" width="17.61328125" bestFit="1" customWidth="1"/>
    <col min="15" max="15" width="17.23046875" bestFit="1" customWidth="1"/>
    <col min="16" max="16" width="23.61328125" bestFit="1" customWidth="1"/>
    <col min="17" max="17" width="11.84375" bestFit="1" customWidth="1"/>
  </cols>
  <sheetData>
    <row r="1" spans="1:17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s="3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31</v>
      </c>
    </row>
    <row r="2" spans="1:17" x14ac:dyDescent="0.4">
      <c r="A2" s="1">
        <v>43832</v>
      </c>
      <c r="B2">
        <v>158.77999877929688</v>
      </c>
      <c r="C2">
        <v>160.72999572753906</v>
      </c>
      <c r="D2">
        <v>158.33000183105469</v>
      </c>
      <c r="E2">
        <v>160.6199951171875</v>
      </c>
      <c r="F2">
        <v>22622100</v>
      </c>
      <c r="G2">
        <v>152.79110717773438</v>
      </c>
      <c r="H2" s="2">
        <f>MONTH(Query1[[#This Row],[Date]])</f>
        <v>1</v>
      </c>
      <c r="I2" s="3">
        <f>Query1[[#This Row],[Shares]]*Query1[[#This Row],[Adj Close]]</f>
        <v>500000</v>
      </c>
      <c r="J2" s="3">
        <f>IF(ROW()&lt;3, Dashboard!$E$7, IF(Query1[[#This Row],[Month]]&lt;&gt;H1,J1*(1+Dashboard!$E$4)+Dashboard!$E$5,J1))</f>
        <v>500000</v>
      </c>
      <c r="K2">
        <f>IF(ROW()&lt;3, 0,IF(Query1[[#This Row],[Month]]&lt;&gt;H1,IF((J2-I2&gt;0),J2-I2,0),0))</f>
        <v>0</v>
      </c>
      <c r="L2" s="2">
        <f t="shared" ref="L2:L65" si="0">IF(ROW()&lt;3, J2/G2, L1+K1/G1)</f>
        <v>3272.4417620612867</v>
      </c>
      <c r="M2">
        <f>IF(ROW()&lt;3, 0, IF(Query1[[#This Row],[Month]]&lt;&gt;H1, Dashboard!$J$5,0))</f>
        <v>0</v>
      </c>
      <c r="N2" s="2">
        <f>IF(ROW()&lt;3, Query1[[#This Row],[Shares]], IF(Query1[[#This Row],[Month]]&lt;&gt;H1, N1+Query1[[#This Row],[Fix Top Up]]/Query1[[#This Row],[Adj Close]], N1))</f>
        <v>3272.4417620612867</v>
      </c>
      <c r="O2">
        <f>IF(AND(Query1[[#This Row],[avg]]&gt;0, Query1[[#This Row],[Month]]&lt;&gt;H1),
    IF(Query1[[#This Row],[Adj Close]]&gt;Query1[[#This Row],[avg]],
       Dashboard!$L$5-Dashboard!$E$6,
       Dashboard!$L$5+Dashboard!$E$6
    ), 0
)</f>
        <v>0</v>
      </c>
      <c r="P2" s="2">
        <f>IF(ROW()&lt;3, Query1[[#This Row],[Shares]], IF(Query1[[#This Row],[Month]]&lt;&gt;H1, P1+Query1[[#This Row],[Enhanced top up]]/Query1[[#This Row],[Adj Close]], P1))</f>
        <v>3272.4417620612867</v>
      </c>
      <c r="Q2" s="2">
        <f>IFERROR(AVERAGE(
  IF(ROW()&gt;20, INDEX(G:G, ROW()-20), 0) :
  INDEX(G:G, ROW())
),0)</f>
        <v>0</v>
      </c>
    </row>
    <row r="3" spans="1:17" x14ac:dyDescent="0.4">
      <c r="A3" s="1">
        <v>43833</v>
      </c>
      <c r="B3">
        <v>158.32000732421875</v>
      </c>
      <c r="C3">
        <v>159.94999694824219</v>
      </c>
      <c r="D3">
        <v>158.05999755859375</v>
      </c>
      <c r="E3">
        <v>158.6199951171875</v>
      </c>
      <c r="F3">
        <v>21116200</v>
      </c>
      <c r="G3">
        <v>150.88859558105469</v>
      </c>
      <c r="H3" s="2">
        <f>MONTH(Query1[[#This Row],[Date]])</f>
        <v>1</v>
      </c>
      <c r="I3" s="3">
        <f>Query1[[#This Row],[Shares]]*Query1[[#This Row],[Adj Close]]</f>
        <v>493774.14159821946</v>
      </c>
      <c r="J3" s="3">
        <f>IF(ROW()&lt;3, Dashboard!$E$7, IF(Query1[[#This Row],[Month]]&lt;&gt;H2,J2*(1+Dashboard!$E$4)+Dashboard!$E$5,J2))</f>
        <v>500000</v>
      </c>
      <c r="K3">
        <f>IF(ROW()&lt;3, 0,IF(Query1[[#This Row],[Month]]&lt;&gt;H2,IF((J3-I3&gt;0),J3-I3,0),0))</f>
        <v>0</v>
      </c>
      <c r="L3" s="2">
        <f t="shared" si="0"/>
        <v>3272.4417620612867</v>
      </c>
      <c r="M3">
        <f>IF(ROW()&lt;3, 0, IF(Query1[[#This Row],[Month]]&lt;&gt;H2, Dashboard!$J$5,0))</f>
        <v>0</v>
      </c>
      <c r="N3" s="2">
        <f>IF(ROW()&lt;3, Query1[[#This Row],[Shares]], IF(Query1[[#This Row],[Month]]&lt;&gt;H2, N2+Query1[[#This Row],[Fix Top Up]]/Query1[[#This Row],[Adj Close]], N2))</f>
        <v>3272.4417620612867</v>
      </c>
      <c r="O3">
        <f>IF(AND(Query1[[#This Row],[avg]]&gt;0, Query1[[#This Row],[Month]]&lt;&gt;H2),
    IF(Query1[[#This Row],[Adj Close]]&gt;Query1[[#This Row],[avg]],
       Dashboard!$L$5-Dashboard!$E$6,
       Dashboard!$L$5+Dashboard!$E$6
    ), 0
)</f>
        <v>0</v>
      </c>
      <c r="P3" s="2">
        <f>IF(ROW()&lt;3, Query1[[#This Row],[Shares]], IF(Query1[[#This Row],[Month]]&lt;&gt;H2, P2+Query1[[#This Row],[Enhanced top up]]/Query1[[#This Row],[Adj Close]], P2))</f>
        <v>3272.4417620612867</v>
      </c>
      <c r="Q3" s="2">
        <f>IFERROR(AVERAGE(
  IF(ROW()&gt;20, INDEX(G:G, ROW()-20), 0) :
  INDEX(G:G, ROW())
),0)</f>
        <v>0</v>
      </c>
    </row>
    <row r="4" spans="1:17" x14ac:dyDescent="0.4">
      <c r="A4" s="1">
        <v>43836</v>
      </c>
      <c r="B4">
        <v>157.08000183105469</v>
      </c>
      <c r="C4">
        <v>159.10000610351563</v>
      </c>
      <c r="D4">
        <v>156.50999450683594</v>
      </c>
      <c r="E4">
        <v>159.02999877929688</v>
      </c>
      <c r="F4">
        <v>20813700</v>
      </c>
      <c r="G4">
        <v>151.27862548828125</v>
      </c>
      <c r="H4" s="2">
        <f>MONTH(Query1[[#This Row],[Date]])</f>
        <v>1</v>
      </c>
      <c r="I4" s="3">
        <f>Query1[[#This Row],[Shares]]*Query1[[#This Row],[Adj Close]]</f>
        <v>495050.49175508058</v>
      </c>
      <c r="J4" s="3">
        <f>IF(ROW()&lt;3, Dashboard!$E$7, IF(Query1[[#This Row],[Month]]&lt;&gt;H3,J3*(1+Dashboard!$E$4)+Dashboard!$E$5,J3))</f>
        <v>500000</v>
      </c>
      <c r="K4">
        <f>IF(ROW()&lt;3, 0,IF(Query1[[#This Row],[Month]]&lt;&gt;H3,IF((J4-I4&gt;0),J4-I4,0),0))</f>
        <v>0</v>
      </c>
      <c r="L4" s="2">
        <f t="shared" si="0"/>
        <v>3272.4417620612867</v>
      </c>
      <c r="M4">
        <f>IF(ROW()&lt;3, 0, IF(Query1[[#This Row],[Month]]&lt;&gt;H3, Dashboard!$J$5,0))</f>
        <v>0</v>
      </c>
      <c r="N4" s="2">
        <f>IF(ROW()&lt;3, Query1[[#This Row],[Shares]], IF(Query1[[#This Row],[Month]]&lt;&gt;H3, N3+Query1[[#This Row],[Fix Top Up]]/Query1[[#This Row],[Adj Close]], N3))</f>
        <v>3272.4417620612867</v>
      </c>
      <c r="O4">
        <f>IF(AND(Query1[[#This Row],[avg]]&gt;0, Query1[[#This Row],[Month]]&lt;&gt;H3),
    IF(Query1[[#This Row],[Adj Close]]&gt;Query1[[#This Row],[avg]],
       Dashboard!$L$5-Dashboard!$E$6,
       Dashboard!$L$5+Dashboard!$E$6
    ), 0
)</f>
        <v>0</v>
      </c>
      <c r="P4" s="2">
        <f>IF(ROW()&lt;3, Query1[[#This Row],[Shares]], IF(Query1[[#This Row],[Month]]&lt;&gt;H3, P3+Query1[[#This Row],[Enhanced top up]]/Query1[[#This Row],[Adj Close]], P3))</f>
        <v>3272.4417620612867</v>
      </c>
      <c r="Q4" s="2">
        <f>IFERROR(AVERAGE(
  IF(ROW()&gt;20, INDEX(G:G, ROW()-20), 0) :
  INDEX(G:G, ROW())
),0)</f>
        <v>0</v>
      </c>
    </row>
    <row r="5" spans="1:17" x14ac:dyDescent="0.4">
      <c r="A5" s="1">
        <v>43837</v>
      </c>
      <c r="B5">
        <v>159.32000732421875</v>
      </c>
      <c r="C5">
        <v>159.66999816894531</v>
      </c>
      <c r="D5">
        <v>157.32000732421875</v>
      </c>
      <c r="E5">
        <v>157.58000183105469</v>
      </c>
      <c r="F5">
        <v>21634100</v>
      </c>
      <c r="G5">
        <v>149.8992919921875</v>
      </c>
      <c r="H5" s="2">
        <f>MONTH(Query1[[#This Row],[Date]])</f>
        <v>1</v>
      </c>
      <c r="I5" s="3">
        <f>Query1[[#This Row],[Shares]]*Query1[[#This Row],[Adj Close]]</f>
        <v>490536.70321865339</v>
      </c>
      <c r="J5" s="3">
        <f>IF(ROW()&lt;3, Dashboard!$E$7, IF(Query1[[#This Row],[Month]]&lt;&gt;H4,J4*(1+Dashboard!$E$4)+Dashboard!$E$5,J4))</f>
        <v>500000</v>
      </c>
      <c r="K5">
        <f>IF(ROW()&lt;3, 0,IF(Query1[[#This Row],[Month]]&lt;&gt;H4,IF((J5-I5&gt;0),J5-I5,0),0))</f>
        <v>0</v>
      </c>
      <c r="L5" s="2">
        <f t="shared" si="0"/>
        <v>3272.4417620612867</v>
      </c>
      <c r="M5">
        <f>IF(ROW()&lt;3, 0, IF(Query1[[#This Row],[Month]]&lt;&gt;H4, Dashboard!$J$5,0))</f>
        <v>0</v>
      </c>
      <c r="N5" s="2">
        <f>IF(ROW()&lt;3, Query1[[#This Row],[Shares]], IF(Query1[[#This Row],[Month]]&lt;&gt;H4, N4+Query1[[#This Row],[Fix Top Up]]/Query1[[#This Row],[Adj Close]], N4))</f>
        <v>3272.4417620612867</v>
      </c>
      <c r="O5">
        <f>IF(AND(Query1[[#This Row],[avg]]&gt;0, Query1[[#This Row],[Month]]&lt;&gt;H4),
    IF(Query1[[#This Row],[Adj Close]]&gt;Query1[[#This Row],[avg]],
       Dashboard!$L$5-Dashboard!$E$6,
       Dashboard!$L$5+Dashboard!$E$6
    ), 0
)</f>
        <v>0</v>
      </c>
      <c r="P5" s="2">
        <f>IF(ROW()&lt;3, Query1[[#This Row],[Shares]], IF(Query1[[#This Row],[Month]]&lt;&gt;H4, P4+Query1[[#This Row],[Enhanced top up]]/Query1[[#This Row],[Adj Close]], P4))</f>
        <v>3272.4417620612867</v>
      </c>
      <c r="Q5" s="2">
        <f>IFERROR(AVERAGE(
  IF(ROW()&gt;20, INDEX(G:G, ROW()-20), 0) :
  INDEX(G:G, ROW())
),0)</f>
        <v>0</v>
      </c>
    </row>
    <row r="6" spans="1:17" x14ac:dyDescent="0.4">
      <c r="A6" s="1">
        <v>43838</v>
      </c>
      <c r="B6">
        <v>158.92999267578125</v>
      </c>
      <c r="C6">
        <v>160.80000305175781</v>
      </c>
      <c r="D6">
        <v>157.94999694824219</v>
      </c>
      <c r="E6">
        <v>160.08999633789063</v>
      </c>
      <c r="F6">
        <v>27746500</v>
      </c>
      <c r="G6">
        <v>152.28692626953125</v>
      </c>
      <c r="H6" s="2">
        <f>MONTH(Query1[[#This Row],[Date]])</f>
        <v>1</v>
      </c>
      <c r="I6" s="3">
        <f>Query1[[#This Row],[Shares]]*Query1[[#This Row],[Adj Close]]</f>
        <v>498350.09734036209</v>
      </c>
      <c r="J6" s="3">
        <f>IF(ROW()&lt;3, Dashboard!$E$7, IF(Query1[[#This Row],[Month]]&lt;&gt;H5,J5*(1+Dashboard!$E$4)+Dashboard!$E$5,J5))</f>
        <v>500000</v>
      </c>
      <c r="K6">
        <f>IF(ROW()&lt;3, 0,IF(Query1[[#This Row],[Month]]&lt;&gt;H5,IF((J6-I6&gt;0),J6-I6,0),0))</f>
        <v>0</v>
      </c>
      <c r="L6" s="2">
        <f t="shared" si="0"/>
        <v>3272.4417620612867</v>
      </c>
      <c r="M6">
        <f>IF(ROW()&lt;3, 0, IF(Query1[[#This Row],[Month]]&lt;&gt;H5, Dashboard!$J$5,0))</f>
        <v>0</v>
      </c>
      <c r="N6" s="2">
        <f>IF(ROW()&lt;3, Query1[[#This Row],[Shares]], IF(Query1[[#This Row],[Month]]&lt;&gt;H5, N5+Query1[[#This Row],[Fix Top Up]]/Query1[[#This Row],[Adj Close]], N5))</f>
        <v>3272.4417620612867</v>
      </c>
      <c r="O6">
        <f>IF(AND(Query1[[#This Row],[avg]]&gt;0, Query1[[#This Row],[Month]]&lt;&gt;H5),
    IF(Query1[[#This Row],[Adj Close]]&gt;Query1[[#This Row],[avg]],
       Dashboard!$L$5-Dashboard!$E$6,
       Dashboard!$L$5+Dashboard!$E$6
    ), 0
)</f>
        <v>0</v>
      </c>
      <c r="P6" s="2">
        <f>IF(ROW()&lt;3, Query1[[#This Row],[Shares]], IF(Query1[[#This Row],[Month]]&lt;&gt;H5, P5+Query1[[#This Row],[Enhanced top up]]/Query1[[#This Row],[Adj Close]], P5))</f>
        <v>3272.4417620612867</v>
      </c>
      <c r="Q6" s="2">
        <f>IFERROR(AVERAGE(
  IF(ROW()&gt;20, INDEX(G:G, ROW()-20), 0) :
  INDEX(G:G, ROW())
),0)</f>
        <v>0</v>
      </c>
    </row>
    <row r="7" spans="1:17" x14ac:dyDescent="0.4">
      <c r="A7" s="1">
        <v>43839</v>
      </c>
      <c r="B7">
        <v>161.83999633789063</v>
      </c>
      <c r="C7">
        <v>162.22000122070313</v>
      </c>
      <c r="D7">
        <v>161.02999877929688</v>
      </c>
      <c r="E7">
        <v>162.08999633789063</v>
      </c>
      <c r="F7">
        <v>21385000</v>
      </c>
      <c r="G7">
        <v>154.18948364257813</v>
      </c>
      <c r="H7" s="2">
        <f>MONTH(Query1[[#This Row],[Date]])</f>
        <v>1</v>
      </c>
      <c r="I7" s="3">
        <f>Query1[[#This Row],[Shares]]*Query1[[#This Row],[Adj Close]]</f>
        <v>504576.10554263828</v>
      </c>
      <c r="J7" s="3">
        <f>IF(ROW()&lt;3, Dashboard!$E$7, IF(Query1[[#This Row],[Month]]&lt;&gt;H6,J6*(1+Dashboard!$E$4)+Dashboard!$E$5,J6))</f>
        <v>500000</v>
      </c>
      <c r="K7">
        <f>IF(ROW()&lt;3, 0,IF(Query1[[#This Row],[Month]]&lt;&gt;H6,IF((J7-I7&gt;0),J7-I7,0),0))</f>
        <v>0</v>
      </c>
      <c r="L7" s="2">
        <f t="shared" si="0"/>
        <v>3272.4417620612867</v>
      </c>
      <c r="M7">
        <f>IF(ROW()&lt;3, 0, IF(Query1[[#This Row],[Month]]&lt;&gt;H6, Dashboard!$J$5,0))</f>
        <v>0</v>
      </c>
      <c r="N7" s="2">
        <f>IF(ROW()&lt;3, Query1[[#This Row],[Shares]], IF(Query1[[#This Row],[Month]]&lt;&gt;H6, N6+Query1[[#This Row],[Fix Top Up]]/Query1[[#This Row],[Adj Close]], N6))</f>
        <v>3272.4417620612867</v>
      </c>
      <c r="O7">
        <f>IF(AND(Query1[[#This Row],[avg]]&gt;0, Query1[[#This Row],[Month]]&lt;&gt;H6),
    IF(Query1[[#This Row],[Adj Close]]&gt;Query1[[#This Row],[avg]],
       Dashboard!$L$5-Dashboard!$E$6,
       Dashboard!$L$5+Dashboard!$E$6
    ), 0
)</f>
        <v>0</v>
      </c>
      <c r="P7" s="2">
        <f>IF(ROW()&lt;3, Query1[[#This Row],[Shares]], IF(Query1[[#This Row],[Month]]&lt;&gt;H6, P6+Query1[[#This Row],[Enhanced top up]]/Query1[[#This Row],[Adj Close]], P6))</f>
        <v>3272.4417620612867</v>
      </c>
      <c r="Q7" s="2">
        <f>IFERROR(AVERAGE(
  IF(ROW()&gt;20, INDEX(G:G, ROW()-20), 0) :
  INDEX(G:G, ROW())
),0)</f>
        <v>0</v>
      </c>
    </row>
    <row r="8" spans="1:17" x14ac:dyDescent="0.4">
      <c r="A8" s="1">
        <v>43840</v>
      </c>
      <c r="B8">
        <v>162.82000732421875</v>
      </c>
      <c r="C8">
        <v>163.22000122070313</v>
      </c>
      <c r="D8">
        <v>161.17999267578125</v>
      </c>
      <c r="E8">
        <v>161.33999633789063</v>
      </c>
      <c r="F8">
        <v>20725900</v>
      </c>
      <c r="G8">
        <v>153.47602844238281</v>
      </c>
      <c r="H8" s="2">
        <f>MONTH(Query1[[#This Row],[Date]])</f>
        <v>1</v>
      </c>
      <c r="I8" s="3">
        <f>Query1[[#This Row],[Shares]]*Query1[[#This Row],[Adj Close]]</f>
        <v>502241.36495015939</v>
      </c>
      <c r="J8" s="3">
        <f>IF(ROW()&lt;3, Dashboard!$E$7, IF(Query1[[#This Row],[Month]]&lt;&gt;H7,J7*(1+Dashboard!$E$4)+Dashboard!$E$5,J7))</f>
        <v>500000</v>
      </c>
      <c r="K8">
        <f>IF(ROW()&lt;3, 0,IF(Query1[[#This Row],[Month]]&lt;&gt;H7,IF((J8-I8&gt;0),J8-I8,0),0))</f>
        <v>0</v>
      </c>
      <c r="L8" s="2">
        <f t="shared" si="0"/>
        <v>3272.4417620612867</v>
      </c>
      <c r="M8">
        <f>IF(ROW()&lt;3, 0, IF(Query1[[#This Row],[Month]]&lt;&gt;H7, Dashboard!$J$5,0))</f>
        <v>0</v>
      </c>
      <c r="N8" s="2">
        <f>IF(ROW()&lt;3, Query1[[#This Row],[Shares]], IF(Query1[[#This Row],[Month]]&lt;&gt;H7, N7+Query1[[#This Row],[Fix Top Up]]/Query1[[#This Row],[Adj Close]], N7))</f>
        <v>3272.4417620612867</v>
      </c>
      <c r="O8">
        <f>IF(AND(Query1[[#This Row],[avg]]&gt;0, Query1[[#This Row],[Month]]&lt;&gt;H7),
    IF(Query1[[#This Row],[Adj Close]]&gt;Query1[[#This Row],[avg]],
       Dashboard!$L$5-Dashboard!$E$6,
       Dashboard!$L$5+Dashboard!$E$6
    ), 0
)</f>
        <v>0</v>
      </c>
      <c r="P8" s="2">
        <f>IF(ROW()&lt;3, Query1[[#This Row],[Shares]], IF(Query1[[#This Row],[Month]]&lt;&gt;H7, P7+Query1[[#This Row],[Enhanced top up]]/Query1[[#This Row],[Adj Close]], P7))</f>
        <v>3272.4417620612867</v>
      </c>
      <c r="Q8" s="2">
        <f>IFERROR(AVERAGE(
  IF(ROW()&gt;20, INDEX(G:G, ROW()-20), 0) :
  INDEX(G:G, ROW())
),0)</f>
        <v>0</v>
      </c>
    </row>
    <row r="9" spans="1:17" x14ac:dyDescent="0.4">
      <c r="A9" s="1">
        <v>43843</v>
      </c>
      <c r="B9">
        <v>161.75999450683594</v>
      </c>
      <c r="C9">
        <v>163.30999755859375</v>
      </c>
      <c r="D9">
        <v>161.25999450683594</v>
      </c>
      <c r="E9">
        <v>163.27999877929688</v>
      </c>
      <c r="F9">
        <v>21626500</v>
      </c>
      <c r="G9">
        <v>155.32148742675781</v>
      </c>
      <c r="H9" s="2">
        <f>MONTH(Query1[[#This Row],[Date]])</f>
        <v>1</v>
      </c>
      <c r="I9" s="3">
        <f>Query1[[#This Row],[Shares]]*Query1[[#This Row],[Adj Close]]</f>
        <v>508280.5220007993</v>
      </c>
      <c r="J9" s="3">
        <f>IF(ROW()&lt;3, Dashboard!$E$7, IF(Query1[[#This Row],[Month]]&lt;&gt;H8,J8*(1+Dashboard!$E$4)+Dashboard!$E$5,J8))</f>
        <v>500000</v>
      </c>
      <c r="K9">
        <f>IF(ROW()&lt;3, 0,IF(Query1[[#This Row],[Month]]&lt;&gt;H8,IF((J9-I9&gt;0),J9-I9,0),0))</f>
        <v>0</v>
      </c>
      <c r="L9" s="2">
        <f t="shared" si="0"/>
        <v>3272.4417620612867</v>
      </c>
      <c r="M9">
        <f>IF(ROW()&lt;3, 0, IF(Query1[[#This Row],[Month]]&lt;&gt;H8, Dashboard!$J$5,0))</f>
        <v>0</v>
      </c>
      <c r="N9" s="2">
        <f>IF(ROW()&lt;3, Query1[[#This Row],[Shares]], IF(Query1[[#This Row],[Month]]&lt;&gt;H8, N8+Query1[[#This Row],[Fix Top Up]]/Query1[[#This Row],[Adj Close]], N8))</f>
        <v>3272.4417620612867</v>
      </c>
      <c r="O9">
        <f>IF(AND(Query1[[#This Row],[avg]]&gt;0, Query1[[#This Row],[Month]]&lt;&gt;H8),
    IF(Query1[[#This Row],[Adj Close]]&gt;Query1[[#This Row],[avg]],
       Dashboard!$L$5-Dashboard!$E$6,
       Dashboard!$L$5+Dashboard!$E$6
    ), 0
)</f>
        <v>0</v>
      </c>
      <c r="P9" s="2">
        <f>IF(ROW()&lt;3, Query1[[#This Row],[Shares]], IF(Query1[[#This Row],[Month]]&lt;&gt;H8, P8+Query1[[#This Row],[Enhanced top up]]/Query1[[#This Row],[Adj Close]], P8))</f>
        <v>3272.4417620612867</v>
      </c>
      <c r="Q9" s="2">
        <f>IFERROR(AVERAGE(
  IF(ROW()&gt;20, INDEX(G:G, ROW()-20), 0) :
  INDEX(G:G, ROW())
),0)</f>
        <v>0</v>
      </c>
    </row>
    <row r="10" spans="1:17" x14ac:dyDescent="0.4">
      <c r="A10" s="1">
        <v>43844</v>
      </c>
      <c r="B10">
        <v>163.38999938964844</v>
      </c>
      <c r="C10">
        <v>163.60000610351563</v>
      </c>
      <c r="D10">
        <v>161.72000122070313</v>
      </c>
      <c r="E10">
        <v>162.1300048828125</v>
      </c>
      <c r="F10">
        <v>23477400</v>
      </c>
      <c r="G10">
        <v>154.22756958007813</v>
      </c>
      <c r="H10" s="2">
        <f>MONTH(Query1[[#This Row],[Date]])</f>
        <v>1</v>
      </c>
      <c r="I10" s="3">
        <f>Query1[[#This Row],[Shares]]*Query1[[#This Row],[Adj Close]]</f>
        <v>504700.73955506057</v>
      </c>
      <c r="J10" s="3">
        <f>IF(ROW()&lt;3, Dashboard!$E$7, IF(Query1[[#This Row],[Month]]&lt;&gt;H9,J9*(1+Dashboard!$E$4)+Dashboard!$E$5,J9))</f>
        <v>500000</v>
      </c>
      <c r="K10">
        <f>IF(ROW()&lt;3, 0,IF(Query1[[#This Row],[Month]]&lt;&gt;H9,IF((J10-I10&gt;0),J10-I10,0),0))</f>
        <v>0</v>
      </c>
      <c r="L10" s="2">
        <f t="shared" si="0"/>
        <v>3272.4417620612867</v>
      </c>
      <c r="M10">
        <f>IF(ROW()&lt;3, 0, IF(Query1[[#This Row],[Month]]&lt;&gt;H9, Dashboard!$J$5,0))</f>
        <v>0</v>
      </c>
      <c r="N10" s="2">
        <f>IF(ROW()&lt;3, Query1[[#This Row],[Shares]], IF(Query1[[#This Row],[Month]]&lt;&gt;H9, N9+Query1[[#This Row],[Fix Top Up]]/Query1[[#This Row],[Adj Close]], N9))</f>
        <v>3272.4417620612867</v>
      </c>
      <c r="O10">
        <f>IF(AND(Query1[[#This Row],[avg]]&gt;0, Query1[[#This Row],[Month]]&lt;&gt;H9),
    IF(Query1[[#This Row],[Adj Close]]&gt;Query1[[#This Row],[avg]],
       Dashboard!$L$5-Dashboard!$E$6,
       Dashboard!$L$5+Dashboard!$E$6
    ), 0
)</f>
        <v>0</v>
      </c>
      <c r="P10" s="2">
        <f>IF(ROW()&lt;3, Query1[[#This Row],[Shares]], IF(Query1[[#This Row],[Month]]&lt;&gt;H9, P9+Query1[[#This Row],[Enhanced top up]]/Query1[[#This Row],[Adj Close]], P9))</f>
        <v>3272.4417620612867</v>
      </c>
      <c r="Q10" s="2">
        <f>IFERROR(AVERAGE(
  IF(ROW()&gt;20, INDEX(G:G, ROW()-20), 0) :
  INDEX(G:G, ROW())
),0)</f>
        <v>0</v>
      </c>
    </row>
    <row r="11" spans="1:17" x14ac:dyDescent="0.4">
      <c r="A11" s="1">
        <v>43845</v>
      </c>
      <c r="B11">
        <v>162.6199951171875</v>
      </c>
      <c r="C11">
        <v>163.94000244140625</v>
      </c>
      <c r="D11">
        <v>162.57000732421875</v>
      </c>
      <c r="E11">
        <v>163.17999267578125</v>
      </c>
      <c r="F11">
        <v>21417900</v>
      </c>
      <c r="G11">
        <v>155.22636413574219</v>
      </c>
      <c r="H11" s="2">
        <f>MONTH(Query1[[#This Row],[Date]])</f>
        <v>1</v>
      </c>
      <c r="I11" s="3">
        <f>Query1[[#This Row],[Shares]]*Query1[[#This Row],[Adj Close]]</f>
        <v>507969.23657073505</v>
      </c>
      <c r="J11" s="3">
        <f>IF(ROW()&lt;3, Dashboard!$E$7, IF(Query1[[#This Row],[Month]]&lt;&gt;H10,J10*(1+Dashboard!$E$4)+Dashboard!$E$5,J10))</f>
        <v>500000</v>
      </c>
      <c r="K11">
        <f>IF(ROW()&lt;3, 0,IF(Query1[[#This Row],[Month]]&lt;&gt;H10,IF((J11-I11&gt;0),J11-I11,0),0))</f>
        <v>0</v>
      </c>
      <c r="L11" s="2">
        <f t="shared" si="0"/>
        <v>3272.4417620612867</v>
      </c>
      <c r="M11">
        <f>IF(ROW()&lt;3, 0, IF(Query1[[#This Row],[Month]]&lt;&gt;H10, Dashboard!$J$5,0))</f>
        <v>0</v>
      </c>
      <c r="N11" s="2">
        <f>IF(ROW()&lt;3, Query1[[#This Row],[Shares]], IF(Query1[[#This Row],[Month]]&lt;&gt;H10, N10+Query1[[#This Row],[Fix Top Up]]/Query1[[#This Row],[Adj Close]], N10))</f>
        <v>3272.4417620612867</v>
      </c>
      <c r="O11">
        <f>IF(AND(Query1[[#This Row],[avg]]&gt;0, Query1[[#This Row],[Month]]&lt;&gt;H10),
    IF(Query1[[#This Row],[Adj Close]]&gt;Query1[[#This Row],[avg]],
       Dashboard!$L$5-Dashboard!$E$6,
       Dashboard!$L$5+Dashboard!$E$6
    ), 0
)</f>
        <v>0</v>
      </c>
      <c r="P11" s="2">
        <f>IF(ROW()&lt;3, Query1[[#This Row],[Shares]], IF(Query1[[#This Row],[Month]]&lt;&gt;H10, P10+Query1[[#This Row],[Enhanced top up]]/Query1[[#This Row],[Adj Close]], P10))</f>
        <v>3272.4417620612867</v>
      </c>
      <c r="Q11" s="2">
        <f>IFERROR(AVERAGE(
  IF(ROW()&gt;20, INDEX(G:G, ROW()-20), 0) :
  INDEX(G:G, ROW())
),0)</f>
        <v>0</v>
      </c>
    </row>
    <row r="12" spans="1:17" x14ac:dyDescent="0.4">
      <c r="A12" s="1">
        <v>43846</v>
      </c>
      <c r="B12">
        <v>164.35000610351563</v>
      </c>
      <c r="C12">
        <v>166.24000549316406</v>
      </c>
      <c r="D12">
        <v>164.02999877929688</v>
      </c>
      <c r="E12">
        <v>166.16999816894531</v>
      </c>
      <c r="F12">
        <v>23865400</v>
      </c>
      <c r="G12">
        <v>158.07061767578125</v>
      </c>
      <c r="H12" s="2">
        <f>MONTH(Query1[[#This Row],[Date]])</f>
        <v>1</v>
      </c>
      <c r="I12" s="3">
        <f>Query1[[#This Row],[Shares]]*Query1[[#This Row],[Adj Close]]</f>
        <v>517276.89063704957</v>
      </c>
      <c r="J12" s="3">
        <f>IF(ROW()&lt;3, Dashboard!$E$7, IF(Query1[[#This Row],[Month]]&lt;&gt;H11,J11*(1+Dashboard!$E$4)+Dashboard!$E$5,J11))</f>
        <v>500000</v>
      </c>
      <c r="K12">
        <f>IF(ROW()&lt;3, 0,IF(Query1[[#This Row],[Month]]&lt;&gt;H11,IF((J12-I12&gt;0),J12-I12,0),0))</f>
        <v>0</v>
      </c>
      <c r="L12" s="2">
        <f t="shared" si="0"/>
        <v>3272.4417620612867</v>
      </c>
      <c r="M12">
        <f>IF(ROW()&lt;3, 0, IF(Query1[[#This Row],[Month]]&lt;&gt;H11, Dashboard!$J$5,0))</f>
        <v>0</v>
      </c>
      <c r="N12" s="2">
        <f>IF(ROW()&lt;3, Query1[[#This Row],[Shares]], IF(Query1[[#This Row],[Month]]&lt;&gt;H11, N11+Query1[[#This Row],[Fix Top Up]]/Query1[[#This Row],[Adj Close]], N11))</f>
        <v>3272.4417620612867</v>
      </c>
      <c r="O12">
        <f>IF(AND(Query1[[#This Row],[avg]]&gt;0, Query1[[#This Row],[Month]]&lt;&gt;H11),
    IF(Query1[[#This Row],[Adj Close]]&gt;Query1[[#This Row],[avg]],
       Dashboard!$L$5-Dashboard!$E$6,
       Dashboard!$L$5+Dashboard!$E$6
    ), 0
)</f>
        <v>0</v>
      </c>
      <c r="P12" s="2">
        <f>IF(ROW()&lt;3, Query1[[#This Row],[Shares]], IF(Query1[[#This Row],[Month]]&lt;&gt;H11, P11+Query1[[#This Row],[Enhanced top up]]/Query1[[#This Row],[Adj Close]], P11))</f>
        <v>3272.4417620612867</v>
      </c>
      <c r="Q12" s="2">
        <f>IFERROR(AVERAGE(
  IF(ROW()&gt;20, INDEX(G:G, ROW()-20), 0) :
  INDEX(G:G, ROW())
),0)</f>
        <v>0</v>
      </c>
    </row>
    <row r="13" spans="1:17" x14ac:dyDescent="0.4">
      <c r="A13" s="1">
        <v>43847</v>
      </c>
      <c r="B13">
        <v>167.41999816894531</v>
      </c>
      <c r="C13">
        <v>167.47000122070313</v>
      </c>
      <c r="D13">
        <v>165.42999267578125</v>
      </c>
      <c r="E13">
        <v>167.10000610351563</v>
      </c>
      <c r="F13">
        <v>34371700</v>
      </c>
      <c r="G13">
        <v>158.95527648925781</v>
      </c>
      <c r="H13" s="2">
        <f>MONTH(Query1[[#This Row],[Date]])</f>
        <v>1</v>
      </c>
      <c r="I13" s="3">
        <f>Query1[[#This Row],[Shares]]*Query1[[#This Row],[Adj Close]]</f>
        <v>520171.88508344587</v>
      </c>
      <c r="J13" s="3">
        <f>IF(ROW()&lt;3, Dashboard!$E$7, IF(Query1[[#This Row],[Month]]&lt;&gt;H12,J12*(1+Dashboard!$E$4)+Dashboard!$E$5,J12))</f>
        <v>500000</v>
      </c>
      <c r="K13">
        <f>IF(ROW()&lt;3, 0,IF(Query1[[#This Row],[Month]]&lt;&gt;H12,IF((J13-I13&gt;0),J13-I13,0),0))</f>
        <v>0</v>
      </c>
      <c r="L13" s="2">
        <f t="shared" si="0"/>
        <v>3272.4417620612867</v>
      </c>
      <c r="M13">
        <f>IF(ROW()&lt;3, 0, IF(Query1[[#This Row],[Month]]&lt;&gt;H12, Dashboard!$J$5,0))</f>
        <v>0</v>
      </c>
      <c r="N13" s="2">
        <f>IF(ROW()&lt;3, Query1[[#This Row],[Shares]], IF(Query1[[#This Row],[Month]]&lt;&gt;H12, N12+Query1[[#This Row],[Fix Top Up]]/Query1[[#This Row],[Adj Close]], N12))</f>
        <v>3272.4417620612867</v>
      </c>
      <c r="O13">
        <f>IF(AND(Query1[[#This Row],[avg]]&gt;0, Query1[[#This Row],[Month]]&lt;&gt;H12),
    IF(Query1[[#This Row],[Adj Close]]&gt;Query1[[#This Row],[avg]],
       Dashboard!$L$5-Dashboard!$E$6,
       Dashboard!$L$5+Dashboard!$E$6
    ), 0
)</f>
        <v>0</v>
      </c>
      <c r="P13" s="2">
        <f>IF(ROW()&lt;3, Query1[[#This Row],[Shares]], IF(Query1[[#This Row],[Month]]&lt;&gt;H12, P12+Query1[[#This Row],[Enhanced top up]]/Query1[[#This Row],[Adj Close]], P12))</f>
        <v>3272.4417620612867</v>
      </c>
      <c r="Q13" s="2">
        <f>IFERROR(AVERAGE(
  IF(ROW()&gt;20, INDEX(G:G, ROW()-20), 0) :
  INDEX(G:G, ROW())
),0)</f>
        <v>0</v>
      </c>
    </row>
    <row r="14" spans="1:17" x14ac:dyDescent="0.4">
      <c r="A14" s="1">
        <v>43851</v>
      </c>
      <c r="B14">
        <v>166.67999267578125</v>
      </c>
      <c r="C14">
        <v>168.19000244140625</v>
      </c>
      <c r="D14">
        <v>166.42999267578125</v>
      </c>
      <c r="E14">
        <v>166.5</v>
      </c>
      <c r="F14">
        <v>29517200</v>
      </c>
      <c r="G14">
        <v>158.38455200195313</v>
      </c>
      <c r="H14" s="2">
        <f>MONTH(Query1[[#This Row],[Date]])</f>
        <v>1</v>
      </c>
      <c r="I14" s="3">
        <f>Query1[[#This Row],[Shares]]*Query1[[#This Row],[Adj Close]]</f>
        <v>518304.22243655898</v>
      </c>
      <c r="J14" s="3">
        <f>IF(ROW()&lt;3, Dashboard!$E$7, IF(Query1[[#This Row],[Month]]&lt;&gt;H13,J13*(1+Dashboard!$E$4)+Dashboard!$E$5,J13))</f>
        <v>500000</v>
      </c>
      <c r="K14">
        <f>IF(ROW()&lt;3, 0,IF(Query1[[#This Row],[Month]]&lt;&gt;H13,IF((J14-I14&gt;0),J14-I14,0),0))</f>
        <v>0</v>
      </c>
      <c r="L14" s="2">
        <f t="shared" si="0"/>
        <v>3272.4417620612867</v>
      </c>
      <c r="M14">
        <f>IF(ROW()&lt;3, 0, IF(Query1[[#This Row],[Month]]&lt;&gt;H13, Dashboard!$J$5,0))</f>
        <v>0</v>
      </c>
      <c r="N14" s="2">
        <f>IF(ROW()&lt;3, Query1[[#This Row],[Shares]], IF(Query1[[#This Row],[Month]]&lt;&gt;H13, N13+Query1[[#This Row],[Fix Top Up]]/Query1[[#This Row],[Adj Close]], N13))</f>
        <v>3272.4417620612867</v>
      </c>
      <c r="O14">
        <f>IF(AND(Query1[[#This Row],[avg]]&gt;0, Query1[[#This Row],[Month]]&lt;&gt;H13),
    IF(Query1[[#This Row],[Adj Close]]&gt;Query1[[#This Row],[avg]],
       Dashboard!$L$5-Dashboard!$E$6,
       Dashboard!$L$5+Dashboard!$E$6
    ), 0
)</f>
        <v>0</v>
      </c>
      <c r="P14" s="2">
        <f>IF(ROW()&lt;3, Query1[[#This Row],[Shares]], IF(Query1[[#This Row],[Month]]&lt;&gt;H13, P13+Query1[[#This Row],[Enhanced top up]]/Query1[[#This Row],[Adj Close]], P13))</f>
        <v>3272.4417620612867</v>
      </c>
      <c r="Q14" s="2">
        <f>IFERROR(AVERAGE(
  IF(ROW()&gt;20, INDEX(G:G, ROW()-20), 0) :
  INDEX(G:G, ROW())
),0)</f>
        <v>0</v>
      </c>
    </row>
    <row r="15" spans="1:17" x14ac:dyDescent="0.4">
      <c r="A15" s="1">
        <v>43852</v>
      </c>
      <c r="B15">
        <v>167.39999389648438</v>
      </c>
      <c r="C15">
        <v>167.49000549316406</v>
      </c>
      <c r="D15">
        <v>165.67999267578125</v>
      </c>
      <c r="E15">
        <v>165.69999694824219</v>
      </c>
      <c r="F15">
        <v>24138800</v>
      </c>
      <c r="G15">
        <v>157.62351989746094</v>
      </c>
      <c r="H15" s="2">
        <f>MONTH(Query1[[#This Row],[Date]])</f>
        <v>1</v>
      </c>
      <c r="I15" s="3">
        <f>Query1[[#This Row],[Shares]]*Query1[[#This Row],[Adj Close]]</f>
        <v>515813.78919554933</v>
      </c>
      <c r="J15" s="3">
        <f>IF(ROW()&lt;3, Dashboard!$E$7, IF(Query1[[#This Row],[Month]]&lt;&gt;H14,J14*(1+Dashboard!$E$4)+Dashboard!$E$5,J14))</f>
        <v>500000</v>
      </c>
      <c r="K15">
        <f>IF(ROW()&lt;3, 0,IF(Query1[[#This Row],[Month]]&lt;&gt;H14,IF((J15-I15&gt;0),J15-I15,0),0))</f>
        <v>0</v>
      </c>
      <c r="L15" s="2">
        <f t="shared" si="0"/>
        <v>3272.4417620612867</v>
      </c>
      <c r="M15">
        <f>IF(ROW()&lt;3, 0, IF(Query1[[#This Row],[Month]]&lt;&gt;H14, Dashboard!$J$5,0))</f>
        <v>0</v>
      </c>
      <c r="N15" s="2">
        <f>IF(ROW()&lt;3, Query1[[#This Row],[Shares]], IF(Query1[[#This Row],[Month]]&lt;&gt;H14, N14+Query1[[#This Row],[Fix Top Up]]/Query1[[#This Row],[Adj Close]], N14))</f>
        <v>3272.4417620612867</v>
      </c>
      <c r="O15">
        <f>IF(AND(Query1[[#This Row],[avg]]&gt;0, Query1[[#This Row],[Month]]&lt;&gt;H14),
    IF(Query1[[#This Row],[Adj Close]]&gt;Query1[[#This Row],[avg]],
       Dashboard!$L$5-Dashboard!$E$6,
       Dashboard!$L$5+Dashboard!$E$6
    ), 0
)</f>
        <v>0</v>
      </c>
      <c r="P15" s="2">
        <f>IF(ROW()&lt;3, Query1[[#This Row],[Shares]], IF(Query1[[#This Row],[Month]]&lt;&gt;H14, P14+Query1[[#This Row],[Enhanced top up]]/Query1[[#This Row],[Adj Close]], P14))</f>
        <v>3272.4417620612867</v>
      </c>
      <c r="Q15" s="2">
        <f>IFERROR(AVERAGE(
  IF(ROW()&gt;20, INDEX(G:G, ROW()-20), 0) :
  INDEX(G:G, ROW())
),0)</f>
        <v>0</v>
      </c>
    </row>
    <row r="16" spans="1:17" x14ac:dyDescent="0.4">
      <c r="A16" s="1">
        <v>43853</v>
      </c>
      <c r="B16">
        <v>166.19000244140625</v>
      </c>
      <c r="C16">
        <v>166.80000305175781</v>
      </c>
      <c r="D16">
        <v>165.27000427246094</v>
      </c>
      <c r="E16">
        <v>166.72000122070313</v>
      </c>
      <c r="F16">
        <v>19680800</v>
      </c>
      <c r="G16">
        <v>158.59378051757813</v>
      </c>
      <c r="H16" s="2">
        <f>MONTH(Query1[[#This Row],[Date]])</f>
        <v>1</v>
      </c>
      <c r="I16" s="3">
        <f>Query1[[#This Row],[Shares]]*Query1[[#This Row],[Adj Close]]</f>
        <v>518988.91056890431</v>
      </c>
      <c r="J16" s="3">
        <f>IF(ROW()&lt;3, Dashboard!$E$7, IF(Query1[[#This Row],[Month]]&lt;&gt;H15,J15*(1+Dashboard!$E$4)+Dashboard!$E$5,J15))</f>
        <v>500000</v>
      </c>
      <c r="K16">
        <f>IF(ROW()&lt;3, 0,IF(Query1[[#This Row],[Month]]&lt;&gt;H15,IF((J16-I16&gt;0),J16-I16,0),0))</f>
        <v>0</v>
      </c>
      <c r="L16" s="2">
        <f t="shared" si="0"/>
        <v>3272.4417620612867</v>
      </c>
      <c r="M16">
        <f>IF(ROW()&lt;3, 0, IF(Query1[[#This Row],[Month]]&lt;&gt;H15, Dashboard!$J$5,0))</f>
        <v>0</v>
      </c>
      <c r="N16" s="2">
        <f>IF(ROW()&lt;3, Query1[[#This Row],[Shares]], IF(Query1[[#This Row],[Month]]&lt;&gt;H15, N15+Query1[[#This Row],[Fix Top Up]]/Query1[[#This Row],[Adj Close]], N15))</f>
        <v>3272.4417620612867</v>
      </c>
      <c r="O16">
        <f>IF(AND(Query1[[#This Row],[avg]]&gt;0, Query1[[#This Row],[Month]]&lt;&gt;H15),
    IF(Query1[[#This Row],[Adj Close]]&gt;Query1[[#This Row],[avg]],
       Dashboard!$L$5-Dashboard!$E$6,
       Dashboard!$L$5+Dashboard!$E$6
    ), 0
)</f>
        <v>0</v>
      </c>
      <c r="P16" s="2">
        <f>IF(ROW()&lt;3, Query1[[#This Row],[Shares]], IF(Query1[[#This Row],[Month]]&lt;&gt;H15, P15+Query1[[#This Row],[Enhanced top up]]/Query1[[#This Row],[Adj Close]], P15))</f>
        <v>3272.4417620612867</v>
      </c>
      <c r="Q16" s="2">
        <f>IFERROR(AVERAGE(
  IF(ROW()&gt;20, INDEX(G:G, ROW()-20), 0) :
  INDEX(G:G, ROW())
),0)</f>
        <v>0</v>
      </c>
    </row>
    <row r="17" spans="1:17" x14ac:dyDescent="0.4">
      <c r="A17" s="1">
        <v>43854</v>
      </c>
      <c r="B17">
        <v>167.50999450683594</v>
      </c>
      <c r="C17">
        <v>167.52999877929688</v>
      </c>
      <c r="D17">
        <v>164.44999694824219</v>
      </c>
      <c r="E17">
        <v>165.03999328613281</v>
      </c>
      <c r="F17">
        <v>24918100</v>
      </c>
      <c r="G17">
        <v>156.99565124511719</v>
      </c>
      <c r="H17" s="2">
        <f>MONTH(Query1[[#This Row],[Date]])</f>
        <v>1</v>
      </c>
      <c r="I17" s="3">
        <f>Query1[[#This Row],[Shares]]*Query1[[#This Row],[Adj Close]]</f>
        <v>513759.1255965305</v>
      </c>
      <c r="J17" s="3">
        <f>IF(ROW()&lt;3, Dashboard!$E$7, IF(Query1[[#This Row],[Month]]&lt;&gt;H16,J16*(1+Dashboard!$E$4)+Dashboard!$E$5,J16))</f>
        <v>500000</v>
      </c>
      <c r="K17">
        <f>IF(ROW()&lt;3, 0,IF(Query1[[#This Row],[Month]]&lt;&gt;H16,IF((J17-I17&gt;0),J17-I17,0),0))</f>
        <v>0</v>
      </c>
      <c r="L17" s="2">
        <f t="shared" si="0"/>
        <v>3272.4417620612867</v>
      </c>
      <c r="M17">
        <f>IF(ROW()&lt;3, 0, IF(Query1[[#This Row],[Month]]&lt;&gt;H16, Dashboard!$J$5,0))</f>
        <v>0</v>
      </c>
      <c r="N17" s="2">
        <f>IF(ROW()&lt;3, Query1[[#This Row],[Shares]], IF(Query1[[#This Row],[Month]]&lt;&gt;H16, N16+Query1[[#This Row],[Fix Top Up]]/Query1[[#This Row],[Adj Close]], N16))</f>
        <v>3272.4417620612867</v>
      </c>
      <c r="O17">
        <f>IF(AND(Query1[[#This Row],[avg]]&gt;0, Query1[[#This Row],[Month]]&lt;&gt;H16),
    IF(Query1[[#This Row],[Adj Close]]&gt;Query1[[#This Row],[avg]],
       Dashboard!$L$5-Dashboard!$E$6,
       Dashboard!$L$5+Dashboard!$E$6
    ), 0
)</f>
        <v>0</v>
      </c>
      <c r="P17" s="2">
        <f>IF(ROW()&lt;3, Query1[[#This Row],[Shares]], IF(Query1[[#This Row],[Month]]&lt;&gt;H16, P16+Query1[[#This Row],[Enhanced top up]]/Query1[[#This Row],[Adj Close]], P16))</f>
        <v>3272.4417620612867</v>
      </c>
      <c r="Q17" s="2">
        <f>IFERROR(AVERAGE(
  IF(ROW()&gt;20, INDEX(G:G, ROW()-20), 0) :
  INDEX(G:G, ROW())
),0)</f>
        <v>0</v>
      </c>
    </row>
    <row r="18" spans="1:17" x14ac:dyDescent="0.4">
      <c r="A18" s="1">
        <v>43857</v>
      </c>
      <c r="B18">
        <v>161.14999389648438</v>
      </c>
      <c r="C18">
        <v>163.3800048828125</v>
      </c>
      <c r="D18">
        <v>160.19999694824219</v>
      </c>
      <c r="E18">
        <v>162.27999877929688</v>
      </c>
      <c r="F18">
        <v>32078100</v>
      </c>
      <c r="G18">
        <v>154.37016296386719</v>
      </c>
      <c r="H18" s="2">
        <f>MONTH(Query1[[#This Row],[Date]])</f>
        <v>1</v>
      </c>
      <c r="I18" s="3">
        <f>Query1[[#This Row],[Shares]]*Query1[[#This Row],[Adj Close]]</f>
        <v>505167.3680991655</v>
      </c>
      <c r="J18" s="3">
        <f>IF(ROW()&lt;3, Dashboard!$E$7, IF(Query1[[#This Row],[Month]]&lt;&gt;H17,J17*(1+Dashboard!$E$4)+Dashboard!$E$5,J17))</f>
        <v>500000</v>
      </c>
      <c r="K18">
        <f>IF(ROW()&lt;3, 0,IF(Query1[[#This Row],[Month]]&lt;&gt;H17,IF((J18-I18&gt;0),J18-I18,0),0))</f>
        <v>0</v>
      </c>
      <c r="L18" s="2">
        <f t="shared" si="0"/>
        <v>3272.4417620612867</v>
      </c>
      <c r="M18">
        <f>IF(ROW()&lt;3, 0, IF(Query1[[#This Row],[Month]]&lt;&gt;H17, Dashboard!$J$5,0))</f>
        <v>0</v>
      </c>
      <c r="N18" s="2">
        <f>IF(ROW()&lt;3, Query1[[#This Row],[Shares]], IF(Query1[[#This Row],[Month]]&lt;&gt;H17, N17+Query1[[#This Row],[Fix Top Up]]/Query1[[#This Row],[Adj Close]], N17))</f>
        <v>3272.4417620612867</v>
      </c>
      <c r="O18">
        <f>IF(AND(Query1[[#This Row],[avg]]&gt;0, Query1[[#This Row],[Month]]&lt;&gt;H17),
    IF(Query1[[#This Row],[Adj Close]]&gt;Query1[[#This Row],[avg]],
       Dashboard!$L$5-Dashboard!$E$6,
       Dashboard!$L$5+Dashboard!$E$6
    ), 0
)</f>
        <v>0</v>
      </c>
      <c r="P18" s="2">
        <f>IF(ROW()&lt;3, Query1[[#This Row],[Shares]], IF(Query1[[#This Row],[Month]]&lt;&gt;H17, P17+Query1[[#This Row],[Enhanced top up]]/Query1[[#This Row],[Adj Close]], P17))</f>
        <v>3272.4417620612867</v>
      </c>
      <c r="Q18" s="2">
        <f>IFERROR(AVERAGE(
  IF(ROW()&gt;20, INDEX(G:G, ROW()-20), 0) :
  INDEX(G:G, ROW())
),0)</f>
        <v>0</v>
      </c>
    </row>
    <row r="19" spans="1:17" x14ac:dyDescent="0.4">
      <c r="A19" s="1">
        <v>43858</v>
      </c>
      <c r="B19">
        <v>163.77999877929688</v>
      </c>
      <c r="C19">
        <v>165.75999450683594</v>
      </c>
      <c r="D19">
        <v>163.07000732421875</v>
      </c>
      <c r="E19">
        <v>165.46000671386719</v>
      </c>
      <c r="F19">
        <v>24899900</v>
      </c>
      <c r="G19">
        <v>157.39524841308594</v>
      </c>
      <c r="H19" s="2">
        <f>MONTH(Query1[[#This Row],[Date]])</f>
        <v>1</v>
      </c>
      <c r="I19" s="3">
        <f>Query1[[#This Row],[Shares]]*Query1[[#This Row],[Adj Close]]</f>
        <v>515066.78405699291</v>
      </c>
      <c r="J19" s="3">
        <f>IF(ROW()&lt;3, Dashboard!$E$7, IF(Query1[[#This Row],[Month]]&lt;&gt;H18,J18*(1+Dashboard!$E$4)+Dashboard!$E$5,J18))</f>
        <v>500000</v>
      </c>
      <c r="K19">
        <f>IF(ROW()&lt;3, 0,IF(Query1[[#This Row],[Month]]&lt;&gt;H18,IF((J19-I19&gt;0),J19-I19,0),0))</f>
        <v>0</v>
      </c>
      <c r="L19" s="2">
        <f t="shared" si="0"/>
        <v>3272.4417620612867</v>
      </c>
      <c r="M19">
        <f>IF(ROW()&lt;3, 0, IF(Query1[[#This Row],[Month]]&lt;&gt;H18, Dashboard!$J$5,0))</f>
        <v>0</v>
      </c>
      <c r="N19" s="2">
        <f>IF(ROW()&lt;3, Query1[[#This Row],[Shares]], IF(Query1[[#This Row],[Month]]&lt;&gt;H18, N18+Query1[[#This Row],[Fix Top Up]]/Query1[[#This Row],[Adj Close]], N18))</f>
        <v>3272.4417620612867</v>
      </c>
      <c r="O19">
        <f>IF(AND(Query1[[#This Row],[avg]]&gt;0, Query1[[#This Row],[Month]]&lt;&gt;H18),
    IF(Query1[[#This Row],[Adj Close]]&gt;Query1[[#This Row],[avg]],
       Dashboard!$L$5-Dashboard!$E$6,
       Dashboard!$L$5+Dashboard!$E$6
    ), 0
)</f>
        <v>0</v>
      </c>
      <c r="P19" s="2">
        <f>IF(ROW()&lt;3, Query1[[#This Row],[Shares]], IF(Query1[[#This Row],[Month]]&lt;&gt;H18, P18+Query1[[#This Row],[Enhanced top up]]/Query1[[#This Row],[Adj Close]], P18))</f>
        <v>3272.4417620612867</v>
      </c>
      <c r="Q19" s="2">
        <f>IFERROR(AVERAGE(
  IF(ROW()&gt;20, INDEX(G:G, ROW()-20), 0) :
  INDEX(G:G, ROW())
),0)</f>
        <v>0</v>
      </c>
    </row>
    <row r="20" spans="1:17" x14ac:dyDescent="0.4">
      <c r="A20" s="1">
        <v>43859</v>
      </c>
      <c r="B20">
        <v>167.83999633789063</v>
      </c>
      <c r="C20">
        <v>168.75</v>
      </c>
      <c r="D20">
        <v>165.69000244140625</v>
      </c>
      <c r="E20">
        <v>168.03999328613281</v>
      </c>
      <c r="F20">
        <v>34754500</v>
      </c>
      <c r="G20">
        <v>159.84945678710938</v>
      </c>
      <c r="H20" s="2">
        <f>MONTH(Query1[[#This Row],[Date]])</f>
        <v>1</v>
      </c>
      <c r="I20" s="3">
        <f>Query1[[#This Row],[Shares]]*Query1[[#This Row],[Adj Close]]</f>
        <v>523098.03803294769</v>
      </c>
      <c r="J20" s="3">
        <f>IF(ROW()&lt;3, Dashboard!$E$7, IF(Query1[[#This Row],[Month]]&lt;&gt;H19,J19*(1+Dashboard!$E$4)+Dashboard!$E$5,J19))</f>
        <v>500000</v>
      </c>
      <c r="K20">
        <f>IF(ROW()&lt;3, 0,IF(Query1[[#This Row],[Month]]&lt;&gt;H19,IF((J20-I20&gt;0),J20-I20,0),0))</f>
        <v>0</v>
      </c>
      <c r="L20" s="2">
        <f t="shared" si="0"/>
        <v>3272.4417620612867</v>
      </c>
      <c r="M20">
        <f>IF(ROW()&lt;3, 0, IF(Query1[[#This Row],[Month]]&lt;&gt;H19, Dashboard!$J$5,0))</f>
        <v>0</v>
      </c>
      <c r="N20" s="2">
        <f>IF(ROW()&lt;3, Query1[[#This Row],[Shares]], IF(Query1[[#This Row],[Month]]&lt;&gt;H19, N19+Query1[[#This Row],[Fix Top Up]]/Query1[[#This Row],[Adj Close]], N19))</f>
        <v>3272.4417620612867</v>
      </c>
      <c r="O20">
        <f>IF(AND(Query1[[#This Row],[avg]]&gt;0, Query1[[#This Row],[Month]]&lt;&gt;H19),
    IF(Query1[[#This Row],[Adj Close]]&gt;Query1[[#This Row],[avg]],
       Dashboard!$L$5-Dashboard!$E$6,
       Dashboard!$L$5+Dashboard!$E$6
    ), 0
)</f>
        <v>0</v>
      </c>
      <c r="P20" s="2">
        <f>IF(ROW()&lt;3, Query1[[#This Row],[Shares]], IF(Query1[[#This Row],[Month]]&lt;&gt;H19, P19+Query1[[#This Row],[Enhanced top up]]/Query1[[#This Row],[Adj Close]], P19))</f>
        <v>3272.4417620612867</v>
      </c>
      <c r="Q20" s="2">
        <f>IFERROR(AVERAGE(
  IF(ROW()&gt;20, INDEX(G:G, ROW()-20), 0) :
  INDEX(G:G, ROW())
),0)</f>
        <v>0</v>
      </c>
    </row>
    <row r="21" spans="1:17" x14ac:dyDescent="0.4">
      <c r="A21" s="1">
        <v>43860</v>
      </c>
      <c r="B21">
        <v>174.05000305175781</v>
      </c>
      <c r="C21">
        <v>174.05000305175781</v>
      </c>
      <c r="D21">
        <v>170.78999328613281</v>
      </c>
      <c r="E21">
        <v>172.77999877929688</v>
      </c>
      <c r="F21">
        <v>51597500</v>
      </c>
      <c r="G21">
        <v>164.35841369628906</v>
      </c>
      <c r="H21" s="2">
        <f>MONTH(Query1[[#This Row],[Date]])</f>
        <v>1</v>
      </c>
      <c r="I21" s="3">
        <f>Query1[[#This Row],[Shares]]*Query1[[#This Row],[Adj Close]]</f>
        <v>537853.33692588215</v>
      </c>
      <c r="J21" s="3">
        <f>IF(ROW()&lt;3, Dashboard!$E$7, IF(Query1[[#This Row],[Month]]&lt;&gt;H20,J20*(1+Dashboard!$E$4)+Dashboard!$E$5,J20))</f>
        <v>500000</v>
      </c>
      <c r="K21">
        <f>IF(ROW()&lt;3, 0,IF(Query1[[#This Row],[Month]]&lt;&gt;H20,IF((J21-I21&gt;0),J21-I21,0),0))</f>
        <v>0</v>
      </c>
      <c r="L21" s="2">
        <f t="shared" si="0"/>
        <v>3272.4417620612867</v>
      </c>
      <c r="M21">
        <f>IF(ROW()&lt;3, 0, IF(Query1[[#This Row],[Month]]&lt;&gt;H20, Dashboard!$J$5,0))</f>
        <v>0</v>
      </c>
      <c r="N21" s="2">
        <f>IF(ROW()&lt;3, Query1[[#This Row],[Shares]], IF(Query1[[#This Row],[Month]]&lt;&gt;H20, N20+Query1[[#This Row],[Fix Top Up]]/Query1[[#This Row],[Adj Close]], N20))</f>
        <v>3272.4417620612867</v>
      </c>
      <c r="O21">
        <f>IF(AND(Query1[[#This Row],[avg]]&gt;0, Query1[[#This Row],[Month]]&lt;&gt;H20),
    IF(Query1[[#This Row],[Adj Close]]&gt;Query1[[#This Row],[avg]],
       Dashboard!$L$5-Dashboard!$E$6,
       Dashboard!$L$5+Dashboard!$E$6
    ), 0
)</f>
        <v>0</v>
      </c>
      <c r="P21" s="2">
        <f>IF(ROW()&lt;3, Query1[[#This Row],[Shares]], IF(Query1[[#This Row],[Month]]&lt;&gt;H20, P20+Query1[[#This Row],[Enhanced top up]]/Query1[[#This Row],[Adj Close]], P20))</f>
        <v>3272.4417620612867</v>
      </c>
      <c r="Q21" s="2">
        <f>IFERROR(AVERAGE(
  IF(ROW()&gt;20, INDEX(G:G, ROW()-20), 0) :
  INDEX(G:G, ROW())
),0)</f>
        <v>155.7091079711914</v>
      </c>
    </row>
    <row r="22" spans="1:17" x14ac:dyDescent="0.4">
      <c r="A22" s="1">
        <v>43861</v>
      </c>
      <c r="B22">
        <v>172.21000671386719</v>
      </c>
      <c r="C22">
        <v>172.39999389648438</v>
      </c>
      <c r="D22">
        <v>169.58000183105469</v>
      </c>
      <c r="E22">
        <v>170.22999572753906</v>
      </c>
      <c r="F22">
        <v>36142700</v>
      </c>
      <c r="G22">
        <v>161.93269348144531</v>
      </c>
      <c r="H22" s="2">
        <f>MONTH(Query1[[#This Row],[Date]])</f>
        <v>1</v>
      </c>
      <c r="I22" s="3">
        <f>Query1[[#This Row],[Shares]]*Query1[[#This Row],[Adj Close]]</f>
        <v>529915.30879175116</v>
      </c>
      <c r="J22" s="3">
        <f>IF(ROW()&lt;3, Dashboard!$E$7, IF(Query1[[#This Row],[Month]]&lt;&gt;H21,J21*(1+Dashboard!$E$4)+Dashboard!$E$5,J21))</f>
        <v>500000</v>
      </c>
      <c r="K22">
        <f>IF(ROW()&lt;3, 0,IF(Query1[[#This Row],[Month]]&lt;&gt;H21,IF((J22-I22&gt;0),J22-I22,0),0))</f>
        <v>0</v>
      </c>
      <c r="L22" s="2">
        <f t="shared" si="0"/>
        <v>3272.4417620612867</v>
      </c>
      <c r="M22">
        <f>IF(ROW()&lt;3, 0, IF(Query1[[#This Row],[Month]]&lt;&gt;H21, Dashboard!$J$5,0))</f>
        <v>0</v>
      </c>
      <c r="N22" s="2">
        <f>IF(ROW()&lt;3, Query1[[#This Row],[Shares]], IF(Query1[[#This Row],[Month]]&lt;&gt;H21, N21+Query1[[#This Row],[Fix Top Up]]/Query1[[#This Row],[Adj Close]], N21))</f>
        <v>3272.4417620612867</v>
      </c>
      <c r="O22">
        <f>IF(AND(Query1[[#This Row],[avg]]&gt;0, Query1[[#This Row],[Month]]&lt;&gt;H21),
    IF(Query1[[#This Row],[Adj Close]]&gt;Query1[[#This Row],[avg]],
       Dashboard!$L$5-Dashboard!$E$6,
       Dashboard!$L$5+Dashboard!$E$6
    ), 0
)</f>
        <v>0</v>
      </c>
      <c r="P22" s="2">
        <f>IF(ROW()&lt;3, Query1[[#This Row],[Shares]], IF(Query1[[#This Row],[Month]]&lt;&gt;H21, P21+Query1[[#This Row],[Enhanced top up]]/Query1[[#This Row],[Adj Close]], P21))</f>
        <v>3272.4417620612867</v>
      </c>
      <c r="Q22" s="2">
        <f>IFERROR(AVERAGE(
  IF(ROW()&gt;20, INDEX(G:G, ROW()-20), 0) :
  INDEX(G:G, ROW())
),0)</f>
        <v>156.00546918596541</v>
      </c>
    </row>
    <row r="23" spans="1:17" x14ac:dyDescent="0.4">
      <c r="A23" s="1">
        <v>43864</v>
      </c>
      <c r="B23">
        <v>170.42999267578125</v>
      </c>
      <c r="C23">
        <v>174.5</v>
      </c>
      <c r="D23">
        <v>170.39999389648438</v>
      </c>
      <c r="E23">
        <v>174.3800048828125</v>
      </c>
      <c r="F23">
        <v>30107000</v>
      </c>
      <c r="G23">
        <v>165.88046264648438</v>
      </c>
      <c r="H23" s="2">
        <f>MONTH(Query1[[#This Row],[Date]])</f>
        <v>2</v>
      </c>
      <c r="I23" s="3">
        <f>Query1[[#This Row],[Shares]]*Query1[[#This Row],[Adj Close]]</f>
        <v>542834.15347440273</v>
      </c>
      <c r="J23" s="3">
        <f>IF(ROW()&lt;3, Dashboard!$E$7, IF(Query1[[#This Row],[Month]]&lt;&gt;H22,J22*(1+Dashboard!$E$4)+Dashboard!$E$5,J22))</f>
        <v>507000</v>
      </c>
      <c r="K23">
        <f>IF(ROW()&lt;3, 0,IF(Query1[[#This Row],[Month]]&lt;&gt;H22,IF((J23-I23&gt;0),J23-I23,0),0))</f>
        <v>0</v>
      </c>
      <c r="L23" s="2">
        <f t="shared" si="0"/>
        <v>3272.4417620612867</v>
      </c>
      <c r="M23">
        <f>IF(ROW()&lt;3, 0, IF(Query1[[#This Row],[Month]]&lt;&gt;H22, Dashboard!$J$5,0))</f>
        <v>773.47399999999971</v>
      </c>
      <c r="N23" s="2">
        <f>IF(ROW()&lt;3, Query1[[#This Row],[Shares]], IF(Query1[[#This Row],[Month]]&lt;&gt;H22, N22+Query1[[#This Row],[Fix Top Up]]/Query1[[#This Row],[Adj Close]], N22))</f>
        <v>3277.1046017210024</v>
      </c>
      <c r="O23">
        <f>IF(AND(Query1[[#This Row],[avg]]&gt;0, Query1[[#This Row],[Month]]&lt;&gt;H22),
    IF(Query1[[#This Row],[Adj Close]]&gt;Query1[[#This Row],[avg]],
       Dashboard!$L$5-Dashboard!$E$6,
       Dashboard!$L$5+Dashboard!$E$6
    ), 0
)</f>
        <v>390.14066666666668</v>
      </c>
      <c r="P23" s="2">
        <f>IF(ROW()&lt;3, Query1[[#This Row],[Shares]], IF(Query1[[#This Row],[Month]]&lt;&gt;H22, P22+Query1[[#This Row],[Enhanced top up]]/Query1[[#This Row],[Adj Close]], P22))</f>
        <v>3274.7937006828838</v>
      </c>
      <c r="Q23" s="2">
        <f>IFERROR(AVERAGE(
  IF(ROW()&gt;20, INDEX(G:G, ROW()-20), 0) :
  INDEX(G:G, ROW())
),0)</f>
        <v>156.62877182733445</v>
      </c>
    </row>
    <row r="24" spans="1:17" x14ac:dyDescent="0.4">
      <c r="A24" s="1">
        <v>43865</v>
      </c>
      <c r="B24">
        <v>177.13999938964844</v>
      </c>
      <c r="C24">
        <v>180.63999938964844</v>
      </c>
      <c r="D24">
        <v>176.30999755859375</v>
      </c>
      <c r="E24">
        <v>180.1199951171875</v>
      </c>
      <c r="F24">
        <v>36433300</v>
      </c>
      <c r="G24">
        <v>171.34065246582031</v>
      </c>
      <c r="H24" s="2">
        <f>MONTH(Query1[[#This Row],[Date]])</f>
        <v>2</v>
      </c>
      <c r="I24" s="3">
        <f>Query1[[#This Row],[Shares]]*Query1[[#This Row],[Adj Close]]</f>
        <v>560702.30666797957</v>
      </c>
      <c r="J24" s="3">
        <f>IF(ROW()&lt;3, Dashboard!$E$7, IF(Query1[[#This Row],[Month]]&lt;&gt;H23,J23*(1+Dashboard!$E$4)+Dashboard!$E$5,J23))</f>
        <v>507000</v>
      </c>
      <c r="K24">
        <f>IF(ROW()&lt;3, 0,IF(Query1[[#This Row],[Month]]&lt;&gt;H23,IF((J24-I24&gt;0),J24-I24,0),0))</f>
        <v>0</v>
      </c>
      <c r="L24" s="2">
        <f t="shared" si="0"/>
        <v>3272.4417620612867</v>
      </c>
      <c r="M24">
        <f>IF(ROW()&lt;3, 0, IF(Query1[[#This Row],[Month]]&lt;&gt;H23, Dashboard!$J$5,0))</f>
        <v>0</v>
      </c>
      <c r="N24" s="2">
        <f>IF(ROW()&lt;3, Query1[[#This Row],[Shares]], IF(Query1[[#This Row],[Month]]&lt;&gt;H23, N23+Query1[[#This Row],[Fix Top Up]]/Query1[[#This Row],[Adj Close]], N23))</f>
        <v>3277.1046017210024</v>
      </c>
      <c r="O24">
        <f>IF(AND(Query1[[#This Row],[avg]]&gt;0, Query1[[#This Row],[Month]]&lt;&gt;H23),
    IF(Query1[[#This Row],[Adj Close]]&gt;Query1[[#This Row],[avg]],
       Dashboard!$L$5-Dashboard!$E$6,
       Dashboard!$L$5+Dashboard!$E$6
    ), 0
)</f>
        <v>0</v>
      </c>
      <c r="P24" s="2">
        <f>IF(ROW()&lt;3, Query1[[#This Row],[Shares]], IF(Query1[[#This Row],[Month]]&lt;&gt;H23, P23+Query1[[#This Row],[Enhanced top up]]/Query1[[#This Row],[Adj Close]], P23))</f>
        <v>3274.7937006828838</v>
      </c>
      <c r="Q24" s="2">
        <f>IFERROR(AVERAGE(
  IF(ROW()&gt;20, INDEX(G:G, ROW()-20), 0) :
  INDEX(G:G, ROW())
),0)</f>
        <v>157.60267929803757</v>
      </c>
    </row>
    <row r="25" spans="1:17" x14ac:dyDescent="0.4">
      <c r="A25" s="1">
        <v>43866</v>
      </c>
      <c r="B25">
        <v>184.02999877929688</v>
      </c>
      <c r="C25">
        <v>184.19999694824219</v>
      </c>
      <c r="D25">
        <v>178.41000366210938</v>
      </c>
      <c r="E25">
        <v>179.89999389648438</v>
      </c>
      <c r="F25">
        <v>39186300</v>
      </c>
      <c r="G25">
        <v>171.13140869140625</v>
      </c>
      <c r="H25" s="2">
        <f>MONTH(Query1[[#This Row],[Date]])</f>
        <v>2</v>
      </c>
      <c r="I25" s="3">
        <f>Query1[[#This Row],[Shares]]*Query1[[#This Row],[Adj Close]]</f>
        <v>560017.56860213564</v>
      </c>
      <c r="J25" s="3">
        <f>IF(ROW()&lt;3, Dashboard!$E$7, IF(Query1[[#This Row],[Month]]&lt;&gt;H24,J24*(1+Dashboard!$E$4)+Dashboard!$E$5,J24))</f>
        <v>507000</v>
      </c>
      <c r="K25">
        <f>IF(ROW()&lt;3, 0,IF(Query1[[#This Row],[Month]]&lt;&gt;H24,IF((J25-I25&gt;0),J25-I25,0),0))</f>
        <v>0</v>
      </c>
      <c r="L25" s="2">
        <f t="shared" si="0"/>
        <v>3272.4417620612867</v>
      </c>
      <c r="M25">
        <f>IF(ROW()&lt;3, 0, IF(Query1[[#This Row],[Month]]&lt;&gt;H24, Dashboard!$J$5,0))</f>
        <v>0</v>
      </c>
      <c r="N25" s="2">
        <f>IF(ROW()&lt;3, Query1[[#This Row],[Shares]], IF(Query1[[#This Row],[Month]]&lt;&gt;H24, N24+Query1[[#This Row],[Fix Top Up]]/Query1[[#This Row],[Adj Close]], N24))</f>
        <v>3277.1046017210024</v>
      </c>
      <c r="O25">
        <f>IF(AND(Query1[[#This Row],[avg]]&gt;0, Query1[[#This Row],[Month]]&lt;&gt;H24),
    IF(Query1[[#This Row],[Adj Close]]&gt;Query1[[#This Row],[avg]],
       Dashboard!$L$5-Dashboard!$E$6,
       Dashboard!$L$5+Dashboard!$E$6
    ), 0
)</f>
        <v>0</v>
      </c>
      <c r="P25" s="2">
        <f>IF(ROW()&lt;3, Query1[[#This Row],[Shares]], IF(Query1[[#This Row],[Month]]&lt;&gt;H24, P24+Query1[[#This Row],[Enhanced top up]]/Query1[[#This Row],[Adj Close]], P24))</f>
        <v>3274.7937006828838</v>
      </c>
      <c r="Q25" s="2">
        <f>IFERROR(AVERAGE(
  IF(ROW()&gt;20, INDEX(G:G, ROW()-20), 0) :
  INDEX(G:G, ROW())
),0)</f>
        <v>158.54804992675781</v>
      </c>
    </row>
    <row r="26" spans="1:17" x14ac:dyDescent="0.4">
      <c r="A26" s="1">
        <v>43867</v>
      </c>
      <c r="B26">
        <v>180.97000122070313</v>
      </c>
      <c r="C26">
        <v>183.82000732421875</v>
      </c>
      <c r="D26">
        <v>180.05999755859375</v>
      </c>
      <c r="E26">
        <v>183.6300048828125</v>
      </c>
      <c r="F26">
        <v>27751400</v>
      </c>
      <c r="G26">
        <v>174.67953491210938</v>
      </c>
      <c r="H26" s="2">
        <f>MONTH(Query1[[#This Row],[Date]])</f>
        <v>2</v>
      </c>
      <c r="I26" s="3">
        <f>Query1[[#This Row],[Shares]]*Query1[[#This Row],[Adj Close]]</f>
        <v>571628.60502382927</v>
      </c>
      <c r="J26" s="3">
        <f>IF(ROW()&lt;3, Dashboard!$E$7, IF(Query1[[#This Row],[Month]]&lt;&gt;H25,J25*(1+Dashboard!$E$4)+Dashboard!$E$5,J25))</f>
        <v>507000</v>
      </c>
      <c r="K26">
        <f>IF(ROW()&lt;3, 0,IF(Query1[[#This Row],[Month]]&lt;&gt;H25,IF((J26-I26&gt;0),J26-I26,0),0))</f>
        <v>0</v>
      </c>
      <c r="L26" s="2">
        <f t="shared" si="0"/>
        <v>3272.4417620612867</v>
      </c>
      <c r="M26">
        <f>IF(ROW()&lt;3, 0, IF(Query1[[#This Row],[Month]]&lt;&gt;H25, Dashboard!$J$5,0))</f>
        <v>0</v>
      </c>
      <c r="N26" s="2">
        <f>IF(ROW()&lt;3, Query1[[#This Row],[Shares]], IF(Query1[[#This Row],[Month]]&lt;&gt;H25, N25+Query1[[#This Row],[Fix Top Up]]/Query1[[#This Row],[Adj Close]], N25))</f>
        <v>3277.1046017210024</v>
      </c>
      <c r="O26">
        <f>IF(AND(Query1[[#This Row],[avg]]&gt;0, Query1[[#This Row],[Month]]&lt;&gt;H25),
    IF(Query1[[#This Row],[Adj Close]]&gt;Query1[[#This Row],[avg]],
       Dashboard!$L$5-Dashboard!$E$6,
       Dashboard!$L$5+Dashboard!$E$6
    ), 0
)</f>
        <v>0</v>
      </c>
      <c r="P26" s="2">
        <f>IF(ROW()&lt;3, Query1[[#This Row],[Shares]], IF(Query1[[#This Row],[Month]]&lt;&gt;H25, P25+Query1[[#This Row],[Enhanced top up]]/Query1[[#This Row],[Adj Close]], P25))</f>
        <v>3274.7937006828838</v>
      </c>
      <c r="Q26" s="2">
        <f>IFERROR(AVERAGE(
  IF(ROW()&gt;20, INDEX(G:G, ROW()-20), 0) :
  INDEX(G:G, ROW())
),0)</f>
        <v>159.72806149437315</v>
      </c>
    </row>
    <row r="27" spans="1:17" x14ac:dyDescent="0.4">
      <c r="A27" s="1">
        <v>43868</v>
      </c>
      <c r="B27">
        <v>182.85000610351563</v>
      </c>
      <c r="C27">
        <v>185.6300048828125</v>
      </c>
      <c r="D27">
        <v>182.47999572753906</v>
      </c>
      <c r="E27">
        <v>183.88999938964844</v>
      </c>
      <c r="F27">
        <v>33529100</v>
      </c>
      <c r="G27">
        <v>174.92692565917969</v>
      </c>
      <c r="H27" s="2">
        <f>MONTH(Query1[[#This Row],[Date]])</f>
        <v>2</v>
      </c>
      <c r="I27" s="3">
        <f>Query1[[#This Row],[Shares]]*Query1[[#This Row],[Adj Close]]</f>
        <v>572438.1768360897</v>
      </c>
      <c r="J27" s="3">
        <f>IF(ROW()&lt;3, Dashboard!$E$7, IF(Query1[[#This Row],[Month]]&lt;&gt;H26,J26*(1+Dashboard!$E$4)+Dashboard!$E$5,J26))</f>
        <v>507000</v>
      </c>
      <c r="K27">
        <f>IF(ROW()&lt;3, 0,IF(Query1[[#This Row],[Month]]&lt;&gt;H26,IF((J27-I27&gt;0),J27-I27,0),0))</f>
        <v>0</v>
      </c>
      <c r="L27" s="2">
        <f t="shared" si="0"/>
        <v>3272.4417620612867</v>
      </c>
      <c r="M27">
        <f>IF(ROW()&lt;3, 0, IF(Query1[[#This Row],[Month]]&lt;&gt;H26, Dashboard!$J$5,0))</f>
        <v>0</v>
      </c>
      <c r="N27" s="2">
        <f>IF(ROW()&lt;3, Query1[[#This Row],[Shares]], IF(Query1[[#This Row],[Month]]&lt;&gt;H26, N26+Query1[[#This Row],[Fix Top Up]]/Query1[[#This Row],[Adj Close]], N26))</f>
        <v>3277.1046017210024</v>
      </c>
      <c r="O27">
        <f>IF(AND(Query1[[#This Row],[avg]]&gt;0, Query1[[#This Row],[Month]]&lt;&gt;H26),
    IF(Query1[[#This Row],[Adj Close]]&gt;Query1[[#This Row],[avg]],
       Dashboard!$L$5-Dashboard!$E$6,
       Dashboard!$L$5+Dashboard!$E$6
    ), 0
)</f>
        <v>0</v>
      </c>
      <c r="P27" s="2">
        <f>IF(ROW()&lt;3, Query1[[#This Row],[Shares]], IF(Query1[[#This Row],[Month]]&lt;&gt;H26, P26+Query1[[#This Row],[Enhanced top up]]/Query1[[#This Row],[Adj Close]], P26))</f>
        <v>3274.7937006828838</v>
      </c>
      <c r="Q27" s="2">
        <f>IFERROR(AVERAGE(
  IF(ROW()&gt;20, INDEX(G:G, ROW()-20), 0) :
  INDEX(G:G, ROW())
),0)</f>
        <v>160.80615670340401</v>
      </c>
    </row>
    <row r="28" spans="1:17" x14ac:dyDescent="0.4">
      <c r="A28" s="1">
        <v>43871</v>
      </c>
      <c r="B28">
        <v>183.58000183105469</v>
      </c>
      <c r="C28">
        <v>188.83999633789063</v>
      </c>
      <c r="D28">
        <v>183.25</v>
      </c>
      <c r="E28">
        <v>188.69999694824219</v>
      </c>
      <c r="F28">
        <v>35844300</v>
      </c>
      <c r="G28">
        <v>179.50244140625</v>
      </c>
      <c r="H28" s="2">
        <f>MONTH(Query1[[#This Row],[Date]])</f>
        <v>2</v>
      </c>
      <c r="I28" s="3">
        <f>Query1[[#This Row],[Shares]]*Query1[[#This Row],[Adj Close]]</f>
        <v>587411.28564977157</v>
      </c>
      <c r="J28" s="3">
        <f>IF(ROW()&lt;3, Dashboard!$E$7, IF(Query1[[#This Row],[Month]]&lt;&gt;H27,J27*(1+Dashboard!$E$4)+Dashboard!$E$5,J27))</f>
        <v>507000</v>
      </c>
      <c r="K28">
        <f>IF(ROW()&lt;3, 0,IF(Query1[[#This Row],[Month]]&lt;&gt;H27,IF((J28-I28&gt;0),J28-I28,0),0))</f>
        <v>0</v>
      </c>
      <c r="L28" s="2">
        <f t="shared" si="0"/>
        <v>3272.4417620612867</v>
      </c>
      <c r="M28">
        <f>IF(ROW()&lt;3, 0, IF(Query1[[#This Row],[Month]]&lt;&gt;H27, Dashboard!$J$5,0))</f>
        <v>0</v>
      </c>
      <c r="N28" s="2">
        <f>IF(ROW()&lt;3, Query1[[#This Row],[Shares]], IF(Query1[[#This Row],[Month]]&lt;&gt;H27, N27+Query1[[#This Row],[Fix Top Up]]/Query1[[#This Row],[Adj Close]], N27))</f>
        <v>3277.1046017210024</v>
      </c>
      <c r="O28">
        <f>IF(AND(Query1[[#This Row],[avg]]&gt;0, Query1[[#This Row],[Month]]&lt;&gt;H27),
    IF(Query1[[#This Row],[Adj Close]]&gt;Query1[[#This Row],[avg]],
       Dashboard!$L$5-Dashboard!$E$6,
       Dashboard!$L$5+Dashboard!$E$6
    ), 0
)</f>
        <v>0</v>
      </c>
      <c r="P28" s="2">
        <f>IF(ROW()&lt;3, Query1[[#This Row],[Shares]], IF(Query1[[#This Row],[Month]]&lt;&gt;H27, P27+Query1[[#This Row],[Enhanced top up]]/Query1[[#This Row],[Adj Close]], P27))</f>
        <v>3274.7937006828838</v>
      </c>
      <c r="Q28" s="2">
        <f>IFERROR(AVERAGE(
  IF(ROW()&gt;20, INDEX(G:G, ROW()-20), 0) :
  INDEX(G:G, ROW())
),0)</f>
        <v>162.01153564453125</v>
      </c>
    </row>
    <row r="29" spans="1:17" x14ac:dyDescent="0.4">
      <c r="A29" s="1">
        <v>43872</v>
      </c>
      <c r="B29">
        <v>190.64999389648438</v>
      </c>
      <c r="C29">
        <v>190.69999694824219</v>
      </c>
      <c r="D29">
        <v>183.5</v>
      </c>
      <c r="E29">
        <v>184.44000244140625</v>
      </c>
      <c r="F29">
        <v>53159900</v>
      </c>
      <c r="G29">
        <v>175.45008850097656</v>
      </c>
      <c r="H29" s="2">
        <f>MONTH(Query1[[#This Row],[Date]])</f>
        <v>2</v>
      </c>
      <c r="I29" s="3">
        <f>Query1[[#This Row],[Shares]]*Query1[[#This Row],[Adj Close]]</f>
        <v>574150.19676794438</v>
      </c>
      <c r="J29" s="3">
        <f>IF(ROW()&lt;3, Dashboard!$E$7, IF(Query1[[#This Row],[Month]]&lt;&gt;H28,J28*(1+Dashboard!$E$4)+Dashboard!$E$5,J28))</f>
        <v>507000</v>
      </c>
      <c r="K29">
        <f>IF(ROW()&lt;3, 0,IF(Query1[[#This Row],[Month]]&lt;&gt;H28,IF((J29-I29&gt;0),J29-I29,0),0))</f>
        <v>0</v>
      </c>
      <c r="L29" s="2">
        <f t="shared" si="0"/>
        <v>3272.4417620612867</v>
      </c>
      <c r="M29">
        <f>IF(ROW()&lt;3, 0, IF(Query1[[#This Row],[Month]]&lt;&gt;H28, Dashboard!$J$5,0))</f>
        <v>0</v>
      </c>
      <c r="N29" s="2">
        <f>IF(ROW()&lt;3, Query1[[#This Row],[Shares]], IF(Query1[[#This Row],[Month]]&lt;&gt;H28, N28+Query1[[#This Row],[Fix Top Up]]/Query1[[#This Row],[Adj Close]], N28))</f>
        <v>3277.1046017210024</v>
      </c>
      <c r="O29">
        <f>IF(AND(Query1[[#This Row],[avg]]&gt;0, Query1[[#This Row],[Month]]&lt;&gt;H28),
    IF(Query1[[#This Row],[Adj Close]]&gt;Query1[[#This Row],[avg]],
       Dashboard!$L$5-Dashboard!$E$6,
       Dashboard!$L$5+Dashboard!$E$6
    ), 0
)</f>
        <v>0</v>
      </c>
      <c r="P29" s="2">
        <f>IF(ROW()&lt;3, Query1[[#This Row],[Shares]], IF(Query1[[#This Row],[Month]]&lt;&gt;H28, P28+Query1[[#This Row],[Enhanced top up]]/Query1[[#This Row],[Adj Close]], P28))</f>
        <v>3274.7937006828838</v>
      </c>
      <c r="Q29" s="2">
        <f>IFERROR(AVERAGE(
  IF(ROW()&gt;20, INDEX(G:G, ROW()-20), 0) :
  INDEX(G:G, ROW())
),0)</f>
        <v>163.05791945684524</v>
      </c>
    </row>
    <row r="30" spans="1:17" x14ac:dyDescent="0.4">
      <c r="A30" s="1">
        <v>43873</v>
      </c>
      <c r="B30">
        <v>185.58000183105469</v>
      </c>
      <c r="C30">
        <v>185.85000610351563</v>
      </c>
      <c r="D30">
        <v>181.85000610351563</v>
      </c>
      <c r="E30">
        <v>184.71000671386719</v>
      </c>
      <c r="F30">
        <v>47062900</v>
      </c>
      <c r="G30">
        <v>175.70697021484375</v>
      </c>
      <c r="H30" s="2">
        <f>MONTH(Query1[[#This Row],[Date]])</f>
        <v>2</v>
      </c>
      <c r="I30" s="3">
        <f>Query1[[#This Row],[Shares]]*Query1[[#This Row],[Adj Close]]</f>
        <v>574990.82721631334</v>
      </c>
      <c r="J30" s="3">
        <f>IF(ROW()&lt;3, Dashboard!$E$7, IF(Query1[[#This Row],[Month]]&lt;&gt;H29,J29*(1+Dashboard!$E$4)+Dashboard!$E$5,J29))</f>
        <v>507000</v>
      </c>
      <c r="K30">
        <f>IF(ROW()&lt;3, 0,IF(Query1[[#This Row],[Month]]&lt;&gt;H29,IF((J30-I30&gt;0),J30-I30,0),0))</f>
        <v>0</v>
      </c>
      <c r="L30" s="2">
        <f t="shared" si="0"/>
        <v>3272.4417620612867</v>
      </c>
      <c r="M30">
        <f>IF(ROW()&lt;3, 0, IF(Query1[[#This Row],[Month]]&lt;&gt;H29, Dashboard!$J$5,0))</f>
        <v>0</v>
      </c>
      <c r="N30" s="2">
        <f>IF(ROW()&lt;3, Query1[[#This Row],[Shares]], IF(Query1[[#This Row],[Month]]&lt;&gt;H29, N29+Query1[[#This Row],[Fix Top Up]]/Query1[[#This Row],[Adj Close]], N29))</f>
        <v>3277.1046017210024</v>
      </c>
      <c r="O30">
        <f>IF(AND(Query1[[#This Row],[avg]]&gt;0, Query1[[#This Row],[Month]]&lt;&gt;H29),
    IF(Query1[[#This Row],[Adj Close]]&gt;Query1[[#This Row],[avg]],
       Dashboard!$L$5-Dashboard!$E$6,
       Dashboard!$L$5+Dashboard!$E$6
    ), 0
)</f>
        <v>0</v>
      </c>
      <c r="P30" s="2">
        <f>IF(ROW()&lt;3, Query1[[#This Row],[Shares]], IF(Query1[[#This Row],[Month]]&lt;&gt;H29, P29+Query1[[#This Row],[Enhanced top up]]/Query1[[#This Row],[Adj Close]], P29))</f>
        <v>3274.7937006828838</v>
      </c>
      <c r="Q30" s="2">
        <f>IFERROR(AVERAGE(
  IF(ROW()&gt;20, INDEX(G:G, ROW()-20), 0) :
  INDEX(G:G, ROW())
),0)</f>
        <v>164.02865673246839</v>
      </c>
    </row>
    <row r="31" spans="1:17" x14ac:dyDescent="0.4">
      <c r="A31" s="1">
        <v>43874</v>
      </c>
      <c r="B31">
        <v>183.08000183105469</v>
      </c>
      <c r="C31">
        <v>186.22999572753906</v>
      </c>
      <c r="D31">
        <v>182.8699951171875</v>
      </c>
      <c r="E31">
        <v>183.71000671386719</v>
      </c>
      <c r="F31">
        <v>35295800</v>
      </c>
      <c r="G31">
        <v>174.75570678710938</v>
      </c>
      <c r="H31" s="2">
        <f>MONTH(Query1[[#This Row],[Date]])</f>
        <v>2</v>
      </c>
      <c r="I31" s="3">
        <f>Query1[[#This Row],[Shares]]*Query1[[#This Row],[Adj Close]]</f>
        <v>571877.87304867373</v>
      </c>
      <c r="J31" s="3">
        <f>IF(ROW()&lt;3, Dashboard!$E$7, IF(Query1[[#This Row],[Month]]&lt;&gt;H30,J30*(1+Dashboard!$E$4)+Dashboard!$E$5,J30))</f>
        <v>507000</v>
      </c>
      <c r="K31">
        <f>IF(ROW()&lt;3, 0,IF(Query1[[#This Row],[Month]]&lt;&gt;H30,IF((J31-I31&gt;0),J31-I31,0),0))</f>
        <v>0</v>
      </c>
      <c r="L31" s="2">
        <f t="shared" si="0"/>
        <v>3272.4417620612867</v>
      </c>
      <c r="M31">
        <f>IF(ROW()&lt;3, 0, IF(Query1[[#This Row],[Month]]&lt;&gt;H30, Dashboard!$J$5,0))</f>
        <v>0</v>
      </c>
      <c r="N31" s="2">
        <f>IF(ROW()&lt;3, Query1[[#This Row],[Shares]], IF(Query1[[#This Row],[Month]]&lt;&gt;H30, N30+Query1[[#This Row],[Fix Top Up]]/Query1[[#This Row],[Adj Close]], N30))</f>
        <v>3277.1046017210024</v>
      </c>
      <c r="O31">
        <f>IF(AND(Query1[[#This Row],[avg]]&gt;0, Query1[[#This Row],[Month]]&lt;&gt;H30),
    IF(Query1[[#This Row],[Adj Close]]&gt;Query1[[#This Row],[avg]],
       Dashboard!$L$5-Dashboard!$E$6,
       Dashboard!$L$5+Dashboard!$E$6
    ), 0
)</f>
        <v>0</v>
      </c>
      <c r="P31" s="2">
        <f>IF(ROW()&lt;3, Query1[[#This Row],[Shares]], IF(Query1[[#This Row],[Month]]&lt;&gt;H30, P30+Query1[[#This Row],[Enhanced top up]]/Query1[[#This Row],[Adj Close]], P30))</f>
        <v>3274.7937006828838</v>
      </c>
      <c r="Q31" s="2">
        <f>IFERROR(AVERAGE(
  IF(ROW()&gt;20, INDEX(G:G, ROW()-20), 0) :
  INDEX(G:G, ROW())
),0)</f>
        <v>165.00618707566034</v>
      </c>
    </row>
    <row r="32" spans="1:17" x14ac:dyDescent="0.4">
      <c r="A32" s="1">
        <v>43875</v>
      </c>
      <c r="B32">
        <v>183.25</v>
      </c>
      <c r="C32">
        <v>185.41000366210938</v>
      </c>
      <c r="D32">
        <v>182.64999389648438</v>
      </c>
      <c r="E32">
        <v>185.35000610351563</v>
      </c>
      <c r="F32">
        <v>23149500</v>
      </c>
      <c r="G32">
        <v>176.31575012207031</v>
      </c>
      <c r="H32" s="2">
        <f>MONTH(Query1[[#This Row],[Date]])</f>
        <v>2</v>
      </c>
      <c r="I32" s="3">
        <f>Query1[[#This Row],[Shares]]*Query1[[#This Row],[Adj Close]]</f>
        <v>576983.0240086253</v>
      </c>
      <c r="J32" s="3">
        <f>IF(ROW()&lt;3, Dashboard!$E$7, IF(Query1[[#This Row],[Month]]&lt;&gt;H31,J31*(1+Dashboard!$E$4)+Dashboard!$E$5,J31))</f>
        <v>507000</v>
      </c>
      <c r="K32">
        <f>IF(ROW()&lt;3, 0,IF(Query1[[#This Row],[Month]]&lt;&gt;H31,IF((J32-I32&gt;0),J32-I32,0),0))</f>
        <v>0</v>
      </c>
      <c r="L32" s="2">
        <f t="shared" si="0"/>
        <v>3272.4417620612867</v>
      </c>
      <c r="M32">
        <f>IF(ROW()&lt;3, 0, IF(Query1[[#This Row],[Month]]&lt;&gt;H31, Dashboard!$J$5,0))</f>
        <v>0</v>
      </c>
      <c r="N32" s="2">
        <f>IF(ROW()&lt;3, Query1[[#This Row],[Shares]], IF(Query1[[#This Row],[Month]]&lt;&gt;H31, N31+Query1[[#This Row],[Fix Top Up]]/Query1[[#This Row],[Adj Close]], N31))</f>
        <v>3277.1046017210024</v>
      </c>
      <c r="O32">
        <f>IF(AND(Query1[[#This Row],[avg]]&gt;0, Query1[[#This Row],[Month]]&lt;&gt;H31),
    IF(Query1[[#This Row],[Adj Close]]&gt;Query1[[#This Row],[avg]],
       Dashboard!$L$5-Dashboard!$E$6,
       Dashboard!$L$5+Dashboard!$E$6
    ), 0
)</f>
        <v>0</v>
      </c>
      <c r="P32" s="2">
        <f>IF(ROW()&lt;3, Query1[[#This Row],[Shares]], IF(Query1[[#This Row],[Month]]&lt;&gt;H31, P31+Query1[[#This Row],[Enhanced top up]]/Query1[[#This Row],[Adj Close]], P31))</f>
        <v>3274.7937006828838</v>
      </c>
      <c r="Q32" s="2">
        <f>IFERROR(AVERAGE(
  IF(ROW()&gt;20, INDEX(G:G, ROW()-20), 0) :
  INDEX(G:G, ROW())
),0)</f>
        <v>166.01044355119978</v>
      </c>
    </row>
    <row r="33" spans="1:17" x14ac:dyDescent="0.4">
      <c r="A33" s="1">
        <v>43879</v>
      </c>
      <c r="B33">
        <v>185.61000061035156</v>
      </c>
      <c r="C33">
        <v>187.69999694824219</v>
      </c>
      <c r="D33">
        <v>185.5</v>
      </c>
      <c r="E33">
        <v>187.22999572753906</v>
      </c>
      <c r="F33">
        <v>27792200</v>
      </c>
      <c r="G33">
        <v>178.10411071777344</v>
      </c>
      <c r="H33" s="2">
        <f>MONTH(Query1[[#This Row],[Date]])</f>
        <v>2</v>
      </c>
      <c r="I33" s="3">
        <f>Query1[[#This Row],[Shares]]*Query1[[#This Row],[Adj Close]]</f>
        <v>582835.32990762906</v>
      </c>
      <c r="J33" s="3">
        <f>IF(ROW()&lt;3, Dashboard!$E$7, IF(Query1[[#This Row],[Month]]&lt;&gt;H32,J32*(1+Dashboard!$E$4)+Dashboard!$E$5,J32))</f>
        <v>507000</v>
      </c>
      <c r="K33">
        <f>IF(ROW()&lt;3, 0,IF(Query1[[#This Row],[Month]]&lt;&gt;H32,IF((J33-I33&gt;0),J33-I33,0),0))</f>
        <v>0</v>
      </c>
      <c r="L33" s="2">
        <f t="shared" si="0"/>
        <v>3272.4417620612867</v>
      </c>
      <c r="M33">
        <f>IF(ROW()&lt;3, 0, IF(Query1[[#This Row],[Month]]&lt;&gt;H32, Dashboard!$J$5,0))</f>
        <v>0</v>
      </c>
      <c r="N33" s="2">
        <f>IF(ROW()&lt;3, Query1[[#This Row],[Shares]], IF(Query1[[#This Row],[Month]]&lt;&gt;H32, N32+Query1[[#This Row],[Fix Top Up]]/Query1[[#This Row],[Adj Close]], N32))</f>
        <v>3277.1046017210024</v>
      </c>
      <c r="O33">
        <f>IF(AND(Query1[[#This Row],[avg]]&gt;0, Query1[[#This Row],[Month]]&lt;&gt;H32),
    IF(Query1[[#This Row],[Adj Close]]&gt;Query1[[#This Row],[avg]],
       Dashboard!$L$5-Dashboard!$E$6,
       Dashboard!$L$5+Dashboard!$E$6
    ), 0
)</f>
        <v>0</v>
      </c>
      <c r="P33" s="2">
        <f>IF(ROW()&lt;3, Query1[[#This Row],[Shares]], IF(Query1[[#This Row],[Month]]&lt;&gt;H32, P32+Query1[[#This Row],[Enhanced top up]]/Query1[[#This Row],[Adj Close]], P32))</f>
        <v>3274.7937006828838</v>
      </c>
      <c r="Q33" s="2">
        <f>IFERROR(AVERAGE(
  IF(ROW()&gt;20, INDEX(G:G, ROW()-20), 0) :
  INDEX(G:G, ROW())
),0)</f>
        <v>166.96441941034226</v>
      </c>
    </row>
    <row r="34" spans="1:17" x14ac:dyDescent="0.4">
      <c r="A34" s="1">
        <v>43880</v>
      </c>
      <c r="B34">
        <v>188.05999755859375</v>
      </c>
      <c r="C34">
        <v>188.17999267578125</v>
      </c>
      <c r="D34">
        <v>186.47000122070313</v>
      </c>
      <c r="E34">
        <v>187.27999877929688</v>
      </c>
      <c r="F34">
        <v>29997500</v>
      </c>
      <c r="G34">
        <v>178.63827514648438</v>
      </c>
      <c r="H34" s="2">
        <f>MONTH(Query1[[#This Row],[Date]])</f>
        <v>2</v>
      </c>
      <c r="I34" s="3">
        <f>Query1[[#This Row],[Shares]]*Query1[[#This Row],[Adj Close]]</f>
        <v>584583.35189195024</v>
      </c>
      <c r="J34" s="3">
        <f>IF(ROW()&lt;3, Dashboard!$E$7, IF(Query1[[#This Row],[Month]]&lt;&gt;H33,J33*(1+Dashboard!$E$4)+Dashboard!$E$5,J33))</f>
        <v>507000</v>
      </c>
      <c r="K34">
        <f>IF(ROW()&lt;3, 0,IF(Query1[[#This Row],[Month]]&lt;&gt;H33,IF((J34-I34&gt;0),J34-I34,0),0))</f>
        <v>0</v>
      </c>
      <c r="L34" s="2">
        <f t="shared" si="0"/>
        <v>3272.4417620612867</v>
      </c>
      <c r="M34">
        <f>IF(ROW()&lt;3, 0, IF(Query1[[#This Row],[Month]]&lt;&gt;H33, Dashboard!$J$5,0))</f>
        <v>0</v>
      </c>
      <c r="N34" s="2">
        <f>IF(ROW()&lt;3, Query1[[#This Row],[Shares]], IF(Query1[[#This Row],[Month]]&lt;&gt;H33, N33+Query1[[#This Row],[Fix Top Up]]/Query1[[#This Row],[Adj Close]], N33))</f>
        <v>3277.1046017210024</v>
      </c>
      <c r="O34">
        <f>IF(AND(Query1[[#This Row],[avg]]&gt;0, Query1[[#This Row],[Month]]&lt;&gt;H33),
    IF(Query1[[#This Row],[Adj Close]]&gt;Query1[[#This Row],[avg]],
       Dashboard!$L$5-Dashboard!$E$6,
       Dashboard!$L$5+Dashboard!$E$6
    ), 0
)</f>
        <v>0</v>
      </c>
      <c r="P34" s="2">
        <f>IF(ROW()&lt;3, Query1[[#This Row],[Shares]], IF(Query1[[#This Row],[Month]]&lt;&gt;H33, P33+Query1[[#This Row],[Enhanced top up]]/Query1[[#This Row],[Adj Close]], P33))</f>
        <v>3274.7937006828838</v>
      </c>
      <c r="Q34" s="2">
        <f>IFERROR(AVERAGE(
  IF(ROW()&gt;20, INDEX(G:G, ROW()-20), 0) :
  INDEX(G:G, ROW())
),0)</f>
        <v>167.9017050606864</v>
      </c>
    </row>
    <row r="35" spans="1:17" x14ac:dyDescent="0.4">
      <c r="A35" s="1">
        <v>43881</v>
      </c>
      <c r="B35">
        <v>186.94999694824219</v>
      </c>
      <c r="C35">
        <v>187.25</v>
      </c>
      <c r="D35">
        <v>181.10000610351563</v>
      </c>
      <c r="E35">
        <v>184.41999816894531</v>
      </c>
      <c r="F35">
        <v>36862400</v>
      </c>
      <c r="G35">
        <v>175.91026306152344</v>
      </c>
      <c r="H35" s="2">
        <f>MONTH(Query1[[#This Row],[Date]])</f>
        <v>2</v>
      </c>
      <c r="I35" s="3">
        <f>Query1[[#This Row],[Shares]]*Query1[[#This Row],[Adj Close]]</f>
        <v>575656.09121771622</v>
      </c>
      <c r="J35" s="3">
        <f>IF(ROW()&lt;3, Dashboard!$E$7, IF(Query1[[#This Row],[Month]]&lt;&gt;H34,J34*(1+Dashboard!$E$4)+Dashboard!$E$5,J34))</f>
        <v>507000</v>
      </c>
      <c r="K35">
        <f>IF(ROW()&lt;3, 0,IF(Query1[[#This Row],[Month]]&lt;&gt;H34,IF((J35-I35&gt;0),J35-I35,0),0))</f>
        <v>0</v>
      </c>
      <c r="L35" s="2">
        <f t="shared" si="0"/>
        <v>3272.4417620612867</v>
      </c>
      <c r="M35">
        <f>IF(ROW()&lt;3, 0, IF(Query1[[#This Row],[Month]]&lt;&gt;H34, Dashboard!$J$5,0))</f>
        <v>0</v>
      </c>
      <c r="N35" s="2">
        <f>IF(ROW()&lt;3, Query1[[#This Row],[Shares]], IF(Query1[[#This Row],[Month]]&lt;&gt;H34, N34+Query1[[#This Row],[Fix Top Up]]/Query1[[#This Row],[Adj Close]], N34))</f>
        <v>3277.1046017210024</v>
      </c>
      <c r="O35">
        <f>IF(AND(Query1[[#This Row],[avg]]&gt;0, Query1[[#This Row],[Month]]&lt;&gt;H34),
    IF(Query1[[#This Row],[Adj Close]]&gt;Query1[[#This Row],[avg]],
       Dashboard!$L$5-Dashboard!$E$6,
       Dashboard!$L$5+Dashboard!$E$6
    ), 0
)</f>
        <v>0</v>
      </c>
      <c r="P35" s="2">
        <f>IF(ROW()&lt;3, Query1[[#This Row],[Shares]], IF(Query1[[#This Row],[Month]]&lt;&gt;H34, P34+Query1[[#This Row],[Enhanced top up]]/Query1[[#This Row],[Adj Close]], P34))</f>
        <v>3274.7937006828838</v>
      </c>
      <c r="Q35" s="2">
        <f>IFERROR(AVERAGE(
  IF(ROW()&gt;20, INDEX(G:G, ROW()-20), 0) :
  INDEX(G:G, ROW())
),0)</f>
        <v>168.73626273018974</v>
      </c>
    </row>
    <row r="36" spans="1:17" x14ac:dyDescent="0.4">
      <c r="A36" s="1">
        <v>43882</v>
      </c>
      <c r="B36">
        <v>183.16999816894531</v>
      </c>
      <c r="C36">
        <v>183.5</v>
      </c>
      <c r="D36">
        <v>177.25</v>
      </c>
      <c r="E36">
        <v>178.58999633789063</v>
      </c>
      <c r="F36">
        <v>48572600</v>
      </c>
      <c r="G36">
        <v>170.34921264648438</v>
      </c>
      <c r="H36" s="2">
        <f>MONTH(Query1[[#This Row],[Date]])</f>
        <v>2</v>
      </c>
      <c r="I36" s="3">
        <f>Query1[[#This Row],[Shares]]*Query1[[#This Row],[Adj Close]]</f>
        <v>557457.8775986142</v>
      </c>
      <c r="J36" s="3">
        <f>IF(ROW()&lt;3, Dashboard!$E$7, IF(Query1[[#This Row],[Month]]&lt;&gt;H35,J35*(1+Dashboard!$E$4)+Dashboard!$E$5,J35))</f>
        <v>507000</v>
      </c>
      <c r="K36">
        <f>IF(ROW()&lt;3, 0,IF(Query1[[#This Row],[Month]]&lt;&gt;H35,IF((J36-I36&gt;0),J36-I36,0),0))</f>
        <v>0</v>
      </c>
      <c r="L36" s="2">
        <f t="shared" si="0"/>
        <v>3272.4417620612867</v>
      </c>
      <c r="M36">
        <f>IF(ROW()&lt;3, 0, IF(Query1[[#This Row],[Month]]&lt;&gt;H35, Dashboard!$J$5,0))</f>
        <v>0</v>
      </c>
      <c r="N36" s="2">
        <f>IF(ROW()&lt;3, Query1[[#This Row],[Shares]], IF(Query1[[#This Row],[Month]]&lt;&gt;H35, N35+Query1[[#This Row],[Fix Top Up]]/Query1[[#This Row],[Adj Close]], N35))</f>
        <v>3277.1046017210024</v>
      </c>
      <c r="O36">
        <f>IF(AND(Query1[[#This Row],[avg]]&gt;0, Query1[[#This Row],[Month]]&lt;&gt;H35),
    IF(Query1[[#This Row],[Adj Close]]&gt;Query1[[#This Row],[avg]],
       Dashboard!$L$5-Dashboard!$E$6,
       Dashboard!$L$5+Dashboard!$E$6
    ), 0
)</f>
        <v>0</v>
      </c>
      <c r="P36" s="2">
        <f>IF(ROW()&lt;3, Query1[[#This Row],[Shares]], IF(Query1[[#This Row],[Month]]&lt;&gt;H35, P35+Query1[[#This Row],[Enhanced top up]]/Query1[[#This Row],[Adj Close]], P35))</f>
        <v>3274.7937006828838</v>
      </c>
      <c r="Q36" s="2">
        <f>IFERROR(AVERAGE(
  IF(ROW()&gt;20, INDEX(G:G, ROW()-20), 0) :
  INDEX(G:G, ROW())
),0)</f>
        <v>169.34224809919084</v>
      </c>
    </row>
    <row r="37" spans="1:17" x14ac:dyDescent="0.4">
      <c r="A37" s="1">
        <v>43885</v>
      </c>
      <c r="B37">
        <v>167.77000427246094</v>
      </c>
      <c r="C37">
        <v>174.55000305175781</v>
      </c>
      <c r="D37">
        <v>163.22999572753906</v>
      </c>
      <c r="E37">
        <v>170.88999938964844</v>
      </c>
      <c r="F37">
        <v>68311100</v>
      </c>
      <c r="G37">
        <v>163.00453186035156</v>
      </c>
      <c r="H37" s="2">
        <f>MONTH(Query1[[#This Row],[Date]])</f>
        <v>2</v>
      </c>
      <c r="I37" s="3">
        <f>Query1[[#This Row],[Shares]]*Query1[[#This Row],[Adj Close]]</f>
        <v>533422.83746506402</v>
      </c>
      <c r="J37" s="3">
        <f>IF(ROW()&lt;3, Dashboard!$E$7, IF(Query1[[#This Row],[Month]]&lt;&gt;H36,J36*(1+Dashboard!$E$4)+Dashboard!$E$5,J36))</f>
        <v>507000</v>
      </c>
      <c r="K37">
        <f>IF(ROW()&lt;3, 0,IF(Query1[[#This Row],[Month]]&lt;&gt;H36,IF((J37-I37&gt;0),J37-I37,0),0))</f>
        <v>0</v>
      </c>
      <c r="L37" s="2">
        <f t="shared" si="0"/>
        <v>3272.4417620612867</v>
      </c>
      <c r="M37">
        <f>IF(ROW()&lt;3, 0, IF(Query1[[#This Row],[Month]]&lt;&gt;H36, Dashboard!$J$5,0))</f>
        <v>0</v>
      </c>
      <c r="N37" s="2">
        <f>IF(ROW()&lt;3, Query1[[#This Row],[Shares]], IF(Query1[[#This Row],[Month]]&lt;&gt;H36, N36+Query1[[#This Row],[Fix Top Up]]/Query1[[#This Row],[Adj Close]], N36))</f>
        <v>3277.1046017210024</v>
      </c>
      <c r="O37">
        <f>IF(AND(Query1[[#This Row],[avg]]&gt;0, Query1[[#This Row],[Month]]&lt;&gt;H36),
    IF(Query1[[#This Row],[Adj Close]]&gt;Query1[[#This Row],[avg]],
       Dashboard!$L$5-Dashboard!$E$6,
       Dashboard!$L$5+Dashboard!$E$6
    ), 0
)</f>
        <v>0</v>
      </c>
      <c r="P37" s="2">
        <f>IF(ROW()&lt;3, Query1[[#This Row],[Shares]], IF(Query1[[#This Row],[Month]]&lt;&gt;H36, P36+Query1[[#This Row],[Enhanced top up]]/Query1[[#This Row],[Adj Close]], P36))</f>
        <v>3274.7937006828838</v>
      </c>
      <c r="Q37" s="2">
        <f>IFERROR(AVERAGE(
  IF(ROW()&gt;20, INDEX(G:G, ROW()-20), 0) :
  INDEX(G:G, ROW())
),0)</f>
        <v>169.55228387741815</v>
      </c>
    </row>
    <row r="38" spans="1:17" x14ac:dyDescent="0.4">
      <c r="A38" s="1">
        <v>43886</v>
      </c>
      <c r="B38">
        <v>174.19999694824219</v>
      </c>
      <c r="C38">
        <v>174.83999633789063</v>
      </c>
      <c r="D38">
        <v>167.64999389648438</v>
      </c>
      <c r="E38">
        <v>168.07000732421875</v>
      </c>
      <c r="F38">
        <v>68073300</v>
      </c>
      <c r="G38">
        <v>160.314697265625</v>
      </c>
      <c r="H38" s="2">
        <f>MONTH(Query1[[#This Row],[Date]])</f>
        <v>2</v>
      </c>
      <c r="I38" s="3">
        <f>Query1[[#This Row],[Shares]]*Query1[[#This Row],[Adj Close]]</f>
        <v>524620.5104042436</v>
      </c>
      <c r="J38" s="3">
        <f>IF(ROW()&lt;3, Dashboard!$E$7, IF(Query1[[#This Row],[Month]]&lt;&gt;H37,J37*(1+Dashboard!$E$4)+Dashboard!$E$5,J37))</f>
        <v>507000</v>
      </c>
      <c r="K38">
        <f>IF(ROW()&lt;3, 0,IF(Query1[[#This Row],[Month]]&lt;&gt;H37,IF((J38-I38&gt;0),J38-I38,0),0))</f>
        <v>0</v>
      </c>
      <c r="L38" s="2">
        <f t="shared" si="0"/>
        <v>3272.4417620612867</v>
      </c>
      <c r="M38">
        <f>IF(ROW()&lt;3, 0, IF(Query1[[#This Row],[Month]]&lt;&gt;H37, Dashboard!$J$5,0))</f>
        <v>0</v>
      </c>
      <c r="N38" s="2">
        <f>IF(ROW()&lt;3, Query1[[#This Row],[Shares]], IF(Query1[[#This Row],[Month]]&lt;&gt;H37, N37+Query1[[#This Row],[Fix Top Up]]/Query1[[#This Row],[Adj Close]], N37))</f>
        <v>3277.1046017210024</v>
      </c>
      <c r="O38">
        <f>IF(AND(Query1[[#This Row],[avg]]&gt;0, Query1[[#This Row],[Month]]&lt;&gt;H37),
    IF(Query1[[#This Row],[Adj Close]]&gt;Query1[[#This Row],[avg]],
       Dashboard!$L$5-Dashboard!$E$6,
       Dashboard!$L$5+Dashboard!$E$6
    ), 0
)</f>
        <v>0</v>
      </c>
      <c r="P38" s="2">
        <f>IF(ROW()&lt;3, Query1[[#This Row],[Shares]], IF(Query1[[#This Row],[Month]]&lt;&gt;H37, P37+Query1[[#This Row],[Enhanced top up]]/Query1[[#This Row],[Adj Close]], P37))</f>
        <v>3274.7937006828838</v>
      </c>
      <c r="Q38" s="2">
        <f>IFERROR(AVERAGE(
  IF(ROW()&gt;20, INDEX(G:G, ROW()-20), 0) :
  INDEX(G:G, ROW())
),0)</f>
        <v>169.71033368791853</v>
      </c>
    </row>
    <row r="39" spans="1:17" x14ac:dyDescent="0.4">
      <c r="A39" s="1">
        <v>43887</v>
      </c>
      <c r="B39">
        <v>169.71000671386719</v>
      </c>
      <c r="C39">
        <v>173.25999450683594</v>
      </c>
      <c r="D39">
        <v>168.21000671386719</v>
      </c>
      <c r="E39">
        <v>170.16999816894531</v>
      </c>
      <c r="F39">
        <v>56206100</v>
      </c>
      <c r="G39">
        <v>162.31779479980469</v>
      </c>
      <c r="H39" s="2">
        <f>MONTH(Query1[[#This Row],[Date]])</f>
        <v>2</v>
      </c>
      <c r="I39" s="3">
        <f>Query1[[#This Row],[Shares]]*Query1[[#This Row],[Adj Close]]</f>
        <v>531175.53042857524</v>
      </c>
      <c r="J39" s="3">
        <f>IF(ROW()&lt;3, Dashboard!$E$7, IF(Query1[[#This Row],[Month]]&lt;&gt;H38,J38*(1+Dashboard!$E$4)+Dashboard!$E$5,J38))</f>
        <v>507000</v>
      </c>
      <c r="K39">
        <f>IF(ROW()&lt;3, 0,IF(Query1[[#This Row],[Month]]&lt;&gt;H38,IF((J39-I39&gt;0),J39-I39,0),0))</f>
        <v>0</v>
      </c>
      <c r="L39" s="2">
        <f t="shared" si="0"/>
        <v>3272.4417620612867</v>
      </c>
      <c r="M39">
        <f>IF(ROW()&lt;3, 0, IF(Query1[[#This Row],[Month]]&lt;&gt;H38, Dashboard!$J$5,0))</f>
        <v>0</v>
      </c>
      <c r="N39" s="2">
        <f>IF(ROW()&lt;3, Query1[[#This Row],[Shares]], IF(Query1[[#This Row],[Month]]&lt;&gt;H38, N38+Query1[[#This Row],[Fix Top Up]]/Query1[[#This Row],[Adj Close]], N38))</f>
        <v>3277.1046017210024</v>
      </c>
      <c r="O39">
        <f>IF(AND(Query1[[#This Row],[avg]]&gt;0, Query1[[#This Row],[Month]]&lt;&gt;H38),
    IF(Query1[[#This Row],[Adj Close]]&gt;Query1[[#This Row],[avg]],
       Dashboard!$L$5-Dashboard!$E$6,
       Dashboard!$L$5+Dashboard!$E$6
    ), 0
)</f>
        <v>0</v>
      </c>
      <c r="P39" s="2">
        <f>IF(ROW()&lt;3, Query1[[#This Row],[Shares]], IF(Query1[[#This Row],[Month]]&lt;&gt;H38, P38+Query1[[#This Row],[Enhanced top up]]/Query1[[#This Row],[Adj Close]], P38))</f>
        <v>3274.7937006828838</v>
      </c>
      <c r="Q39" s="2">
        <f>IFERROR(AVERAGE(
  IF(ROW()&gt;20, INDEX(G:G, ROW()-20), 0) :
  INDEX(G:G, ROW())
),0)</f>
        <v>170.08879234677269</v>
      </c>
    </row>
    <row r="40" spans="1:17" x14ac:dyDescent="0.4">
      <c r="A40" s="1">
        <v>43888</v>
      </c>
      <c r="B40">
        <v>163.32000732421875</v>
      </c>
      <c r="C40">
        <v>167.02999877929688</v>
      </c>
      <c r="D40">
        <v>157.97999572753906</v>
      </c>
      <c r="E40">
        <v>158.17999267578125</v>
      </c>
      <c r="F40">
        <v>93174900</v>
      </c>
      <c r="G40">
        <v>150.88101196289063</v>
      </c>
      <c r="H40" s="2">
        <f>MONTH(Query1[[#This Row],[Date]])</f>
        <v>2</v>
      </c>
      <c r="I40" s="3">
        <f>Query1[[#This Row],[Shares]]*Query1[[#This Row],[Adj Close]]</f>
        <v>493749.32464943186</v>
      </c>
      <c r="J40" s="3">
        <f>IF(ROW()&lt;3, Dashboard!$E$7, IF(Query1[[#This Row],[Month]]&lt;&gt;H39,J39*(1+Dashboard!$E$4)+Dashboard!$E$5,J39))</f>
        <v>507000</v>
      </c>
      <c r="K40">
        <f>IF(ROW()&lt;3, 0,IF(Query1[[#This Row],[Month]]&lt;&gt;H39,IF((J40-I40&gt;0),J40-I40,0),0))</f>
        <v>0</v>
      </c>
      <c r="L40" s="2">
        <f t="shared" si="0"/>
        <v>3272.4417620612867</v>
      </c>
      <c r="M40">
        <f>IF(ROW()&lt;3, 0, IF(Query1[[#This Row],[Month]]&lt;&gt;H39, Dashboard!$J$5,0))</f>
        <v>0</v>
      </c>
      <c r="N40" s="2">
        <f>IF(ROW()&lt;3, Query1[[#This Row],[Shares]], IF(Query1[[#This Row],[Month]]&lt;&gt;H39, N39+Query1[[#This Row],[Fix Top Up]]/Query1[[#This Row],[Adj Close]], N39))</f>
        <v>3277.1046017210024</v>
      </c>
      <c r="O40">
        <f>IF(AND(Query1[[#This Row],[avg]]&gt;0, Query1[[#This Row],[Month]]&lt;&gt;H39),
    IF(Query1[[#This Row],[Adj Close]]&gt;Query1[[#This Row],[avg]],
       Dashboard!$L$5-Dashboard!$E$6,
       Dashboard!$L$5+Dashboard!$E$6
    ), 0
)</f>
        <v>0</v>
      </c>
      <c r="P40" s="2">
        <f>IF(ROW()&lt;3, Query1[[#This Row],[Shares]], IF(Query1[[#This Row],[Month]]&lt;&gt;H39, P39+Query1[[#This Row],[Enhanced top up]]/Query1[[#This Row],[Adj Close]], P39))</f>
        <v>3274.7937006828838</v>
      </c>
      <c r="Q40" s="2">
        <f>IFERROR(AVERAGE(
  IF(ROW()&gt;20, INDEX(G:G, ROW()-20), 0) :
  INDEX(G:G, ROW())
),0)</f>
        <v>169.77859061104911</v>
      </c>
    </row>
    <row r="41" spans="1:17" x14ac:dyDescent="0.4">
      <c r="A41" s="1">
        <v>43889</v>
      </c>
      <c r="B41">
        <v>152.41000366210938</v>
      </c>
      <c r="C41">
        <v>163.71000671386719</v>
      </c>
      <c r="D41">
        <v>152</v>
      </c>
      <c r="E41">
        <v>162.00999450683594</v>
      </c>
      <c r="F41">
        <v>97012700</v>
      </c>
      <c r="G41">
        <v>154.53427124023438</v>
      </c>
      <c r="H41" s="2">
        <f>MONTH(Query1[[#This Row],[Date]])</f>
        <v>2</v>
      </c>
      <c r="I41" s="3">
        <f>Query1[[#This Row],[Shares]]*Query1[[#This Row],[Adj Close]]</f>
        <v>505704.4028762494</v>
      </c>
      <c r="J41" s="3">
        <f>IF(ROW()&lt;3, Dashboard!$E$7, IF(Query1[[#This Row],[Month]]&lt;&gt;H40,J40*(1+Dashboard!$E$4)+Dashboard!$E$5,J40))</f>
        <v>507000</v>
      </c>
      <c r="K41">
        <f>IF(ROW()&lt;3, 0,IF(Query1[[#This Row],[Month]]&lt;&gt;H40,IF((J41-I41&gt;0),J41-I41,0),0))</f>
        <v>0</v>
      </c>
      <c r="L41" s="2">
        <f t="shared" si="0"/>
        <v>3272.4417620612867</v>
      </c>
      <c r="M41">
        <f>IF(ROW()&lt;3, 0, IF(Query1[[#This Row],[Month]]&lt;&gt;H40, Dashboard!$J$5,0))</f>
        <v>0</v>
      </c>
      <c r="N41" s="2">
        <f>IF(ROW()&lt;3, Query1[[#This Row],[Shares]], IF(Query1[[#This Row],[Month]]&lt;&gt;H40, N40+Query1[[#This Row],[Fix Top Up]]/Query1[[#This Row],[Adj Close]], N40))</f>
        <v>3277.1046017210024</v>
      </c>
      <c r="O41">
        <f>IF(AND(Query1[[#This Row],[avg]]&gt;0, Query1[[#This Row],[Month]]&lt;&gt;H40),
    IF(Query1[[#This Row],[Adj Close]]&gt;Query1[[#This Row],[avg]],
       Dashboard!$L$5-Dashboard!$E$6,
       Dashboard!$L$5+Dashboard!$E$6
    ), 0
)</f>
        <v>0</v>
      </c>
      <c r="P41" s="2">
        <f>IF(ROW()&lt;3, Query1[[#This Row],[Shares]], IF(Query1[[#This Row],[Month]]&lt;&gt;H40, P40+Query1[[#This Row],[Enhanced top up]]/Query1[[#This Row],[Adj Close]], P40))</f>
        <v>3274.7937006828838</v>
      </c>
      <c r="Q41" s="2">
        <f>IFERROR(AVERAGE(
  IF(ROW()&gt;20, INDEX(G:G, ROW()-20), 0) :
  INDEX(G:G, ROW())
),0)</f>
        <v>169.52548653738839</v>
      </c>
    </row>
    <row r="42" spans="1:17" x14ac:dyDescent="0.4">
      <c r="A42" s="1">
        <v>43892</v>
      </c>
      <c r="B42">
        <v>165.30999755859375</v>
      </c>
      <c r="C42">
        <v>172.91999816894531</v>
      </c>
      <c r="D42">
        <v>162.30999755859375</v>
      </c>
      <c r="E42">
        <v>172.78999328613281</v>
      </c>
      <c r="F42">
        <v>71030800</v>
      </c>
      <c r="G42">
        <v>164.81687927246094</v>
      </c>
      <c r="H42" s="2">
        <f>MONTH(Query1[[#This Row],[Date]])</f>
        <v>3</v>
      </c>
      <c r="I42" s="3">
        <f>Query1[[#This Row],[Shares]]*Query1[[#This Row],[Adj Close]]</f>
        <v>539353.63882381446</v>
      </c>
      <c r="J42" s="3">
        <f>IF(ROW()&lt;3, Dashboard!$E$7, IF(Query1[[#This Row],[Month]]&lt;&gt;H41,J41*(1+Dashboard!$E$4)+Dashboard!$E$5,J41))</f>
        <v>514070</v>
      </c>
      <c r="K42">
        <f>IF(ROW()&lt;3, 0,IF(Query1[[#This Row],[Month]]&lt;&gt;H41,IF((J42-I42&gt;0),J42-I42,0),0))</f>
        <v>0</v>
      </c>
      <c r="L42" s="2">
        <f t="shared" si="0"/>
        <v>3272.4417620612867</v>
      </c>
      <c r="M42">
        <f>IF(ROW()&lt;3, 0, IF(Query1[[#This Row],[Month]]&lt;&gt;H41, Dashboard!$J$5,0))</f>
        <v>773.47399999999971</v>
      </c>
      <c r="N42" s="2">
        <f>IF(ROW()&lt;3, Query1[[#This Row],[Shares]], IF(Query1[[#This Row],[Month]]&lt;&gt;H41, N41+Query1[[#This Row],[Fix Top Up]]/Query1[[#This Row],[Adj Close]], N41))</f>
        <v>3281.7975312523363</v>
      </c>
      <c r="O42">
        <f>IF(AND(Query1[[#This Row],[avg]]&gt;0, Query1[[#This Row],[Month]]&lt;&gt;H41),
    IF(Query1[[#This Row],[Adj Close]]&gt;Query1[[#This Row],[avg]],
       Dashboard!$L$5-Dashboard!$E$6,
       Dashboard!$L$5+Dashboard!$E$6
    ), 0
)</f>
        <v>1390.1406666666667</v>
      </c>
      <c r="P42" s="2">
        <f>IF(ROW()&lt;3, Query1[[#This Row],[Shares]], IF(Query1[[#This Row],[Month]]&lt;&gt;H41, P41+Query1[[#This Row],[Enhanced top up]]/Query1[[#This Row],[Adj Close]], P41))</f>
        <v>3283.2281563818574</v>
      </c>
      <c r="Q42" s="2">
        <f>IFERROR(AVERAGE(
  IF(ROW()&gt;20, INDEX(G:G, ROW()-20), 0) :
  INDEX(G:G, ROW())
),0)</f>
        <v>169.54731823149183</v>
      </c>
    </row>
    <row r="43" spans="1:17" x14ac:dyDescent="0.4">
      <c r="A43" s="1">
        <v>43893</v>
      </c>
      <c r="B43">
        <v>173.80000305175781</v>
      </c>
      <c r="C43">
        <v>175</v>
      </c>
      <c r="D43">
        <v>162.25999450683594</v>
      </c>
      <c r="E43">
        <v>164.50999450683594</v>
      </c>
      <c r="F43">
        <v>71677000</v>
      </c>
      <c r="G43">
        <v>156.9189453125</v>
      </c>
      <c r="H43" s="2">
        <f>MONTH(Query1[[#This Row],[Date]])</f>
        <v>3</v>
      </c>
      <c r="I43" s="3">
        <f>Query1[[#This Row],[Shares]]*Query1[[#This Row],[Adj Close]]</f>
        <v>513508.10989923618</v>
      </c>
      <c r="J43" s="3">
        <f>IF(ROW()&lt;3, Dashboard!$E$7, IF(Query1[[#This Row],[Month]]&lt;&gt;H42,J42*(1+Dashboard!$E$4)+Dashboard!$E$5,J42))</f>
        <v>514070</v>
      </c>
      <c r="K43">
        <f>IF(ROW()&lt;3, 0,IF(Query1[[#This Row],[Month]]&lt;&gt;H42,IF((J43-I43&gt;0),J43-I43,0),0))</f>
        <v>0</v>
      </c>
      <c r="L43" s="2">
        <f t="shared" si="0"/>
        <v>3272.4417620612867</v>
      </c>
      <c r="M43">
        <f>IF(ROW()&lt;3, 0, IF(Query1[[#This Row],[Month]]&lt;&gt;H42, Dashboard!$J$5,0))</f>
        <v>0</v>
      </c>
      <c r="N43" s="2">
        <f>IF(ROW()&lt;3, Query1[[#This Row],[Shares]], IF(Query1[[#This Row],[Month]]&lt;&gt;H42, N42+Query1[[#This Row],[Fix Top Up]]/Query1[[#This Row],[Adj Close]], N42))</f>
        <v>3281.7975312523363</v>
      </c>
      <c r="O43">
        <f>IF(AND(Query1[[#This Row],[avg]]&gt;0, Query1[[#This Row],[Month]]&lt;&gt;H42),
    IF(Query1[[#This Row],[Adj Close]]&gt;Query1[[#This Row],[avg]],
       Dashboard!$L$5-Dashboard!$E$6,
       Dashboard!$L$5+Dashboard!$E$6
    ), 0
)</f>
        <v>0</v>
      </c>
      <c r="P43" s="2">
        <f>IF(ROW()&lt;3, Query1[[#This Row],[Shares]], IF(Query1[[#This Row],[Month]]&lt;&gt;H42, P42+Query1[[#This Row],[Enhanced top up]]/Query1[[#This Row],[Adj Close]], P42))</f>
        <v>3283.2281563818574</v>
      </c>
      <c r="Q43" s="2">
        <f>IFERROR(AVERAGE(
  IF(ROW()&gt;20, INDEX(G:G, ROW()-20), 0) :
  INDEX(G:G, ROW())
),0)</f>
        <v>169.30856831868491</v>
      </c>
    </row>
    <row r="44" spans="1:17" x14ac:dyDescent="0.4">
      <c r="A44" s="1">
        <v>43894</v>
      </c>
      <c r="B44">
        <v>168.49000549316406</v>
      </c>
      <c r="C44">
        <v>170.69999694824219</v>
      </c>
      <c r="D44">
        <v>165.6199951171875</v>
      </c>
      <c r="E44">
        <v>170.55000305175781</v>
      </c>
      <c r="F44">
        <v>49814400</v>
      </c>
      <c r="G44">
        <v>162.68022155761719</v>
      </c>
      <c r="H44" s="2">
        <f>MONTH(Query1[[#This Row],[Date]])</f>
        <v>3</v>
      </c>
      <c r="I44" s="3">
        <f>Query1[[#This Row],[Shares]]*Query1[[#This Row],[Adj Close]]</f>
        <v>532361.55088652926</v>
      </c>
      <c r="J44" s="3">
        <f>IF(ROW()&lt;3, Dashboard!$E$7, IF(Query1[[#This Row],[Month]]&lt;&gt;H43,J43*(1+Dashboard!$E$4)+Dashboard!$E$5,J43))</f>
        <v>514070</v>
      </c>
      <c r="K44">
        <f>IF(ROW()&lt;3, 0,IF(Query1[[#This Row],[Month]]&lt;&gt;H43,IF((J44-I44&gt;0),J44-I44,0),0))</f>
        <v>0</v>
      </c>
      <c r="L44" s="2">
        <f t="shared" si="0"/>
        <v>3272.4417620612867</v>
      </c>
      <c r="M44">
        <f>IF(ROW()&lt;3, 0, IF(Query1[[#This Row],[Month]]&lt;&gt;H43, Dashboard!$J$5,0))</f>
        <v>0</v>
      </c>
      <c r="N44" s="2">
        <f>IF(ROW()&lt;3, Query1[[#This Row],[Shares]], IF(Query1[[#This Row],[Month]]&lt;&gt;H43, N43+Query1[[#This Row],[Fix Top Up]]/Query1[[#This Row],[Adj Close]], N43))</f>
        <v>3281.7975312523363</v>
      </c>
      <c r="O44">
        <f>IF(AND(Query1[[#This Row],[avg]]&gt;0, Query1[[#This Row],[Month]]&lt;&gt;H43),
    IF(Query1[[#This Row],[Adj Close]]&gt;Query1[[#This Row],[avg]],
       Dashboard!$L$5-Dashboard!$E$6,
       Dashboard!$L$5+Dashboard!$E$6
    ), 0
)</f>
        <v>0</v>
      </c>
      <c r="P44" s="2">
        <f>IF(ROW()&lt;3, Query1[[#This Row],[Shares]], IF(Query1[[#This Row],[Month]]&lt;&gt;H43, P43+Query1[[#This Row],[Enhanced top up]]/Query1[[#This Row],[Adj Close]], P43))</f>
        <v>3283.2281563818574</v>
      </c>
      <c r="Q44" s="2">
        <f>IFERROR(AVERAGE(
  IF(ROW()&gt;20, INDEX(G:G, ROW()-20), 0) :
  INDEX(G:G, ROW())
),0)</f>
        <v>169.15617588588171</v>
      </c>
    </row>
    <row r="45" spans="1:17" x14ac:dyDescent="0.4">
      <c r="A45" s="1">
        <v>43895</v>
      </c>
      <c r="B45">
        <v>166.05000305175781</v>
      </c>
      <c r="C45">
        <v>170.8699951171875</v>
      </c>
      <c r="D45">
        <v>165.69000244140625</v>
      </c>
      <c r="E45">
        <v>166.27000427246094</v>
      </c>
      <c r="F45">
        <v>47817300</v>
      </c>
      <c r="G45">
        <v>158.59776306152344</v>
      </c>
      <c r="H45" s="2">
        <f>MONTH(Query1[[#This Row],[Date]])</f>
        <v>3</v>
      </c>
      <c r="I45" s="3">
        <f>Query1[[#This Row],[Shares]]*Query1[[#This Row],[Adj Close]]</f>
        <v>519001.94321203022</v>
      </c>
      <c r="J45" s="3">
        <f>IF(ROW()&lt;3, Dashboard!$E$7, IF(Query1[[#This Row],[Month]]&lt;&gt;H44,J44*(1+Dashboard!$E$4)+Dashboard!$E$5,J44))</f>
        <v>514070</v>
      </c>
      <c r="K45">
        <f>IF(ROW()&lt;3, 0,IF(Query1[[#This Row],[Month]]&lt;&gt;H44,IF((J45-I45&gt;0),J45-I45,0),0))</f>
        <v>0</v>
      </c>
      <c r="L45" s="2">
        <f t="shared" si="0"/>
        <v>3272.4417620612867</v>
      </c>
      <c r="M45">
        <f>IF(ROW()&lt;3, 0, IF(Query1[[#This Row],[Month]]&lt;&gt;H44, Dashboard!$J$5,0))</f>
        <v>0</v>
      </c>
      <c r="N45" s="2">
        <f>IF(ROW()&lt;3, Query1[[#This Row],[Shares]], IF(Query1[[#This Row],[Month]]&lt;&gt;H44, N44+Query1[[#This Row],[Fix Top Up]]/Query1[[#This Row],[Adj Close]], N44))</f>
        <v>3281.7975312523363</v>
      </c>
      <c r="O45">
        <f>IF(AND(Query1[[#This Row],[avg]]&gt;0, Query1[[#This Row],[Month]]&lt;&gt;H44),
    IF(Query1[[#This Row],[Adj Close]]&gt;Query1[[#This Row],[avg]],
       Dashboard!$L$5-Dashboard!$E$6,
       Dashboard!$L$5+Dashboard!$E$6
    ), 0
)</f>
        <v>0</v>
      </c>
      <c r="P45" s="2">
        <f>IF(ROW()&lt;3, Query1[[#This Row],[Shares]], IF(Query1[[#This Row],[Month]]&lt;&gt;H44, P44+Query1[[#This Row],[Enhanced top up]]/Query1[[#This Row],[Adj Close]], P44))</f>
        <v>3283.2281563818574</v>
      </c>
      <c r="Q45" s="2">
        <f>IFERROR(AVERAGE(
  IF(ROW()&gt;20, INDEX(G:G, ROW()-20), 0) :
  INDEX(G:G, ROW())
),0)</f>
        <v>168.54937162853423</v>
      </c>
    </row>
    <row r="46" spans="1:17" x14ac:dyDescent="0.4">
      <c r="A46" s="1">
        <v>43896</v>
      </c>
      <c r="B46">
        <v>162.61000061035156</v>
      </c>
      <c r="C46">
        <v>163.11000061035156</v>
      </c>
      <c r="D46">
        <v>156</v>
      </c>
      <c r="E46">
        <v>161.57000732421875</v>
      </c>
      <c r="F46">
        <v>72821100</v>
      </c>
      <c r="G46">
        <v>154.11460876464844</v>
      </c>
      <c r="H46" s="2">
        <f>MONTH(Query1[[#This Row],[Date]])</f>
        <v>3</v>
      </c>
      <c r="I46" s="3">
        <f>Query1[[#This Row],[Shares]]*Query1[[#This Row],[Adj Close]]</f>
        <v>504331.08186517196</v>
      </c>
      <c r="J46" s="3">
        <f>IF(ROW()&lt;3, Dashboard!$E$7, IF(Query1[[#This Row],[Month]]&lt;&gt;H45,J45*(1+Dashboard!$E$4)+Dashboard!$E$5,J45))</f>
        <v>514070</v>
      </c>
      <c r="K46">
        <f>IF(ROW()&lt;3, 0,IF(Query1[[#This Row],[Month]]&lt;&gt;H45,IF((J46-I46&gt;0),J46-I46,0),0))</f>
        <v>0</v>
      </c>
      <c r="L46" s="2">
        <f t="shared" si="0"/>
        <v>3272.4417620612867</v>
      </c>
      <c r="M46">
        <f>IF(ROW()&lt;3, 0, IF(Query1[[#This Row],[Month]]&lt;&gt;H45, Dashboard!$J$5,0))</f>
        <v>0</v>
      </c>
      <c r="N46" s="2">
        <f>IF(ROW()&lt;3, Query1[[#This Row],[Shares]], IF(Query1[[#This Row],[Month]]&lt;&gt;H45, N45+Query1[[#This Row],[Fix Top Up]]/Query1[[#This Row],[Adj Close]], N45))</f>
        <v>3281.7975312523363</v>
      </c>
      <c r="O46">
        <f>IF(AND(Query1[[#This Row],[avg]]&gt;0, Query1[[#This Row],[Month]]&lt;&gt;H45),
    IF(Query1[[#This Row],[Adj Close]]&gt;Query1[[#This Row],[avg]],
       Dashboard!$L$5-Dashboard!$E$6,
       Dashboard!$L$5+Dashboard!$E$6
    ), 0
)</f>
        <v>0</v>
      </c>
      <c r="P46" s="2">
        <f>IF(ROW()&lt;3, Query1[[#This Row],[Shares]], IF(Query1[[#This Row],[Month]]&lt;&gt;H45, P45+Query1[[#This Row],[Enhanced top up]]/Query1[[#This Row],[Adj Close]], P45))</f>
        <v>3283.2281563818574</v>
      </c>
      <c r="Q46" s="2">
        <f>IFERROR(AVERAGE(
  IF(ROW()&gt;20, INDEX(G:G, ROW()-20), 0) :
  INDEX(G:G, ROW())
),0)</f>
        <v>167.73904782249815</v>
      </c>
    </row>
    <row r="47" spans="1:17" x14ac:dyDescent="0.4">
      <c r="A47" s="1">
        <v>43899</v>
      </c>
      <c r="B47">
        <v>151</v>
      </c>
      <c r="C47">
        <v>157.75</v>
      </c>
      <c r="D47">
        <v>150</v>
      </c>
      <c r="E47">
        <v>150.6199951171875</v>
      </c>
      <c r="F47">
        <v>70419300</v>
      </c>
      <c r="G47">
        <v>143.66986083984375</v>
      </c>
      <c r="H47" s="2">
        <f>MONTH(Query1[[#This Row],[Date]])</f>
        <v>3</v>
      </c>
      <c r="I47" s="3">
        <f>Query1[[#This Row],[Shares]]*Query1[[#This Row],[Adj Close]]</f>
        <v>470151.25256183813</v>
      </c>
      <c r="J47" s="3">
        <f>IF(ROW()&lt;3, Dashboard!$E$7, IF(Query1[[#This Row],[Month]]&lt;&gt;H46,J46*(1+Dashboard!$E$4)+Dashboard!$E$5,J46))</f>
        <v>514070</v>
      </c>
      <c r="K47">
        <f>IF(ROW()&lt;3, 0,IF(Query1[[#This Row],[Month]]&lt;&gt;H46,IF((J47-I47&gt;0),J47-I47,0),0))</f>
        <v>0</v>
      </c>
      <c r="L47" s="2">
        <f t="shared" si="0"/>
        <v>3272.4417620612867</v>
      </c>
      <c r="M47">
        <f>IF(ROW()&lt;3, 0, IF(Query1[[#This Row],[Month]]&lt;&gt;H46, Dashboard!$J$5,0))</f>
        <v>0</v>
      </c>
      <c r="N47" s="2">
        <f>IF(ROW()&lt;3, Query1[[#This Row],[Shares]], IF(Query1[[#This Row],[Month]]&lt;&gt;H46, N46+Query1[[#This Row],[Fix Top Up]]/Query1[[#This Row],[Adj Close]], N46))</f>
        <v>3281.7975312523363</v>
      </c>
      <c r="O47">
        <f>IF(AND(Query1[[#This Row],[avg]]&gt;0, Query1[[#This Row],[Month]]&lt;&gt;H46),
    IF(Query1[[#This Row],[Adj Close]]&gt;Query1[[#This Row],[avg]],
       Dashboard!$L$5-Dashboard!$E$6,
       Dashboard!$L$5+Dashboard!$E$6
    ), 0
)</f>
        <v>0</v>
      </c>
      <c r="P47" s="2">
        <f>IF(ROW()&lt;3, Query1[[#This Row],[Shares]], IF(Query1[[#This Row],[Month]]&lt;&gt;H46, P46+Query1[[#This Row],[Enhanced top up]]/Query1[[#This Row],[Adj Close]], P46))</f>
        <v>3283.2281563818574</v>
      </c>
      <c r="Q47" s="2">
        <f>IFERROR(AVERAGE(
  IF(ROW()&gt;20, INDEX(G:G, ROW()-20), 0) :
  INDEX(G:G, ROW())
),0)</f>
        <v>166.26239667619978</v>
      </c>
    </row>
    <row r="48" spans="1:17" x14ac:dyDescent="0.4">
      <c r="A48" s="1">
        <v>43900</v>
      </c>
      <c r="B48">
        <v>158.16000366210938</v>
      </c>
      <c r="C48">
        <v>161.02999877929688</v>
      </c>
      <c r="D48">
        <v>152.58000183105469</v>
      </c>
      <c r="E48">
        <v>160.91999816894531</v>
      </c>
      <c r="F48">
        <v>65354400</v>
      </c>
      <c r="G48">
        <v>153.49461364746094</v>
      </c>
      <c r="H48" s="2">
        <f>MONTH(Query1[[#This Row],[Date]])</f>
        <v>3</v>
      </c>
      <c r="I48" s="3">
        <f>Query1[[#This Row],[Shares]]*Query1[[#This Row],[Adj Close]]</f>
        <v>502302.18395141349</v>
      </c>
      <c r="J48" s="3">
        <f>IF(ROW()&lt;3, Dashboard!$E$7, IF(Query1[[#This Row],[Month]]&lt;&gt;H47,J47*(1+Dashboard!$E$4)+Dashboard!$E$5,J47))</f>
        <v>514070</v>
      </c>
      <c r="K48">
        <f>IF(ROW()&lt;3, 0,IF(Query1[[#This Row],[Month]]&lt;&gt;H47,IF((J48-I48&gt;0),J48-I48,0),0))</f>
        <v>0</v>
      </c>
      <c r="L48" s="2">
        <f t="shared" si="0"/>
        <v>3272.4417620612867</v>
      </c>
      <c r="M48">
        <f>IF(ROW()&lt;3, 0, IF(Query1[[#This Row],[Month]]&lt;&gt;H47, Dashboard!$J$5,0))</f>
        <v>0</v>
      </c>
      <c r="N48" s="2">
        <f>IF(ROW()&lt;3, Query1[[#This Row],[Shares]], IF(Query1[[#This Row],[Month]]&lt;&gt;H47, N47+Query1[[#This Row],[Fix Top Up]]/Query1[[#This Row],[Adj Close]], N47))</f>
        <v>3281.7975312523363</v>
      </c>
      <c r="O48">
        <f>IF(AND(Query1[[#This Row],[avg]]&gt;0, Query1[[#This Row],[Month]]&lt;&gt;H47),
    IF(Query1[[#This Row],[Adj Close]]&gt;Query1[[#This Row],[avg]],
       Dashboard!$L$5-Dashboard!$E$6,
       Dashboard!$L$5+Dashboard!$E$6
    ), 0
)</f>
        <v>0</v>
      </c>
      <c r="P48" s="2">
        <f>IF(ROW()&lt;3, Query1[[#This Row],[Shares]], IF(Query1[[#This Row],[Month]]&lt;&gt;H47, P47+Query1[[#This Row],[Enhanced top up]]/Query1[[#This Row],[Adj Close]], P47))</f>
        <v>3283.2281563818574</v>
      </c>
      <c r="Q48" s="2">
        <f>IFERROR(AVERAGE(
  IF(ROW()&gt;20, INDEX(G:G, ROW()-20), 0) :
  INDEX(G:G, ROW())
),0)</f>
        <v>165.24181038992745</v>
      </c>
    </row>
    <row r="49" spans="1:17" x14ac:dyDescent="0.4">
      <c r="A49" s="1">
        <v>43901</v>
      </c>
      <c r="B49">
        <v>157.1300048828125</v>
      </c>
      <c r="C49">
        <v>157.69999694824219</v>
      </c>
      <c r="D49">
        <v>151.14999389648438</v>
      </c>
      <c r="E49">
        <v>153.6300048828125</v>
      </c>
      <c r="F49">
        <v>56371600</v>
      </c>
      <c r="G49">
        <v>146.54100036621094</v>
      </c>
      <c r="H49" s="2">
        <f>MONTH(Query1[[#This Row],[Date]])</f>
        <v>3</v>
      </c>
      <c r="I49" s="3">
        <f>Query1[[#This Row],[Shares]]*Query1[[#This Row],[Adj Close]]</f>
        <v>479546.88945262699</v>
      </c>
      <c r="J49" s="3">
        <f>IF(ROW()&lt;3, Dashboard!$E$7, IF(Query1[[#This Row],[Month]]&lt;&gt;H48,J48*(1+Dashboard!$E$4)+Dashboard!$E$5,J48))</f>
        <v>514070</v>
      </c>
      <c r="K49">
        <f>IF(ROW()&lt;3, 0,IF(Query1[[#This Row],[Month]]&lt;&gt;H48,IF((J49-I49&gt;0),J49-I49,0),0))</f>
        <v>0</v>
      </c>
      <c r="L49" s="2">
        <f t="shared" si="0"/>
        <v>3272.4417620612867</v>
      </c>
      <c r="M49">
        <f>IF(ROW()&lt;3, 0, IF(Query1[[#This Row],[Month]]&lt;&gt;H48, Dashboard!$J$5,0))</f>
        <v>0</v>
      </c>
      <c r="N49" s="2">
        <f>IF(ROW()&lt;3, Query1[[#This Row],[Shares]], IF(Query1[[#This Row],[Month]]&lt;&gt;H48, N48+Query1[[#This Row],[Fix Top Up]]/Query1[[#This Row],[Adj Close]], N48))</f>
        <v>3281.7975312523363</v>
      </c>
      <c r="O49">
        <f>IF(AND(Query1[[#This Row],[avg]]&gt;0, Query1[[#This Row],[Month]]&lt;&gt;H48),
    IF(Query1[[#This Row],[Adj Close]]&gt;Query1[[#This Row],[avg]],
       Dashboard!$L$5-Dashboard!$E$6,
       Dashboard!$L$5+Dashboard!$E$6
    ), 0
)</f>
        <v>0</v>
      </c>
      <c r="P49" s="2">
        <f>IF(ROW()&lt;3, Query1[[#This Row],[Shares]], IF(Query1[[#This Row],[Month]]&lt;&gt;H48, P48+Query1[[#This Row],[Enhanced top up]]/Query1[[#This Row],[Adj Close]], P48))</f>
        <v>3283.2281563818574</v>
      </c>
      <c r="Q49" s="2">
        <f>IFERROR(AVERAGE(
  IF(ROW()&gt;20, INDEX(G:G, ROW()-20), 0) :
  INDEX(G:G, ROW())
),0)</f>
        <v>163.6722179594494</v>
      </c>
    </row>
    <row r="50" spans="1:17" x14ac:dyDescent="0.4">
      <c r="A50" s="1">
        <v>43902</v>
      </c>
      <c r="B50">
        <v>145.30000305175781</v>
      </c>
      <c r="C50">
        <v>153.47000122070313</v>
      </c>
      <c r="D50">
        <v>138.58000183105469</v>
      </c>
      <c r="E50">
        <v>139.05999755859375</v>
      </c>
      <c r="F50">
        <v>93226400</v>
      </c>
      <c r="G50">
        <v>132.64332580566406</v>
      </c>
      <c r="H50" s="2">
        <f>MONTH(Query1[[#This Row],[Date]])</f>
        <v>3</v>
      </c>
      <c r="I50" s="3">
        <f>Query1[[#This Row],[Shares]]*Query1[[#This Row],[Adj Close]]</f>
        <v>434067.55882515665</v>
      </c>
      <c r="J50" s="3">
        <f>IF(ROW()&lt;3, Dashboard!$E$7, IF(Query1[[#This Row],[Month]]&lt;&gt;H49,J49*(1+Dashboard!$E$4)+Dashboard!$E$5,J49))</f>
        <v>514070</v>
      </c>
      <c r="K50">
        <f>IF(ROW()&lt;3, 0,IF(Query1[[#This Row],[Month]]&lt;&gt;H49,IF((J50-I50&gt;0),J50-I50,0),0))</f>
        <v>0</v>
      </c>
      <c r="L50" s="2">
        <f t="shared" si="0"/>
        <v>3272.4417620612867</v>
      </c>
      <c r="M50">
        <f>IF(ROW()&lt;3, 0, IF(Query1[[#This Row],[Month]]&lt;&gt;H49, Dashboard!$J$5,0))</f>
        <v>0</v>
      </c>
      <c r="N50" s="2">
        <f>IF(ROW()&lt;3, Query1[[#This Row],[Shares]], IF(Query1[[#This Row],[Month]]&lt;&gt;H49, N49+Query1[[#This Row],[Fix Top Up]]/Query1[[#This Row],[Adj Close]], N49))</f>
        <v>3281.7975312523363</v>
      </c>
      <c r="O50">
        <f>IF(AND(Query1[[#This Row],[avg]]&gt;0, Query1[[#This Row],[Month]]&lt;&gt;H49),
    IF(Query1[[#This Row],[Adj Close]]&gt;Query1[[#This Row],[avg]],
       Dashboard!$L$5-Dashboard!$E$6,
       Dashboard!$L$5+Dashboard!$E$6
    ), 0
)</f>
        <v>0</v>
      </c>
      <c r="P50" s="2">
        <f>IF(ROW()&lt;3, Query1[[#This Row],[Shares]], IF(Query1[[#This Row],[Month]]&lt;&gt;H49, P49+Query1[[#This Row],[Enhanced top up]]/Query1[[#This Row],[Adj Close]], P49))</f>
        <v>3283.2281563818574</v>
      </c>
      <c r="Q50" s="2">
        <f>IFERROR(AVERAGE(
  IF(ROW()&gt;20, INDEX(G:G, ROW()-20), 0) :
  INDEX(G:G, ROW())
),0)</f>
        <v>161.63380068824404</v>
      </c>
    </row>
    <row r="51" spans="1:17" x14ac:dyDescent="0.4">
      <c r="A51" s="1">
        <v>43903</v>
      </c>
      <c r="B51">
        <v>147.5</v>
      </c>
      <c r="C51">
        <v>161.91000366210938</v>
      </c>
      <c r="D51">
        <v>140.72999572753906</v>
      </c>
      <c r="E51">
        <v>158.83000183105469</v>
      </c>
      <c r="F51">
        <v>92727400</v>
      </c>
      <c r="G51">
        <v>151.50103759765625</v>
      </c>
      <c r="H51" s="2">
        <f>MONTH(Query1[[#This Row],[Date]])</f>
        <v>3</v>
      </c>
      <c r="I51" s="3">
        <f>Query1[[#This Row],[Shares]]*Query1[[#This Row],[Adj Close]]</f>
        <v>495778.32243018749</v>
      </c>
      <c r="J51" s="3">
        <f>IF(ROW()&lt;3, Dashboard!$E$7, IF(Query1[[#This Row],[Month]]&lt;&gt;H50,J50*(1+Dashboard!$E$4)+Dashboard!$E$5,J50))</f>
        <v>514070</v>
      </c>
      <c r="K51">
        <f>IF(ROW()&lt;3, 0,IF(Query1[[#This Row],[Month]]&lt;&gt;H50,IF((J51-I51&gt;0),J51-I51,0),0))</f>
        <v>0</v>
      </c>
      <c r="L51" s="2">
        <f t="shared" si="0"/>
        <v>3272.4417620612867</v>
      </c>
      <c r="M51">
        <f>IF(ROW()&lt;3, 0, IF(Query1[[#This Row],[Month]]&lt;&gt;H50, Dashboard!$J$5,0))</f>
        <v>0</v>
      </c>
      <c r="N51" s="2">
        <f>IF(ROW()&lt;3, Query1[[#This Row],[Shares]], IF(Query1[[#This Row],[Month]]&lt;&gt;H50, N50+Query1[[#This Row],[Fix Top Up]]/Query1[[#This Row],[Adj Close]], N50))</f>
        <v>3281.7975312523363</v>
      </c>
      <c r="O51">
        <f>IF(AND(Query1[[#This Row],[avg]]&gt;0, Query1[[#This Row],[Month]]&lt;&gt;H50),
    IF(Query1[[#This Row],[Adj Close]]&gt;Query1[[#This Row],[avg]],
       Dashboard!$L$5-Dashboard!$E$6,
       Dashboard!$L$5+Dashboard!$E$6
    ), 0
)</f>
        <v>0</v>
      </c>
      <c r="P51" s="2">
        <f>IF(ROW()&lt;3, Query1[[#This Row],[Shares]], IF(Query1[[#This Row],[Month]]&lt;&gt;H50, P50+Query1[[#This Row],[Enhanced top up]]/Query1[[#This Row],[Adj Close]], P50))</f>
        <v>3283.2281563818574</v>
      </c>
      <c r="Q51" s="2">
        <f>IFERROR(AVERAGE(
  IF(ROW()&gt;20, INDEX(G:G, ROW()-20), 0) :
  INDEX(G:G, ROW())
),0)</f>
        <v>160.48113723028274</v>
      </c>
    </row>
    <row r="52" spans="1:17" x14ac:dyDescent="0.4">
      <c r="A52" s="1">
        <v>43906</v>
      </c>
      <c r="B52">
        <v>140</v>
      </c>
      <c r="C52">
        <v>149.35000610351563</v>
      </c>
      <c r="D52">
        <v>135</v>
      </c>
      <c r="E52">
        <v>135.41999816894531</v>
      </c>
      <c r="F52">
        <v>87905900</v>
      </c>
      <c r="G52">
        <v>129.1712646484375</v>
      </c>
      <c r="H52" s="2">
        <f>MONTH(Query1[[#This Row],[Date]])</f>
        <v>3</v>
      </c>
      <c r="I52" s="3">
        <f>Query1[[#This Row],[Shares]]*Query1[[#This Row],[Adj Close]]</f>
        <v>422705.44089381758</v>
      </c>
      <c r="J52" s="3">
        <f>IF(ROW()&lt;3, Dashboard!$E$7, IF(Query1[[#This Row],[Month]]&lt;&gt;H51,J51*(1+Dashboard!$E$4)+Dashboard!$E$5,J51))</f>
        <v>514070</v>
      </c>
      <c r="K52">
        <f>IF(ROW()&lt;3, 0,IF(Query1[[#This Row],[Month]]&lt;&gt;H51,IF((J52-I52&gt;0),J52-I52,0),0))</f>
        <v>0</v>
      </c>
      <c r="L52" s="2">
        <f t="shared" si="0"/>
        <v>3272.4417620612867</v>
      </c>
      <c r="M52">
        <f>IF(ROW()&lt;3, 0, IF(Query1[[#This Row],[Month]]&lt;&gt;H51, Dashboard!$J$5,0))</f>
        <v>0</v>
      </c>
      <c r="N52" s="2">
        <f>IF(ROW()&lt;3, Query1[[#This Row],[Shares]], IF(Query1[[#This Row],[Month]]&lt;&gt;H51, N51+Query1[[#This Row],[Fix Top Up]]/Query1[[#This Row],[Adj Close]], N51))</f>
        <v>3281.7975312523363</v>
      </c>
      <c r="O52">
        <f>IF(AND(Query1[[#This Row],[avg]]&gt;0, Query1[[#This Row],[Month]]&lt;&gt;H51),
    IF(Query1[[#This Row],[Adj Close]]&gt;Query1[[#This Row],[avg]],
       Dashboard!$L$5-Dashboard!$E$6,
       Dashboard!$L$5+Dashboard!$E$6
    ), 0
)</f>
        <v>0</v>
      </c>
      <c r="P52" s="2">
        <f>IF(ROW()&lt;3, Query1[[#This Row],[Shares]], IF(Query1[[#This Row],[Month]]&lt;&gt;H51, P51+Query1[[#This Row],[Enhanced top up]]/Query1[[#This Row],[Adj Close]], P51))</f>
        <v>3283.2281563818574</v>
      </c>
      <c r="Q52" s="2">
        <f>IFERROR(AVERAGE(
  IF(ROW()&gt;20, INDEX(G:G, ROW()-20), 0) :
  INDEX(G:G, ROW())
),0)</f>
        <v>158.31044950939361</v>
      </c>
    </row>
    <row r="53" spans="1:17" x14ac:dyDescent="0.4">
      <c r="A53" s="1">
        <v>43907</v>
      </c>
      <c r="B53">
        <v>140</v>
      </c>
      <c r="C53">
        <v>147.5</v>
      </c>
      <c r="D53">
        <v>135</v>
      </c>
      <c r="E53">
        <v>146.57000732421875</v>
      </c>
      <c r="F53">
        <v>81059800</v>
      </c>
      <c r="G53">
        <v>139.80677795410156</v>
      </c>
      <c r="H53" s="2">
        <f>MONTH(Query1[[#This Row],[Date]])</f>
        <v>3</v>
      </c>
      <c r="I53" s="3">
        <f>Query1[[#This Row],[Shares]]*Query1[[#This Row],[Adj Close]]</f>
        <v>457509.53879623115</v>
      </c>
      <c r="J53" s="3">
        <f>IF(ROW()&lt;3, Dashboard!$E$7, IF(Query1[[#This Row],[Month]]&lt;&gt;H52,J52*(1+Dashboard!$E$4)+Dashboard!$E$5,J52))</f>
        <v>514070</v>
      </c>
      <c r="K53">
        <f>IF(ROW()&lt;3, 0,IF(Query1[[#This Row],[Month]]&lt;&gt;H52,IF((J53-I53&gt;0),J53-I53,0),0))</f>
        <v>0</v>
      </c>
      <c r="L53" s="2">
        <f t="shared" si="0"/>
        <v>3272.4417620612867</v>
      </c>
      <c r="M53">
        <f>IF(ROW()&lt;3, 0, IF(Query1[[#This Row],[Month]]&lt;&gt;H52, Dashboard!$J$5,0))</f>
        <v>0</v>
      </c>
      <c r="N53" s="2">
        <f>IF(ROW()&lt;3, Query1[[#This Row],[Shares]], IF(Query1[[#This Row],[Month]]&lt;&gt;H52, N52+Query1[[#This Row],[Fix Top Up]]/Query1[[#This Row],[Adj Close]], N52))</f>
        <v>3281.7975312523363</v>
      </c>
      <c r="O53">
        <f>IF(AND(Query1[[#This Row],[avg]]&gt;0, Query1[[#This Row],[Month]]&lt;&gt;H52),
    IF(Query1[[#This Row],[Adj Close]]&gt;Query1[[#This Row],[avg]],
       Dashboard!$L$5-Dashboard!$E$6,
       Dashboard!$L$5+Dashboard!$E$6
    ), 0
)</f>
        <v>0</v>
      </c>
      <c r="P53" s="2">
        <f>IF(ROW()&lt;3, Query1[[#This Row],[Shares]], IF(Query1[[#This Row],[Month]]&lt;&gt;H52, P52+Query1[[#This Row],[Enhanced top up]]/Query1[[#This Row],[Adj Close]], P52))</f>
        <v>3283.2281563818574</v>
      </c>
      <c r="Q53" s="2">
        <f>IFERROR(AVERAGE(
  IF(ROW()&gt;20, INDEX(G:G, ROW()-20), 0) :
  INDEX(G:G, ROW())
),0)</f>
        <v>156.57192702520462</v>
      </c>
    </row>
    <row r="54" spans="1:17" x14ac:dyDescent="0.4">
      <c r="A54" s="1">
        <v>43908</v>
      </c>
      <c r="B54">
        <v>138</v>
      </c>
      <c r="C54">
        <v>146</v>
      </c>
      <c r="D54">
        <v>135.02000427246094</v>
      </c>
      <c r="E54">
        <v>140.39999389648438</v>
      </c>
      <c r="F54">
        <v>81593200</v>
      </c>
      <c r="G54">
        <v>133.92147827148438</v>
      </c>
      <c r="H54" s="2">
        <f>MONTH(Query1[[#This Row],[Date]])</f>
        <v>3</v>
      </c>
      <c r="I54" s="3">
        <f>Query1[[#This Row],[Shares]]*Query1[[#This Row],[Adj Close]]</f>
        <v>438250.23833258863</v>
      </c>
      <c r="J54" s="3">
        <f>IF(ROW()&lt;3, Dashboard!$E$7, IF(Query1[[#This Row],[Month]]&lt;&gt;H53,J53*(1+Dashboard!$E$4)+Dashboard!$E$5,J53))</f>
        <v>514070</v>
      </c>
      <c r="K54">
        <f>IF(ROW()&lt;3, 0,IF(Query1[[#This Row],[Month]]&lt;&gt;H53,IF((J54-I54&gt;0),J54-I54,0),0))</f>
        <v>0</v>
      </c>
      <c r="L54" s="2">
        <f t="shared" si="0"/>
        <v>3272.4417620612867</v>
      </c>
      <c r="M54">
        <f>IF(ROW()&lt;3, 0, IF(Query1[[#This Row],[Month]]&lt;&gt;H53, Dashboard!$J$5,0))</f>
        <v>0</v>
      </c>
      <c r="N54" s="2">
        <f>IF(ROW()&lt;3, Query1[[#This Row],[Shares]], IF(Query1[[#This Row],[Month]]&lt;&gt;H53, N53+Query1[[#This Row],[Fix Top Up]]/Query1[[#This Row],[Adj Close]], N53))</f>
        <v>3281.7975312523363</v>
      </c>
      <c r="O54">
        <f>IF(AND(Query1[[#This Row],[avg]]&gt;0, Query1[[#This Row],[Month]]&lt;&gt;H53),
    IF(Query1[[#This Row],[Adj Close]]&gt;Query1[[#This Row],[avg]],
       Dashboard!$L$5-Dashboard!$E$6,
       Dashboard!$L$5+Dashboard!$E$6
    ), 0
)</f>
        <v>0</v>
      </c>
      <c r="P54" s="2">
        <f>IF(ROW()&lt;3, Query1[[#This Row],[Shares]], IF(Query1[[#This Row],[Month]]&lt;&gt;H53, P53+Query1[[#This Row],[Enhanced top up]]/Query1[[#This Row],[Adj Close]], P53))</f>
        <v>3283.2281563818574</v>
      </c>
      <c r="Q54" s="2">
        <f>IFERROR(AVERAGE(
  IF(ROW()&gt;20, INDEX(G:G, ROW()-20), 0) :
  INDEX(G:G, ROW())
),0)</f>
        <v>154.46799214680991</v>
      </c>
    </row>
    <row r="55" spans="1:17" x14ac:dyDescent="0.4">
      <c r="A55" s="1">
        <v>43909</v>
      </c>
      <c r="B55">
        <v>142.77000427246094</v>
      </c>
      <c r="C55">
        <v>150.14999389648438</v>
      </c>
      <c r="D55">
        <v>139</v>
      </c>
      <c r="E55">
        <v>142.71000671386719</v>
      </c>
      <c r="F55">
        <v>85922700</v>
      </c>
      <c r="G55">
        <v>136.12489318847656</v>
      </c>
      <c r="H55" s="2">
        <f>MONTH(Query1[[#This Row],[Date]])</f>
        <v>3</v>
      </c>
      <c r="I55" s="3">
        <f>Query1[[#This Row],[Shares]]*Query1[[#This Row],[Adj Close]]</f>
        <v>445460.78532610269</v>
      </c>
      <c r="J55" s="3">
        <f>IF(ROW()&lt;3, Dashboard!$E$7, IF(Query1[[#This Row],[Month]]&lt;&gt;H54,J54*(1+Dashboard!$E$4)+Dashboard!$E$5,J54))</f>
        <v>514070</v>
      </c>
      <c r="K55">
        <f>IF(ROW()&lt;3, 0,IF(Query1[[#This Row],[Month]]&lt;&gt;H54,IF((J55-I55&gt;0),J55-I55,0),0))</f>
        <v>0</v>
      </c>
      <c r="L55" s="2">
        <f t="shared" si="0"/>
        <v>3272.4417620612867</v>
      </c>
      <c r="M55">
        <f>IF(ROW()&lt;3, 0, IF(Query1[[#This Row],[Month]]&lt;&gt;H54, Dashboard!$J$5,0))</f>
        <v>0</v>
      </c>
      <c r="N55" s="2">
        <f>IF(ROW()&lt;3, Query1[[#This Row],[Shares]], IF(Query1[[#This Row],[Month]]&lt;&gt;H54, N54+Query1[[#This Row],[Fix Top Up]]/Query1[[#This Row],[Adj Close]], N54))</f>
        <v>3281.7975312523363</v>
      </c>
      <c r="O55">
        <f>IF(AND(Query1[[#This Row],[avg]]&gt;0, Query1[[#This Row],[Month]]&lt;&gt;H54),
    IF(Query1[[#This Row],[Adj Close]]&gt;Query1[[#This Row],[avg]],
       Dashboard!$L$5-Dashboard!$E$6,
       Dashboard!$L$5+Dashboard!$E$6
    ), 0
)</f>
        <v>0</v>
      </c>
      <c r="P55" s="2">
        <f>IF(ROW()&lt;3, Query1[[#This Row],[Shares]], IF(Query1[[#This Row],[Month]]&lt;&gt;H54, P54+Query1[[#This Row],[Enhanced top up]]/Query1[[#This Row],[Adj Close]], P54))</f>
        <v>3283.2281563818574</v>
      </c>
      <c r="Q55" s="2">
        <f>IFERROR(AVERAGE(
  IF(ROW()&gt;20, INDEX(G:G, ROW()-20), 0) :
  INDEX(G:G, ROW())
),0)</f>
        <v>152.44354538690476</v>
      </c>
    </row>
    <row r="56" spans="1:17" x14ac:dyDescent="0.4">
      <c r="A56" s="1">
        <v>43910</v>
      </c>
      <c r="B56">
        <v>146</v>
      </c>
      <c r="C56">
        <v>147.10000610351563</v>
      </c>
      <c r="D56">
        <v>135.86000061035156</v>
      </c>
      <c r="E56">
        <v>137.35000610351563</v>
      </c>
      <c r="F56">
        <v>84866200</v>
      </c>
      <c r="G56">
        <v>131.01222229003906</v>
      </c>
      <c r="H56" s="2">
        <f>MONTH(Query1[[#This Row],[Date]])</f>
        <v>3</v>
      </c>
      <c r="I56" s="3">
        <f>Query1[[#This Row],[Shares]]*Query1[[#This Row],[Adj Close]]</f>
        <v>428729.86756238039</v>
      </c>
      <c r="J56" s="3">
        <f>IF(ROW()&lt;3, Dashboard!$E$7, IF(Query1[[#This Row],[Month]]&lt;&gt;H55,J55*(1+Dashboard!$E$4)+Dashboard!$E$5,J55))</f>
        <v>514070</v>
      </c>
      <c r="K56">
        <f>IF(ROW()&lt;3, 0,IF(Query1[[#This Row],[Month]]&lt;&gt;H55,IF((J56-I56&gt;0),J56-I56,0),0))</f>
        <v>0</v>
      </c>
      <c r="L56" s="2">
        <f t="shared" si="0"/>
        <v>3272.4417620612867</v>
      </c>
      <c r="M56">
        <f>IF(ROW()&lt;3, 0, IF(Query1[[#This Row],[Month]]&lt;&gt;H55, Dashboard!$J$5,0))</f>
        <v>0</v>
      </c>
      <c r="N56" s="2">
        <f>IF(ROW()&lt;3, Query1[[#This Row],[Shares]], IF(Query1[[#This Row],[Month]]&lt;&gt;H55, N55+Query1[[#This Row],[Fix Top Up]]/Query1[[#This Row],[Adj Close]], N55))</f>
        <v>3281.7975312523363</v>
      </c>
      <c r="O56">
        <f>IF(AND(Query1[[#This Row],[avg]]&gt;0, Query1[[#This Row],[Month]]&lt;&gt;H55),
    IF(Query1[[#This Row],[Adj Close]]&gt;Query1[[#This Row],[avg]],
       Dashboard!$L$5-Dashboard!$E$6,
       Dashboard!$L$5+Dashboard!$E$6
    ), 0
)</f>
        <v>0</v>
      </c>
      <c r="P56" s="2">
        <f>IF(ROW()&lt;3, Query1[[#This Row],[Shares]], IF(Query1[[#This Row],[Month]]&lt;&gt;H55, P55+Query1[[#This Row],[Enhanced top up]]/Query1[[#This Row],[Adj Close]], P55))</f>
        <v>3283.2281563818574</v>
      </c>
      <c r="Q56" s="2">
        <f>IFERROR(AVERAGE(
  IF(ROW()&gt;20, INDEX(G:G, ROW()-20), 0) :
  INDEX(G:G, ROW())
),0)</f>
        <v>150.3055434454055</v>
      </c>
    </row>
    <row r="57" spans="1:17" x14ac:dyDescent="0.4">
      <c r="A57" s="1">
        <v>43913</v>
      </c>
      <c r="B57">
        <v>137.00999450683594</v>
      </c>
      <c r="C57">
        <v>140.57000732421875</v>
      </c>
      <c r="D57">
        <v>132.52000427246094</v>
      </c>
      <c r="E57">
        <v>135.97999572753906</v>
      </c>
      <c r="F57">
        <v>78975200</v>
      </c>
      <c r="G57">
        <v>129.70541381835938</v>
      </c>
      <c r="H57" s="2">
        <f>MONTH(Query1[[#This Row],[Date]])</f>
        <v>3</v>
      </c>
      <c r="I57" s="3">
        <f>Query1[[#This Row],[Shares]]*Query1[[#This Row],[Adj Close]]</f>
        <v>424453.41294464032</v>
      </c>
      <c r="J57" s="3">
        <f>IF(ROW()&lt;3, Dashboard!$E$7, IF(Query1[[#This Row],[Month]]&lt;&gt;H56,J56*(1+Dashboard!$E$4)+Dashboard!$E$5,J56))</f>
        <v>514070</v>
      </c>
      <c r="K57">
        <f>IF(ROW()&lt;3, 0,IF(Query1[[#This Row],[Month]]&lt;&gt;H56,IF((J57-I57&gt;0),J57-I57,0),0))</f>
        <v>0</v>
      </c>
      <c r="L57" s="2">
        <f t="shared" si="0"/>
        <v>3272.4417620612867</v>
      </c>
      <c r="M57">
        <f>IF(ROW()&lt;3, 0, IF(Query1[[#This Row],[Month]]&lt;&gt;H56, Dashboard!$J$5,0))</f>
        <v>0</v>
      </c>
      <c r="N57" s="2">
        <f>IF(ROW()&lt;3, Query1[[#This Row],[Shares]], IF(Query1[[#This Row],[Month]]&lt;&gt;H56, N56+Query1[[#This Row],[Fix Top Up]]/Query1[[#This Row],[Adj Close]], N56))</f>
        <v>3281.7975312523363</v>
      </c>
      <c r="O57">
        <f>IF(AND(Query1[[#This Row],[avg]]&gt;0, Query1[[#This Row],[Month]]&lt;&gt;H56),
    IF(Query1[[#This Row],[Adj Close]]&gt;Query1[[#This Row],[avg]],
       Dashboard!$L$5-Dashboard!$E$6,
       Dashboard!$L$5+Dashboard!$E$6
    ), 0
)</f>
        <v>0</v>
      </c>
      <c r="P57" s="2">
        <f>IF(ROW()&lt;3, Query1[[#This Row],[Shares]], IF(Query1[[#This Row],[Month]]&lt;&gt;H56, P56+Query1[[#This Row],[Enhanced top up]]/Query1[[#This Row],[Adj Close]], P56))</f>
        <v>3283.2281563818574</v>
      </c>
      <c r="Q57" s="2">
        <f>IFERROR(AVERAGE(
  IF(ROW()&gt;20, INDEX(G:G, ROW()-20), 0) :
  INDEX(G:G, ROW())
),0)</f>
        <v>148.37012445359002</v>
      </c>
    </row>
    <row r="58" spans="1:17" x14ac:dyDescent="0.4">
      <c r="A58" s="1">
        <v>43914</v>
      </c>
      <c r="B58">
        <v>143.75</v>
      </c>
      <c r="C58">
        <v>149.60000610351563</v>
      </c>
      <c r="D58">
        <v>141.27000427246094</v>
      </c>
      <c r="E58">
        <v>148.33999633789063</v>
      </c>
      <c r="F58">
        <v>82516700</v>
      </c>
      <c r="G58">
        <v>141.49507141113281</v>
      </c>
      <c r="H58" s="2">
        <f>MONTH(Query1[[#This Row],[Date]])</f>
        <v>3</v>
      </c>
      <c r="I58" s="3">
        <f>Query1[[#This Row],[Shares]]*Query1[[#This Row],[Adj Close]]</f>
        <v>463034.38081163506</v>
      </c>
      <c r="J58" s="3">
        <f>IF(ROW()&lt;3, Dashboard!$E$7, IF(Query1[[#This Row],[Month]]&lt;&gt;H57,J57*(1+Dashboard!$E$4)+Dashboard!$E$5,J57))</f>
        <v>514070</v>
      </c>
      <c r="K58">
        <f>IF(ROW()&lt;3, 0,IF(Query1[[#This Row],[Month]]&lt;&gt;H57,IF((J58-I58&gt;0),J58-I58,0),0))</f>
        <v>0</v>
      </c>
      <c r="L58" s="2">
        <f t="shared" si="0"/>
        <v>3272.4417620612867</v>
      </c>
      <c r="M58">
        <f>IF(ROW()&lt;3, 0, IF(Query1[[#This Row],[Month]]&lt;&gt;H57, Dashboard!$J$5,0))</f>
        <v>0</v>
      </c>
      <c r="N58" s="2">
        <f>IF(ROW()&lt;3, Query1[[#This Row],[Shares]], IF(Query1[[#This Row],[Month]]&lt;&gt;H57, N57+Query1[[#This Row],[Fix Top Up]]/Query1[[#This Row],[Adj Close]], N57))</f>
        <v>3281.7975312523363</v>
      </c>
      <c r="O58">
        <f>IF(AND(Query1[[#This Row],[avg]]&gt;0, Query1[[#This Row],[Month]]&lt;&gt;H57),
    IF(Query1[[#This Row],[Adj Close]]&gt;Query1[[#This Row],[avg]],
       Dashboard!$L$5-Dashboard!$E$6,
       Dashboard!$L$5+Dashboard!$E$6
    ), 0
)</f>
        <v>0</v>
      </c>
      <c r="P58" s="2">
        <f>IF(ROW()&lt;3, Query1[[#This Row],[Shares]], IF(Query1[[#This Row],[Month]]&lt;&gt;H57, P57+Query1[[#This Row],[Enhanced top up]]/Query1[[#This Row],[Adj Close]], P57))</f>
        <v>3283.2281563818574</v>
      </c>
      <c r="Q58" s="2">
        <f>IFERROR(AVERAGE(
  IF(ROW()&gt;20, INDEX(G:G, ROW()-20), 0) :
  INDEX(G:G, ROW())
),0)</f>
        <v>147.34586443219865</v>
      </c>
    </row>
    <row r="59" spans="1:17" x14ac:dyDescent="0.4">
      <c r="A59" s="1">
        <v>43915</v>
      </c>
      <c r="B59">
        <v>148.91000366210938</v>
      </c>
      <c r="C59">
        <v>154.33000183105469</v>
      </c>
      <c r="D59">
        <v>144.44000244140625</v>
      </c>
      <c r="E59">
        <v>146.91999816894531</v>
      </c>
      <c r="F59">
        <v>75638200</v>
      </c>
      <c r="G59">
        <v>140.140625</v>
      </c>
      <c r="H59" s="2">
        <f>MONTH(Query1[[#This Row],[Date]])</f>
        <v>3</v>
      </c>
      <c r="I59" s="3">
        <f>Query1[[#This Row],[Shares]]*Query1[[#This Row],[Adj Close]]</f>
        <v>458602.03381137003</v>
      </c>
      <c r="J59" s="3">
        <f>IF(ROW()&lt;3, Dashboard!$E$7, IF(Query1[[#This Row],[Month]]&lt;&gt;H58,J58*(1+Dashboard!$E$4)+Dashboard!$E$5,J58))</f>
        <v>514070</v>
      </c>
      <c r="K59">
        <f>IF(ROW()&lt;3, 0,IF(Query1[[#This Row],[Month]]&lt;&gt;H58,IF((J59-I59&gt;0),J59-I59,0),0))</f>
        <v>0</v>
      </c>
      <c r="L59" s="2">
        <f t="shared" si="0"/>
        <v>3272.4417620612867</v>
      </c>
      <c r="M59">
        <f>IF(ROW()&lt;3, 0, IF(Query1[[#This Row],[Month]]&lt;&gt;H58, Dashboard!$J$5,0))</f>
        <v>0</v>
      </c>
      <c r="N59" s="2">
        <f>IF(ROW()&lt;3, Query1[[#This Row],[Shares]], IF(Query1[[#This Row],[Month]]&lt;&gt;H58, N58+Query1[[#This Row],[Fix Top Up]]/Query1[[#This Row],[Adj Close]], N58))</f>
        <v>3281.7975312523363</v>
      </c>
      <c r="O59">
        <f>IF(AND(Query1[[#This Row],[avg]]&gt;0, Query1[[#This Row],[Month]]&lt;&gt;H58),
    IF(Query1[[#This Row],[Adj Close]]&gt;Query1[[#This Row],[avg]],
       Dashboard!$L$5-Dashboard!$E$6,
       Dashboard!$L$5+Dashboard!$E$6
    ), 0
)</f>
        <v>0</v>
      </c>
      <c r="P59" s="2">
        <f>IF(ROW()&lt;3, Query1[[#This Row],[Shares]], IF(Query1[[#This Row],[Month]]&lt;&gt;H58, P58+Query1[[#This Row],[Enhanced top up]]/Query1[[#This Row],[Adj Close]], P58))</f>
        <v>3283.2281563818574</v>
      </c>
      <c r="Q59" s="2">
        <f>IFERROR(AVERAGE(
  IF(ROW()&gt;20, INDEX(G:G, ROW()-20), 0) :
  INDEX(G:G, ROW())
),0)</f>
        <v>146.38519432431175</v>
      </c>
    </row>
    <row r="60" spans="1:17" x14ac:dyDescent="0.4">
      <c r="A60" s="1">
        <v>43916</v>
      </c>
      <c r="B60">
        <v>148.39999389648438</v>
      </c>
      <c r="C60">
        <v>156.66000366210938</v>
      </c>
      <c r="D60">
        <v>148.3699951171875</v>
      </c>
      <c r="E60">
        <v>156.11000061035156</v>
      </c>
      <c r="F60">
        <v>64568100</v>
      </c>
      <c r="G60">
        <v>148.90653991699219</v>
      </c>
      <c r="H60" s="2">
        <f>MONTH(Query1[[#This Row],[Date]])</f>
        <v>3</v>
      </c>
      <c r="I60" s="3">
        <f>Query1[[#This Row],[Shares]]*Query1[[#This Row],[Adj Close]]</f>
        <v>487287.97986841126</v>
      </c>
      <c r="J60" s="3">
        <f>IF(ROW()&lt;3, Dashboard!$E$7, IF(Query1[[#This Row],[Month]]&lt;&gt;H59,J59*(1+Dashboard!$E$4)+Dashboard!$E$5,J59))</f>
        <v>514070</v>
      </c>
      <c r="K60">
        <f>IF(ROW()&lt;3, 0,IF(Query1[[#This Row],[Month]]&lt;&gt;H59,IF((J60-I60&gt;0),J60-I60,0),0))</f>
        <v>0</v>
      </c>
      <c r="L60" s="2">
        <f t="shared" si="0"/>
        <v>3272.4417620612867</v>
      </c>
      <c r="M60">
        <f>IF(ROW()&lt;3, 0, IF(Query1[[#This Row],[Month]]&lt;&gt;H59, Dashboard!$J$5,0))</f>
        <v>0</v>
      </c>
      <c r="N60" s="2">
        <f>IF(ROW()&lt;3, Query1[[#This Row],[Shares]], IF(Query1[[#This Row],[Month]]&lt;&gt;H59, N59+Query1[[#This Row],[Fix Top Up]]/Query1[[#This Row],[Adj Close]], N59))</f>
        <v>3281.7975312523363</v>
      </c>
      <c r="O60">
        <f>IF(AND(Query1[[#This Row],[avg]]&gt;0, Query1[[#This Row],[Month]]&lt;&gt;H59),
    IF(Query1[[#This Row],[Adj Close]]&gt;Query1[[#This Row],[avg]],
       Dashboard!$L$5-Dashboard!$E$6,
       Dashboard!$L$5+Dashboard!$E$6
    ), 0
)</f>
        <v>0</v>
      </c>
      <c r="P60" s="2">
        <f>IF(ROW()&lt;3, Query1[[#This Row],[Shares]], IF(Query1[[#This Row],[Month]]&lt;&gt;H59, P59+Query1[[#This Row],[Enhanced top up]]/Query1[[#This Row],[Adj Close]], P59))</f>
        <v>3283.2281563818574</v>
      </c>
      <c r="Q60" s="2">
        <f>IFERROR(AVERAGE(
  IF(ROW()&gt;20, INDEX(G:G, ROW()-20), 0) :
  INDEX(G:G, ROW())
),0)</f>
        <v>145.74656313941591</v>
      </c>
    </row>
    <row r="61" spans="1:17" x14ac:dyDescent="0.4">
      <c r="A61" s="1">
        <v>43917</v>
      </c>
      <c r="B61">
        <v>151.75</v>
      </c>
      <c r="C61">
        <v>154.88999938964844</v>
      </c>
      <c r="D61">
        <v>149.19999694824219</v>
      </c>
      <c r="E61">
        <v>149.69999694824219</v>
      </c>
      <c r="F61">
        <v>57042300</v>
      </c>
      <c r="G61">
        <v>142.79234313964844</v>
      </c>
      <c r="H61" s="2">
        <f>MONTH(Query1[[#This Row],[Date]])</f>
        <v>3</v>
      </c>
      <c r="I61" s="3">
        <f>Query1[[#This Row],[Shares]]*Query1[[#This Row],[Adj Close]]</f>
        <v>467279.62699277099</v>
      </c>
      <c r="J61" s="3">
        <f>IF(ROW()&lt;3, Dashboard!$E$7, IF(Query1[[#This Row],[Month]]&lt;&gt;H60,J60*(1+Dashboard!$E$4)+Dashboard!$E$5,J60))</f>
        <v>514070</v>
      </c>
      <c r="K61">
        <f>IF(ROW()&lt;3, 0,IF(Query1[[#This Row],[Month]]&lt;&gt;H60,IF((J61-I61&gt;0),J61-I61,0),0))</f>
        <v>0</v>
      </c>
      <c r="L61" s="2">
        <f t="shared" si="0"/>
        <v>3272.4417620612867</v>
      </c>
      <c r="M61">
        <f>IF(ROW()&lt;3, 0, IF(Query1[[#This Row],[Month]]&lt;&gt;H60, Dashboard!$J$5,0))</f>
        <v>0</v>
      </c>
      <c r="N61" s="2">
        <f>IF(ROW()&lt;3, Query1[[#This Row],[Shares]], IF(Query1[[#This Row],[Month]]&lt;&gt;H60, N60+Query1[[#This Row],[Fix Top Up]]/Query1[[#This Row],[Adj Close]], N60))</f>
        <v>3281.7975312523363</v>
      </c>
      <c r="O61">
        <f>IF(AND(Query1[[#This Row],[avg]]&gt;0, Query1[[#This Row],[Month]]&lt;&gt;H60),
    IF(Query1[[#This Row],[Adj Close]]&gt;Query1[[#This Row],[avg]],
       Dashboard!$L$5-Dashboard!$E$6,
       Dashboard!$L$5+Dashboard!$E$6
    ), 0
)</f>
        <v>0</v>
      </c>
      <c r="P61" s="2">
        <f>IF(ROW()&lt;3, Query1[[#This Row],[Shares]], IF(Query1[[#This Row],[Month]]&lt;&gt;H60, P60+Query1[[#This Row],[Enhanced top up]]/Query1[[#This Row],[Adj Close]], P60))</f>
        <v>3283.2281563818574</v>
      </c>
      <c r="Q61" s="2">
        <f>IFERROR(AVERAGE(
  IF(ROW()&gt;20, INDEX(G:G, ROW()-20), 0) :
  INDEX(G:G, ROW())
),0)</f>
        <v>145.36138843354723</v>
      </c>
    </row>
    <row r="62" spans="1:17" x14ac:dyDescent="0.4">
      <c r="A62" s="1">
        <v>43920</v>
      </c>
      <c r="B62">
        <v>152.44000244140625</v>
      </c>
      <c r="C62">
        <v>160.60000610351563</v>
      </c>
      <c r="D62">
        <v>150.00999450683594</v>
      </c>
      <c r="E62">
        <v>160.22999572753906</v>
      </c>
      <c r="F62">
        <v>63420300</v>
      </c>
      <c r="G62">
        <v>152.83647155761719</v>
      </c>
      <c r="H62" s="2">
        <f>MONTH(Query1[[#This Row],[Date]])</f>
        <v>3</v>
      </c>
      <c r="I62" s="3">
        <f>Query1[[#This Row],[Shares]]*Query1[[#This Row],[Adj Close]]</f>
        <v>500148.45229123853</v>
      </c>
      <c r="J62" s="3">
        <f>IF(ROW()&lt;3, Dashboard!$E$7, IF(Query1[[#This Row],[Month]]&lt;&gt;H61,J61*(1+Dashboard!$E$4)+Dashboard!$E$5,J61))</f>
        <v>514070</v>
      </c>
      <c r="K62">
        <f>IF(ROW()&lt;3, 0,IF(Query1[[#This Row],[Month]]&lt;&gt;H61,IF((J62-I62&gt;0),J62-I62,0),0))</f>
        <v>0</v>
      </c>
      <c r="L62" s="2">
        <f t="shared" si="0"/>
        <v>3272.4417620612867</v>
      </c>
      <c r="M62">
        <f>IF(ROW()&lt;3, 0, IF(Query1[[#This Row],[Month]]&lt;&gt;H61, Dashboard!$J$5,0))</f>
        <v>0</v>
      </c>
      <c r="N62" s="2">
        <f>IF(ROW()&lt;3, Query1[[#This Row],[Shares]], IF(Query1[[#This Row],[Month]]&lt;&gt;H61, N61+Query1[[#This Row],[Fix Top Up]]/Query1[[#This Row],[Adj Close]], N61))</f>
        <v>3281.7975312523363</v>
      </c>
      <c r="O62">
        <f>IF(AND(Query1[[#This Row],[avg]]&gt;0, Query1[[#This Row],[Month]]&lt;&gt;H61),
    IF(Query1[[#This Row],[Adj Close]]&gt;Query1[[#This Row],[avg]],
       Dashboard!$L$5-Dashboard!$E$6,
       Dashboard!$L$5+Dashboard!$E$6
    ), 0
)</f>
        <v>0</v>
      </c>
      <c r="P62" s="2">
        <f>IF(ROW()&lt;3, Query1[[#This Row],[Shares]], IF(Query1[[#This Row],[Month]]&lt;&gt;H61, P61+Query1[[#This Row],[Enhanced top up]]/Query1[[#This Row],[Adj Close]], P61))</f>
        <v>3283.2281563818574</v>
      </c>
      <c r="Q62" s="2">
        <f>IFERROR(AVERAGE(
  IF(ROW()&gt;20, INDEX(G:G, ROW()-20), 0) :
  INDEX(G:G, ROW())
),0)</f>
        <v>145.2805408296131</v>
      </c>
    </row>
    <row r="63" spans="1:17" x14ac:dyDescent="0.4">
      <c r="A63" s="1">
        <v>43921</v>
      </c>
      <c r="B63">
        <v>159.39999389648438</v>
      </c>
      <c r="C63">
        <v>164.77999877929688</v>
      </c>
      <c r="D63">
        <v>156.55999755859375</v>
      </c>
      <c r="E63">
        <v>157.71000671386719</v>
      </c>
      <c r="F63">
        <v>77927200</v>
      </c>
      <c r="G63">
        <v>150.4327392578125</v>
      </c>
      <c r="H63" s="2">
        <f>MONTH(Query1[[#This Row],[Date]])</f>
        <v>3</v>
      </c>
      <c r="I63" s="3">
        <f>Query1[[#This Row],[Shares]]*Query1[[#This Row],[Adj Close]]</f>
        <v>492282.37832854205</v>
      </c>
      <c r="J63" s="3">
        <f>IF(ROW()&lt;3, Dashboard!$E$7, IF(Query1[[#This Row],[Month]]&lt;&gt;H62,J62*(1+Dashboard!$E$4)+Dashboard!$E$5,J62))</f>
        <v>514070</v>
      </c>
      <c r="K63">
        <f>IF(ROW()&lt;3, 0,IF(Query1[[#This Row],[Month]]&lt;&gt;H62,IF((J63-I63&gt;0),J63-I63,0),0))</f>
        <v>0</v>
      </c>
      <c r="L63" s="2">
        <f t="shared" si="0"/>
        <v>3272.4417620612867</v>
      </c>
      <c r="M63">
        <f>IF(ROW()&lt;3, 0, IF(Query1[[#This Row],[Month]]&lt;&gt;H62, Dashboard!$J$5,0))</f>
        <v>0</v>
      </c>
      <c r="N63" s="2">
        <f>IF(ROW()&lt;3, Query1[[#This Row],[Shares]], IF(Query1[[#This Row],[Month]]&lt;&gt;H62, N62+Query1[[#This Row],[Fix Top Up]]/Query1[[#This Row],[Adj Close]], N62))</f>
        <v>3281.7975312523363</v>
      </c>
      <c r="O63">
        <f>IF(AND(Query1[[#This Row],[avg]]&gt;0, Query1[[#This Row],[Month]]&lt;&gt;H62),
    IF(Query1[[#This Row],[Adj Close]]&gt;Query1[[#This Row],[avg]],
       Dashboard!$L$5-Dashboard!$E$6,
       Dashboard!$L$5+Dashboard!$E$6
    ), 0
)</f>
        <v>0</v>
      </c>
      <c r="P63" s="2">
        <f>IF(ROW()&lt;3, Query1[[#This Row],[Shares]], IF(Query1[[#This Row],[Month]]&lt;&gt;H62, P62+Query1[[#This Row],[Enhanced top up]]/Query1[[#This Row],[Adj Close]], P62))</f>
        <v>3283.2281563818574</v>
      </c>
      <c r="Q63" s="2">
        <f>IFERROR(AVERAGE(
  IF(ROW()&gt;20, INDEX(G:G, ROW()-20), 0) :
  INDEX(G:G, ROW())
),0)</f>
        <v>144.59558178129652</v>
      </c>
    </row>
    <row r="64" spans="1:17" x14ac:dyDescent="0.4">
      <c r="A64" s="1">
        <v>43922</v>
      </c>
      <c r="B64">
        <v>153</v>
      </c>
      <c r="C64">
        <v>157.75</v>
      </c>
      <c r="D64">
        <v>150.82000732421875</v>
      </c>
      <c r="E64">
        <v>152.11000061035156</v>
      </c>
      <c r="F64">
        <v>57969900</v>
      </c>
      <c r="G64">
        <v>145.09112548828125</v>
      </c>
      <c r="H64" s="2">
        <f>MONTH(Query1[[#This Row],[Date]])</f>
        <v>4</v>
      </c>
      <c r="I64" s="3">
        <f>Query1[[#This Row],[Shares]]*Query1[[#This Row],[Adj Close]]</f>
        <v>474802.25835232635</v>
      </c>
      <c r="J64" s="3">
        <f>IF(ROW()&lt;3, Dashboard!$E$7, IF(Query1[[#This Row],[Month]]&lt;&gt;H63,J63*(1+Dashboard!$E$4)+Dashboard!$E$5,J63))</f>
        <v>521210.7</v>
      </c>
      <c r="K64">
        <f>IF(ROW()&lt;3, 0,IF(Query1[[#This Row],[Month]]&lt;&gt;H63,IF((J64-I64&gt;0),J64-I64,0),0))</f>
        <v>46408.441647673666</v>
      </c>
      <c r="L64" s="2">
        <f t="shared" si="0"/>
        <v>3272.4417620612867</v>
      </c>
      <c r="M64">
        <f>IF(ROW()&lt;3, 0, IF(Query1[[#This Row],[Month]]&lt;&gt;H63, Dashboard!$J$5,0))</f>
        <v>773.47399999999971</v>
      </c>
      <c r="N64" s="2">
        <f>IF(ROW()&lt;3, Query1[[#This Row],[Shares]], IF(Query1[[#This Row],[Month]]&lt;&gt;H63, N63+Query1[[#This Row],[Fix Top Up]]/Query1[[#This Row],[Adj Close]], N63))</f>
        <v>3287.128484454312</v>
      </c>
      <c r="O64">
        <f>IF(AND(Query1[[#This Row],[avg]]&gt;0, Query1[[#This Row],[Month]]&lt;&gt;H63),
    IF(Query1[[#This Row],[Adj Close]]&gt;Query1[[#This Row],[avg]],
       Dashboard!$L$5-Dashboard!$E$6,
       Dashboard!$L$5+Dashboard!$E$6
    ), 0
)</f>
        <v>390.14066666666668</v>
      </c>
      <c r="P64" s="2">
        <f>IF(ROW()&lt;3, Query1[[#This Row],[Shares]], IF(Query1[[#This Row],[Month]]&lt;&gt;H63, P63+Query1[[#This Row],[Enhanced top up]]/Query1[[#This Row],[Adj Close]], P63))</f>
        <v>3285.9170918033292</v>
      </c>
      <c r="Q64" s="2">
        <f>IFERROR(AVERAGE(
  IF(ROW()&gt;20, INDEX(G:G, ROW()-20), 0) :
  INDEX(G:G, ROW())
),0)</f>
        <v>144.03235226585753</v>
      </c>
    </row>
    <row r="65" spans="1:17" x14ac:dyDescent="0.4">
      <c r="A65" s="1">
        <v>43923</v>
      </c>
      <c r="B65">
        <v>151.86000061035156</v>
      </c>
      <c r="C65">
        <v>155.47999572753906</v>
      </c>
      <c r="D65">
        <v>150.36000061035156</v>
      </c>
      <c r="E65">
        <v>155.25999450683594</v>
      </c>
      <c r="F65">
        <v>49630700</v>
      </c>
      <c r="G65">
        <v>148.09577941894531</v>
      </c>
      <c r="H65" s="2">
        <f>MONTH(Query1[[#This Row],[Date]])</f>
        <v>4</v>
      </c>
      <c r="I65" s="3">
        <f>Query1[[#This Row],[Shares]]*Query1[[#This Row],[Adj Close]]</f>
        <v>532004.31520691805</v>
      </c>
      <c r="J65" s="3">
        <f>IF(ROW()&lt;3, Dashboard!$E$7, IF(Query1[[#This Row],[Month]]&lt;&gt;H64,J64*(1+Dashboard!$E$4)+Dashboard!$E$5,J64))</f>
        <v>521210.7</v>
      </c>
      <c r="K65">
        <f>IF(ROW()&lt;3, 0,IF(Query1[[#This Row],[Month]]&lt;&gt;H64,IF((J65-I65&gt;0),J65-I65,0),0))</f>
        <v>0</v>
      </c>
      <c r="L65" s="2">
        <f t="shared" si="0"/>
        <v>3592.2989655359538</v>
      </c>
      <c r="M65">
        <f>IF(ROW()&lt;3, 0, IF(Query1[[#This Row],[Month]]&lt;&gt;H64, Dashboard!$J$5,0))</f>
        <v>0</v>
      </c>
      <c r="N65" s="2">
        <f>IF(ROW()&lt;3, Query1[[#This Row],[Shares]], IF(Query1[[#This Row],[Month]]&lt;&gt;H64, N64+Query1[[#This Row],[Fix Top Up]]/Query1[[#This Row],[Adj Close]], N64))</f>
        <v>3287.128484454312</v>
      </c>
      <c r="O65">
        <f>IF(AND(Query1[[#This Row],[avg]]&gt;0, Query1[[#This Row],[Month]]&lt;&gt;H64),
    IF(Query1[[#This Row],[Adj Close]]&gt;Query1[[#This Row],[avg]],
       Dashboard!$L$5-Dashboard!$E$6,
       Dashboard!$L$5+Dashboard!$E$6
    ), 0
)</f>
        <v>0</v>
      </c>
      <c r="P65" s="2">
        <f>IF(ROW()&lt;3, Query1[[#This Row],[Shares]], IF(Query1[[#This Row],[Month]]&lt;&gt;H64, P64+Query1[[#This Row],[Enhanced top up]]/Query1[[#This Row],[Adj Close]], P64))</f>
        <v>3285.9170918033292</v>
      </c>
      <c r="Q65" s="2">
        <f>IFERROR(AVERAGE(
  IF(ROW()&gt;20, INDEX(G:G, ROW()-20), 0) :
  INDEX(G:G, ROW())
),0)</f>
        <v>143.33785502115884</v>
      </c>
    </row>
    <row r="66" spans="1:17" x14ac:dyDescent="0.4">
      <c r="A66" s="1">
        <v>43924</v>
      </c>
      <c r="B66">
        <v>155.10000610351563</v>
      </c>
      <c r="C66">
        <v>157.3800048828125</v>
      </c>
      <c r="D66">
        <v>152.19000244140625</v>
      </c>
      <c r="E66">
        <v>153.83000183105469</v>
      </c>
      <c r="F66">
        <v>41243300</v>
      </c>
      <c r="G66">
        <v>146.73179626464844</v>
      </c>
      <c r="H66" s="2">
        <f>MONTH(Query1[[#This Row],[Date]])</f>
        <v>4</v>
      </c>
      <c r="I66" s="3">
        <f>Query1[[#This Row],[Shares]]*Query1[[#This Row],[Adj Close]]</f>
        <v>527104.47993272892</v>
      </c>
      <c r="J66" s="3">
        <f>IF(ROW()&lt;3, Dashboard!$E$7, IF(Query1[[#This Row],[Month]]&lt;&gt;H65,J65*(1+Dashboard!$E$4)+Dashboard!$E$5,J65))</f>
        <v>521210.7</v>
      </c>
      <c r="K66">
        <f>IF(ROW()&lt;3, 0,IF(Query1[[#This Row],[Month]]&lt;&gt;H65,IF((J66-I66&gt;0),J66-I66,0),0))</f>
        <v>0</v>
      </c>
      <c r="L66" s="2">
        <f t="shared" ref="L66:L129" si="1">IF(ROW()&lt;3, J66/G66, L65+K65/G65)</f>
        <v>3592.2989655359538</v>
      </c>
      <c r="M66">
        <f>IF(ROW()&lt;3, 0, IF(Query1[[#This Row],[Month]]&lt;&gt;H65, Dashboard!$J$5,0))</f>
        <v>0</v>
      </c>
      <c r="N66" s="2">
        <f>IF(ROW()&lt;3, Query1[[#This Row],[Shares]], IF(Query1[[#This Row],[Month]]&lt;&gt;H65, N65+Query1[[#This Row],[Fix Top Up]]/Query1[[#This Row],[Adj Close]], N65))</f>
        <v>3287.128484454312</v>
      </c>
      <c r="O66">
        <f>IF(AND(Query1[[#This Row],[avg]]&gt;0, Query1[[#This Row],[Month]]&lt;&gt;H65),
    IF(Query1[[#This Row],[Adj Close]]&gt;Query1[[#This Row],[avg]],
       Dashboard!$L$5-Dashboard!$E$6,
       Dashboard!$L$5+Dashboard!$E$6
    ), 0
)</f>
        <v>0</v>
      </c>
      <c r="P66" s="2">
        <f>IF(ROW()&lt;3, Query1[[#This Row],[Shares]], IF(Query1[[#This Row],[Month]]&lt;&gt;H65, P65+Query1[[#This Row],[Enhanced top up]]/Query1[[#This Row],[Adj Close]], P65))</f>
        <v>3285.9170918033292</v>
      </c>
      <c r="Q66" s="2">
        <f>IFERROR(AVERAGE(
  IF(ROW()&gt;20, INDEX(G:G, ROW()-20), 0) :
  INDEX(G:G, ROW())
),0)</f>
        <v>142.77280898321243</v>
      </c>
    </row>
    <row r="67" spans="1:17" x14ac:dyDescent="0.4">
      <c r="A67" s="1">
        <v>43927</v>
      </c>
      <c r="B67">
        <v>160.32000732421875</v>
      </c>
      <c r="C67">
        <v>166.5</v>
      </c>
      <c r="D67">
        <v>157.58000183105469</v>
      </c>
      <c r="E67">
        <v>165.27000427246094</v>
      </c>
      <c r="F67">
        <v>67111700</v>
      </c>
      <c r="G67">
        <v>157.64390563964844</v>
      </c>
      <c r="H67" s="2">
        <f>MONTH(Query1[[#This Row],[Date]])</f>
        <v>4</v>
      </c>
      <c r="I67" s="3">
        <f>Query1[[#This Row],[Shares]]*Query1[[#This Row],[Adj Close]]</f>
        <v>566304.03915235656</v>
      </c>
      <c r="J67" s="3">
        <f>IF(ROW()&lt;3, Dashboard!$E$7, IF(Query1[[#This Row],[Month]]&lt;&gt;H66,J66*(1+Dashboard!$E$4)+Dashboard!$E$5,J66))</f>
        <v>521210.7</v>
      </c>
      <c r="K67">
        <f>IF(ROW()&lt;3, 0,IF(Query1[[#This Row],[Month]]&lt;&gt;H66,IF((J67-I67&gt;0),J67-I67,0),0))</f>
        <v>0</v>
      </c>
      <c r="L67" s="2">
        <f t="shared" si="1"/>
        <v>3592.2989655359538</v>
      </c>
      <c r="M67">
        <f>IF(ROW()&lt;3, 0, IF(Query1[[#This Row],[Month]]&lt;&gt;H66, Dashboard!$J$5,0))</f>
        <v>0</v>
      </c>
      <c r="N67" s="2">
        <f>IF(ROW()&lt;3, Query1[[#This Row],[Shares]], IF(Query1[[#This Row],[Month]]&lt;&gt;H66, N66+Query1[[#This Row],[Fix Top Up]]/Query1[[#This Row],[Adj Close]], N66))</f>
        <v>3287.128484454312</v>
      </c>
      <c r="O67">
        <f>IF(AND(Query1[[#This Row],[avg]]&gt;0, Query1[[#This Row],[Month]]&lt;&gt;H66),
    IF(Query1[[#This Row],[Adj Close]]&gt;Query1[[#This Row],[avg]],
       Dashboard!$L$5-Dashboard!$E$6,
       Dashboard!$L$5+Dashboard!$E$6
    ), 0
)</f>
        <v>0</v>
      </c>
      <c r="P67" s="2">
        <f>IF(ROW()&lt;3, Query1[[#This Row],[Shares]], IF(Query1[[#This Row],[Month]]&lt;&gt;H66, P66+Query1[[#This Row],[Enhanced top up]]/Query1[[#This Row],[Adj Close]], P66))</f>
        <v>3285.9170918033292</v>
      </c>
      <c r="Q67" s="2">
        <f>IFERROR(AVERAGE(
  IF(ROW()&gt;20, INDEX(G:G, ROW()-20), 0) :
  INDEX(G:G, ROW())
),0)</f>
        <v>142.94087073916481</v>
      </c>
    </row>
    <row r="68" spans="1:17" x14ac:dyDescent="0.4">
      <c r="A68" s="1">
        <v>43928</v>
      </c>
      <c r="B68">
        <v>169.58999633789063</v>
      </c>
      <c r="C68">
        <v>170</v>
      </c>
      <c r="D68">
        <v>163.25999450683594</v>
      </c>
      <c r="E68">
        <v>163.49000549316406</v>
      </c>
      <c r="F68">
        <v>62769000</v>
      </c>
      <c r="G68">
        <v>155.94606018066406</v>
      </c>
      <c r="H68" s="2">
        <f>MONTH(Query1[[#This Row],[Date]])</f>
        <v>4</v>
      </c>
      <c r="I68" s="3">
        <f>Query1[[#This Row],[Shares]]*Query1[[#This Row],[Adj Close]]</f>
        <v>560204.87066640717</v>
      </c>
      <c r="J68" s="3">
        <f>IF(ROW()&lt;3, Dashboard!$E$7, IF(Query1[[#This Row],[Month]]&lt;&gt;H67,J67*(1+Dashboard!$E$4)+Dashboard!$E$5,J67))</f>
        <v>521210.7</v>
      </c>
      <c r="K68">
        <f>IF(ROW()&lt;3, 0,IF(Query1[[#This Row],[Month]]&lt;&gt;H67,IF((J68-I68&gt;0),J68-I68,0),0))</f>
        <v>0</v>
      </c>
      <c r="L68" s="2">
        <f t="shared" si="1"/>
        <v>3592.2989655359538</v>
      </c>
      <c r="M68">
        <f>IF(ROW()&lt;3, 0, IF(Query1[[#This Row],[Month]]&lt;&gt;H67, Dashboard!$J$5,0))</f>
        <v>0</v>
      </c>
      <c r="N68" s="2">
        <f>IF(ROW()&lt;3, Query1[[#This Row],[Shares]], IF(Query1[[#This Row],[Month]]&lt;&gt;H67, N67+Query1[[#This Row],[Fix Top Up]]/Query1[[#This Row],[Adj Close]], N67))</f>
        <v>3287.128484454312</v>
      </c>
      <c r="O68">
        <f>IF(AND(Query1[[#This Row],[avg]]&gt;0, Query1[[#This Row],[Month]]&lt;&gt;H67),
    IF(Query1[[#This Row],[Adj Close]]&gt;Query1[[#This Row],[avg]],
       Dashboard!$L$5-Dashboard!$E$6,
       Dashboard!$L$5+Dashboard!$E$6
    ), 0
)</f>
        <v>0</v>
      </c>
      <c r="P68" s="2">
        <f>IF(ROW()&lt;3, Query1[[#This Row],[Shares]], IF(Query1[[#This Row],[Month]]&lt;&gt;H67, P67+Query1[[#This Row],[Enhanced top up]]/Query1[[#This Row],[Adj Close]], P67))</f>
        <v>3285.9170918033292</v>
      </c>
      <c r="Q68" s="2">
        <f>IFERROR(AVERAGE(
  IF(ROW()&gt;20, INDEX(G:G, ROW()-20), 0) :
  INDEX(G:G, ROW())
),0)</f>
        <v>143.52545166015625</v>
      </c>
    </row>
    <row r="69" spans="1:17" x14ac:dyDescent="0.4">
      <c r="A69" s="1">
        <v>43929</v>
      </c>
      <c r="B69">
        <v>165.66999816894531</v>
      </c>
      <c r="C69">
        <v>166.66999816894531</v>
      </c>
      <c r="D69">
        <v>163.5</v>
      </c>
      <c r="E69">
        <v>165.1300048828125</v>
      </c>
      <c r="F69">
        <v>48318200</v>
      </c>
      <c r="G69">
        <v>157.51033020019531</v>
      </c>
      <c r="H69" s="2">
        <f>MONTH(Query1[[#This Row],[Date]])</f>
        <v>4</v>
      </c>
      <c r="I69" s="3">
        <f>Query1[[#This Row],[Shares]]*Query1[[#This Row],[Adj Close]]</f>
        <v>565824.19623938808</v>
      </c>
      <c r="J69" s="3">
        <f>IF(ROW()&lt;3, Dashboard!$E$7, IF(Query1[[#This Row],[Month]]&lt;&gt;H68,J68*(1+Dashboard!$E$4)+Dashboard!$E$5,J68))</f>
        <v>521210.7</v>
      </c>
      <c r="K69">
        <f>IF(ROW()&lt;3, 0,IF(Query1[[#This Row],[Month]]&lt;&gt;H68,IF((J69-I69&gt;0),J69-I69,0),0))</f>
        <v>0</v>
      </c>
      <c r="L69" s="2">
        <f t="shared" si="1"/>
        <v>3592.2989655359538</v>
      </c>
      <c r="M69">
        <f>IF(ROW()&lt;3, 0, IF(Query1[[#This Row],[Month]]&lt;&gt;H68, Dashboard!$J$5,0))</f>
        <v>0</v>
      </c>
      <c r="N69" s="2">
        <f>IF(ROW()&lt;3, Query1[[#This Row],[Shares]], IF(Query1[[#This Row],[Month]]&lt;&gt;H68, N68+Query1[[#This Row],[Fix Top Up]]/Query1[[#This Row],[Adj Close]], N68))</f>
        <v>3287.128484454312</v>
      </c>
      <c r="O69">
        <f>IF(AND(Query1[[#This Row],[avg]]&gt;0, Query1[[#This Row],[Month]]&lt;&gt;H68),
    IF(Query1[[#This Row],[Adj Close]]&gt;Query1[[#This Row],[avg]],
       Dashboard!$L$5-Dashboard!$E$6,
       Dashboard!$L$5+Dashboard!$E$6
    ), 0
)</f>
        <v>0</v>
      </c>
      <c r="P69" s="2">
        <f>IF(ROW()&lt;3, Query1[[#This Row],[Shares]], IF(Query1[[#This Row],[Month]]&lt;&gt;H68, P68+Query1[[#This Row],[Enhanced top up]]/Query1[[#This Row],[Adj Close]], P68))</f>
        <v>3285.9170918033292</v>
      </c>
      <c r="Q69" s="2">
        <f>IFERROR(AVERAGE(
  IF(ROW()&gt;20, INDEX(G:G, ROW()-20), 0) :
  INDEX(G:G, ROW())
),0)</f>
        <v>143.7166762579055</v>
      </c>
    </row>
    <row r="70" spans="1:17" x14ac:dyDescent="0.4">
      <c r="A70" s="1">
        <v>43930</v>
      </c>
      <c r="B70">
        <v>166.36000061035156</v>
      </c>
      <c r="C70">
        <v>167.3699951171875</v>
      </c>
      <c r="D70">
        <v>163.33000183105469</v>
      </c>
      <c r="E70">
        <v>165.13999938964844</v>
      </c>
      <c r="F70">
        <v>51385100</v>
      </c>
      <c r="G70">
        <v>157.5198974609375</v>
      </c>
      <c r="H70" s="2">
        <f>MONTH(Query1[[#This Row],[Date]])</f>
        <v>4</v>
      </c>
      <c r="I70" s="3">
        <f>Query1[[#This Row],[Shares]]*Query1[[#This Row],[Adj Close]]</f>
        <v>565858.56470025529</v>
      </c>
      <c r="J70" s="3">
        <f>IF(ROW()&lt;3, Dashboard!$E$7, IF(Query1[[#This Row],[Month]]&lt;&gt;H69,J69*(1+Dashboard!$E$4)+Dashboard!$E$5,J69))</f>
        <v>521210.7</v>
      </c>
      <c r="K70">
        <f>IF(ROW()&lt;3, 0,IF(Query1[[#This Row],[Month]]&lt;&gt;H69,IF((J70-I70&gt;0),J70-I70,0),0))</f>
        <v>0</v>
      </c>
      <c r="L70" s="2">
        <f t="shared" si="1"/>
        <v>3592.2989655359538</v>
      </c>
      <c r="M70">
        <f>IF(ROW()&lt;3, 0, IF(Query1[[#This Row],[Month]]&lt;&gt;H69, Dashboard!$J$5,0))</f>
        <v>0</v>
      </c>
      <c r="N70" s="2">
        <f>IF(ROW()&lt;3, Query1[[#This Row],[Shares]], IF(Query1[[#This Row],[Month]]&lt;&gt;H69, N69+Query1[[#This Row],[Fix Top Up]]/Query1[[#This Row],[Adj Close]], N69))</f>
        <v>3287.128484454312</v>
      </c>
      <c r="O70">
        <f>IF(AND(Query1[[#This Row],[avg]]&gt;0, Query1[[#This Row],[Month]]&lt;&gt;H69),
    IF(Query1[[#This Row],[Adj Close]]&gt;Query1[[#This Row],[avg]],
       Dashboard!$L$5-Dashboard!$E$6,
       Dashboard!$L$5+Dashboard!$E$6
    ), 0
)</f>
        <v>0</v>
      </c>
      <c r="P70" s="2">
        <f>IF(ROW()&lt;3, Query1[[#This Row],[Shares]], IF(Query1[[#This Row],[Month]]&lt;&gt;H69, P69+Query1[[#This Row],[Enhanced top up]]/Query1[[#This Row],[Adj Close]], P69))</f>
        <v>3285.9170918033292</v>
      </c>
      <c r="Q70" s="2">
        <f>IFERROR(AVERAGE(
  IF(ROW()&gt;20, INDEX(G:G, ROW()-20), 0) :
  INDEX(G:G, ROW())
),0)</f>
        <v>144.23948088146392</v>
      </c>
    </row>
    <row r="71" spans="1:17" x14ac:dyDescent="0.4">
      <c r="A71" s="1">
        <v>43934</v>
      </c>
      <c r="B71">
        <v>164.35000610351563</v>
      </c>
      <c r="C71">
        <v>165.57000732421875</v>
      </c>
      <c r="D71">
        <v>162.30000305175781</v>
      </c>
      <c r="E71">
        <v>165.50999450683594</v>
      </c>
      <c r="F71">
        <v>41905300</v>
      </c>
      <c r="G71">
        <v>157.87278747558594</v>
      </c>
      <c r="H71" s="2">
        <f>MONTH(Query1[[#This Row],[Date]])</f>
        <v>4</v>
      </c>
      <c r="I71" s="3">
        <f>Query1[[#This Row],[Shares]]*Query1[[#This Row],[Adj Close]]</f>
        <v>567126.25113482482</v>
      </c>
      <c r="J71" s="3">
        <f>IF(ROW()&lt;3, Dashboard!$E$7, IF(Query1[[#This Row],[Month]]&lt;&gt;H70,J70*(1+Dashboard!$E$4)+Dashboard!$E$5,J70))</f>
        <v>521210.7</v>
      </c>
      <c r="K71">
        <f>IF(ROW()&lt;3, 0,IF(Query1[[#This Row],[Month]]&lt;&gt;H70,IF((J71-I71&gt;0),J71-I71,0),0))</f>
        <v>0</v>
      </c>
      <c r="L71" s="2">
        <f t="shared" si="1"/>
        <v>3592.2989655359538</v>
      </c>
      <c r="M71">
        <f>IF(ROW()&lt;3, 0, IF(Query1[[#This Row],[Month]]&lt;&gt;H70, Dashboard!$J$5,0))</f>
        <v>0</v>
      </c>
      <c r="N71" s="2">
        <f>IF(ROW()&lt;3, Query1[[#This Row],[Shares]], IF(Query1[[#This Row],[Month]]&lt;&gt;H70, N70+Query1[[#This Row],[Fix Top Up]]/Query1[[#This Row],[Adj Close]], N70))</f>
        <v>3287.128484454312</v>
      </c>
      <c r="O71">
        <f>IF(AND(Query1[[#This Row],[avg]]&gt;0, Query1[[#This Row],[Month]]&lt;&gt;H70),
    IF(Query1[[#This Row],[Adj Close]]&gt;Query1[[#This Row],[avg]],
       Dashboard!$L$5-Dashboard!$E$6,
       Dashboard!$L$5+Dashboard!$E$6
    ), 0
)</f>
        <v>0</v>
      </c>
      <c r="P71" s="2">
        <f>IF(ROW()&lt;3, Query1[[#This Row],[Shares]], IF(Query1[[#This Row],[Month]]&lt;&gt;H70, P70+Query1[[#This Row],[Enhanced top up]]/Query1[[#This Row],[Adj Close]], P70))</f>
        <v>3285.9170918033292</v>
      </c>
      <c r="Q71" s="2">
        <f>IFERROR(AVERAGE(
  IF(ROW()&gt;20, INDEX(G:G, ROW()-20), 0) :
  INDEX(G:G, ROW())
),0)</f>
        <v>145.44088381812685</v>
      </c>
    </row>
    <row r="72" spans="1:17" x14ac:dyDescent="0.4">
      <c r="A72" s="1">
        <v>43935</v>
      </c>
      <c r="B72">
        <v>169</v>
      </c>
      <c r="C72">
        <v>173.75</v>
      </c>
      <c r="D72">
        <v>168</v>
      </c>
      <c r="E72">
        <v>173.69999694824219</v>
      </c>
      <c r="F72">
        <v>52874300</v>
      </c>
      <c r="G72">
        <v>165.68490600585938</v>
      </c>
      <c r="H72" s="2">
        <f>MONTH(Query1[[#This Row],[Date]])</f>
        <v>4</v>
      </c>
      <c r="I72" s="3">
        <f>Query1[[#This Row],[Shares]]*Query1[[#This Row],[Adj Close]]</f>
        <v>595189.71644977038</v>
      </c>
      <c r="J72" s="3">
        <f>IF(ROW()&lt;3, Dashboard!$E$7, IF(Query1[[#This Row],[Month]]&lt;&gt;H71,J71*(1+Dashboard!$E$4)+Dashboard!$E$5,J71))</f>
        <v>521210.7</v>
      </c>
      <c r="K72">
        <f>IF(ROW()&lt;3, 0,IF(Query1[[#This Row],[Month]]&lt;&gt;H71,IF((J72-I72&gt;0),J72-I72,0),0))</f>
        <v>0</v>
      </c>
      <c r="L72" s="2">
        <f t="shared" si="1"/>
        <v>3592.2989655359538</v>
      </c>
      <c r="M72">
        <f>IF(ROW()&lt;3, 0, IF(Query1[[#This Row],[Month]]&lt;&gt;H71, Dashboard!$J$5,0))</f>
        <v>0</v>
      </c>
      <c r="N72" s="2">
        <f>IF(ROW()&lt;3, Query1[[#This Row],[Shares]], IF(Query1[[#This Row],[Month]]&lt;&gt;H71, N71+Query1[[#This Row],[Fix Top Up]]/Query1[[#This Row],[Adj Close]], N71))</f>
        <v>3287.128484454312</v>
      </c>
      <c r="O72">
        <f>IF(AND(Query1[[#This Row],[avg]]&gt;0, Query1[[#This Row],[Month]]&lt;&gt;H71),
    IF(Query1[[#This Row],[Adj Close]]&gt;Query1[[#This Row],[avg]],
       Dashboard!$L$5-Dashboard!$E$6,
       Dashboard!$L$5+Dashboard!$E$6
    ), 0
)</f>
        <v>0</v>
      </c>
      <c r="P72" s="2">
        <f>IF(ROW()&lt;3, Query1[[#This Row],[Shares]], IF(Query1[[#This Row],[Month]]&lt;&gt;H71, P71+Query1[[#This Row],[Enhanced top up]]/Query1[[#This Row],[Adj Close]], P71))</f>
        <v>3285.9170918033292</v>
      </c>
      <c r="Q72" s="2">
        <f>IFERROR(AVERAGE(
  IF(ROW()&gt;20, INDEX(G:G, ROW()-20), 0) :
  INDEX(G:G, ROW())
),0)</f>
        <v>146.1163061232794</v>
      </c>
    </row>
    <row r="73" spans="1:17" x14ac:dyDescent="0.4">
      <c r="A73" s="1">
        <v>43936</v>
      </c>
      <c r="B73">
        <v>171.19999694824219</v>
      </c>
      <c r="C73">
        <v>173.57000732421875</v>
      </c>
      <c r="D73">
        <v>169.24000549316406</v>
      </c>
      <c r="E73">
        <v>171.8800048828125</v>
      </c>
      <c r="F73">
        <v>40940800</v>
      </c>
      <c r="G73">
        <v>163.94889831542969</v>
      </c>
      <c r="H73" s="2">
        <f>MONTH(Query1[[#This Row],[Date]])</f>
        <v>4</v>
      </c>
      <c r="I73" s="3">
        <f>Query1[[#This Row],[Shares]]*Query1[[#This Row],[Adj Close]]</f>
        <v>588953.4578192773</v>
      </c>
      <c r="J73" s="3">
        <f>IF(ROW()&lt;3, Dashboard!$E$7, IF(Query1[[#This Row],[Month]]&lt;&gt;H72,J72*(1+Dashboard!$E$4)+Dashboard!$E$5,J72))</f>
        <v>521210.7</v>
      </c>
      <c r="K73">
        <f>IF(ROW()&lt;3, 0,IF(Query1[[#This Row],[Month]]&lt;&gt;H72,IF((J73-I73&gt;0),J73-I73,0),0))</f>
        <v>0</v>
      </c>
      <c r="L73" s="2">
        <f t="shared" si="1"/>
        <v>3592.2989655359538</v>
      </c>
      <c r="M73">
        <f>IF(ROW()&lt;3, 0, IF(Query1[[#This Row],[Month]]&lt;&gt;H72, Dashboard!$J$5,0))</f>
        <v>0</v>
      </c>
      <c r="N73" s="2">
        <f>IF(ROW()&lt;3, Query1[[#This Row],[Shares]], IF(Query1[[#This Row],[Month]]&lt;&gt;H72, N72+Query1[[#This Row],[Fix Top Up]]/Query1[[#This Row],[Adj Close]], N72))</f>
        <v>3287.128484454312</v>
      </c>
      <c r="O73">
        <f>IF(AND(Query1[[#This Row],[avg]]&gt;0, Query1[[#This Row],[Month]]&lt;&gt;H72),
    IF(Query1[[#This Row],[Adj Close]]&gt;Query1[[#This Row],[avg]],
       Dashboard!$L$5-Dashboard!$E$6,
       Dashboard!$L$5+Dashboard!$E$6
    ), 0
)</f>
        <v>0</v>
      </c>
      <c r="P73" s="2">
        <f>IF(ROW()&lt;3, Query1[[#This Row],[Shares]], IF(Query1[[#This Row],[Month]]&lt;&gt;H72, P72+Query1[[#This Row],[Enhanced top up]]/Query1[[#This Row],[Adj Close]], P72))</f>
        <v>3285.9170918033292</v>
      </c>
      <c r="Q73" s="2">
        <f>IFERROR(AVERAGE(
  IF(ROW()&gt;20, INDEX(G:G, ROW()-20), 0) :
  INDEX(G:G, ROW())
),0)</f>
        <v>147.77238391694567</v>
      </c>
    </row>
    <row r="74" spans="1:17" x14ac:dyDescent="0.4">
      <c r="A74" s="1">
        <v>43937</v>
      </c>
      <c r="B74">
        <v>174.30000305175781</v>
      </c>
      <c r="C74">
        <v>177.27999877929688</v>
      </c>
      <c r="D74">
        <v>172.89999389648438</v>
      </c>
      <c r="E74">
        <v>177.03999328613281</v>
      </c>
      <c r="F74">
        <v>50479600</v>
      </c>
      <c r="G74">
        <v>168.87077331542969</v>
      </c>
      <c r="H74" s="2">
        <f>MONTH(Query1[[#This Row],[Date]])</f>
        <v>4</v>
      </c>
      <c r="I74" s="3">
        <f>Query1[[#This Row],[Shares]]*Query1[[#This Row],[Adj Close]]</f>
        <v>606634.30429027462</v>
      </c>
      <c r="J74" s="3">
        <f>IF(ROW()&lt;3, Dashboard!$E$7, IF(Query1[[#This Row],[Month]]&lt;&gt;H73,J73*(1+Dashboard!$E$4)+Dashboard!$E$5,J73))</f>
        <v>521210.7</v>
      </c>
      <c r="K74">
        <f>IF(ROW()&lt;3, 0,IF(Query1[[#This Row],[Month]]&lt;&gt;H73,IF((J74-I74&gt;0),J74-I74,0),0))</f>
        <v>0</v>
      </c>
      <c r="L74" s="2">
        <f t="shared" si="1"/>
        <v>3592.2989655359538</v>
      </c>
      <c r="M74">
        <f>IF(ROW()&lt;3, 0, IF(Query1[[#This Row],[Month]]&lt;&gt;H73, Dashboard!$J$5,0))</f>
        <v>0</v>
      </c>
      <c r="N74" s="2">
        <f>IF(ROW()&lt;3, Query1[[#This Row],[Shares]], IF(Query1[[#This Row],[Month]]&lt;&gt;H73, N73+Query1[[#This Row],[Fix Top Up]]/Query1[[#This Row],[Adj Close]], N73))</f>
        <v>3287.128484454312</v>
      </c>
      <c r="O74">
        <f>IF(AND(Query1[[#This Row],[avg]]&gt;0, Query1[[#This Row],[Month]]&lt;&gt;H73),
    IF(Query1[[#This Row],[Adj Close]]&gt;Query1[[#This Row],[avg]],
       Dashboard!$L$5-Dashboard!$E$6,
       Dashboard!$L$5+Dashboard!$E$6
    ), 0
)</f>
        <v>0</v>
      </c>
      <c r="P74" s="2">
        <f>IF(ROW()&lt;3, Query1[[#This Row],[Shares]], IF(Query1[[#This Row],[Month]]&lt;&gt;H73, P73+Query1[[#This Row],[Enhanced top up]]/Query1[[#This Row],[Adj Close]], P73))</f>
        <v>3285.9170918033292</v>
      </c>
      <c r="Q74" s="2">
        <f>IFERROR(AVERAGE(
  IF(ROW()&gt;20, INDEX(G:G, ROW()-20), 0) :
  INDEX(G:G, ROW())
),0)</f>
        <v>149.15638369605654</v>
      </c>
    </row>
    <row r="75" spans="1:17" x14ac:dyDescent="0.4">
      <c r="A75" s="1">
        <v>43938</v>
      </c>
      <c r="B75">
        <v>179.5</v>
      </c>
      <c r="C75">
        <v>180</v>
      </c>
      <c r="D75">
        <v>175.8699951171875</v>
      </c>
      <c r="E75">
        <v>178.60000610351563</v>
      </c>
      <c r="F75">
        <v>52765600</v>
      </c>
      <c r="G75">
        <v>170.35881042480469</v>
      </c>
      <c r="H75" s="2">
        <f>MONTH(Query1[[#This Row],[Date]])</f>
        <v>4</v>
      </c>
      <c r="I75" s="3">
        <f>Query1[[#This Row],[Shares]]*Query1[[#This Row],[Adj Close]]</f>
        <v>611979.77845896152</v>
      </c>
      <c r="J75" s="3">
        <f>IF(ROW()&lt;3, Dashboard!$E$7, IF(Query1[[#This Row],[Month]]&lt;&gt;H74,J74*(1+Dashboard!$E$4)+Dashboard!$E$5,J74))</f>
        <v>521210.7</v>
      </c>
      <c r="K75">
        <f>IF(ROW()&lt;3, 0,IF(Query1[[#This Row],[Month]]&lt;&gt;H74,IF((J75-I75&gt;0),J75-I75,0),0))</f>
        <v>0</v>
      </c>
      <c r="L75" s="2">
        <f t="shared" si="1"/>
        <v>3592.2989655359538</v>
      </c>
      <c r="M75">
        <f>IF(ROW()&lt;3, 0, IF(Query1[[#This Row],[Month]]&lt;&gt;H74, Dashboard!$J$5,0))</f>
        <v>0</v>
      </c>
      <c r="N75" s="2">
        <f>IF(ROW()&lt;3, Query1[[#This Row],[Shares]], IF(Query1[[#This Row],[Month]]&lt;&gt;H74, N74+Query1[[#This Row],[Fix Top Up]]/Query1[[#This Row],[Adj Close]], N74))</f>
        <v>3287.128484454312</v>
      </c>
      <c r="O75">
        <f>IF(AND(Query1[[#This Row],[avg]]&gt;0, Query1[[#This Row],[Month]]&lt;&gt;H74),
    IF(Query1[[#This Row],[Adj Close]]&gt;Query1[[#This Row],[avg]],
       Dashboard!$L$5-Dashboard!$E$6,
       Dashboard!$L$5+Dashboard!$E$6
    ), 0
)</f>
        <v>0</v>
      </c>
      <c r="P75" s="2">
        <f>IF(ROW()&lt;3, Query1[[#This Row],[Shares]], IF(Query1[[#This Row],[Month]]&lt;&gt;H74, P74+Query1[[#This Row],[Enhanced top up]]/Query1[[#This Row],[Adj Close]], P74))</f>
        <v>3285.9170918033292</v>
      </c>
      <c r="Q75" s="2">
        <f>IFERROR(AVERAGE(
  IF(ROW()&gt;20, INDEX(G:G, ROW()-20), 0) :
  INDEX(G:G, ROW())
),0)</f>
        <v>150.89149475097656</v>
      </c>
    </row>
    <row r="76" spans="1:17" x14ac:dyDescent="0.4">
      <c r="A76" s="1">
        <v>43941</v>
      </c>
      <c r="B76">
        <v>176.6300048828125</v>
      </c>
      <c r="C76">
        <v>178.75</v>
      </c>
      <c r="D76">
        <v>174.99000549316406</v>
      </c>
      <c r="E76">
        <v>175.05999755859375</v>
      </c>
      <c r="F76">
        <v>36669600</v>
      </c>
      <c r="G76">
        <v>166.98216247558594</v>
      </c>
      <c r="H76" s="2">
        <f>MONTH(Query1[[#This Row],[Date]])</f>
        <v>4</v>
      </c>
      <c r="I76" s="3">
        <f>Query1[[#This Row],[Shares]]*Query1[[#This Row],[Adj Close]]</f>
        <v>599849.84952400392</v>
      </c>
      <c r="J76" s="3">
        <f>IF(ROW()&lt;3, Dashboard!$E$7, IF(Query1[[#This Row],[Month]]&lt;&gt;H75,J75*(1+Dashboard!$E$4)+Dashboard!$E$5,J75))</f>
        <v>521210.7</v>
      </c>
      <c r="K76">
        <f>IF(ROW()&lt;3, 0,IF(Query1[[#This Row],[Month]]&lt;&gt;H75,IF((J76-I76&gt;0),J76-I76,0),0))</f>
        <v>0</v>
      </c>
      <c r="L76" s="2">
        <f t="shared" si="1"/>
        <v>3592.2989655359538</v>
      </c>
      <c r="M76">
        <f>IF(ROW()&lt;3, 0, IF(Query1[[#This Row],[Month]]&lt;&gt;H75, Dashboard!$J$5,0))</f>
        <v>0</v>
      </c>
      <c r="N76" s="2">
        <f>IF(ROW()&lt;3, Query1[[#This Row],[Shares]], IF(Query1[[#This Row],[Month]]&lt;&gt;H75, N75+Query1[[#This Row],[Fix Top Up]]/Query1[[#This Row],[Adj Close]], N75))</f>
        <v>3287.128484454312</v>
      </c>
      <c r="O76">
        <f>IF(AND(Query1[[#This Row],[avg]]&gt;0, Query1[[#This Row],[Month]]&lt;&gt;H75),
    IF(Query1[[#This Row],[Adj Close]]&gt;Query1[[#This Row],[avg]],
       Dashboard!$L$5-Dashboard!$E$6,
       Dashboard!$L$5+Dashboard!$E$6
    ), 0
)</f>
        <v>0</v>
      </c>
      <c r="P76" s="2">
        <f>IF(ROW()&lt;3, Query1[[#This Row],[Shares]], IF(Query1[[#This Row],[Month]]&lt;&gt;H75, P75+Query1[[#This Row],[Enhanced top up]]/Query1[[#This Row],[Adj Close]], P75))</f>
        <v>3285.9170918033292</v>
      </c>
      <c r="Q76" s="2">
        <f>IFERROR(AVERAGE(
  IF(ROW()&gt;20, INDEX(G:G, ROW()-20), 0) :
  INDEX(G:G, ROW())
),0)</f>
        <v>152.3608885265532</v>
      </c>
    </row>
    <row r="77" spans="1:17" x14ac:dyDescent="0.4">
      <c r="A77" s="1">
        <v>43942</v>
      </c>
      <c r="B77">
        <v>173.5</v>
      </c>
      <c r="C77">
        <v>173.66999816894531</v>
      </c>
      <c r="D77">
        <v>166.11000061035156</v>
      </c>
      <c r="E77">
        <v>167.82000732421875</v>
      </c>
      <c r="F77">
        <v>56203700</v>
      </c>
      <c r="G77">
        <v>160.07618713378906</v>
      </c>
      <c r="H77" s="2">
        <f>MONTH(Query1[[#This Row],[Date]])</f>
        <v>4</v>
      </c>
      <c r="I77" s="3">
        <f>Query1[[#This Row],[Shares]]*Query1[[#This Row],[Adj Close]]</f>
        <v>575041.52144765016</v>
      </c>
      <c r="J77" s="3">
        <f>IF(ROW()&lt;3, Dashboard!$E$7, IF(Query1[[#This Row],[Month]]&lt;&gt;H76,J76*(1+Dashboard!$E$4)+Dashboard!$E$5,J76))</f>
        <v>521210.7</v>
      </c>
      <c r="K77">
        <f>IF(ROW()&lt;3, 0,IF(Query1[[#This Row],[Month]]&lt;&gt;H76,IF((J77-I77&gt;0),J77-I77,0),0))</f>
        <v>0</v>
      </c>
      <c r="L77" s="2">
        <f t="shared" si="1"/>
        <v>3592.2989655359538</v>
      </c>
      <c r="M77">
        <f>IF(ROW()&lt;3, 0, IF(Query1[[#This Row],[Month]]&lt;&gt;H76, Dashboard!$J$5,0))</f>
        <v>0</v>
      </c>
      <c r="N77" s="2">
        <f>IF(ROW()&lt;3, Query1[[#This Row],[Shares]], IF(Query1[[#This Row],[Month]]&lt;&gt;H76, N76+Query1[[#This Row],[Fix Top Up]]/Query1[[#This Row],[Adj Close]], N76))</f>
        <v>3287.128484454312</v>
      </c>
      <c r="O77">
        <f>IF(AND(Query1[[#This Row],[avg]]&gt;0, Query1[[#This Row],[Month]]&lt;&gt;H76),
    IF(Query1[[#This Row],[Adj Close]]&gt;Query1[[#This Row],[avg]],
       Dashboard!$L$5-Dashboard!$E$6,
       Dashboard!$L$5+Dashboard!$E$6
    ), 0
)</f>
        <v>0</v>
      </c>
      <c r="P77" s="2">
        <f>IF(ROW()&lt;3, Query1[[#This Row],[Shares]], IF(Query1[[#This Row],[Month]]&lt;&gt;H76, P76+Query1[[#This Row],[Enhanced top up]]/Query1[[#This Row],[Adj Close]], P76))</f>
        <v>3285.9170918033292</v>
      </c>
      <c r="Q77" s="2">
        <f>IFERROR(AVERAGE(
  IF(ROW()&gt;20, INDEX(G:G, ROW()-20), 0) :
  INDEX(G:G, ROW())
),0)</f>
        <v>153.74488685244606</v>
      </c>
    </row>
    <row r="78" spans="1:17" x14ac:dyDescent="0.4">
      <c r="A78" s="1">
        <v>43943</v>
      </c>
      <c r="B78">
        <v>171.38999938964844</v>
      </c>
      <c r="C78">
        <v>174</v>
      </c>
      <c r="D78">
        <v>170.82000732421875</v>
      </c>
      <c r="E78">
        <v>173.52000427246094</v>
      </c>
      <c r="F78">
        <v>34620200</v>
      </c>
      <c r="G78">
        <v>165.51324462890625</v>
      </c>
      <c r="H78" s="2">
        <f>MONTH(Query1[[#This Row],[Date]])</f>
        <v>4</v>
      </c>
      <c r="I78" s="3">
        <f>Query1[[#This Row],[Shares]]*Query1[[#This Row],[Adj Close]]</f>
        <v>594573.05746291915</v>
      </c>
      <c r="J78" s="3">
        <f>IF(ROW()&lt;3, Dashboard!$E$7, IF(Query1[[#This Row],[Month]]&lt;&gt;H77,J77*(1+Dashboard!$E$4)+Dashboard!$E$5,J77))</f>
        <v>521210.7</v>
      </c>
      <c r="K78">
        <f>IF(ROW()&lt;3, 0,IF(Query1[[#This Row],[Month]]&lt;&gt;H77,IF((J78-I78&gt;0),J78-I78,0),0))</f>
        <v>0</v>
      </c>
      <c r="L78" s="2">
        <f t="shared" si="1"/>
        <v>3592.2989655359538</v>
      </c>
      <c r="M78">
        <f>IF(ROW()&lt;3, 0, IF(Query1[[#This Row],[Month]]&lt;&gt;H77, Dashboard!$J$5,0))</f>
        <v>0</v>
      </c>
      <c r="N78" s="2">
        <f>IF(ROW()&lt;3, Query1[[#This Row],[Shares]], IF(Query1[[#This Row],[Month]]&lt;&gt;H77, N77+Query1[[#This Row],[Fix Top Up]]/Query1[[#This Row],[Adj Close]], N77))</f>
        <v>3287.128484454312</v>
      </c>
      <c r="O78">
        <f>IF(AND(Query1[[#This Row],[avg]]&gt;0, Query1[[#This Row],[Month]]&lt;&gt;H77),
    IF(Query1[[#This Row],[Adj Close]]&gt;Query1[[#This Row],[avg]],
       Dashboard!$L$5-Dashboard!$E$6,
       Dashboard!$L$5+Dashboard!$E$6
    ), 0
)</f>
        <v>0</v>
      </c>
      <c r="P78" s="2">
        <f>IF(ROW()&lt;3, Query1[[#This Row],[Shares]], IF(Query1[[#This Row],[Month]]&lt;&gt;H77, P77+Query1[[#This Row],[Enhanced top up]]/Query1[[#This Row],[Adj Close]], P77))</f>
        <v>3285.9170918033292</v>
      </c>
      <c r="Q78" s="2">
        <f>IFERROR(AVERAGE(
  IF(ROW()&gt;20, INDEX(G:G, ROW()-20), 0) :
  INDEX(G:G, ROW())
),0)</f>
        <v>155.45002165294829</v>
      </c>
    </row>
    <row r="79" spans="1:17" x14ac:dyDescent="0.4">
      <c r="A79" s="1">
        <v>43944</v>
      </c>
      <c r="B79">
        <v>174.11000061035156</v>
      </c>
      <c r="C79">
        <v>175.05999755859375</v>
      </c>
      <c r="D79">
        <v>170.91000366210938</v>
      </c>
      <c r="E79">
        <v>171.41999816894531</v>
      </c>
      <c r="F79">
        <v>32790800</v>
      </c>
      <c r="G79">
        <v>163.51007080078125</v>
      </c>
      <c r="H79" s="2">
        <f>MONTH(Query1[[#This Row],[Date]])</f>
        <v>4</v>
      </c>
      <c r="I79" s="3">
        <f>Query1[[#This Row],[Shares]]*Query1[[#This Row],[Adj Close]]</f>
        <v>587377.05819235707</v>
      </c>
      <c r="J79" s="3">
        <f>IF(ROW()&lt;3, Dashboard!$E$7, IF(Query1[[#This Row],[Month]]&lt;&gt;H78,J78*(1+Dashboard!$E$4)+Dashboard!$E$5,J78))</f>
        <v>521210.7</v>
      </c>
      <c r="K79">
        <f>IF(ROW()&lt;3, 0,IF(Query1[[#This Row],[Month]]&lt;&gt;H78,IF((J79-I79&gt;0),J79-I79,0),0))</f>
        <v>0</v>
      </c>
      <c r="L79" s="2">
        <f t="shared" si="1"/>
        <v>3592.2989655359538</v>
      </c>
      <c r="M79">
        <f>IF(ROW()&lt;3, 0, IF(Query1[[#This Row],[Month]]&lt;&gt;H78, Dashboard!$J$5,0))</f>
        <v>0</v>
      </c>
      <c r="N79" s="2">
        <f>IF(ROW()&lt;3, Query1[[#This Row],[Shares]], IF(Query1[[#This Row],[Month]]&lt;&gt;H78, N78+Query1[[#This Row],[Fix Top Up]]/Query1[[#This Row],[Adj Close]], N78))</f>
        <v>3287.128484454312</v>
      </c>
      <c r="O79">
        <f>IF(AND(Query1[[#This Row],[avg]]&gt;0, Query1[[#This Row],[Month]]&lt;&gt;H78),
    IF(Query1[[#This Row],[Adj Close]]&gt;Query1[[#This Row],[avg]],
       Dashboard!$L$5-Dashboard!$E$6,
       Dashboard!$L$5+Dashboard!$E$6
    ), 0
)</f>
        <v>0</v>
      </c>
      <c r="P79" s="2">
        <f>IF(ROW()&lt;3, Query1[[#This Row],[Shares]], IF(Query1[[#This Row],[Month]]&lt;&gt;H78, P78+Query1[[#This Row],[Enhanced top up]]/Query1[[#This Row],[Adj Close]], P78))</f>
        <v>3285.9170918033292</v>
      </c>
      <c r="Q79" s="2">
        <f>IFERROR(AVERAGE(
  IF(ROW()&gt;20, INDEX(G:G, ROW()-20), 0) :
  INDEX(G:G, ROW())
),0)</f>
        <v>156.49835495721726</v>
      </c>
    </row>
    <row r="80" spans="1:17" x14ac:dyDescent="0.4">
      <c r="A80" s="1">
        <v>43945</v>
      </c>
      <c r="B80">
        <v>172.05999755859375</v>
      </c>
      <c r="C80">
        <v>174.55999755859375</v>
      </c>
      <c r="D80">
        <v>170.71000671386719</v>
      </c>
      <c r="E80">
        <v>174.55000305175781</v>
      </c>
      <c r="F80">
        <v>34277600</v>
      </c>
      <c r="G80">
        <v>166.49569702148438</v>
      </c>
      <c r="H80" s="2">
        <f>MONTH(Query1[[#This Row],[Date]])</f>
        <v>4</v>
      </c>
      <c r="I80" s="3">
        <f>Query1[[#This Row],[Shares]]*Query1[[#This Row],[Adj Close]]</f>
        <v>598102.3201764659</v>
      </c>
      <c r="J80" s="3">
        <f>IF(ROW()&lt;3, Dashboard!$E$7, IF(Query1[[#This Row],[Month]]&lt;&gt;H79,J79*(1+Dashboard!$E$4)+Dashboard!$E$5,J79))</f>
        <v>521210.7</v>
      </c>
      <c r="K80">
        <f>IF(ROW()&lt;3, 0,IF(Query1[[#This Row],[Month]]&lt;&gt;H79,IF((J80-I80&gt;0),J80-I80,0),0))</f>
        <v>0</v>
      </c>
      <c r="L80" s="2">
        <f t="shared" si="1"/>
        <v>3592.2989655359538</v>
      </c>
      <c r="M80">
        <f>IF(ROW()&lt;3, 0, IF(Query1[[#This Row],[Month]]&lt;&gt;H79, Dashboard!$J$5,0))</f>
        <v>0</v>
      </c>
      <c r="N80" s="2">
        <f>IF(ROW()&lt;3, Query1[[#This Row],[Shares]], IF(Query1[[#This Row],[Month]]&lt;&gt;H79, N79+Query1[[#This Row],[Fix Top Up]]/Query1[[#This Row],[Adj Close]], N79))</f>
        <v>3287.128484454312</v>
      </c>
      <c r="O80">
        <f>IF(AND(Query1[[#This Row],[avg]]&gt;0, Query1[[#This Row],[Month]]&lt;&gt;H79),
    IF(Query1[[#This Row],[Adj Close]]&gt;Query1[[#This Row],[avg]],
       Dashboard!$L$5-Dashboard!$E$6,
       Dashboard!$L$5+Dashboard!$E$6
    ), 0
)</f>
        <v>0</v>
      </c>
      <c r="P80" s="2">
        <f>IF(ROW()&lt;3, Query1[[#This Row],[Shares]], IF(Query1[[#This Row],[Month]]&lt;&gt;H79, P79+Query1[[#This Row],[Enhanced top up]]/Query1[[#This Row],[Adj Close]], P79))</f>
        <v>3285.9170918033292</v>
      </c>
      <c r="Q80" s="2">
        <f>IFERROR(AVERAGE(
  IF(ROW()&gt;20, INDEX(G:G, ROW()-20), 0) :
  INDEX(G:G, ROW())
),0)</f>
        <v>157.75335838681175</v>
      </c>
    </row>
    <row r="81" spans="1:17" x14ac:dyDescent="0.4">
      <c r="A81" s="1">
        <v>43948</v>
      </c>
      <c r="B81">
        <v>176.58999633789063</v>
      </c>
      <c r="C81">
        <v>176.89999389648438</v>
      </c>
      <c r="D81">
        <v>173.30000305175781</v>
      </c>
      <c r="E81">
        <v>174.05000305175781</v>
      </c>
      <c r="F81">
        <v>33194400</v>
      </c>
      <c r="G81">
        <v>166.01873779296875</v>
      </c>
      <c r="H81" s="2">
        <f>MONTH(Query1[[#This Row],[Date]])</f>
        <v>4</v>
      </c>
      <c r="I81" s="3">
        <f>Query1[[#This Row],[Shares]]*Query1[[#This Row],[Adj Close]]</f>
        <v>596388.94003326644</v>
      </c>
      <c r="J81" s="3">
        <f>IF(ROW()&lt;3, Dashboard!$E$7, IF(Query1[[#This Row],[Month]]&lt;&gt;H80,J80*(1+Dashboard!$E$4)+Dashboard!$E$5,J80))</f>
        <v>521210.7</v>
      </c>
      <c r="K81">
        <f>IF(ROW()&lt;3, 0,IF(Query1[[#This Row],[Month]]&lt;&gt;H80,IF((J81-I81&gt;0),J81-I81,0),0))</f>
        <v>0</v>
      </c>
      <c r="L81" s="2">
        <f t="shared" si="1"/>
        <v>3592.2989655359538</v>
      </c>
      <c r="M81">
        <f>IF(ROW()&lt;3, 0, IF(Query1[[#This Row],[Month]]&lt;&gt;H80, Dashboard!$J$5,0))</f>
        <v>0</v>
      </c>
      <c r="N81" s="2">
        <f>IF(ROW()&lt;3, Query1[[#This Row],[Shares]], IF(Query1[[#This Row],[Month]]&lt;&gt;H80, N80+Query1[[#This Row],[Fix Top Up]]/Query1[[#This Row],[Adj Close]], N80))</f>
        <v>3287.128484454312</v>
      </c>
      <c r="O81">
        <f>IF(AND(Query1[[#This Row],[avg]]&gt;0, Query1[[#This Row],[Month]]&lt;&gt;H80),
    IF(Query1[[#This Row],[Adj Close]]&gt;Query1[[#This Row],[avg]],
       Dashboard!$L$5-Dashboard!$E$6,
       Dashboard!$L$5+Dashboard!$E$6
    ), 0
)</f>
        <v>0</v>
      </c>
      <c r="P81" s="2">
        <f>IF(ROW()&lt;3, Query1[[#This Row],[Shares]], IF(Query1[[#This Row],[Month]]&lt;&gt;H80, P80+Query1[[#This Row],[Enhanced top up]]/Query1[[#This Row],[Adj Close]], P80))</f>
        <v>3285.9170918033292</v>
      </c>
      <c r="Q81" s="2">
        <f>IFERROR(AVERAGE(
  IF(ROW()&gt;20, INDEX(G:G, ROW()-20), 0) :
  INDEX(G:G, ROW())
),0)</f>
        <v>158.56822495233445</v>
      </c>
    </row>
    <row r="82" spans="1:17" x14ac:dyDescent="0.4">
      <c r="A82" s="1">
        <v>43949</v>
      </c>
      <c r="B82">
        <v>175.58999633789063</v>
      </c>
      <c r="C82">
        <v>175.66999816894531</v>
      </c>
      <c r="D82">
        <v>169.38999938964844</v>
      </c>
      <c r="E82">
        <v>169.80999755859375</v>
      </c>
      <c r="F82">
        <v>34392700</v>
      </c>
      <c r="G82">
        <v>161.97441101074219</v>
      </c>
      <c r="H82" s="2">
        <f>MONTH(Query1[[#This Row],[Date]])</f>
        <v>4</v>
      </c>
      <c r="I82" s="3">
        <f>Query1[[#This Row],[Shares]]*Query1[[#This Row],[Adj Close]]</f>
        <v>581860.50911718456</v>
      </c>
      <c r="J82" s="3">
        <f>IF(ROW()&lt;3, Dashboard!$E$7, IF(Query1[[#This Row],[Month]]&lt;&gt;H81,J81*(1+Dashboard!$E$4)+Dashboard!$E$5,J81))</f>
        <v>521210.7</v>
      </c>
      <c r="K82">
        <f>IF(ROW()&lt;3, 0,IF(Query1[[#This Row],[Month]]&lt;&gt;H81,IF((J82-I82&gt;0),J82-I82,0),0))</f>
        <v>0</v>
      </c>
      <c r="L82" s="2">
        <f t="shared" si="1"/>
        <v>3592.2989655359538</v>
      </c>
      <c r="M82">
        <f>IF(ROW()&lt;3, 0, IF(Query1[[#This Row],[Month]]&lt;&gt;H81, Dashboard!$J$5,0))</f>
        <v>0</v>
      </c>
      <c r="N82" s="2">
        <f>IF(ROW()&lt;3, Query1[[#This Row],[Shares]], IF(Query1[[#This Row],[Month]]&lt;&gt;H81, N81+Query1[[#This Row],[Fix Top Up]]/Query1[[#This Row],[Adj Close]], N81))</f>
        <v>3287.128484454312</v>
      </c>
      <c r="O82">
        <f>IF(AND(Query1[[#This Row],[avg]]&gt;0, Query1[[#This Row],[Month]]&lt;&gt;H81),
    IF(Query1[[#This Row],[Adj Close]]&gt;Query1[[#This Row],[avg]],
       Dashboard!$L$5-Dashboard!$E$6,
       Dashboard!$L$5+Dashboard!$E$6
    ), 0
)</f>
        <v>0</v>
      </c>
      <c r="P82" s="2">
        <f>IF(ROW()&lt;3, Query1[[#This Row],[Shares]], IF(Query1[[#This Row],[Month]]&lt;&gt;H81, P81+Query1[[#This Row],[Enhanced top up]]/Query1[[#This Row],[Adj Close]], P81))</f>
        <v>3285.9170918033292</v>
      </c>
      <c r="Q82" s="2">
        <f>IFERROR(AVERAGE(
  IF(ROW()&gt;20, INDEX(G:G, ROW()-20), 0) :
  INDEX(G:G, ROW())
),0)</f>
        <v>159.48165675571985</v>
      </c>
    </row>
    <row r="83" spans="1:17" x14ac:dyDescent="0.4">
      <c r="A83" s="1">
        <v>43950</v>
      </c>
      <c r="B83">
        <v>173.22000122070313</v>
      </c>
      <c r="C83">
        <v>177.67999267578125</v>
      </c>
      <c r="D83">
        <v>171.8800048828125</v>
      </c>
      <c r="E83">
        <v>177.42999267578125</v>
      </c>
      <c r="F83">
        <v>51286600</v>
      </c>
      <c r="G83">
        <v>169.24278259277344</v>
      </c>
      <c r="H83" s="2">
        <f>MONTH(Query1[[#This Row],[Date]])</f>
        <v>4</v>
      </c>
      <c r="I83" s="3">
        <f>Query1[[#This Row],[Shares]]*Query1[[#This Row],[Adj Close]]</f>
        <v>607970.67283244641</v>
      </c>
      <c r="J83" s="3">
        <f>IF(ROW()&lt;3, Dashboard!$E$7, IF(Query1[[#This Row],[Month]]&lt;&gt;H82,J82*(1+Dashboard!$E$4)+Dashboard!$E$5,J82))</f>
        <v>521210.7</v>
      </c>
      <c r="K83">
        <f>IF(ROW()&lt;3, 0,IF(Query1[[#This Row],[Month]]&lt;&gt;H82,IF((J83-I83&gt;0),J83-I83,0),0))</f>
        <v>0</v>
      </c>
      <c r="L83" s="2">
        <f t="shared" si="1"/>
        <v>3592.2989655359538</v>
      </c>
      <c r="M83">
        <f>IF(ROW()&lt;3, 0, IF(Query1[[#This Row],[Month]]&lt;&gt;H82, Dashboard!$J$5,0))</f>
        <v>0</v>
      </c>
      <c r="N83" s="2">
        <f>IF(ROW()&lt;3, Query1[[#This Row],[Shares]], IF(Query1[[#This Row],[Month]]&lt;&gt;H82, N82+Query1[[#This Row],[Fix Top Up]]/Query1[[#This Row],[Adj Close]], N82))</f>
        <v>3287.128484454312</v>
      </c>
      <c r="O83">
        <f>IF(AND(Query1[[#This Row],[avg]]&gt;0, Query1[[#This Row],[Month]]&lt;&gt;H82),
    IF(Query1[[#This Row],[Adj Close]]&gt;Query1[[#This Row],[avg]],
       Dashboard!$L$5-Dashboard!$E$6,
       Dashboard!$L$5+Dashboard!$E$6
    ), 0
)</f>
        <v>0</v>
      </c>
      <c r="P83" s="2">
        <f>IF(ROW()&lt;3, Query1[[#This Row],[Shares]], IF(Query1[[#This Row],[Month]]&lt;&gt;H82, P82+Query1[[#This Row],[Enhanced top up]]/Query1[[#This Row],[Adj Close]], P82))</f>
        <v>3285.9170918033292</v>
      </c>
      <c r="Q83" s="2">
        <f>IFERROR(AVERAGE(
  IF(ROW()&gt;20, INDEX(G:G, ROW()-20), 0) :
  INDEX(G:G, ROW())
),0)</f>
        <v>160.26290966215589</v>
      </c>
    </row>
    <row r="84" spans="1:17" x14ac:dyDescent="0.4">
      <c r="A84" s="1">
        <v>43951</v>
      </c>
      <c r="B84">
        <v>180</v>
      </c>
      <c r="C84">
        <v>180.39999389648438</v>
      </c>
      <c r="D84">
        <v>176.22999572753906</v>
      </c>
      <c r="E84">
        <v>179.21000671386719</v>
      </c>
      <c r="F84">
        <v>53875900</v>
      </c>
      <c r="G84">
        <v>170.94062805175781</v>
      </c>
      <c r="H84" s="2">
        <f>MONTH(Query1[[#This Row],[Date]])</f>
        <v>4</v>
      </c>
      <c r="I84" s="3">
        <f>Query1[[#This Row],[Shares]]*Query1[[#This Row],[Adj Close]]</f>
        <v>614069.8413183958</v>
      </c>
      <c r="J84" s="3">
        <f>IF(ROW()&lt;3, Dashboard!$E$7, IF(Query1[[#This Row],[Month]]&lt;&gt;H83,J83*(1+Dashboard!$E$4)+Dashboard!$E$5,J83))</f>
        <v>521210.7</v>
      </c>
      <c r="K84">
        <f>IF(ROW()&lt;3, 0,IF(Query1[[#This Row],[Month]]&lt;&gt;H83,IF((J84-I84&gt;0),J84-I84,0),0))</f>
        <v>0</v>
      </c>
      <c r="L84" s="2">
        <f t="shared" si="1"/>
        <v>3592.2989655359538</v>
      </c>
      <c r="M84">
        <f>IF(ROW()&lt;3, 0, IF(Query1[[#This Row],[Month]]&lt;&gt;H83, Dashboard!$J$5,0))</f>
        <v>0</v>
      </c>
      <c r="N84" s="2">
        <f>IF(ROW()&lt;3, Query1[[#This Row],[Shares]], IF(Query1[[#This Row],[Month]]&lt;&gt;H83, N83+Query1[[#This Row],[Fix Top Up]]/Query1[[#This Row],[Adj Close]], N83))</f>
        <v>3287.128484454312</v>
      </c>
      <c r="O84">
        <f>IF(AND(Query1[[#This Row],[avg]]&gt;0, Query1[[#This Row],[Month]]&lt;&gt;H83),
    IF(Query1[[#This Row],[Adj Close]]&gt;Query1[[#This Row],[avg]],
       Dashboard!$L$5-Dashboard!$E$6,
       Dashboard!$L$5+Dashboard!$E$6
    ), 0
)</f>
        <v>0</v>
      </c>
      <c r="P84" s="2">
        <f>IF(ROW()&lt;3, Query1[[#This Row],[Shares]], IF(Query1[[#This Row],[Month]]&lt;&gt;H83, P83+Query1[[#This Row],[Enhanced top up]]/Query1[[#This Row],[Adj Close]], P83))</f>
        <v>3285.9170918033292</v>
      </c>
      <c r="Q84" s="2">
        <f>IFERROR(AVERAGE(
  IF(ROW()&gt;20, INDEX(G:G, ROW()-20), 0) :
  INDEX(G:G, ROW())
),0)</f>
        <v>161.23947579520089</v>
      </c>
    </row>
    <row r="85" spans="1:17" x14ac:dyDescent="0.4">
      <c r="A85" s="1">
        <v>43952</v>
      </c>
      <c r="B85">
        <v>175.80000305175781</v>
      </c>
      <c r="C85">
        <v>178.63999938964844</v>
      </c>
      <c r="D85">
        <v>174.00999450683594</v>
      </c>
      <c r="E85">
        <v>174.57000732421875</v>
      </c>
      <c r="F85">
        <v>39370500</v>
      </c>
      <c r="G85">
        <v>166.51472473144531</v>
      </c>
      <c r="H85" s="2">
        <f>MONTH(Query1[[#This Row],[Date]])</f>
        <v>5</v>
      </c>
      <c r="I85" s="3">
        <f>Query1[[#This Row],[Shares]]*Query1[[#This Row],[Adj Close]]</f>
        <v>598170.67339927505</v>
      </c>
      <c r="J85" s="3">
        <f>IF(ROW()&lt;3, Dashboard!$E$7, IF(Query1[[#This Row],[Month]]&lt;&gt;H84,J84*(1+Dashboard!$E$4)+Dashboard!$E$5,J84))</f>
        <v>528422.80700000003</v>
      </c>
      <c r="K85">
        <f>IF(ROW()&lt;3, 0,IF(Query1[[#This Row],[Month]]&lt;&gt;H84,IF((J85-I85&gt;0),J85-I85,0),0))</f>
        <v>0</v>
      </c>
      <c r="L85" s="2">
        <f t="shared" si="1"/>
        <v>3592.2989655359538</v>
      </c>
      <c r="M85">
        <f>IF(ROW()&lt;3, 0, IF(Query1[[#This Row],[Month]]&lt;&gt;H84, Dashboard!$J$5,0))</f>
        <v>773.47399999999971</v>
      </c>
      <c r="N85" s="2">
        <f>IF(ROW()&lt;3, Query1[[#This Row],[Shares]], IF(Query1[[#This Row],[Month]]&lt;&gt;H84, N84+Query1[[#This Row],[Fix Top Up]]/Query1[[#This Row],[Adj Close]], N84))</f>
        <v>3291.7735631477876</v>
      </c>
      <c r="O85">
        <f>IF(AND(Query1[[#This Row],[avg]]&gt;0, Query1[[#This Row],[Month]]&lt;&gt;H84),
    IF(Query1[[#This Row],[Adj Close]]&gt;Query1[[#This Row],[avg]],
       Dashboard!$L$5-Dashboard!$E$6,
       Dashboard!$L$5+Dashboard!$E$6
    ), 0
)</f>
        <v>390.14066666666668</v>
      </c>
      <c r="P85" s="2">
        <f>IF(ROW()&lt;3, Query1[[#This Row],[Shares]], IF(Query1[[#This Row],[Month]]&lt;&gt;H84, P84+Query1[[#This Row],[Enhanced top up]]/Query1[[#This Row],[Adj Close]], P84))</f>
        <v>3288.2600717848045</v>
      </c>
      <c r="Q85" s="2">
        <f>IFERROR(AVERAGE(
  IF(ROW()&gt;20, INDEX(G:G, ROW()-20), 0) :
  INDEX(G:G, ROW())
),0)</f>
        <v>162.25964718773253</v>
      </c>
    </row>
    <row r="86" spans="1:17" x14ac:dyDescent="0.4">
      <c r="A86" s="1">
        <v>43955</v>
      </c>
      <c r="B86">
        <v>174.49000549316406</v>
      </c>
      <c r="C86">
        <v>179</v>
      </c>
      <c r="D86">
        <v>173.80000305175781</v>
      </c>
      <c r="E86">
        <v>178.83999633789063</v>
      </c>
      <c r="F86">
        <v>30372900</v>
      </c>
      <c r="G86">
        <v>170.58772277832031</v>
      </c>
      <c r="H86" s="2">
        <f>MONTH(Query1[[#This Row],[Date]])</f>
        <v>5</v>
      </c>
      <c r="I86" s="3">
        <f>Query1[[#This Row],[Shares]]*Query1[[#This Row],[Adj Close]]</f>
        <v>612802.1000696941</v>
      </c>
      <c r="J86" s="3">
        <f>IF(ROW()&lt;3, Dashboard!$E$7, IF(Query1[[#This Row],[Month]]&lt;&gt;H85,J85*(1+Dashboard!$E$4)+Dashboard!$E$5,J85))</f>
        <v>528422.80700000003</v>
      </c>
      <c r="K86">
        <f>IF(ROW()&lt;3, 0,IF(Query1[[#This Row],[Month]]&lt;&gt;H85,IF((J86-I86&gt;0),J86-I86,0),0))</f>
        <v>0</v>
      </c>
      <c r="L86" s="2">
        <f t="shared" si="1"/>
        <v>3592.2989655359538</v>
      </c>
      <c r="M86">
        <f>IF(ROW()&lt;3, 0, IF(Query1[[#This Row],[Month]]&lt;&gt;H85, Dashboard!$J$5,0))</f>
        <v>0</v>
      </c>
      <c r="N86" s="2">
        <f>IF(ROW()&lt;3, Query1[[#This Row],[Shares]], IF(Query1[[#This Row],[Month]]&lt;&gt;H85, N85+Query1[[#This Row],[Fix Top Up]]/Query1[[#This Row],[Adj Close]], N85))</f>
        <v>3291.7735631477876</v>
      </c>
      <c r="O86">
        <f>IF(AND(Query1[[#This Row],[avg]]&gt;0, Query1[[#This Row],[Month]]&lt;&gt;H85),
    IF(Query1[[#This Row],[Adj Close]]&gt;Query1[[#This Row],[avg]],
       Dashboard!$L$5-Dashboard!$E$6,
       Dashboard!$L$5+Dashboard!$E$6
    ), 0
)</f>
        <v>0</v>
      </c>
      <c r="P86" s="2">
        <f>IF(ROW()&lt;3, Query1[[#This Row],[Shares]], IF(Query1[[#This Row],[Month]]&lt;&gt;H85, P85+Query1[[#This Row],[Enhanced top up]]/Query1[[#This Row],[Adj Close]], P85))</f>
        <v>3288.2600717848045</v>
      </c>
      <c r="Q86" s="2">
        <f>IFERROR(AVERAGE(
  IF(ROW()&gt;20, INDEX(G:G, ROW()-20), 0) :
  INDEX(G:G, ROW())
),0)</f>
        <v>163.33069210960753</v>
      </c>
    </row>
    <row r="87" spans="1:17" x14ac:dyDescent="0.4">
      <c r="A87" s="1">
        <v>43956</v>
      </c>
      <c r="B87">
        <v>180.6199951171875</v>
      </c>
      <c r="C87">
        <v>183.64999389648438</v>
      </c>
      <c r="D87">
        <v>179.89999389648438</v>
      </c>
      <c r="E87">
        <v>180.75999450683594</v>
      </c>
      <c r="F87">
        <v>36839200</v>
      </c>
      <c r="G87">
        <v>172.41912841796875</v>
      </c>
      <c r="H87" s="2">
        <f>MONTH(Query1[[#This Row],[Date]])</f>
        <v>5</v>
      </c>
      <c r="I87" s="3">
        <f>Query1[[#This Row],[Shares]]*Query1[[#This Row],[Adj Close]]</f>
        <v>619381.05665447994</v>
      </c>
      <c r="J87" s="3">
        <f>IF(ROW()&lt;3, Dashboard!$E$7, IF(Query1[[#This Row],[Month]]&lt;&gt;H86,J86*(1+Dashboard!$E$4)+Dashboard!$E$5,J86))</f>
        <v>528422.80700000003</v>
      </c>
      <c r="K87">
        <f>IF(ROW()&lt;3, 0,IF(Query1[[#This Row],[Month]]&lt;&gt;H86,IF((J87-I87&gt;0),J87-I87,0),0))</f>
        <v>0</v>
      </c>
      <c r="L87" s="2">
        <f t="shared" si="1"/>
        <v>3592.2989655359538</v>
      </c>
      <c r="M87">
        <f>IF(ROW()&lt;3, 0, IF(Query1[[#This Row],[Month]]&lt;&gt;H86, Dashboard!$J$5,0))</f>
        <v>0</v>
      </c>
      <c r="N87" s="2">
        <f>IF(ROW()&lt;3, Query1[[#This Row],[Shares]], IF(Query1[[#This Row],[Month]]&lt;&gt;H86, N86+Query1[[#This Row],[Fix Top Up]]/Query1[[#This Row],[Adj Close]], N86))</f>
        <v>3291.7735631477876</v>
      </c>
      <c r="O87">
        <f>IF(AND(Query1[[#This Row],[avg]]&gt;0, Query1[[#This Row],[Month]]&lt;&gt;H86),
    IF(Query1[[#This Row],[Adj Close]]&gt;Query1[[#This Row],[avg]],
       Dashboard!$L$5-Dashboard!$E$6,
       Dashboard!$L$5+Dashboard!$E$6
    ), 0
)</f>
        <v>0</v>
      </c>
      <c r="P87" s="2">
        <f>IF(ROW()&lt;3, Query1[[#This Row],[Shares]], IF(Query1[[#This Row],[Month]]&lt;&gt;H86, P86+Query1[[#This Row],[Enhanced top up]]/Query1[[#This Row],[Adj Close]], P86))</f>
        <v>3288.2600717848045</v>
      </c>
      <c r="Q87" s="2">
        <f>IFERROR(AVERAGE(
  IF(ROW()&gt;20, INDEX(G:G, ROW()-20), 0) :
  INDEX(G:G, ROW())
),0)</f>
        <v>164.55389840262276</v>
      </c>
    </row>
    <row r="88" spans="1:17" x14ac:dyDescent="0.4">
      <c r="A88" s="1">
        <v>43957</v>
      </c>
      <c r="B88">
        <v>182.08000183105469</v>
      </c>
      <c r="C88">
        <v>184.19999694824219</v>
      </c>
      <c r="D88">
        <v>181.6300048828125</v>
      </c>
      <c r="E88">
        <v>182.53999328613281</v>
      </c>
      <c r="F88">
        <v>32139300</v>
      </c>
      <c r="G88">
        <v>174.11697387695313</v>
      </c>
      <c r="H88" s="2">
        <f>MONTH(Query1[[#This Row],[Date]])</f>
        <v>5</v>
      </c>
      <c r="I88" s="3">
        <f>Query1[[#This Row],[Shares]]*Query1[[#This Row],[Adj Close]]</f>
        <v>625480.22514042945</v>
      </c>
      <c r="J88" s="3">
        <f>IF(ROW()&lt;3, Dashboard!$E$7, IF(Query1[[#This Row],[Month]]&lt;&gt;H87,J87*(1+Dashboard!$E$4)+Dashboard!$E$5,J87))</f>
        <v>528422.80700000003</v>
      </c>
      <c r="K88">
        <f>IF(ROW()&lt;3, 0,IF(Query1[[#This Row],[Month]]&lt;&gt;H87,IF((J88-I88&gt;0),J88-I88,0),0))</f>
        <v>0</v>
      </c>
      <c r="L88" s="2">
        <f t="shared" si="1"/>
        <v>3592.2989655359538</v>
      </c>
      <c r="M88">
        <f>IF(ROW()&lt;3, 0, IF(Query1[[#This Row],[Month]]&lt;&gt;H87, Dashboard!$J$5,0))</f>
        <v>0</v>
      </c>
      <c r="N88" s="2">
        <f>IF(ROW()&lt;3, Query1[[#This Row],[Shares]], IF(Query1[[#This Row],[Month]]&lt;&gt;H87, N87+Query1[[#This Row],[Fix Top Up]]/Query1[[#This Row],[Adj Close]], N87))</f>
        <v>3291.7735631477876</v>
      </c>
      <c r="O88">
        <f>IF(AND(Query1[[#This Row],[avg]]&gt;0, Query1[[#This Row],[Month]]&lt;&gt;H87),
    IF(Query1[[#This Row],[Adj Close]]&gt;Query1[[#This Row],[avg]],
       Dashboard!$L$5-Dashboard!$E$6,
       Dashboard!$L$5+Dashboard!$E$6
    ), 0
)</f>
        <v>0</v>
      </c>
      <c r="P88" s="2">
        <f>IF(ROW()&lt;3, Query1[[#This Row],[Shares]], IF(Query1[[#This Row],[Month]]&lt;&gt;H87, P87+Query1[[#This Row],[Enhanced top up]]/Query1[[#This Row],[Adj Close]], P87))</f>
        <v>3288.2600717848045</v>
      </c>
      <c r="Q88" s="2">
        <f>IFERROR(AVERAGE(
  IF(ROW()&gt;20, INDEX(G:G, ROW()-20), 0) :
  INDEX(G:G, ROW())
),0)</f>
        <v>165.3383302234468</v>
      </c>
    </row>
    <row r="89" spans="1:17" x14ac:dyDescent="0.4">
      <c r="A89" s="1">
        <v>43958</v>
      </c>
      <c r="B89">
        <v>184.16999816894531</v>
      </c>
      <c r="C89">
        <v>184.55000305175781</v>
      </c>
      <c r="D89">
        <v>182.58000183105469</v>
      </c>
      <c r="E89">
        <v>183.60000610351563</v>
      </c>
      <c r="F89">
        <v>28316000</v>
      </c>
      <c r="G89">
        <v>175.12809753417969</v>
      </c>
      <c r="H89" s="2">
        <f>MONTH(Query1[[#This Row],[Date]])</f>
        <v>5</v>
      </c>
      <c r="I89" s="3">
        <f>Query1[[#This Row],[Shares]]*Query1[[#This Row],[Adj Close]]</f>
        <v>629112.48360831337</v>
      </c>
      <c r="J89" s="3">
        <f>IF(ROW()&lt;3, Dashboard!$E$7, IF(Query1[[#This Row],[Month]]&lt;&gt;H88,J88*(1+Dashboard!$E$4)+Dashboard!$E$5,J88))</f>
        <v>528422.80700000003</v>
      </c>
      <c r="K89">
        <f>IF(ROW()&lt;3, 0,IF(Query1[[#This Row],[Month]]&lt;&gt;H88,IF((J89-I89&gt;0),J89-I89,0),0))</f>
        <v>0</v>
      </c>
      <c r="L89" s="2">
        <f t="shared" si="1"/>
        <v>3592.2989655359538</v>
      </c>
      <c r="M89">
        <f>IF(ROW()&lt;3, 0, IF(Query1[[#This Row],[Month]]&lt;&gt;H88, Dashboard!$J$5,0))</f>
        <v>0</v>
      </c>
      <c r="N89" s="2">
        <f>IF(ROW()&lt;3, Query1[[#This Row],[Shares]], IF(Query1[[#This Row],[Month]]&lt;&gt;H88, N88+Query1[[#This Row],[Fix Top Up]]/Query1[[#This Row],[Adj Close]], N88))</f>
        <v>3291.7735631477876</v>
      </c>
      <c r="O89">
        <f>IF(AND(Query1[[#This Row],[avg]]&gt;0, Query1[[#This Row],[Month]]&lt;&gt;H88),
    IF(Query1[[#This Row],[Adj Close]]&gt;Query1[[#This Row],[avg]],
       Dashboard!$L$5-Dashboard!$E$6,
       Dashboard!$L$5+Dashboard!$E$6
    ), 0
)</f>
        <v>0</v>
      </c>
      <c r="P89" s="2">
        <f>IF(ROW()&lt;3, Query1[[#This Row],[Shares]], IF(Query1[[#This Row],[Month]]&lt;&gt;H88, P88+Query1[[#This Row],[Enhanced top up]]/Query1[[#This Row],[Adj Close]], P88))</f>
        <v>3288.2600717848045</v>
      </c>
      <c r="Q89" s="2">
        <f>IFERROR(AVERAGE(
  IF(ROW()&gt;20, INDEX(G:G, ROW()-20), 0) :
  INDEX(G:G, ROW())
),0)</f>
        <v>166.25176057361421</v>
      </c>
    </row>
    <row r="90" spans="1:17" x14ac:dyDescent="0.4">
      <c r="A90" s="1">
        <v>43959</v>
      </c>
      <c r="B90">
        <v>184.97999572753906</v>
      </c>
      <c r="C90">
        <v>185</v>
      </c>
      <c r="D90">
        <v>183.36000061035156</v>
      </c>
      <c r="E90">
        <v>184.67999267578125</v>
      </c>
      <c r="F90">
        <v>30877800</v>
      </c>
      <c r="G90">
        <v>176.15824890136719</v>
      </c>
      <c r="H90" s="2">
        <f>MONTH(Query1[[#This Row],[Date]])</f>
        <v>5</v>
      </c>
      <c r="I90" s="3">
        <f>Query1[[#This Row],[Shares]]*Query1[[#This Row],[Adj Close]]</f>
        <v>632813.09529900644</v>
      </c>
      <c r="J90" s="3">
        <f>IF(ROW()&lt;3, Dashboard!$E$7, IF(Query1[[#This Row],[Month]]&lt;&gt;H89,J89*(1+Dashboard!$E$4)+Dashboard!$E$5,J89))</f>
        <v>528422.80700000003</v>
      </c>
      <c r="K90">
        <f>IF(ROW()&lt;3, 0,IF(Query1[[#This Row],[Month]]&lt;&gt;H89,IF((J90-I90&gt;0),J90-I90,0),0))</f>
        <v>0</v>
      </c>
      <c r="L90" s="2">
        <f t="shared" si="1"/>
        <v>3592.2989655359538</v>
      </c>
      <c r="M90">
        <f>IF(ROW()&lt;3, 0, IF(Query1[[#This Row],[Month]]&lt;&gt;H89, Dashboard!$J$5,0))</f>
        <v>0</v>
      </c>
      <c r="N90" s="2">
        <f>IF(ROW()&lt;3, Query1[[#This Row],[Shares]], IF(Query1[[#This Row],[Month]]&lt;&gt;H89, N89+Query1[[#This Row],[Fix Top Up]]/Query1[[#This Row],[Adj Close]], N89))</f>
        <v>3291.7735631477876</v>
      </c>
      <c r="O90">
        <f>IF(AND(Query1[[#This Row],[avg]]&gt;0, Query1[[#This Row],[Month]]&lt;&gt;H89),
    IF(Query1[[#This Row],[Adj Close]]&gt;Query1[[#This Row],[avg]],
       Dashboard!$L$5-Dashboard!$E$6,
       Dashboard!$L$5+Dashboard!$E$6
    ), 0
)</f>
        <v>0</v>
      </c>
      <c r="P90" s="2">
        <f>IF(ROW()&lt;3, Query1[[#This Row],[Shares]], IF(Query1[[#This Row],[Month]]&lt;&gt;H89, P89+Query1[[#This Row],[Enhanced top up]]/Query1[[#This Row],[Adj Close]], P89))</f>
        <v>3288.2600717848045</v>
      </c>
      <c r="Q90" s="2">
        <f>IFERROR(AVERAGE(
  IF(ROW()&gt;20, INDEX(G:G, ROW()-20), 0) :
  INDEX(G:G, ROW())
),0)</f>
        <v>167.13975670224144</v>
      </c>
    </row>
    <row r="91" spans="1:17" x14ac:dyDescent="0.4">
      <c r="A91" s="1">
        <v>43962</v>
      </c>
      <c r="B91">
        <v>183.14999389648438</v>
      </c>
      <c r="C91">
        <v>187.50999450683594</v>
      </c>
      <c r="D91">
        <v>182.85000610351563</v>
      </c>
      <c r="E91">
        <v>186.74000549316406</v>
      </c>
      <c r="F91">
        <v>30892700</v>
      </c>
      <c r="G91">
        <v>178.12319946289063</v>
      </c>
      <c r="H91" s="2">
        <f>MONTH(Query1[[#This Row],[Date]])</f>
        <v>5</v>
      </c>
      <c r="I91" s="3">
        <f>Query1[[#This Row],[Shares]]*Query1[[#This Row],[Adj Close]]</f>
        <v>639871.78516849631</v>
      </c>
      <c r="J91" s="3">
        <f>IF(ROW()&lt;3, Dashboard!$E$7, IF(Query1[[#This Row],[Month]]&lt;&gt;H90,J90*(1+Dashboard!$E$4)+Dashboard!$E$5,J90))</f>
        <v>528422.80700000003</v>
      </c>
      <c r="K91">
        <f>IF(ROW()&lt;3, 0,IF(Query1[[#This Row],[Month]]&lt;&gt;H90,IF((J91-I91&gt;0),J91-I91,0),0))</f>
        <v>0</v>
      </c>
      <c r="L91" s="2">
        <f t="shared" si="1"/>
        <v>3592.2989655359538</v>
      </c>
      <c r="M91">
        <f>IF(ROW()&lt;3, 0, IF(Query1[[#This Row],[Month]]&lt;&gt;H90, Dashboard!$J$5,0))</f>
        <v>0</v>
      </c>
      <c r="N91" s="2">
        <f>IF(ROW()&lt;3, Query1[[#This Row],[Shares]], IF(Query1[[#This Row],[Month]]&lt;&gt;H90, N90+Query1[[#This Row],[Fix Top Up]]/Query1[[#This Row],[Adj Close]], N90))</f>
        <v>3291.7735631477876</v>
      </c>
      <c r="O91">
        <f>IF(AND(Query1[[#This Row],[avg]]&gt;0, Query1[[#This Row],[Month]]&lt;&gt;H90),
    IF(Query1[[#This Row],[Adj Close]]&gt;Query1[[#This Row],[avg]],
       Dashboard!$L$5-Dashboard!$E$6,
       Dashboard!$L$5+Dashboard!$E$6
    ), 0
)</f>
        <v>0</v>
      </c>
      <c r="P91" s="2">
        <f>IF(ROW()&lt;3, Query1[[#This Row],[Shares]], IF(Query1[[#This Row],[Month]]&lt;&gt;H90, P90+Query1[[#This Row],[Enhanced top up]]/Query1[[#This Row],[Adj Close]], P90))</f>
        <v>3288.2600717848045</v>
      </c>
      <c r="Q91" s="2">
        <f>IFERROR(AVERAGE(
  IF(ROW()&gt;20, INDEX(G:G, ROW()-20), 0) :
  INDEX(G:G, ROW())
),0)</f>
        <v>168.12086632138207</v>
      </c>
    </row>
    <row r="92" spans="1:17" x14ac:dyDescent="0.4">
      <c r="A92" s="1">
        <v>43963</v>
      </c>
      <c r="B92">
        <v>186.80000305175781</v>
      </c>
      <c r="C92">
        <v>187.03999328613281</v>
      </c>
      <c r="D92">
        <v>182.30000305175781</v>
      </c>
      <c r="E92">
        <v>182.50999450683594</v>
      </c>
      <c r="F92">
        <v>32038200</v>
      </c>
      <c r="G92">
        <v>174.08833312988281</v>
      </c>
      <c r="H92" s="2">
        <f>MONTH(Query1[[#This Row],[Date]])</f>
        <v>5</v>
      </c>
      <c r="I92" s="3">
        <f>Query1[[#This Row],[Shares]]*Query1[[#This Row],[Adj Close]]</f>
        <v>625377.33901435649</v>
      </c>
      <c r="J92" s="3">
        <f>IF(ROW()&lt;3, Dashboard!$E$7, IF(Query1[[#This Row],[Month]]&lt;&gt;H91,J91*(1+Dashboard!$E$4)+Dashboard!$E$5,J91))</f>
        <v>528422.80700000003</v>
      </c>
      <c r="K92">
        <f>IF(ROW()&lt;3, 0,IF(Query1[[#This Row],[Month]]&lt;&gt;H91,IF((J92-I92&gt;0),J92-I92,0),0))</f>
        <v>0</v>
      </c>
      <c r="L92" s="2">
        <f t="shared" si="1"/>
        <v>3592.2989655359538</v>
      </c>
      <c r="M92">
        <f>IF(ROW()&lt;3, 0, IF(Query1[[#This Row],[Month]]&lt;&gt;H91, Dashboard!$J$5,0))</f>
        <v>0</v>
      </c>
      <c r="N92" s="2">
        <f>IF(ROW()&lt;3, Query1[[#This Row],[Shares]], IF(Query1[[#This Row],[Month]]&lt;&gt;H91, N91+Query1[[#This Row],[Fix Top Up]]/Query1[[#This Row],[Adj Close]], N91))</f>
        <v>3291.7735631477876</v>
      </c>
      <c r="O92">
        <f>IF(AND(Query1[[#This Row],[avg]]&gt;0, Query1[[#This Row],[Month]]&lt;&gt;H91),
    IF(Query1[[#This Row],[Adj Close]]&gt;Query1[[#This Row],[avg]],
       Dashboard!$L$5-Dashboard!$E$6,
       Dashboard!$L$5+Dashboard!$E$6
    ), 0
)</f>
        <v>0</v>
      </c>
      <c r="P92" s="2">
        <f>IF(ROW()&lt;3, Query1[[#This Row],[Shares]], IF(Query1[[#This Row],[Month]]&lt;&gt;H91, P91+Query1[[#This Row],[Enhanced top up]]/Query1[[#This Row],[Adj Close]], P91))</f>
        <v>3288.2600717848045</v>
      </c>
      <c r="Q92" s="2">
        <f>IFERROR(AVERAGE(
  IF(ROW()&gt;20, INDEX(G:G, ROW()-20), 0) :
  INDEX(G:G, ROW())
),0)</f>
        <v>168.89303516206286</v>
      </c>
    </row>
    <row r="93" spans="1:17" x14ac:dyDescent="0.4">
      <c r="A93" s="1">
        <v>43964</v>
      </c>
      <c r="B93">
        <v>182.55000305175781</v>
      </c>
      <c r="C93">
        <v>184.05000305175781</v>
      </c>
      <c r="D93">
        <v>176.53999328613281</v>
      </c>
      <c r="E93">
        <v>179.75</v>
      </c>
      <c r="F93">
        <v>44711500</v>
      </c>
      <c r="G93">
        <v>171.45574951171875</v>
      </c>
      <c r="H93" s="2">
        <f>MONTH(Query1[[#This Row],[Date]])</f>
        <v>5</v>
      </c>
      <c r="I93" s="3">
        <f>Query1[[#This Row],[Shares]]*Query1[[#This Row],[Adj Close]]</f>
        <v>615920.31160613883</v>
      </c>
      <c r="J93" s="3">
        <f>IF(ROW()&lt;3, Dashboard!$E$7, IF(Query1[[#This Row],[Month]]&lt;&gt;H92,J92*(1+Dashboard!$E$4)+Dashboard!$E$5,J92))</f>
        <v>528422.80700000003</v>
      </c>
      <c r="K93">
        <f>IF(ROW()&lt;3, 0,IF(Query1[[#This Row],[Month]]&lt;&gt;H92,IF((J93-I93&gt;0),J93-I93,0),0))</f>
        <v>0</v>
      </c>
      <c r="L93" s="2">
        <f t="shared" si="1"/>
        <v>3592.2989655359538</v>
      </c>
      <c r="M93">
        <f>IF(ROW()&lt;3, 0, IF(Query1[[#This Row],[Month]]&lt;&gt;H92, Dashboard!$J$5,0))</f>
        <v>0</v>
      </c>
      <c r="N93" s="2">
        <f>IF(ROW()&lt;3, Query1[[#This Row],[Shares]], IF(Query1[[#This Row],[Month]]&lt;&gt;H92, N92+Query1[[#This Row],[Fix Top Up]]/Query1[[#This Row],[Adj Close]], N92))</f>
        <v>3291.7735631477876</v>
      </c>
      <c r="O93">
        <f>IF(AND(Query1[[#This Row],[avg]]&gt;0, Query1[[#This Row],[Month]]&lt;&gt;H92),
    IF(Query1[[#This Row],[Adj Close]]&gt;Query1[[#This Row],[avg]],
       Dashboard!$L$5-Dashboard!$E$6,
       Dashboard!$L$5+Dashboard!$E$6
    ), 0
)</f>
        <v>0</v>
      </c>
      <c r="P93" s="2">
        <f>IF(ROW()&lt;3, Query1[[#This Row],[Shares]], IF(Query1[[#This Row],[Month]]&lt;&gt;H92, P92+Query1[[#This Row],[Enhanced top up]]/Query1[[#This Row],[Adj Close]], P92))</f>
        <v>3288.2600717848045</v>
      </c>
      <c r="Q93" s="2">
        <f>IFERROR(AVERAGE(
  IF(ROW()&gt;20, INDEX(G:G, ROW()-20), 0) :
  INDEX(G:G, ROW())
),0)</f>
        <v>169.16783723377046</v>
      </c>
    </row>
    <row r="94" spans="1:17" x14ac:dyDescent="0.4">
      <c r="A94" s="1">
        <v>43965</v>
      </c>
      <c r="B94">
        <v>177.53999328613281</v>
      </c>
      <c r="C94">
        <v>180.69000244140625</v>
      </c>
      <c r="D94">
        <v>175.67999267578125</v>
      </c>
      <c r="E94">
        <v>180.52999877929688</v>
      </c>
      <c r="F94">
        <v>41873900</v>
      </c>
      <c r="G94">
        <v>172.19975280761719</v>
      </c>
      <c r="H94" s="2">
        <f>MONTH(Query1[[#This Row],[Date]])</f>
        <v>5</v>
      </c>
      <c r="I94" s="3">
        <f>Query1[[#This Row],[Shares]]*Query1[[#This Row],[Adj Close]]</f>
        <v>618592.99387635023</v>
      </c>
      <c r="J94" s="3">
        <f>IF(ROW()&lt;3, Dashboard!$E$7, IF(Query1[[#This Row],[Month]]&lt;&gt;H93,J93*(1+Dashboard!$E$4)+Dashboard!$E$5,J93))</f>
        <v>528422.80700000003</v>
      </c>
      <c r="K94">
        <f>IF(ROW()&lt;3, 0,IF(Query1[[#This Row],[Month]]&lt;&gt;H93,IF((J94-I94&gt;0),J94-I94,0),0))</f>
        <v>0</v>
      </c>
      <c r="L94" s="2">
        <f t="shared" si="1"/>
        <v>3592.2989655359538</v>
      </c>
      <c r="M94">
        <f>IF(ROW()&lt;3, 0, IF(Query1[[#This Row],[Month]]&lt;&gt;H93, Dashboard!$J$5,0))</f>
        <v>0</v>
      </c>
      <c r="N94" s="2">
        <f>IF(ROW()&lt;3, Query1[[#This Row],[Shares]], IF(Query1[[#This Row],[Month]]&lt;&gt;H93, N93+Query1[[#This Row],[Fix Top Up]]/Query1[[#This Row],[Adj Close]], N93))</f>
        <v>3291.7735631477876</v>
      </c>
      <c r="O94">
        <f>IF(AND(Query1[[#This Row],[avg]]&gt;0, Query1[[#This Row],[Month]]&lt;&gt;H93),
    IF(Query1[[#This Row],[Adj Close]]&gt;Query1[[#This Row],[avg]],
       Dashboard!$L$5-Dashboard!$E$6,
       Dashboard!$L$5+Dashboard!$E$6
    ), 0
)</f>
        <v>0</v>
      </c>
      <c r="P94" s="2">
        <f>IF(ROW()&lt;3, Query1[[#This Row],[Shares]], IF(Query1[[#This Row],[Month]]&lt;&gt;H93, P93+Query1[[#This Row],[Enhanced top up]]/Query1[[#This Row],[Adj Close]], P93))</f>
        <v>3288.2600717848045</v>
      </c>
      <c r="Q94" s="2">
        <f>IFERROR(AVERAGE(
  IF(ROW()&gt;20, INDEX(G:G, ROW()-20), 0) :
  INDEX(G:G, ROW())
),0)</f>
        <v>169.56073506673178</v>
      </c>
    </row>
    <row r="95" spans="1:17" x14ac:dyDescent="0.4">
      <c r="A95" s="1">
        <v>43966</v>
      </c>
      <c r="B95">
        <v>179.05999755859375</v>
      </c>
      <c r="C95">
        <v>187.05999755859375</v>
      </c>
      <c r="D95">
        <v>177</v>
      </c>
      <c r="E95">
        <v>183.16000366210938</v>
      </c>
      <c r="F95">
        <v>46610400</v>
      </c>
      <c r="G95">
        <v>174.70841979980469</v>
      </c>
      <c r="H95" s="2">
        <f>MONTH(Query1[[#This Row],[Date]])</f>
        <v>5</v>
      </c>
      <c r="I95" s="3">
        <f>Query1[[#This Row],[Shares]]*Query1[[#This Row],[Adj Close]]</f>
        <v>627604.87571725948</v>
      </c>
      <c r="J95" s="3">
        <f>IF(ROW()&lt;3, Dashboard!$E$7, IF(Query1[[#This Row],[Month]]&lt;&gt;H94,J94*(1+Dashboard!$E$4)+Dashboard!$E$5,J94))</f>
        <v>528422.80700000003</v>
      </c>
      <c r="K95">
        <f>IF(ROW()&lt;3, 0,IF(Query1[[#This Row],[Month]]&lt;&gt;H94,IF((J95-I95&gt;0),J95-I95,0),0))</f>
        <v>0</v>
      </c>
      <c r="L95" s="2">
        <f t="shared" si="1"/>
        <v>3592.2989655359538</v>
      </c>
      <c r="M95">
        <f>IF(ROW()&lt;3, 0, IF(Query1[[#This Row],[Month]]&lt;&gt;H94, Dashboard!$J$5,0))</f>
        <v>0</v>
      </c>
      <c r="N95" s="2">
        <f>IF(ROW()&lt;3, Query1[[#This Row],[Shares]], IF(Query1[[#This Row],[Month]]&lt;&gt;H94, N94+Query1[[#This Row],[Fix Top Up]]/Query1[[#This Row],[Adj Close]], N94))</f>
        <v>3291.7735631477876</v>
      </c>
      <c r="O95">
        <f>IF(AND(Query1[[#This Row],[avg]]&gt;0, Query1[[#This Row],[Month]]&lt;&gt;H94),
    IF(Query1[[#This Row],[Adj Close]]&gt;Query1[[#This Row],[avg]],
       Dashboard!$L$5-Dashboard!$E$6,
       Dashboard!$L$5+Dashboard!$E$6
    ), 0
)</f>
        <v>0</v>
      </c>
      <c r="P95" s="2">
        <f>IF(ROW()&lt;3, Query1[[#This Row],[Shares]], IF(Query1[[#This Row],[Month]]&lt;&gt;H94, P94+Query1[[#This Row],[Enhanced top up]]/Query1[[#This Row],[Adj Close]], P94))</f>
        <v>3288.2600717848045</v>
      </c>
      <c r="Q95" s="2">
        <f>IFERROR(AVERAGE(
  IF(ROW()&gt;20, INDEX(G:G, ROW()-20), 0) :
  INDEX(G:G, ROW())
),0)</f>
        <v>169.8387182326544</v>
      </c>
    </row>
    <row r="96" spans="1:17" x14ac:dyDescent="0.4">
      <c r="A96" s="1">
        <v>43969</v>
      </c>
      <c r="B96">
        <v>185.75</v>
      </c>
      <c r="C96">
        <v>186.19999694824219</v>
      </c>
      <c r="D96">
        <v>183.96000671386719</v>
      </c>
      <c r="E96">
        <v>184.91000366210938</v>
      </c>
      <c r="F96">
        <v>35264500</v>
      </c>
      <c r="G96">
        <v>176.37765502929688</v>
      </c>
      <c r="H96" s="2">
        <f>MONTH(Query1[[#This Row],[Date]])</f>
        <v>5</v>
      </c>
      <c r="I96" s="3">
        <f>Query1[[#This Row],[Shares]]*Query1[[#This Row],[Adj Close]]</f>
        <v>633601.26770540047</v>
      </c>
      <c r="J96" s="3">
        <f>IF(ROW()&lt;3, Dashboard!$E$7, IF(Query1[[#This Row],[Month]]&lt;&gt;H95,J95*(1+Dashboard!$E$4)+Dashboard!$E$5,J95))</f>
        <v>528422.80700000003</v>
      </c>
      <c r="K96">
        <f>IF(ROW()&lt;3, 0,IF(Query1[[#This Row],[Month]]&lt;&gt;H95,IF((J96-I96&gt;0),J96-I96,0),0))</f>
        <v>0</v>
      </c>
      <c r="L96" s="2">
        <f t="shared" si="1"/>
        <v>3592.2989655359538</v>
      </c>
      <c r="M96">
        <f>IF(ROW()&lt;3, 0, IF(Query1[[#This Row],[Month]]&lt;&gt;H95, Dashboard!$J$5,0))</f>
        <v>0</v>
      </c>
      <c r="N96" s="2">
        <f>IF(ROW()&lt;3, Query1[[#This Row],[Shares]], IF(Query1[[#This Row],[Month]]&lt;&gt;H95, N95+Query1[[#This Row],[Fix Top Up]]/Query1[[#This Row],[Adj Close]], N95))</f>
        <v>3291.7735631477876</v>
      </c>
      <c r="O96">
        <f>IF(AND(Query1[[#This Row],[avg]]&gt;0, Query1[[#This Row],[Month]]&lt;&gt;H95),
    IF(Query1[[#This Row],[Adj Close]]&gt;Query1[[#This Row],[avg]],
       Dashboard!$L$5-Dashboard!$E$6,
       Dashboard!$L$5+Dashboard!$E$6
    ), 0
)</f>
        <v>0</v>
      </c>
      <c r="P96" s="2">
        <f>IF(ROW()&lt;3, Query1[[#This Row],[Shares]], IF(Query1[[#This Row],[Month]]&lt;&gt;H95, P95+Query1[[#This Row],[Enhanced top up]]/Query1[[#This Row],[Adj Close]], P95))</f>
        <v>3288.2600717848045</v>
      </c>
      <c r="Q96" s="2">
        <f>IFERROR(AVERAGE(
  IF(ROW()&gt;20, INDEX(G:G, ROW()-20), 0) :
  INDEX(G:G, ROW())
),0)</f>
        <v>170.12532988048736</v>
      </c>
    </row>
    <row r="97" spans="1:17" x14ac:dyDescent="0.4">
      <c r="A97" s="1">
        <v>43970</v>
      </c>
      <c r="B97">
        <v>185.02999877929688</v>
      </c>
      <c r="C97">
        <v>186.60000610351563</v>
      </c>
      <c r="D97">
        <v>183.49000549316406</v>
      </c>
      <c r="E97">
        <v>183.6300048828125</v>
      </c>
      <c r="F97">
        <v>26799100</v>
      </c>
      <c r="G97">
        <v>175.15666198730469</v>
      </c>
      <c r="H97" s="2">
        <f>MONTH(Query1[[#This Row],[Date]])</f>
        <v>5</v>
      </c>
      <c r="I97" s="3">
        <f>Query1[[#This Row],[Shares]]*Query1[[#This Row],[Adj Close]]</f>
        <v>629215.0956637254</v>
      </c>
      <c r="J97" s="3">
        <f>IF(ROW()&lt;3, Dashboard!$E$7, IF(Query1[[#This Row],[Month]]&lt;&gt;H96,J96*(1+Dashboard!$E$4)+Dashboard!$E$5,J96))</f>
        <v>528422.80700000003</v>
      </c>
      <c r="K97">
        <f>IF(ROW()&lt;3, 0,IF(Query1[[#This Row],[Month]]&lt;&gt;H96,IF((J97-I97&gt;0),J97-I97,0),0))</f>
        <v>0</v>
      </c>
      <c r="L97" s="2">
        <f t="shared" si="1"/>
        <v>3592.2989655359538</v>
      </c>
      <c r="M97">
        <f>IF(ROW()&lt;3, 0, IF(Query1[[#This Row],[Month]]&lt;&gt;H96, Dashboard!$J$5,0))</f>
        <v>0</v>
      </c>
      <c r="N97" s="2">
        <f>IF(ROW()&lt;3, Query1[[#This Row],[Shares]], IF(Query1[[#This Row],[Month]]&lt;&gt;H96, N96+Query1[[#This Row],[Fix Top Up]]/Query1[[#This Row],[Adj Close]], N96))</f>
        <v>3291.7735631477876</v>
      </c>
      <c r="O97">
        <f>IF(AND(Query1[[#This Row],[avg]]&gt;0, Query1[[#This Row],[Month]]&lt;&gt;H96),
    IF(Query1[[#This Row],[Adj Close]]&gt;Query1[[#This Row],[avg]],
       Dashboard!$L$5-Dashboard!$E$6,
       Dashboard!$L$5+Dashboard!$E$6
    ), 0
)</f>
        <v>0</v>
      </c>
      <c r="P97" s="2">
        <f>IF(ROW()&lt;3, Query1[[#This Row],[Shares]], IF(Query1[[#This Row],[Month]]&lt;&gt;H96, P96+Query1[[#This Row],[Enhanced top up]]/Query1[[#This Row],[Adj Close]], P96))</f>
        <v>3288.2600717848045</v>
      </c>
      <c r="Q97" s="2">
        <f>IFERROR(AVERAGE(
  IF(ROW()&gt;20, INDEX(G:G, ROW()-20), 0) :
  INDEX(G:G, ROW())
),0)</f>
        <v>170.51459176199776</v>
      </c>
    </row>
    <row r="98" spans="1:17" x14ac:dyDescent="0.4">
      <c r="A98" s="1">
        <v>43971</v>
      </c>
      <c r="B98">
        <v>184.80999755859375</v>
      </c>
      <c r="C98">
        <v>185.85000610351563</v>
      </c>
      <c r="D98">
        <v>183.94000244140625</v>
      </c>
      <c r="E98">
        <v>185.66000366210938</v>
      </c>
      <c r="F98">
        <v>31261300</v>
      </c>
      <c r="G98">
        <v>177.58624267578125</v>
      </c>
      <c r="H98" s="2">
        <f>MONTH(Query1[[#This Row],[Date]])</f>
        <v>5</v>
      </c>
      <c r="I98" s="3">
        <f>Query1[[#This Row],[Shares]]*Query1[[#This Row],[Adj Close]]</f>
        <v>637942.87585762586</v>
      </c>
      <c r="J98" s="3">
        <f>IF(ROW()&lt;3, Dashboard!$E$7, IF(Query1[[#This Row],[Month]]&lt;&gt;H97,J97*(1+Dashboard!$E$4)+Dashboard!$E$5,J97))</f>
        <v>528422.80700000003</v>
      </c>
      <c r="K98">
        <f>IF(ROW()&lt;3, 0,IF(Query1[[#This Row],[Month]]&lt;&gt;H97,IF((J98-I98&gt;0),J98-I98,0),0))</f>
        <v>0</v>
      </c>
      <c r="L98" s="2">
        <f t="shared" si="1"/>
        <v>3592.2989655359538</v>
      </c>
      <c r="M98">
        <f>IF(ROW()&lt;3, 0, IF(Query1[[#This Row],[Month]]&lt;&gt;H97, Dashboard!$J$5,0))</f>
        <v>0</v>
      </c>
      <c r="N98" s="2">
        <f>IF(ROW()&lt;3, Query1[[#This Row],[Shares]], IF(Query1[[#This Row],[Month]]&lt;&gt;H97, N97+Query1[[#This Row],[Fix Top Up]]/Query1[[#This Row],[Adj Close]], N97))</f>
        <v>3291.7735631477876</v>
      </c>
      <c r="O98">
        <f>IF(AND(Query1[[#This Row],[avg]]&gt;0, Query1[[#This Row],[Month]]&lt;&gt;H97),
    IF(Query1[[#This Row],[Adj Close]]&gt;Query1[[#This Row],[avg]],
       Dashboard!$L$5-Dashboard!$E$6,
       Dashboard!$L$5+Dashboard!$E$6
    ), 0
)</f>
        <v>0</v>
      </c>
      <c r="P98" s="2">
        <f>IF(ROW()&lt;3, Query1[[#This Row],[Shares]], IF(Query1[[#This Row],[Month]]&lt;&gt;H97, P97+Query1[[#This Row],[Enhanced top up]]/Query1[[#This Row],[Adj Close]], P97))</f>
        <v>3288.2600717848045</v>
      </c>
      <c r="Q98" s="2">
        <f>IFERROR(AVERAGE(
  IF(ROW()&gt;20, INDEX(G:G, ROW()-20), 0) :
  INDEX(G:G, ROW())
),0)</f>
        <v>171.34840393066406</v>
      </c>
    </row>
    <row r="99" spans="1:17" x14ac:dyDescent="0.4">
      <c r="A99" s="1">
        <v>43972</v>
      </c>
      <c r="B99">
        <v>185.39999389648438</v>
      </c>
      <c r="C99">
        <v>186.66999816894531</v>
      </c>
      <c r="D99">
        <v>183.28999328613281</v>
      </c>
      <c r="E99">
        <v>183.42999267578125</v>
      </c>
      <c r="F99">
        <v>29119500</v>
      </c>
      <c r="G99">
        <v>175.45320129394531</v>
      </c>
      <c r="H99" s="2">
        <f>MONTH(Query1[[#This Row],[Date]])</f>
        <v>5</v>
      </c>
      <c r="I99" s="3">
        <f>Query1[[#This Row],[Shares]]*Query1[[#This Row],[Adj Close]]</f>
        <v>630280.35350821121</v>
      </c>
      <c r="J99" s="3">
        <f>IF(ROW()&lt;3, Dashboard!$E$7, IF(Query1[[#This Row],[Month]]&lt;&gt;H98,J98*(1+Dashboard!$E$4)+Dashboard!$E$5,J98))</f>
        <v>528422.80700000003</v>
      </c>
      <c r="K99">
        <f>IF(ROW()&lt;3, 0,IF(Query1[[#This Row],[Month]]&lt;&gt;H98,IF((J99-I99&gt;0),J99-I99,0),0))</f>
        <v>0</v>
      </c>
      <c r="L99" s="2">
        <f t="shared" si="1"/>
        <v>3592.2989655359538</v>
      </c>
      <c r="M99">
        <f>IF(ROW()&lt;3, 0, IF(Query1[[#This Row],[Month]]&lt;&gt;H98, Dashboard!$J$5,0))</f>
        <v>0</v>
      </c>
      <c r="N99" s="2">
        <f>IF(ROW()&lt;3, Query1[[#This Row],[Shares]], IF(Query1[[#This Row],[Month]]&lt;&gt;H98, N98+Query1[[#This Row],[Fix Top Up]]/Query1[[#This Row],[Adj Close]], N98))</f>
        <v>3291.7735631477876</v>
      </c>
      <c r="O99">
        <f>IF(AND(Query1[[#This Row],[avg]]&gt;0, Query1[[#This Row],[Month]]&lt;&gt;H98),
    IF(Query1[[#This Row],[Adj Close]]&gt;Query1[[#This Row],[avg]],
       Dashboard!$L$5-Dashboard!$E$6,
       Dashboard!$L$5+Dashboard!$E$6
    ), 0
)</f>
        <v>0</v>
      </c>
      <c r="P99" s="2">
        <f>IF(ROW()&lt;3, Query1[[#This Row],[Shares]], IF(Query1[[#This Row],[Month]]&lt;&gt;H98, P98+Query1[[#This Row],[Enhanced top up]]/Query1[[#This Row],[Adj Close]], P98))</f>
        <v>3288.2600717848045</v>
      </c>
      <c r="Q99" s="2">
        <f>IFERROR(AVERAGE(
  IF(ROW()&gt;20, INDEX(G:G, ROW()-20), 0) :
  INDEX(G:G, ROW())
),0)</f>
        <v>171.82173520042784</v>
      </c>
    </row>
    <row r="100" spans="1:17" x14ac:dyDescent="0.4">
      <c r="A100" s="1">
        <v>43973</v>
      </c>
      <c r="B100">
        <v>183.19000244140625</v>
      </c>
      <c r="C100">
        <v>184.46000671386719</v>
      </c>
      <c r="D100">
        <v>182.53999328613281</v>
      </c>
      <c r="E100">
        <v>183.50999450683594</v>
      </c>
      <c r="F100">
        <v>20826900</v>
      </c>
      <c r="G100">
        <v>175.52972412109375</v>
      </c>
      <c r="H100" s="2">
        <f>MONTH(Query1[[#This Row],[Date]])</f>
        <v>5</v>
      </c>
      <c r="I100" s="3">
        <f>Query1[[#This Row],[Shares]]*Query1[[#This Row],[Adj Close]]</f>
        <v>630555.24638101645</v>
      </c>
      <c r="J100" s="3">
        <f>IF(ROW()&lt;3, Dashboard!$E$7, IF(Query1[[#This Row],[Month]]&lt;&gt;H99,J99*(1+Dashboard!$E$4)+Dashboard!$E$5,J99))</f>
        <v>528422.80700000003</v>
      </c>
      <c r="K100">
        <f>IF(ROW()&lt;3, 0,IF(Query1[[#This Row],[Month]]&lt;&gt;H99,IF((J100-I100&gt;0),J100-I100,0),0))</f>
        <v>0</v>
      </c>
      <c r="L100" s="2">
        <f t="shared" si="1"/>
        <v>3592.2989655359538</v>
      </c>
      <c r="M100">
        <f>IF(ROW()&lt;3, 0, IF(Query1[[#This Row],[Month]]&lt;&gt;H99, Dashboard!$J$5,0))</f>
        <v>0</v>
      </c>
      <c r="N100" s="2">
        <f>IF(ROW()&lt;3, Query1[[#This Row],[Shares]], IF(Query1[[#This Row],[Month]]&lt;&gt;H99, N99+Query1[[#This Row],[Fix Top Up]]/Query1[[#This Row],[Adj Close]], N99))</f>
        <v>3291.7735631477876</v>
      </c>
      <c r="O100">
        <f>IF(AND(Query1[[#This Row],[avg]]&gt;0, Query1[[#This Row],[Month]]&lt;&gt;H99),
    IF(Query1[[#This Row],[Adj Close]]&gt;Query1[[#This Row],[avg]],
       Dashboard!$L$5-Dashboard!$E$6,
       Dashboard!$L$5+Dashboard!$E$6
    ), 0
)</f>
        <v>0</v>
      </c>
      <c r="P100" s="2">
        <f>IF(ROW()&lt;3, Query1[[#This Row],[Shares]], IF(Query1[[#This Row],[Month]]&lt;&gt;H99, P99+Query1[[#This Row],[Enhanced top up]]/Query1[[#This Row],[Adj Close]], P99))</f>
        <v>3288.2600717848045</v>
      </c>
      <c r="Q100" s="2">
        <f>IFERROR(AVERAGE(
  IF(ROW()&gt;20, INDEX(G:G, ROW()-20), 0) :
  INDEX(G:G, ROW())
),0)</f>
        <v>172.39409964425224</v>
      </c>
    </row>
    <row r="101" spans="1:17" x14ac:dyDescent="0.4">
      <c r="A101" s="1">
        <v>43977</v>
      </c>
      <c r="B101">
        <v>186.33999633789063</v>
      </c>
      <c r="C101">
        <v>186.5</v>
      </c>
      <c r="D101">
        <v>181.10000610351563</v>
      </c>
      <c r="E101">
        <v>181.57000732421875</v>
      </c>
      <c r="F101">
        <v>36073600</v>
      </c>
      <c r="G101">
        <v>173.67408752441406</v>
      </c>
      <c r="H101" s="2">
        <f>MONTH(Query1[[#This Row],[Date]])</f>
        <v>5</v>
      </c>
      <c r="I101" s="3">
        <f>Query1[[#This Row],[Shares]]*Query1[[#This Row],[Adj Close]]</f>
        <v>623889.24495435331</v>
      </c>
      <c r="J101" s="3">
        <f>IF(ROW()&lt;3, Dashboard!$E$7, IF(Query1[[#This Row],[Month]]&lt;&gt;H100,J100*(1+Dashboard!$E$4)+Dashboard!$E$5,J100))</f>
        <v>528422.80700000003</v>
      </c>
      <c r="K101">
        <f>IF(ROW()&lt;3, 0,IF(Query1[[#This Row],[Month]]&lt;&gt;H100,IF((J101-I101&gt;0),J101-I101,0),0))</f>
        <v>0</v>
      </c>
      <c r="L101" s="2">
        <f t="shared" si="1"/>
        <v>3592.2989655359538</v>
      </c>
      <c r="M101">
        <f>IF(ROW()&lt;3, 0, IF(Query1[[#This Row],[Month]]&lt;&gt;H100, Dashboard!$J$5,0))</f>
        <v>0</v>
      </c>
      <c r="N101" s="2">
        <f>IF(ROW()&lt;3, Query1[[#This Row],[Shares]], IF(Query1[[#This Row],[Month]]&lt;&gt;H100, N100+Query1[[#This Row],[Fix Top Up]]/Query1[[#This Row],[Adj Close]], N100))</f>
        <v>3291.7735631477876</v>
      </c>
      <c r="O101">
        <f>IF(AND(Query1[[#This Row],[avg]]&gt;0, Query1[[#This Row],[Month]]&lt;&gt;H100),
    IF(Query1[[#This Row],[Adj Close]]&gt;Query1[[#This Row],[avg]],
       Dashboard!$L$5-Dashboard!$E$6,
       Dashboard!$L$5+Dashboard!$E$6
    ), 0
)</f>
        <v>0</v>
      </c>
      <c r="P101" s="2">
        <f>IF(ROW()&lt;3, Query1[[#This Row],[Shares]], IF(Query1[[#This Row],[Month]]&lt;&gt;H100, P100+Query1[[#This Row],[Enhanced top up]]/Query1[[#This Row],[Adj Close]], P100))</f>
        <v>3288.2600717848045</v>
      </c>
      <c r="Q101" s="2">
        <f>IFERROR(AVERAGE(
  IF(ROW()&gt;20, INDEX(G:G, ROW()-20), 0) :
  INDEX(G:G, ROW())
),0)</f>
        <v>172.73592776343935</v>
      </c>
    </row>
    <row r="102" spans="1:17" x14ac:dyDescent="0.4">
      <c r="A102" s="1">
        <v>43978</v>
      </c>
      <c r="B102">
        <v>180.19999694824219</v>
      </c>
      <c r="C102">
        <v>181.99000549316406</v>
      </c>
      <c r="D102">
        <v>176.60000610351563</v>
      </c>
      <c r="E102">
        <v>181.80999755859375</v>
      </c>
      <c r="F102">
        <v>39517100</v>
      </c>
      <c r="G102">
        <v>173.9036865234375</v>
      </c>
      <c r="H102" s="2">
        <f>MONTH(Query1[[#This Row],[Date]])</f>
        <v>5</v>
      </c>
      <c r="I102" s="3">
        <f>Query1[[#This Row],[Shares]]*Query1[[#This Row],[Adj Close]]</f>
        <v>624714.03320103337</v>
      </c>
      <c r="J102" s="3">
        <f>IF(ROW()&lt;3, Dashboard!$E$7, IF(Query1[[#This Row],[Month]]&lt;&gt;H101,J101*(1+Dashboard!$E$4)+Dashboard!$E$5,J101))</f>
        <v>528422.80700000003</v>
      </c>
      <c r="K102">
        <f>IF(ROW()&lt;3, 0,IF(Query1[[#This Row],[Month]]&lt;&gt;H101,IF((J102-I102&gt;0),J102-I102,0),0))</f>
        <v>0</v>
      </c>
      <c r="L102" s="2">
        <f t="shared" si="1"/>
        <v>3592.2989655359538</v>
      </c>
      <c r="M102">
        <f>IF(ROW()&lt;3, 0, IF(Query1[[#This Row],[Month]]&lt;&gt;H101, Dashboard!$J$5,0))</f>
        <v>0</v>
      </c>
      <c r="N102" s="2">
        <f>IF(ROW()&lt;3, Query1[[#This Row],[Shares]], IF(Query1[[#This Row],[Month]]&lt;&gt;H101, N101+Query1[[#This Row],[Fix Top Up]]/Query1[[#This Row],[Adj Close]], N101))</f>
        <v>3291.7735631477876</v>
      </c>
      <c r="O102">
        <f>IF(AND(Query1[[#This Row],[avg]]&gt;0, Query1[[#This Row],[Month]]&lt;&gt;H101),
    IF(Query1[[#This Row],[Adj Close]]&gt;Query1[[#This Row],[avg]],
       Dashboard!$L$5-Dashboard!$E$6,
       Dashboard!$L$5+Dashboard!$E$6
    ), 0
)</f>
        <v>0</v>
      </c>
      <c r="P102" s="2">
        <f>IF(ROW()&lt;3, Query1[[#This Row],[Shares]], IF(Query1[[#This Row],[Month]]&lt;&gt;H101, P101+Query1[[#This Row],[Enhanced top up]]/Query1[[#This Row],[Adj Close]], P101))</f>
        <v>3288.2600717848045</v>
      </c>
      <c r="Q102" s="2">
        <f>IFERROR(AVERAGE(
  IF(ROW()&gt;20, INDEX(G:G, ROW()-20), 0) :
  INDEX(G:G, ROW())
),0)</f>
        <v>173.1114015125093</v>
      </c>
    </row>
    <row r="103" spans="1:17" x14ac:dyDescent="0.4">
      <c r="A103" s="1">
        <v>43979</v>
      </c>
      <c r="B103">
        <v>180.74000549316406</v>
      </c>
      <c r="C103">
        <v>184.14999389648438</v>
      </c>
      <c r="D103">
        <v>180.3800048828125</v>
      </c>
      <c r="E103">
        <v>181.39999389648438</v>
      </c>
      <c r="F103">
        <v>33810200</v>
      </c>
      <c r="G103">
        <v>173.51148986816406</v>
      </c>
      <c r="H103" s="2">
        <f>MONTH(Query1[[#This Row],[Date]])</f>
        <v>5</v>
      </c>
      <c r="I103" s="3">
        <f>Query1[[#This Row],[Shares]]*Query1[[#This Row],[Adj Close]]</f>
        <v>623305.14556200791</v>
      </c>
      <c r="J103" s="3">
        <f>IF(ROW()&lt;3, Dashboard!$E$7, IF(Query1[[#This Row],[Month]]&lt;&gt;H102,J102*(1+Dashboard!$E$4)+Dashboard!$E$5,J102))</f>
        <v>528422.80700000003</v>
      </c>
      <c r="K103">
        <f>IF(ROW()&lt;3, 0,IF(Query1[[#This Row],[Month]]&lt;&gt;H102,IF((J103-I103&gt;0),J103-I103,0),0))</f>
        <v>0</v>
      </c>
      <c r="L103" s="2">
        <f t="shared" si="1"/>
        <v>3592.2989655359538</v>
      </c>
      <c r="M103">
        <f>IF(ROW()&lt;3, 0, IF(Query1[[#This Row],[Month]]&lt;&gt;H102, Dashboard!$J$5,0))</f>
        <v>0</v>
      </c>
      <c r="N103" s="2">
        <f>IF(ROW()&lt;3, Query1[[#This Row],[Shares]], IF(Query1[[#This Row],[Month]]&lt;&gt;H102, N102+Query1[[#This Row],[Fix Top Up]]/Query1[[#This Row],[Adj Close]], N102))</f>
        <v>3291.7735631477876</v>
      </c>
      <c r="O103">
        <f>IF(AND(Query1[[#This Row],[avg]]&gt;0, Query1[[#This Row],[Month]]&lt;&gt;H102),
    IF(Query1[[#This Row],[Adj Close]]&gt;Query1[[#This Row],[avg]],
       Dashboard!$L$5-Dashboard!$E$6,
       Dashboard!$L$5+Dashboard!$E$6
    ), 0
)</f>
        <v>0</v>
      </c>
      <c r="P103" s="2">
        <f>IF(ROW()&lt;3, Query1[[#This Row],[Shares]], IF(Query1[[#This Row],[Month]]&lt;&gt;H102, P102+Query1[[#This Row],[Enhanced top up]]/Query1[[#This Row],[Adj Close]], P102))</f>
        <v>3288.2600717848045</v>
      </c>
      <c r="Q103" s="2">
        <f>IFERROR(AVERAGE(
  IF(ROW()&gt;20, INDEX(G:G, ROW()-20), 0) :
  INDEX(G:G, ROW())
),0)</f>
        <v>173.66078622000558</v>
      </c>
    </row>
    <row r="104" spans="1:17" x14ac:dyDescent="0.4">
      <c r="A104" s="1">
        <v>43980</v>
      </c>
      <c r="B104">
        <v>182.72999572753906</v>
      </c>
      <c r="C104">
        <v>184.27000427246094</v>
      </c>
      <c r="D104">
        <v>180.41000366210938</v>
      </c>
      <c r="E104">
        <v>183.25</v>
      </c>
      <c r="F104">
        <v>42130400</v>
      </c>
      <c r="G104">
        <v>175.28103637695313</v>
      </c>
      <c r="H104" s="2">
        <f>MONTH(Query1[[#This Row],[Date]])</f>
        <v>5</v>
      </c>
      <c r="I104" s="3">
        <f>Query1[[#This Row],[Shares]]*Query1[[#This Row],[Adj Close]]</f>
        <v>629661.88565499859</v>
      </c>
      <c r="J104" s="3">
        <f>IF(ROW()&lt;3, Dashboard!$E$7, IF(Query1[[#This Row],[Month]]&lt;&gt;H103,J103*(1+Dashboard!$E$4)+Dashboard!$E$5,J103))</f>
        <v>528422.80700000003</v>
      </c>
      <c r="K104">
        <f>IF(ROW()&lt;3, 0,IF(Query1[[#This Row],[Month]]&lt;&gt;H103,IF((J104-I104&gt;0),J104-I104,0),0))</f>
        <v>0</v>
      </c>
      <c r="L104" s="2">
        <f t="shared" si="1"/>
        <v>3592.2989655359538</v>
      </c>
      <c r="M104">
        <f>IF(ROW()&lt;3, 0, IF(Query1[[#This Row],[Month]]&lt;&gt;H103, Dashboard!$J$5,0))</f>
        <v>0</v>
      </c>
      <c r="N104" s="2">
        <f>IF(ROW()&lt;3, Query1[[#This Row],[Shares]], IF(Query1[[#This Row],[Month]]&lt;&gt;H103, N103+Query1[[#This Row],[Fix Top Up]]/Query1[[#This Row],[Adj Close]], N103))</f>
        <v>3291.7735631477876</v>
      </c>
      <c r="O104">
        <f>IF(AND(Query1[[#This Row],[avg]]&gt;0, Query1[[#This Row],[Month]]&lt;&gt;H103),
    IF(Query1[[#This Row],[Adj Close]]&gt;Query1[[#This Row],[avg]],
       Dashboard!$L$5-Dashboard!$E$6,
       Dashboard!$L$5+Dashboard!$E$6
    ), 0
)</f>
        <v>0</v>
      </c>
      <c r="P104" s="2">
        <f>IF(ROW()&lt;3, Query1[[#This Row],[Shares]], IF(Query1[[#This Row],[Month]]&lt;&gt;H103, P103+Query1[[#This Row],[Enhanced top up]]/Query1[[#This Row],[Adj Close]], P103))</f>
        <v>3288.2600717848045</v>
      </c>
      <c r="Q104" s="2">
        <f>IFERROR(AVERAGE(
  IF(ROW()&gt;20, INDEX(G:G, ROW()-20), 0) :
  INDEX(G:G, ROW())
),0)</f>
        <v>173.94832211449034</v>
      </c>
    </row>
    <row r="105" spans="1:17" x14ac:dyDescent="0.4">
      <c r="A105" s="1">
        <v>43983</v>
      </c>
      <c r="B105">
        <v>182.53999328613281</v>
      </c>
      <c r="C105">
        <v>183</v>
      </c>
      <c r="D105">
        <v>181.46000671386719</v>
      </c>
      <c r="E105">
        <v>182.83000183105469</v>
      </c>
      <c r="F105">
        <v>22622400</v>
      </c>
      <c r="G105">
        <v>174.87928771972656</v>
      </c>
      <c r="H105" s="2">
        <f>MONTH(Query1[[#This Row],[Date]])</f>
        <v>6</v>
      </c>
      <c r="I105" s="3">
        <f>Query1[[#This Row],[Shares]]*Query1[[#This Row],[Adj Close]]</f>
        <v>628218.68436923821</v>
      </c>
      <c r="J105" s="3">
        <f>IF(ROW()&lt;3, Dashboard!$E$7, IF(Query1[[#This Row],[Month]]&lt;&gt;H104,J104*(1+Dashboard!$E$4)+Dashboard!$E$5,J104))</f>
        <v>535707.03506999998</v>
      </c>
      <c r="K105">
        <f>IF(ROW()&lt;3, 0,IF(Query1[[#This Row],[Month]]&lt;&gt;H104,IF((J105-I105&gt;0),J105-I105,0),0))</f>
        <v>0</v>
      </c>
      <c r="L105" s="2">
        <f t="shared" si="1"/>
        <v>3592.2989655359538</v>
      </c>
      <c r="M105">
        <f>IF(ROW()&lt;3, 0, IF(Query1[[#This Row],[Month]]&lt;&gt;H104, Dashboard!$J$5,0))</f>
        <v>773.47399999999971</v>
      </c>
      <c r="N105" s="2">
        <f>IF(ROW()&lt;3, Query1[[#This Row],[Shares]], IF(Query1[[#This Row],[Month]]&lt;&gt;H104, N104+Query1[[#This Row],[Fix Top Up]]/Query1[[#This Row],[Adj Close]], N104))</f>
        <v>3296.1964654256126</v>
      </c>
      <c r="O105">
        <f>IF(AND(Query1[[#This Row],[avg]]&gt;0, Query1[[#This Row],[Month]]&lt;&gt;H104),
    IF(Query1[[#This Row],[Adj Close]]&gt;Query1[[#This Row],[avg]],
       Dashboard!$L$5-Dashboard!$E$6,
       Dashboard!$L$5+Dashboard!$E$6
    ), 0
)</f>
        <v>390.14066666666668</v>
      </c>
      <c r="P105" s="2">
        <f>IF(ROW()&lt;3, Query1[[#This Row],[Shares]], IF(Query1[[#This Row],[Month]]&lt;&gt;H104, P104+Query1[[#This Row],[Enhanced top up]]/Query1[[#This Row],[Adj Close]], P104))</f>
        <v>3290.4909858727665</v>
      </c>
      <c r="Q105" s="2">
        <f>IFERROR(AVERAGE(
  IF(ROW()&gt;20, INDEX(G:G, ROW()-20), 0) :
  INDEX(G:G, ROW())
),0)</f>
        <v>174.13587733677454</v>
      </c>
    </row>
    <row r="106" spans="1:17" x14ac:dyDescent="0.4">
      <c r="A106" s="1">
        <v>43984</v>
      </c>
      <c r="B106">
        <v>184.25</v>
      </c>
      <c r="C106">
        <v>185</v>
      </c>
      <c r="D106">
        <v>181.35000610351563</v>
      </c>
      <c r="E106">
        <v>184.91000366210938</v>
      </c>
      <c r="F106">
        <v>30794600</v>
      </c>
      <c r="G106">
        <v>176.86886596679688</v>
      </c>
      <c r="H106" s="2">
        <f>MONTH(Query1[[#This Row],[Date]])</f>
        <v>6</v>
      </c>
      <c r="I106" s="3">
        <f>Query1[[#This Row],[Shares]]*Query1[[#This Row],[Adj Close]]</f>
        <v>635365.84424804163</v>
      </c>
      <c r="J106" s="3">
        <f>IF(ROW()&lt;3, Dashboard!$E$7, IF(Query1[[#This Row],[Month]]&lt;&gt;H105,J105*(1+Dashboard!$E$4)+Dashboard!$E$5,J105))</f>
        <v>535707.03506999998</v>
      </c>
      <c r="K106">
        <f>IF(ROW()&lt;3, 0,IF(Query1[[#This Row],[Month]]&lt;&gt;H105,IF((J106-I106&gt;0),J106-I106,0),0))</f>
        <v>0</v>
      </c>
      <c r="L106" s="2">
        <f t="shared" si="1"/>
        <v>3592.2989655359538</v>
      </c>
      <c r="M106">
        <f>IF(ROW()&lt;3, 0, IF(Query1[[#This Row],[Month]]&lt;&gt;H105, Dashboard!$J$5,0))</f>
        <v>0</v>
      </c>
      <c r="N106" s="2">
        <f>IF(ROW()&lt;3, Query1[[#This Row],[Shares]], IF(Query1[[#This Row],[Month]]&lt;&gt;H105, N105+Query1[[#This Row],[Fix Top Up]]/Query1[[#This Row],[Adj Close]], N105))</f>
        <v>3296.1964654256126</v>
      </c>
      <c r="O106">
        <f>IF(AND(Query1[[#This Row],[avg]]&gt;0, Query1[[#This Row],[Month]]&lt;&gt;H105),
    IF(Query1[[#This Row],[Adj Close]]&gt;Query1[[#This Row],[avg]],
       Dashboard!$L$5-Dashboard!$E$6,
       Dashboard!$L$5+Dashboard!$E$6
    ), 0
)</f>
        <v>0</v>
      </c>
      <c r="P106" s="2">
        <f>IF(ROW()&lt;3, Query1[[#This Row],[Shares]], IF(Query1[[#This Row],[Month]]&lt;&gt;H105, P105+Query1[[#This Row],[Enhanced top up]]/Query1[[#This Row],[Adj Close]], P105))</f>
        <v>3290.4909858727665</v>
      </c>
      <c r="Q106" s="2">
        <f>IFERROR(AVERAGE(
  IF(ROW()&gt;20, INDEX(G:G, ROW()-20), 0) :
  INDEX(G:G, ROW())
),0)</f>
        <v>174.62893168131509</v>
      </c>
    </row>
    <row r="107" spans="1:17" x14ac:dyDescent="0.4">
      <c r="A107" s="1">
        <v>43985</v>
      </c>
      <c r="B107">
        <v>184.82000732421875</v>
      </c>
      <c r="C107">
        <v>185.94000244140625</v>
      </c>
      <c r="D107">
        <v>183.58000183105469</v>
      </c>
      <c r="E107">
        <v>185.36000061035156</v>
      </c>
      <c r="F107">
        <v>27311000</v>
      </c>
      <c r="G107">
        <v>177.29925537109375</v>
      </c>
      <c r="H107" s="2">
        <f>MONTH(Query1[[#This Row],[Date]])</f>
        <v>6</v>
      </c>
      <c r="I107" s="3">
        <f>Query1[[#This Row],[Shares]]*Query1[[#This Row],[Adj Close]]</f>
        <v>636911.93165987497</v>
      </c>
      <c r="J107" s="3">
        <f>IF(ROW()&lt;3, Dashboard!$E$7, IF(Query1[[#This Row],[Month]]&lt;&gt;H106,J106*(1+Dashboard!$E$4)+Dashboard!$E$5,J106))</f>
        <v>535707.03506999998</v>
      </c>
      <c r="K107">
        <f>IF(ROW()&lt;3, 0,IF(Query1[[#This Row],[Month]]&lt;&gt;H106,IF((J107-I107&gt;0),J107-I107,0),0))</f>
        <v>0</v>
      </c>
      <c r="L107" s="2">
        <f t="shared" si="1"/>
        <v>3592.2989655359538</v>
      </c>
      <c r="M107">
        <f>IF(ROW()&lt;3, 0, IF(Query1[[#This Row],[Month]]&lt;&gt;H106, Dashboard!$J$5,0))</f>
        <v>0</v>
      </c>
      <c r="N107" s="2">
        <f>IF(ROW()&lt;3, Query1[[#This Row],[Shares]], IF(Query1[[#This Row],[Month]]&lt;&gt;H106, N106+Query1[[#This Row],[Fix Top Up]]/Query1[[#This Row],[Adj Close]], N106))</f>
        <v>3296.1964654256126</v>
      </c>
      <c r="O107">
        <f>IF(AND(Query1[[#This Row],[avg]]&gt;0, Query1[[#This Row],[Month]]&lt;&gt;H106),
    IF(Query1[[#This Row],[Adj Close]]&gt;Query1[[#This Row],[avg]],
       Dashboard!$L$5-Dashboard!$E$6,
       Dashboard!$L$5+Dashboard!$E$6
    ), 0
)</f>
        <v>0</v>
      </c>
      <c r="P107" s="2">
        <f>IF(ROW()&lt;3, Query1[[#This Row],[Shares]], IF(Query1[[#This Row],[Month]]&lt;&gt;H106, P106+Query1[[#This Row],[Enhanced top up]]/Query1[[#This Row],[Adj Close]], P106))</f>
        <v>3290.4909858727665</v>
      </c>
      <c r="Q107" s="2">
        <f>IFERROR(AVERAGE(
  IF(ROW()&gt;20, INDEX(G:G, ROW()-20), 0) :
  INDEX(G:G, ROW())
),0)</f>
        <v>174.94852847144716</v>
      </c>
    </row>
    <row r="108" spans="1:17" x14ac:dyDescent="0.4">
      <c r="A108" s="1">
        <v>43986</v>
      </c>
      <c r="B108">
        <v>184.30000305175781</v>
      </c>
      <c r="C108">
        <v>185.83999633789063</v>
      </c>
      <c r="D108">
        <v>182.30000305175781</v>
      </c>
      <c r="E108">
        <v>182.91999816894531</v>
      </c>
      <c r="F108">
        <v>28761800</v>
      </c>
      <c r="G108">
        <v>174.96542358398438</v>
      </c>
      <c r="H108" s="2">
        <f>MONTH(Query1[[#This Row],[Date]])</f>
        <v>6</v>
      </c>
      <c r="I108" s="3">
        <f>Query1[[#This Row],[Shares]]*Query1[[#This Row],[Adj Close]]</f>
        <v>628528.11014530703</v>
      </c>
      <c r="J108" s="3">
        <f>IF(ROW()&lt;3, Dashboard!$E$7, IF(Query1[[#This Row],[Month]]&lt;&gt;H107,J107*(1+Dashboard!$E$4)+Dashboard!$E$5,J107))</f>
        <v>535707.03506999998</v>
      </c>
      <c r="K108">
        <f>IF(ROW()&lt;3, 0,IF(Query1[[#This Row],[Month]]&lt;&gt;H107,IF((J108-I108&gt;0),J108-I108,0),0))</f>
        <v>0</v>
      </c>
      <c r="L108" s="2">
        <f t="shared" si="1"/>
        <v>3592.2989655359538</v>
      </c>
      <c r="M108">
        <f>IF(ROW()&lt;3, 0, IF(Query1[[#This Row],[Month]]&lt;&gt;H107, Dashboard!$J$5,0))</f>
        <v>0</v>
      </c>
      <c r="N108" s="2">
        <f>IF(ROW()&lt;3, Query1[[#This Row],[Shares]], IF(Query1[[#This Row],[Month]]&lt;&gt;H107, N107+Query1[[#This Row],[Fix Top Up]]/Query1[[#This Row],[Adj Close]], N107))</f>
        <v>3296.1964654256126</v>
      </c>
      <c r="O108">
        <f>IF(AND(Query1[[#This Row],[avg]]&gt;0, Query1[[#This Row],[Month]]&lt;&gt;H107),
    IF(Query1[[#This Row],[Adj Close]]&gt;Query1[[#This Row],[avg]],
       Dashboard!$L$5-Dashboard!$E$6,
       Dashboard!$L$5+Dashboard!$E$6
    ), 0
)</f>
        <v>0</v>
      </c>
      <c r="P108" s="2">
        <f>IF(ROW()&lt;3, Query1[[#This Row],[Shares]], IF(Query1[[#This Row],[Month]]&lt;&gt;H107, P107+Query1[[#This Row],[Enhanced top up]]/Query1[[#This Row],[Adj Close]], P107))</f>
        <v>3290.4909858727665</v>
      </c>
      <c r="Q108" s="2">
        <f>IFERROR(AVERAGE(
  IF(ROW()&gt;20, INDEX(G:G, ROW()-20), 0) :
  INDEX(G:G, ROW())
),0)</f>
        <v>175.06978062220983</v>
      </c>
    </row>
    <row r="109" spans="1:17" x14ac:dyDescent="0.4">
      <c r="A109" s="1">
        <v>43987</v>
      </c>
      <c r="B109">
        <v>182.6199951171875</v>
      </c>
      <c r="C109">
        <v>187.72999572753906</v>
      </c>
      <c r="D109">
        <v>182.00999450683594</v>
      </c>
      <c r="E109">
        <v>187.19999694824219</v>
      </c>
      <c r="F109">
        <v>39893600</v>
      </c>
      <c r="G109">
        <v>179.05924987792969</v>
      </c>
      <c r="H109" s="2">
        <f>MONTH(Query1[[#This Row],[Date]])</f>
        <v>6</v>
      </c>
      <c r="I109" s="3">
        <f>Query1[[#This Row],[Shares]]*Query1[[#This Row],[Adj Close]]</f>
        <v>643234.35810613073</v>
      </c>
      <c r="J109" s="3">
        <f>IF(ROW()&lt;3, Dashboard!$E$7, IF(Query1[[#This Row],[Month]]&lt;&gt;H108,J108*(1+Dashboard!$E$4)+Dashboard!$E$5,J108))</f>
        <v>535707.03506999998</v>
      </c>
      <c r="K109">
        <f>IF(ROW()&lt;3, 0,IF(Query1[[#This Row],[Month]]&lt;&gt;H108,IF((J109-I109&gt;0),J109-I109,0),0))</f>
        <v>0</v>
      </c>
      <c r="L109" s="2">
        <f t="shared" si="1"/>
        <v>3592.2989655359538</v>
      </c>
      <c r="M109">
        <f>IF(ROW()&lt;3, 0, IF(Query1[[#This Row],[Month]]&lt;&gt;H108, Dashboard!$J$5,0))</f>
        <v>0</v>
      </c>
      <c r="N109" s="2">
        <f>IF(ROW()&lt;3, Query1[[#This Row],[Shares]], IF(Query1[[#This Row],[Month]]&lt;&gt;H108, N108+Query1[[#This Row],[Fix Top Up]]/Query1[[#This Row],[Adj Close]], N108))</f>
        <v>3296.1964654256126</v>
      </c>
      <c r="O109">
        <f>IF(AND(Query1[[#This Row],[avg]]&gt;0, Query1[[#This Row],[Month]]&lt;&gt;H108),
    IF(Query1[[#This Row],[Adj Close]]&gt;Query1[[#This Row],[avg]],
       Dashboard!$L$5-Dashboard!$E$6,
       Dashboard!$L$5+Dashboard!$E$6
    ), 0
)</f>
        <v>0</v>
      </c>
      <c r="P109" s="2">
        <f>IF(ROW()&lt;3, Query1[[#This Row],[Shares]], IF(Query1[[#This Row],[Month]]&lt;&gt;H108, P108+Query1[[#This Row],[Enhanced top up]]/Query1[[#This Row],[Adj Close]], P108))</f>
        <v>3290.4909858727665</v>
      </c>
      <c r="Q109" s="2">
        <f>IFERROR(AVERAGE(
  IF(ROW()&gt;20, INDEX(G:G, ROW()-20), 0) :
  INDEX(G:G, ROW())
),0)</f>
        <v>175.3051270984468</v>
      </c>
    </row>
    <row r="110" spans="1:17" x14ac:dyDescent="0.4">
      <c r="A110" s="1">
        <v>43990</v>
      </c>
      <c r="B110">
        <v>185.94000244140625</v>
      </c>
      <c r="C110">
        <v>188.55000305175781</v>
      </c>
      <c r="D110">
        <v>184.44000244140625</v>
      </c>
      <c r="E110">
        <v>188.36000061035156</v>
      </c>
      <c r="F110">
        <v>33211600</v>
      </c>
      <c r="G110">
        <v>180.16885375976563</v>
      </c>
      <c r="H110" s="2">
        <f>MONTH(Query1[[#This Row],[Date]])</f>
        <v>6</v>
      </c>
      <c r="I110" s="3">
        <f>Query1[[#This Row],[Shares]]*Query1[[#This Row],[Adj Close]]</f>
        <v>647220.38698300463</v>
      </c>
      <c r="J110" s="3">
        <f>IF(ROW()&lt;3, Dashboard!$E$7, IF(Query1[[#This Row],[Month]]&lt;&gt;H109,J109*(1+Dashboard!$E$4)+Dashboard!$E$5,J109))</f>
        <v>535707.03506999998</v>
      </c>
      <c r="K110">
        <f>IF(ROW()&lt;3, 0,IF(Query1[[#This Row],[Month]]&lt;&gt;H109,IF((J110-I110&gt;0),J110-I110,0),0))</f>
        <v>0</v>
      </c>
      <c r="L110" s="2">
        <f t="shared" si="1"/>
        <v>3592.2989655359538</v>
      </c>
      <c r="M110">
        <f>IF(ROW()&lt;3, 0, IF(Query1[[#This Row],[Month]]&lt;&gt;H109, Dashboard!$J$5,0))</f>
        <v>0</v>
      </c>
      <c r="N110" s="2">
        <f>IF(ROW()&lt;3, Query1[[#This Row],[Shares]], IF(Query1[[#This Row],[Month]]&lt;&gt;H109, N109+Query1[[#This Row],[Fix Top Up]]/Query1[[#This Row],[Adj Close]], N109))</f>
        <v>3296.1964654256126</v>
      </c>
      <c r="O110">
        <f>IF(AND(Query1[[#This Row],[avg]]&gt;0, Query1[[#This Row],[Month]]&lt;&gt;H109),
    IF(Query1[[#This Row],[Adj Close]]&gt;Query1[[#This Row],[avg]],
       Dashboard!$L$5-Dashboard!$E$6,
       Dashboard!$L$5+Dashboard!$E$6
    ), 0
)</f>
        <v>0</v>
      </c>
      <c r="P110" s="2">
        <f>IF(ROW()&lt;3, Query1[[#This Row],[Shares]], IF(Query1[[#This Row],[Month]]&lt;&gt;H109, P109+Query1[[#This Row],[Enhanced top up]]/Query1[[#This Row],[Adj Close]], P109))</f>
        <v>3290.4909858727665</v>
      </c>
      <c r="Q110" s="2">
        <f>IFERROR(AVERAGE(
  IF(ROW()&gt;20, INDEX(G:G, ROW()-20), 0) :
  INDEX(G:G, ROW())
),0)</f>
        <v>175.54516310918899</v>
      </c>
    </row>
    <row r="111" spans="1:17" x14ac:dyDescent="0.4">
      <c r="A111" s="1">
        <v>43991</v>
      </c>
      <c r="B111">
        <v>188</v>
      </c>
      <c r="C111">
        <v>190.69999694824219</v>
      </c>
      <c r="D111">
        <v>187.25999450683594</v>
      </c>
      <c r="E111">
        <v>189.80000305175781</v>
      </c>
      <c r="F111">
        <v>29783900</v>
      </c>
      <c r="G111">
        <v>181.54623413085938</v>
      </c>
      <c r="H111" s="2">
        <f>MONTH(Query1[[#This Row],[Date]])</f>
        <v>6</v>
      </c>
      <c r="I111" s="3">
        <f>Query1[[#This Row],[Shares]]*Query1[[#This Row],[Adj Close]]</f>
        <v>652168.34906523419</v>
      </c>
      <c r="J111" s="3">
        <f>IF(ROW()&lt;3, Dashboard!$E$7, IF(Query1[[#This Row],[Month]]&lt;&gt;H110,J110*(1+Dashboard!$E$4)+Dashboard!$E$5,J110))</f>
        <v>535707.03506999998</v>
      </c>
      <c r="K111">
        <f>IF(ROW()&lt;3, 0,IF(Query1[[#This Row],[Month]]&lt;&gt;H110,IF((J111-I111&gt;0),J111-I111,0),0))</f>
        <v>0</v>
      </c>
      <c r="L111" s="2">
        <f t="shared" si="1"/>
        <v>3592.2989655359538</v>
      </c>
      <c r="M111">
        <f>IF(ROW()&lt;3, 0, IF(Query1[[#This Row],[Month]]&lt;&gt;H110, Dashboard!$J$5,0))</f>
        <v>0</v>
      </c>
      <c r="N111" s="2">
        <f>IF(ROW()&lt;3, Query1[[#This Row],[Shares]], IF(Query1[[#This Row],[Month]]&lt;&gt;H110, N110+Query1[[#This Row],[Fix Top Up]]/Query1[[#This Row],[Adj Close]], N110))</f>
        <v>3296.1964654256126</v>
      </c>
      <c r="O111">
        <f>IF(AND(Query1[[#This Row],[avg]]&gt;0, Query1[[#This Row],[Month]]&lt;&gt;H110),
    IF(Query1[[#This Row],[Adj Close]]&gt;Query1[[#This Row],[avg]],
       Dashboard!$L$5-Dashboard!$E$6,
       Dashboard!$L$5+Dashboard!$E$6
    ), 0
)</f>
        <v>0</v>
      </c>
      <c r="P111" s="2">
        <f>IF(ROW()&lt;3, Query1[[#This Row],[Shares]], IF(Query1[[#This Row],[Month]]&lt;&gt;H110, P110+Query1[[#This Row],[Enhanced top up]]/Query1[[#This Row],[Adj Close]], P110))</f>
        <v>3290.4909858727665</v>
      </c>
      <c r="Q111" s="2">
        <f>IFERROR(AVERAGE(
  IF(ROW()&gt;20, INDEX(G:G, ROW()-20), 0) :
  INDEX(G:G, ROW())
),0)</f>
        <v>175.80173383440291</v>
      </c>
    </row>
    <row r="112" spans="1:17" x14ac:dyDescent="0.4">
      <c r="A112" s="1">
        <v>43992</v>
      </c>
      <c r="B112">
        <v>191.1300048828125</v>
      </c>
      <c r="C112">
        <v>198.52000427246094</v>
      </c>
      <c r="D112">
        <v>191.00999450683594</v>
      </c>
      <c r="E112">
        <v>196.83999633789063</v>
      </c>
      <c r="F112">
        <v>43872300</v>
      </c>
      <c r="G112">
        <v>188.28009033203125</v>
      </c>
      <c r="H112" s="2">
        <f>MONTH(Query1[[#This Row],[Date]])</f>
        <v>6</v>
      </c>
      <c r="I112" s="3">
        <f>Query1[[#This Row],[Shares]]*Query1[[#This Row],[Adj Close]]</f>
        <v>676358.37373077183</v>
      </c>
      <c r="J112" s="3">
        <f>IF(ROW()&lt;3, Dashboard!$E$7, IF(Query1[[#This Row],[Month]]&lt;&gt;H111,J111*(1+Dashboard!$E$4)+Dashboard!$E$5,J111))</f>
        <v>535707.03506999998</v>
      </c>
      <c r="K112">
        <f>IF(ROW()&lt;3, 0,IF(Query1[[#This Row],[Month]]&lt;&gt;H111,IF((J112-I112&gt;0),J112-I112,0),0))</f>
        <v>0</v>
      </c>
      <c r="L112" s="2">
        <f t="shared" si="1"/>
        <v>3592.2989655359538</v>
      </c>
      <c r="M112">
        <f>IF(ROW()&lt;3, 0, IF(Query1[[#This Row],[Month]]&lt;&gt;H111, Dashboard!$J$5,0))</f>
        <v>0</v>
      </c>
      <c r="N112" s="2">
        <f>IF(ROW()&lt;3, Query1[[#This Row],[Shares]], IF(Query1[[#This Row],[Month]]&lt;&gt;H111, N111+Query1[[#This Row],[Fix Top Up]]/Query1[[#This Row],[Adj Close]], N111))</f>
        <v>3296.1964654256126</v>
      </c>
      <c r="O112">
        <f>IF(AND(Query1[[#This Row],[avg]]&gt;0, Query1[[#This Row],[Month]]&lt;&gt;H111),
    IF(Query1[[#This Row],[Adj Close]]&gt;Query1[[#This Row],[avg]],
       Dashboard!$L$5-Dashboard!$E$6,
       Dashboard!$L$5+Dashboard!$E$6
    ), 0
)</f>
        <v>0</v>
      </c>
      <c r="P112" s="2">
        <f>IF(ROW()&lt;3, Query1[[#This Row],[Shares]], IF(Query1[[#This Row],[Month]]&lt;&gt;H111, P111+Query1[[#This Row],[Enhanced top up]]/Query1[[#This Row],[Adj Close]], P111))</f>
        <v>3290.4909858727665</v>
      </c>
      <c r="Q112" s="2">
        <f>IFERROR(AVERAGE(
  IF(ROW()&gt;20, INDEX(G:G, ROW()-20), 0) :
  INDEX(G:G, ROW())
),0)</f>
        <v>176.28539530436197</v>
      </c>
    </row>
    <row r="113" spans="1:17" x14ac:dyDescent="0.4">
      <c r="A113" s="1">
        <v>43993</v>
      </c>
      <c r="B113">
        <v>193.1300048828125</v>
      </c>
      <c r="C113">
        <v>195.75999450683594</v>
      </c>
      <c r="D113">
        <v>186.07000732421875</v>
      </c>
      <c r="E113">
        <v>186.27000427246094</v>
      </c>
      <c r="F113">
        <v>52854700</v>
      </c>
      <c r="G113">
        <v>178.16972351074219</v>
      </c>
      <c r="H113" s="2">
        <f>MONTH(Query1[[#This Row],[Date]])</f>
        <v>6</v>
      </c>
      <c r="I113" s="3">
        <f>Query1[[#This Row],[Shares]]*Query1[[#This Row],[Adj Close]]</f>
        <v>640038.91345746606</v>
      </c>
      <c r="J113" s="3">
        <f>IF(ROW()&lt;3, Dashboard!$E$7, IF(Query1[[#This Row],[Month]]&lt;&gt;H112,J112*(1+Dashboard!$E$4)+Dashboard!$E$5,J112))</f>
        <v>535707.03506999998</v>
      </c>
      <c r="K113">
        <f>IF(ROW()&lt;3, 0,IF(Query1[[#This Row],[Month]]&lt;&gt;H112,IF((J113-I113&gt;0),J113-I113,0),0))</f>
        <v>0</v>
      </c>
      <c r="L113" s="2">
        <f t="shared" si="1"/>
        <v>3592.2989655359538</v>
      </c>
      <c r="M113">
        <f>IF(ROW()&lt;3, 0, IF(Query1[[#This Row],[Month]]&lt;&gt;H112, Dashboard!$J$5,0))</f>
        <v>0</v>
      </c>
      <c r="N113" s="2">
        <f>IF(ROW()&lt;3, Query1[[#This Row],[Shares]], IF(Query1[[#This Row],[Month]]&lt;&gt;H112, N112+Query1[[#This Row],[Fix Top Up]]/Query1[[#This Row],[Adj Close]], N112))</f>
        <v>3296.1964654256126</v>
      </c>
      <c r="O113">
        <f>IF(AND(Query1[[#This Row],[avg]]&gt;0, Query1[[#This Row],[Month]]&lt;&gt;H112),
    IF(Query1[[#This Row],[Adj Close]]&gt;Query1[[#This Row],[avg]],
       Dashboard!$L$5-Dashboard!$E$6,
       Dashboard!$L$5+Dashboard!$E$6
    ), 0
)</f>
        <v>0</v>
      </c>
      <c r="P113" s="2">
        <f>IF(ROW()&lt;3, Query1[[#This Row],[Shares]], IF(Query1[[#This Row],[Month]]&lt;&gt;H112, P112+Query1[[#This Row],[Enhanced top up]]/Query1[[#This Row],[Adj Close]], P112))</f>
        <v>3290.4909858727665</v>
      </c>
      <c r="Q113" s="2">
        <f>IFERROR(AVERAGE(
  IF(ROW()&gt;20, INDEX(G:G, ROW()-20), 0) :
  INDEX(G:G, ROW())
),0)</f>
        <v>176.47974722726005</v>
      </c>
    </row>
    <row r="114" spans="1:17" x14ac:dyDescent="0.4">
      <c r="A114" s="1">
        <v>43994</v>
      </c>
      <c r="B114">
        <v>190.53999328613281</v>
      </c>
      <c r="C114">
        <v>191.72000122070313</v>
      </c>
      <c r="D114">
        <v>185.17999267578125</v>
      </c>
      <c r="E114">
        <v>187.74000549316406</v>
      </c>
      <c r="F114">
        <v>43373600</v>
      </c>
      <c r="G114">
        <v>179.57582092285156</v>
      </c>
      <c r="H114" s="2">
        <f>MONTH(Query1[[#This Row],[Date]])</f>
        <v>6</v>
      </c>
      <c r="I114" s="3">
        <f>Query1[[#This Row],[Shares]]*Query1[[#This Row],[Adj Close]]</f>
        <v>645090.03573642939</v>
      </c>
      <c r="J114" s="3">
        <f>IF(ROW()&lt;3, Dashboard!$E$7, IF(Query1[[#This Row],[Month]]&lt;&gt;H113,J113*(1+Dashboard!$E$4)+Dashboard!$E$5,J113))</f>
        <v>535707.03506999998</v>
      </c>
      <c r="K114">
        <f>IF(ROW()&lt;3, 0,IF(Query1[[#This Row],[Month]]&lt;&gt;H113,IF((J114-I114&gt;0),J114-I114,0),0))</f>
        <v>0</v>
      </c>
      <c r="L114" s="2">
        <f t="shared" si="1"/>
        <v>3592.2989655359538</v>
      </c>
      <c r="M114">
        <f>IF(ROW()&lt;3, 0, IF(Query1[[#This Row],[Month]]&lt;&gt;H113, Dashboard!$J$5,0))</f>
        <v>0</v>
      </c>
      <c r="N114" s="2">
        <f>IF(ROW()&lt;3, Query1[[#This Row],[Shares]], IF(Query1[[#This Row],[Month]]&lt;&gt;H113, N113+Query1[[#This Row],[Fix Top Up]]/Query1[[#This Row],[Adj Close]], N113))</f>
        <v>3296.1964654256126</v>
      </c>
      <c r="O114">
        <f>IF(AND(Query1[[#This Row],[avg]]&gt;0, Query1[[#This Row],[Month]]&lt;&gt;H113),
    IF(Query1[[#This Row],[Adj Close]]&gt;Query1[[#This Row],[avg]],
       Dashboard!$L$5-Dashboard!$E$6,
       Dashboard!$L$5+Dashboard!$E$6
    ), 0
)</f>
        <v>0</v>
      </c>
      <c r="P114" s="2">
        <f>IF(ROW()&lt;3, Query1[[#This Row],[Shares]], IF(Query1[[#This Row],[Month]]&lt;&gt;H113, P113+Query1[[#This Row],[Enhanced top up]]/Query1[[#This Row],[Adj Close]], P113))</f>
        <v>3290.4909858727665</v>
      </c>
      <c r="Q114" s="2">
        <f>IFERROR(AVERAGE(
  IF(ROW()&gt;20, INDEX(G:G, ROW()-20), 0) :
  INDEX(G:G, ROW())
),0)</f>
        <v>176.86641729445685</v>
      </c>
    </row>
    <row r="115" spans="1:17" x14ac:dyDescent="0.4">
      <c r="A115" s="1">
        <v>43997</v>
      </c>
      <c r="B115">
        <v>184.58000183105469</v>
      </c>
      <c r="C115">
        <v>190.82000732421875</v>
      </c>
      <c r="D115">
        <v>184.00999450683594</v>
      </c>
      <c r="E115">
        <v>188.94000244140625</v>
      </c>
      <c r="F115">
        <v>32770200</v>
      </c>
      <c r="G115">
        <v>180.7236328125</v>
      </c>
      <c r="H115" s="2">
        <f>MONTH(Query1[[#This Row],[Date]])</f>
        <v>6</v>
      </c>
      <c r="I115" s="3">
        <f>Query1[[#This Row],[Shares]]*Query1[[#This Row],[Adj Close]]</f>
        <v>649213.31920024334</v>
      </c>
      <c r="J115" s="3">
        <f>IF(ROW()&lt;3, Dashboard!$E$7, IF(Query1[[#This Row],[Month]]&lt;&gt;H114,J114*(1+Dashboard!$E$4)+Dashboard!$E$5,J114))</f>
        <v>535707.03506999998</v>
      </c>
      <c r="K115">
        <f>IF(ROW()&lt;3, 0,IF(Query1[[#This Row],[Month]]&lt;&gt;H114,IF((J115-I115&gt;0),J115-I115,0),0))</f>
        <v>0</v>
      </c>
      <c r="L115" s="2">
        <f t="shared" si="1"/>
        <v>3592.2989655359538</v>
      </c>
      <c r="M115">
        <f>IF(ROW()&lt;3, 0, IF(Query1[[#This Row],[Month]]&lt;&gt;H114, Dashboard!$J$5,0))</f>
        <v>0</v>
      </c>
      <c r="N115" s="2">
        <f>IF(ROW()&lt;3, Query1[[#This Row],[Shares]], IF(Query1[[#This Row],[Month]]&lt;&gt;H114, N114+Query1[[#This Row],[Fix Top Up]]/Query1[[#This Row],[Adj Close]], N114))</f>
        <v>3296.1964654256126</v>
      </c>
      <c r="O115">
        <f>IF(AND(Query1[[#This Row],[avg]]&gt;0, Query1[[#This Row],[Month]]&lt;&gt;H114),
    IF(Query1[[#This Row],[Adj Close]]&gt;Query1[[#This Row],[avg]],
       Dashboard!$L$5-Dashboard!$E$6,
       Dashboard!$L$5+Dashboard!$E$6
    ), 0
)</f>
        <v>0</v>
      </c>
      <c r="P115" s="2">
        <f>IF(ROW()&lt;3, Query1[[#This Row],[Shares]], IF(Query1[[#This Row],[Month]]&lt;&gt;H114, P114+Query1[[#This Row],[Enhanced top up]]/Query1[[#This Row],[Adj Close]], P114))</f>
        <v>3290.4909858727665</v>
      </c>
      <c r="Q115" s="2">
        <f>IFERROR(AVERAGE(
  IF(ROW()&gt;20, INDEX(G:G, ROW()-20), 0) :
  INDEX(G:G, ROW())
),0)</f>
        <v>177.27231634230841</v>
      </c>
    </row>
    <row r="116" spans="1:17" x14ac:dyDescent="0.4">
      <c r="A116" s="1">
        <v>43998</v>
      </c>
      <c r="B116">
        <v>192.88999938964844</v>
      </c>
      <c r="C116">
        <v>195.58000183105469</v>
      </c>
      <c r="D116">
        <v>191.46000671386719</v>
      </c>
      <c r="E116">
        <v>193.57000732421875</v>
      </c>
      <c r="F116">
        <v>42556700</v>
      </c>
      <c r="G116">
        <v>185.15226745605469</v>
      </c>
      <c r="H116" s="2">
        <f>MONTH(Query1[[#This Row],[Date]])</f>
        <v>6</v>
      </c>
      <c r="I116" s="3">
        <f>Query1[[#This Row],[Shares]]*Query1[[#This Row],[Adj Close]]</f>
        <v>665122.29884902155</v>
      </c>
      <c r="J116" s="3">
        <f>IF(ROW()&lt;3, Dashboard!$E$7, IF(Query1[[#This Row],[Month]]&lt;&gt;H115,J115*(1+Dashboard!$E$4)+Dashboard!$E$5,J115))</f>
        <v>535707.03506999998</v>
      </c>
      <c r="K116">
        <f>IF(ROW()&lt;3, 0,IF(Query1[[#This Row],[Month]]&lt;&gt;H115,IF((J116-I116&gt;0),J116-I116,0),0))</f>
        <v>0</v>
      </c>
      <c r="L116" s="2">
        <f t="shared" si="1"/>
        <v>3592.2989655359538</v>
      </c>
      <c r="M116">
        <f>IF(ROW()&lt;3, 0, IF(Query1[[#This Row],[Month]]&lt;&gt;H115, Dashboard!$J$5,0))</f>
        <v>0</v>
      </c>
      <c r="N116" s="2">
        <f>IF(ROW()&lt;3, Query1[[#This Row],[Shares]], IF(Query1[[#This Row],[Month]]&lt;&gt;H115, N115+Query1[[#This Row],[Fix Top Up]]/Query1[[#This Row],[Adj Close]], N115))</f>
        <v>3296.1964654256126</v>
      </c>
      <c r="O116">
        <f>IF(AND(Query1[[#This Row],[avg]]&gt;0, Query1[[#This Row],[Month]]&lt;&gt;H115),
    IF(Query1[[#This Row],[Adj Close]]&gt;Query1[[#This Row],[avg]],
       Dashboard!$L$5-Dashboard!$E$6,
       Dashboard!$L$5+Dashboard!$E$6
    ), 0
)</f>
        <v>0</v>
      </c>
      <c r="P116" s="2">
        <f>IF(ROW()&lt;3, Query1[[#This Row],[Shares]], IF(Query1[[#This Row],[Month]]&lt;&gt;H115, P115+Query1[[#This Row],[Enhanced top up]]/Query1[[#This Row],[Adj Close]], P115))</f>
        <v>3290.4909858727665</v>
      </c>
      <c r="Q116" s="2">
        <f>IFERROR(AVERAGE(
  IF(ROW()&gt;20, INDEX(G:G, ROW()-20), 0) :
  INDEX(G:G, ROW())
),0)</f>
        <v>177.76964242117745</v>
      </c>
    </row>
    <row r="117" spans="1:17" x14ac:dyDescent="0.4">
      <c r="A117" s="1">
        <v>43999</v>
      </c>
      <c r="B117">
        <v>195.02999877929688</v>
      </c>
      <c r="C117">
        <v>196.32000732421875</v>
      </c>
      <c r="D117">
        <v>193.69000244140625</v>
      </c>
      <c r="E117">
        <v>194.24000549316406</v>
      </c>
      <c r="F117">
        <v>25687800</v>
      </c>
      <c r="G117">
        <v>185.79312133789063</v>
      </c>
      <c r="H117" s="2">
        <f>MONTH(Query1[[#This Row],[Date]])</f>
        <v>6</v>
      </c>
      <c r="I117" s="3">
        <f>Query1[[#This Row],[Shares]]*Query1[[#This Row],[Adj Close]]</f>
        <v>667424.43758580042</v>
      </c>
      <c r="J117" s="3">
        <f>IF(ROW()&lt;3, Dashboard!$E$7, IF(Query1[[#This Row],[Month]]&lt;&gt;H116,J116*(1+Dashboard!$E$4)+Dashboard!$E$5,J116))</f>
        <v>535707.03506999998</v>
      </c>
      <c r="K117">
        <f>IF(ROW()&lt;3, 0,IF(Query1[[#This Row],[Month]]&lt;&gt;H116,IF((J117-I117&gt;0),J117-I117,0),0))</f>
        <v>0</v>
      </c>
      <c r="L117" s="2">
        <f t="shared" si="1"/>
        <v>3592.2989655359538</v>
      </c>
      <c r="M117">
        <f>IF(ROW()&lt;3, 0, IF(Query1[[#This Row],[Month]]&lt;&gt;H116, Dashboard!$J$5,0))</f>
        <v>0</v>
      </c>
      <c r="N117" s="2">
        <f>IF(ROW()&lt;3, Query1[[#This Row],[Shares]], IF(Query1[[#This Row],[Month]]&lt;&gt;H116, N116+Query1[[#This Row],[Fix Top Up]]/Query1[[#This Row],[Adj Close]], N116))</f>
        <v>3296.1964654256126</v>
      </c>
      <c r="O117">
        <f>IF(AND(Query1[[#This Row],[avg]]&gt;0, Query1[[#This Row],[Month]]&lt;&gt;H116),
    IF(Query1[[#This Row],[Adj Close]]&gt;Query1[[#This Row],[avg]],
       Dashboard!$L$5-Dashboard!$E$6,
       Dashboard!$L$5+Dashboard!$E$6
    ), 0
)</f>
        <v>0</v>
      </c>
      <c r="P117" s="2">
        <f>IF(ROW()&lt;3, Query1[[#This Row],[Shares]], IF(Query1[[#This Row],[Month]]&lt;&gt;H116, P116+Query1[[#This Row],[Enhanced top up]]/Query1[[#This Row],[Adj Close]], P116))</f>
        <v>3290.4909858727665</v>
      </c>
      <c r="Q117" s="2">
        <f>IFERROR(AVERAGE(
  IF(ROW()&gt;20, INDEX(G:G, ROW()-20), 0) :
  INDEX(G:G, ROW())
),0)</f>
        <v>178.21799795968192</v>
      </c>
    </row>
    <row r="118" spans="1:17" x14ac:dyDescent="0.4">
      <c r="A118" s="1">
        <v>44000</v>
      </c>
      <c r="B118">
        <v>194</v>
      </c>
      <c r="C118">
        <v>196.49000549316406</v>
      </c>
      <c r="D118">
        <v>194</v>
      </c>
      <c r="E118">
        <v>196.32000732421875</v>
      </c>
      <c r="F118">
        <v>23061600</v>
      </c>
      <c r="G118">
        <v>187.78266906738281</v>
      </c>
      <c r="H118" s="2">
        <f>MONTH(Query1[[#This Row],[Date]])</f>
        <v>6</v>
      </c>
      <c r="I118" s="3">
        <f>Query1[[#This Row],[Shares]]*Query1[[#This Row],[Adj Close]]</f>
        <v>674571.48783633963</v>
      </c>
      <c r="J118" s="3">
        <f>IF(ROW()&lt;3, Dashboard!$E$7, IF(Query1[[#This Row],[Month]]&lt;&gt;H117,J117*(1+Dashboard!$E$4)+Dashboard!$E$5,J117))</f>
        <v>535707.03506999998</v>
      </c>
      <c r="K118">
        <f>IF(ROW()&lt;3, 0,IF(Query1[[#This Row],[Month]]&lt;&gt;H117,IF((J118-I118&gt;0),J118-I118,0),0))</f>
        <v>0</v>
      </c>
      <c r="L118" s="2">
        <f t="shared" si="1"/>
        <v>3592.2989655359538</v>
      </c>
      <c r="M118">
        <f>IF(ROW()&lt;3, 0, IF(Query1[[#This Row],[Month]]&lt;&gt;H117, Dashboard!$J$5,0))</f>
        <v>0</v>
      </c>
      <c r="N118" s="2">
        <f>IF(ROW()&lt;3, Query1[[#This Row],[Shares]], IF(Query1[[#This Row],[Month]]&lt;&gt;H117, N117+Query1[[#This Row],[Fix Top Up]]/Query1[[#This Row],[Adj Close]], N117))</f>
        <v>3296.1964654256126</v>
      </c>
      <c r="O118">
        <f>IF(AND(Query1[[#This Row],[avg]]&gt;0, Query1[[#This Row],[Month]]&lt;&gt;H117),
    IF(Query1[[#This Row],[Adj Close]]&gt;Query1[[#This Row],[avg]],
       Dashboard!$L$5-Dashboard!$E$6,
       Dashboard!$L$5+Dashboard!$E$6
    ), 0
)</f>
        <v>0</v>
      </c>
      <c r="P118" s="2">
        <f>IF(ROW()&lt;3, Query1[[#This Row],[Shares]], IF(Query1[[#This Row],[Month]]&lt;&gt;H117, P117+Query1[[#This Row],[Enhanced top up]]/Query1[[#This Row],[Adj Close]], P117))</f>
        <v>3290.4909858727665</v>
      </c>
      <c r="Q118" s="2">
        <f>IFERROR(AVERAGE(
  IF(ROW()&gt;20, INDEX(G:G, ROW()-20), 0) :
  INDEX(G:G, ROW())
),0)</f>
        <v>178.81923639206659</v>
      </c>
    </row>
    <row r="119" spans="1:17" x14ac:dyDescent="0.4">
      <c r="A119" s="1">
        <v>44001</v>
      </c>
      <c r="B119">
        <v>198.58999633789063</v>
      </c>
      <c r="C119">
        <v>199.28999328613281</v>
      </c>
      <c r="D119">
        <v>194.3699951171875</v>
      </c>
      <c r="E119">
        <v>195.14999389648438</v>
      </c>
      <c r="F119">
        <v>44441100</v>
      </c>
      <c r="G119">
        <v>186.66354370117188</v>
      </c>
      <c r="H119" s="2">
        <f>MONTH(Query1[[#This Row],[Date]])</f>
        <v>6</v>
      </c>
      <c r="I119" s="3">
        <f>Query1[[#This Row],[Shares]]*Query1[[#This Row],[Adj Close]]</f>
        <v>670551.25494099502</v>
      </c>
      <c r="J119" s="3">
        <f>IF(ROW()&lt;3, Dashboard!$E$7, IF(Query1[[#This Row],[Month]]&lt;&gt;H118,J118*(1+Dashboard!$E$4)+Dashboard!$E$5,J118))</f>
        <v>535707.03506999998</v>
      </c>
      <c r="K119">
        <f>IF(ROW()&lt;3, 0,IF(Query1[[#This Row],[Month]]&lt;&gt;H118,IF((J119-I119&gt;0),J119-I119,0),0))</f>
        <v>0</v>
      </c>
      <c r="L119" s="2">
        <f t="shared" si="1"/>
        <v>3592.2989655359538</v>
      </c>
      <c r="M119">
        <f>IF(ROW()&lt;3, 0, IF(Query1[[#This Row],[Month]]&lt;&gt;H118, Dashboard!$J$5,0))</f>
        <v>0</v>
      </c>
      <c r="N119" s="2">
        <f>IF(ROW()&lt;3, Query1[[#This Row],[Shares]], IF(Query1[[#This Row],[Month]]&lt;&gt;H118, N118+Query1[[#This Row],[Fix Top Up]]/Query1[[#This Row],[Adj Close]], N118))</f>
        <v>3296.1964654256126</v>
      </c>
      <c r="O119">
        <f>IF(AND(Query1[[#This Row],[avg]]&gt;0, Query1[[#This Row],[Month]]&lt;&gt;H118),
    IF(Query1[[#This Row],[Adj Close]]&gt;Query1[[#This Row],[avg]],
       Dashboard!$L$5-Dashboard!$E$6,
       Dashboard!$L$5+Dashboard!$E$6
    ), 0
)</f>
        <v>0</v>
      </c>
      <c r="P119" s="2">
        <f>IF(ROW()&lt;3, Query1[[#This Row],[Shares]], IF(Query1[[#This Row],[Month]]&lt;&gt;H118, P118+Query1[[#This Row],[Enhanced top up]]/Query1[[#This Row],[Adj Close]], P118))</f>
        <v>3290.4909858727665</v>
      </c>
      <c r="Q119" s="2">
        <f>IFERROR(AVERAGE(
  IF(ROW()&gt;20, INDEX(G:G, ROW()-20), 0) :
  INDEX(G:G, ROW())
),0)</f>
        <v>179.25148882184709</v>
      </c>
    </row>
    <row r="120" spans="1:17" x14ac:dyDescent="0.4">
      <c r="A120" s="1">
        <v>44004</v>
      </c>
      <c r="B120">
        <v>195.78999328613281</v>
      </c>
      <c r="C120">
        <v>200.75999450683594</v>
      </c>
      <c r="D120">
        <v>195.22999572753906</v>
      </c>
      <c r="E120">
        <v>200.57000732421875</v>
      </c>
      <c r="F120">
        <v>32818900</v>
      </c>
      <c r="G120">
        <v>191.84786987304688</v>
      </c>
      <c r="H120" s="2">
        <f>MONTH(Query1[[#This Row],[Date]])</f>
        <v>6</v>
      </c>
      <c r="I120" s="3">
        <f>Query1[[#This Row],[Shares]]*Query1[[#This Row],[Adj Close]]</f>
        <v>689174.90448522253</v>
      </c>
      <c r="J120" s="3">
        <f>IF(ROW()&lt;3, Dashboard!$E$7, IF(Query1[[#This Row],[Month]]&lt;&gt;H119,J119*(1+Dashboard!$E$4)+Dashboard!$E$5,J119))</f>
        <v>535707.03506999998</v>
      </c>
      <c r="K120">
        <f>IF(ROW()&lt;3, 0,IF(Query1[[#This Row],[Month]]&lt;&gt;H119,IF((J120-I120&gt;0),J120-I120,0),0))</f>
        <v>0</v>
      </c>
      <c r="L120" s="2">
        <f t="shared" si="1"/>
        <v>3592.2989655359538</v>
      </c>
      <c r="M120">
        <f>IF(ROW()&lt;3, 0, IF(Query1[[#This Row],[Month]]&lt;&gt;H119, Dashboard!$J$5,0))</f>
        <v>0</v>
      </c>
      <c r="N120" s="2">
        <f>IF(ROW()&lt;3, Query1[[#This Row],[Shares]], IF(Query1[[#This Row],[Month]]&lt;&gt;H119, N119+Query1[[#This Row],[Fix Top Up]]/Query1[[#This Row],[Adj Close]], N119))</f>
        <v>3296.1964654256126</v>
      </c>
      <c r="O120">
        <f>IF(AND(Query1[[#This Row],[avg]]&gt;0, Query1[[#This Row],[Month]]&lt;&gt;H119),
    IF(Query1[[#This Row],[Adj Close]]&gt;Query1[[#This Row],[avg]],
       Dashboard!$L$5-Dashboard!$E$6,
       Dashboard!$L$5+Dashboard!$E$6
    ), 0
)</f>
        <v>0</v>
      </c>
      <c r="P120" s="2">
        <f>IF(ROW()&lt;3, Query1[[#This Row],[Shares]], IF(Query1[[#This Row],[Month]]&lt;&gt;H119, P119+Query1[[#This Row],[Enhanced top up]]/Query1[[#This Row],[Adj Close]], P119))</f>
        <v>3290.4909858727665</v>
      </c>
      <c r="Q120" s="2">
        <f>IFERROR(AVERAGE(
  IF(ROW()&gt;20, INDEX(G:G, ROW()-20), 0) :
  INDEX(G:G, ROW())
),0)</f>
        <v>180.03218732561385</v>
      </c>
    </row>
    <row r="121" spans="1:17" x14ac:dyDescent="0.4">
      <c r="A121" s="1">
        <v>44005</v>
      </c>
      <c r="B121">
        <v>202.08999633789063</v>
      </c>
      <c r="C121">
        <v>203.94999694824219</v>
      </c>
      <c r="D121">
        <v>201.42999267578125</v>
      </c>
      <c r="E121">
        <v>201.91000366210938</v>
      </c>
      <c r="F121">
        <v>30917400</v>
      </c>
      <c r="G121">
        <v>193.12960815429688</v>
      </c>
      <c r="H121" s="2">
        <f>MONTH(Query1[[#This Row],[Date]])</f>
        <v>6</v>
      </c>
      <c r="I121" s="3">
        <f>Query1[[#This Row],[Shares]]*Query1[[#This Row],[Adj Close]]</f>
        <v>693779.29158704472</v>
      </c>
      <c r="J121" s="3">
        <f>IF(ROW()&lt;3, Dashboard!$E$7, IF(Query1[[#This Row],[Month]]&lt;&gt;H120,J120*(1+Dashboard!$E$4)+Dashboard!$E$5,J120))</f>
        <v>535707.03506999998</v>
      </c>
      <c r="K121">
        <f>IF(ROW()&lt;3, 0,IF(Query1[[#This Row],[Month]]&lt;&gt;H120,IF((J121-I121&gt;0),J121-I121,0),0))</f>
        <v>0</v>
      </c>
      <c r="L121" s="2">
        <f t="shared" si="1"/>
        <v>3592.2989655359538</v>
      </c>
      <c r="M121">
        <f>IF(ROW()&lt;3, 0, IF(Query1[[#This Row],[Month]]&lt;&gt;H120, Dashboard!$J$5,0))</f>
        <v>0</v>
      </c>
      <c r="N121" s="2">
        <f>IF(ROW()&lt;3, Query1[[#This Row],[Shares]], IF(Query1[[#This Row],[Month]]&lt;&gt;H120, N120+Query1[[#This Row],[Fix Top Up]]/Query1[[#This Row],[Adj Close]], N120))</f>
        <v>3296.1964654256126</v>
      </c>
      <c r="O121">
        <f>IF(AND(Query1[[#This Row],[avg]]&gt;0, Query1[[#This Row],[Month]]&lt;&gt;H120),
    IF(Query1[[#This Row],[Adj Close]]&gt;Query1[[#This Row],[avg]],
       Dashboard!$L$5-Dashboard!$E$6,
       Dashboard!$L$5+Dashboard!$E$6
    ), 0
)</f>
        <v>0</v>
      </c>
      <c r="P121" s="2">
        <f>IF(ROW()&lt;3, Query1[[#This Row],[Shares]], IF(Query1[[#This Row],[Month]]&lt;&gt;H120, P120+Query1[[#This Row],[Enhanced top up]]/Query1[[#This Row],[Adj Close]], P120))</f>
        <v>3290.4909858727665</v>
      </c>
      <c r="Q121" s="2">
        <f>IFERROR(AVERAGE(
  IF(ROW()&gt;20, INDEX(G:G, ROW()-20), 0) :
  INDEX(G:G, ROW())
),0)</f>
        <v>180.87027704148065</v>
      </c>
    </row>
    <row r="122" spans="1:17" x14ac:dyDescent="0.4">
      <c r="A122" s="1">
        <v>44006</v>
      </c>
      <c r="B122">
        <v>201.60000610351563</v>
      </c>
      <c r="C122">
        <v>203.25</v>
      </c>
      <c r="D122">
        <v>196.55999755859375</v>
      </c>
      <c r="E122">
        <v>197.83999633789063</v>
      </c>
      <c r="F122">
        <v>36740600</v>
      </c>
      <c r="G122">
        <v>189.23658752441406</v>
      </c>
      <c r="H122" s="2">
        <f>MONTH(Query1[[#This Row],[Date]])</f>
        <v>6</v>
      </c>
      <c r="I122" s="3">
        <f>Query1[[#This Row],[Shares]]*Query1[[#This Row],[Adj Close]]</f>
        <v>679794.39760550659</v>
      </c>
      <c r="J122" s="3">
        <f>IF(ROW()&lt;3, Dashboard!$E$7, IF(Query1[[#This Row],[Month]]&lt;&gt;H121,J121*(1+Dashboard!$E$4)+Dashboard!$E$5,J121))</f>
        <v>535707.03506999998</v>
      </c>
      <c r="K122">
        <f>IF(ROW()&lt;3, 0,IF(Query1[[#This Row],[Month]]&lt;&gt;H121,IF((J122-I122&gt;0),J122-I122,0),0))</f>
        <v>0</v>
      </c>
      <c r="L122" s="2">
        <f t="shared" si="1"/>
        <v>3592.2989655359538</v>
      </c>
      <c r="M122">
        <f>IF(ROW()&lt;3, 0, IF(Query1[[#This Row],[Month]]&lt;&gt;H121, Dashboard!$J$5,0))</f>
        <v>0</v>
      </c>
      <c r="N122" s="2">
        <f>IF(ROW()&lt;3, Query1[[#This Row],[Shares]], IF(Query1[[#This Row],[Month]]&lt;&gt;H121, N121+Query1[[#This Row],[Fix Top Up]]/Query1[[#This Row],[Adj Close]], N121))</f>
        <v>3296.1964654256126</v>
      </c>
      <c r="O122">
        <f>IF(AND(Query1[[#This Row],[avg]]&gt;0, Query1[[#This Row],[Month]]&lt;&gt;H121),
    IF(Query1[[#This Row],[Adj Close]]&gt;Query1[[#This Row],[avg]],
       Dashboard!$L$5-Dashboard!$E$6,
       Dashboard!$L$5+Dashboard!$E$6
    ), 0
)</f>
        <v>0</v>
      </c>
      <c r="P122" s="2">
        <f>IF(ROW()&lt;3, Query1[[#This Row],[Shares]], IF(Query1[[#This Row],[Month]]&lt;&gt;H121, P121+Query1[[#This Row],[Enhanced top up]]/Query1[[#This Row],[Adj Close]], P121))</f>
        <v>3290.4909858727665</v>
      </c>
      <c r="Q122" s="2">
        <f>IFERROR(AVERAGE(
  IF(ROW()&gt;20, INDEX(G:G, ROW()-20), 0) :
  INDEX(G:G, ROW())
),0)</f>
        <v>181.61134847005209</v>
      </c>
    </row>
    <row r="123" spans="1:17" x14ac:dyDescent="0.4">
      <c r="A123" s="1">
        <v>44007</v>
      </c>
      <c r="B123">
        <v>197.80000305175781</v>
      </c>
      <c r="C123">
        <v>200.61000061035156</v>
      </c>
      <c r="D123">
        <v>195.47000122070313</v>
      </c>
      <c r="E123">
        <v>200.33999633789063</v>
      </c>
      <c r="F123">
        <v>27803900</v>
      </c>
      <c r="G123">
        <v>191.62786865234375</v>
      </c>
      <c r="H123" s="2">
        <f>MONTH(Query1[[#This Row],[Date]])</f>
        <v>6</v>
      </c>
      <c r="I123" s="3">
        <f>Query1[[#This Row],[Shares]]*Query1[[#This Row],[Adj Close]]</f>
        <v>688384.59432767413</v>
      </c>
      <c r="J123" s="3">
        <f>IF(ROW()&lt;3, Dashboard!$E$7, IF(Query1[[#This Row],[Month]]&lt;&gt;H122,J122*(1+Dashboard!$E$4)+Dashboard!$E$5,J122))</f>
        <v>535707.03506999998</v>
      </c>
      <c r="K123">
        <f>IF(ROW()&lt;3, 0,IF(Query1[[#This Row],[Month]]&lt;&gt;H122,IF((J123-I123&gt;0),J123-I123,0),0))</f>
        <v>0</v>
      </c>
      <c r="L123" s="2">
        <f t="shared" si="1"/>
        <v>3592.2989655359538</v>
      </c>
      <c r="M123">
        <f>IF(ROW()&lt;3, 0, IF(Query1[[#This Row],[Month]]&lt;&gt;H122, Dashboard!$J$5,0))</f>
        <v>0</v>
      </c>
      <c r="N123" s="2">
        <f>IF(ROW()&lt;3, Query1[[#This Row],[Shares]], IF(Query1[[#This Row],[Month]]&lt;&gt;H122, N122+Query1[[#This Row],[Fix Top Up]]/Query1[[#This Row],[Adj Close]], N122))</f>
        <v>3296.1964654256126</v>
      </c>
      <c r="O123">
        <f>IF(AND(Query1[[#This Row],[avg]]&gt;0, Query1[[#This Row],[Month]]&lt;&gt;H122),
    IF(Query1[[#This Row],[Adj Close]]&gt;Query1[[#This Row],[avg]],
       Dashboard!$L$5-Dashboard!$E$6,
       Dashboard!$L$5+Dashboard!$E$6
    ), 0
)</f>
        <v>0</v>
      </c>
      <c r="P123" s="2">
        <f>IF(ROW()&lt;3, Query1[[#This Row],[Shares]], IF(Query1[[#This Row],[Month]]&lt;&gt;H122, P122+Query1[[#This Row],[Enhanced top up]]/Query1[[#This Row],[Adj Close]], P122))</f>
        <v>3290.4909858727665</v>
      </c>
      <c r="Q123" s="2">
        <f>IFERROR(AVERAGE(
  IF(ROW()&gt;20, INDEX(G:G, ROW()-20), 0) :
  INDEX(G:G, ROW())
),0)</f>
        <v>182.45535714285714</v>
      </c>
    </row>
    <row r="124" spans="1:17" x14ac:dyDescent="0.4">
      <c r="A124" s="1">
        <v>44008</v>
      </c>
      <c r="B124">
        <v>199.72999572753906</v>
      </c>
      <c r="C124">
        <v>199.88999938964844</v>
      </c>
      <c r="D124">
        <v>194.8800048828125</v>
      </c>
      <c r="E124">
        <v>196.33000183105469</v>
      </c>
      <c r="F124">
        <v>54675800</v>
      </c>
      <c r="G124">
        <v>187.79226684570313</v>
      </c>
      <c r="H124" s="2">
        <f>MONTH(Query1[[#This Row],[Date]])</f>
        <v>6</v>
      </c>
      <c r="I124" s="3">
        <f>Query1[[#This Row],[Shares]]*Query1[[#This Row],[Adj Close]]</f>
        <v>674605.96592547116</v>
      </c>
      <c r="J124" s="3">
        <f>IF(ROW()&lt;3, Dashboard!$E$7, IF(Query1[[#This Row],[Month]]&lt;&gt;H123,J123*(1+Dashboard!$E$4)+Dashboard!$E$5,J123))</f>
        <v>535707.03506999998</v>
      </c>
      <c r="K124">
        <f>IF(ROW()&lt;3, 0,IF(Query1[[#This Row],[Month]]&lt;&gt;H123,IF((J124-I124&gt;0),J124-I124,0),0))</f>
        <v>0</v>
      </c>
      <c r="L124" s="2">
        <f t="shared" si="1"/>
        <v>3592.2989655359538</v>
      </c>
      <c r="M124">
        <f>IF(ROW()&lt;3, 0, IF(Query1[[#This Row],[Month]]&lt;&gt;H123, Dashboard!$J$5,0))</f>
        <v>0</v>
      </c>
      <c r="N124" s="2">
        <f>IF(ROW()&lt;3, Query1[[#This Row],[Shares]], IF(Query1[[#This Row],[Month]]&lt;&gt;H123, N123+Query1[[#This Row],[Fix Top Up]]/Query1[[#This Row],[Adj Close]], N123))</f>
        <v>3296.1964654256126</v>
      </c>
      <c r="O124">
        <f>IF(AND(Query1[[#This Row],[avg]]&gt;0, Query1[[#This Row],[Month]]&lt;&gt;H123),
    IF(Query1[[#This Row],[Adj Close]]&gt;Query1[[#This Row],[avg]],
       Dashboard!$L$5-Dashboard!$E$6,
       Dashboard!$L$5+Dashboard!$E$6
    ), 0
)</f>
        <v>0</v>
      </c>
      <c r="P124" s="2">
        <f>IF(ROW()&lt;3, Query1[[#This Row],[Shares]], IF(Query1[[#This Row],[Month]]&lt;&gt;H123, P123+Query1[[#This Row],[Enhanced top up]]/Query1[[#This Row],[Adj Close]], P123))</f>
        <v>3290.4909858727665</v>
      </c>
      <c r="Q124" s="2">
        <f>IFERROR(AVERAGE(
  IF(ROW()&gt;20, INDEX(G:G, ROW()-20), 0) :
  INDEX(G:G, ROW())
),0)</f>
        <v>183.13539414178757</v>
      </c>
    </row>
    <row r="125" spans="1:17" x14ac:dyDescent="0.4">
      <c r="A125" s="1">
        <v>44011</v>
      </c>
      <c r="B125">
        <v>195.77999877929688</v>
      </c>
      <c r="C125">
        <v>198.52999877929688</v>
      </c>
      <c r="D125">
        <v>193.55000305175781</v>
      </c>
      <c r="E125">
        <v>198.44000244140625</v>
      </c>
      <c r="F125">
        <v>26701600</v>
      </c>
      <c r="G125">
        <v>189.81045532226563</v>
      </c>
      <c r="H125" s="2">
        <f>MONTH(Query1[[#This Row],[Date]])</f>
        <v>6</v>
      </c>
      <c r="I125" s="3">
        <f>Query1[[#This Row],[Shares]]*Query1[[#This Row],[Adj Close]]</f>
        <v>681855.90230208321</v>
      </c>
      <c r="J125" s="3">
        <f>IF(ROW()&lt;3, Dashboard!$E$7, IF(Query1[[#This Row],[Month]]&lt;&gt;H124,J124*(1+Dashboard!$E$4)+Dashboard!$E$5,J124))</f>
        <v>535707.03506999998</v>
      </c>
      <c r="K125">
        <f>IF(ROW()&lt;3, 0,IF(Query1[[#This Row],[Month]]&lt;&gt;H124,IF((J125-I125&gt;0),J125-I125,0),0))</f>
        <v>0</v>
      </c>
      <c r="L125" s="2">
        <f t="shared" si="1"/>
        <v>3592.2989655359538</v>
      </c>
      <c r="M125">
        <f>IF(ROW()&lt;3, 0, IF(Query1[[#This Row],[Month]]&lt;&gt;H124, Dashboard!$J$5,0))</f>
        <v>0</v>
      </c>
      <c r="N125" s="2">
        <f>IF(ROW()&lt;3, Query1[[#This Row],[Shares]], IF(Query1[[#This Row],[Month]]&lt;&gt;H124, N124+Query1[[#This Row],[Fix Top Up]]/Query1[[#This Row],[Adj Close]], N124))</f>
        <v>3296.1964654256126</v>
      </c>
      <c r="O125">
        <f>IF(AND(Query1[[#This Row],[avg]]&gt;0, Query1[[#This Row],[Month]]&lt;&gt;H124),
    IF(Query1[[#This Row],[Adj Close]]&gt;Query1[[#This Row],[avg]],
       Dashboard!$L$5-Dashboard!$E$6,
       Dashboard!$L$5+Dashboard!$E$6
    ), 0
)</f>
        <v>0</v>
      </c>
      <c r="P125" s="2">
        <f>IF(ROW()&lt;3, Query1[[#This Row],[Shares]], IF(Query1[[#This Row],[Month]]&lt;&gt;H124, P124+Query1[[#This Row],[Enhanced top up]]/Query1[[#This Row],[Adj Close]], P124))</f>
        <v>3290.4909858727665</v>
      </c>
      <c r="Q125" s="2">
        <f>IFERROR(AVERAGE(
  IF(ROW()&gt;20, INDEX(G:G, ROW()-20), 0) :
  INDEX(G:G, ROW())
),0)</f>
        <v>183.82727123442152</v>
      </c>
    </row>
    <row r="126" spans="1:17" x14ac:dyDescent="0.4">
      <c r="A126" s="1">
        <v>44012</v>
      </c>
      <c r="B126">
        <v>197.8800048828125</v>
      </c>
      <c r="C126">
        <v>204.39999389648438</v>
      </c>
      <c r="D126">
        <v>197.74000549316406</v>
      </c>
      <c r="E126">
        <v>203.50999450683594</v>
      </c>
      <c r="F126">
        <v>34310300</v>
      </c>
      <c r="G126">
        <v>194.65998840332031</v>
      </c>
      <c r="H126" s="2">
        <f>MONTH(Query1[[#This Row],[Date]])</f>
        <v>6</v>
      </c>
      <c r="I126" s="3">
        <f>Query1[[#This Row],[Shares]]*Query1[[#This Row],[Adj Close]]</f>
        <v>699276.87497248838</v>
      </c>
      <c r="J126" s="3">
        <f>IF(ROW()&lt;3, Dashboard!$E$7, IF(Query1[[#This Row],[Month]]&lt;&gt;H125,J125*(1+Dashboard!$E$4)+Dashboard!$E$5,J125))</f>
        <v>535707.03506999998</v>
      </c>
      <c r="K126">
        <f>IF(ROW()&lt;3, 0,IF(Query1[[#This Row],[Month]]&lt;&gt;H125,IF((J126-I126&gt;0),J126-I126,0),0))</f>
        <v>0</v>
      </c>
      <c r="L126" s="2">
        <f t="shared" si="1"/>
        <v>3592.2989655359538</v>
      </c>
      <c r="M126">
        <f>IF(ROW()&lt;3, 0, IF(Query1[[#This Row],[Month]]&lt;&gt;H125, Dashboard!$J$5,0))</f>
        <v>0</v>
      </c>
      <c r="N126" s="2">
        <f>IF(ROW()&lt;3, Query1[[#This Row],[Shares]], IF(Query1[[#This Row],[Month]]&lt;&gt;H125, N125+Query1[[#This Row],[Fix Top Up]]/Query1[[#This Row],[Adj Close]], N125))</f>
        <v>3296.1964654256126</v>
      </c>
      <c r="O126">
        <f>IF(AND(Query1[[#This Row],[avg]]&gt;0, Query1[[#This Row],[Month]]&lt;&gt;H125),
    IF(Query1[[#This Row],[Adj Close]]&gt;Query1[[#This Row],[avg]],
       Dashboard!$L$5-Dashboard!$E$6,
       Dashboard!$L$5+Dashboard!$E$6
    ), 0
)</f>
        <v>0</v>
      </c>
      <c r="P126" s="2">
        <f>IF(ROW()&lt;3, Query1[[#This Row],[Shares]], IF(Query1[[#This Row],[Month]]&lt;&gt;H125, P125+Query1[[#This Row],[Enhanced top up]]/Query1[[#This Row],[Adj Close]], P125))</f>
        <v>3290.4909858727665</v>
      </c>
      <c r="Q126" s="2">
        <f>IFERROR(AVERAGE(
  IF(ROW()&gt;20, INDEX(G:G, ROW()-20), 0) :
  INDEX(G:G, ROW())
),0)</f>
        <v>184.76920936221168</v>
      </c>
    </row>
    <row r="127" spans="1:17" x14ac:dyDescent="0.4">
      <c r="A127" s="1">
        <v>44013</v>
      </c>
      <c r="B127">
        <v>203.13999938964844</v>
      </c>
      <c r="C127">
        <v>206.35000610351563</v>
      </c>
      <c r="D127">
        <v>201.77000427246094</v>
      </c>
      <c r="E127">
        <v>204.69999694824219</v>
      </c>
      <c r="F127">
        <v>32061200</v>
      </c>
      <c r="G127">
        <v>195.7982177734375</v>
      </c>
      <c r="H127" s="2">
        <f>MONTH(Query1[[#This Row],[Date]])</f>
        <v>7</v>
      </c>
      <c r="I127" s="3">
        <f>Query1[[#This Row],[Shares]]*Query1[[#This Row],[Adj Close]]</f>
        <v>703365.73516130296</v>
      </c>
      <c r="J127" s="3">
        <f>IF(ROW()&lt;3, Dashboard!$E$7, IF(Query1[[#This Row],[Month]]&lt;&gt;H126,J126*(1+Dashboard!$E$4)+Dashboard!$E$5,J126))</f>
        <v>543064.10542070004</v>
      </c>
      <c r="K127">
        <f>IF(ROW()&lt;3, 0,IF(Query1[[#This Row],[Month]]&lt;&gt;H126,IF((J127-I127&gt;0),J127-I127,0),0))</f>
        <v>0</v>
      </c>
      <c r="L127" s="2">
        <f t="shared" si="1"/>
        <v>3592.2989655359538</v>
      </c>
      <c r="M127">
        <f>IF(ROW()&lt;3, 0, IF(Query1[[#This Row],[Month]]&lt;&gt;H126, Dashboard!$J$5,0))</f>
        <v>773.47399999999971</v>
      </c>
      <c r="N127" s="2">
        <f>IF(ROW()&lt;3, Query1[[#This Row],[Shares]], IF(Query1[[#This Row],[Month]]&lt;&gt;H126, N126+Query1[[#This Row],[Fix Top Up]]/Query1[[#This Row],[Adj Close]], N126))</f>
        <v>3300.146828247071</v>
      </c>
      <c r="O127">
        <f>IF(AND(Query1[[#This Row],[avg]]&gt;0, Query1[[#This Row],[Month]]&lt;&gt;H126),
    IF(Query1[[#This Row],[Adj Close]]&gt;Query1[[#This Row],[avg]],
       Dashboard!$L$5-Dashboard!$E$6,
       Dashboard!$L$5+Dashboard!$E$6
    ), 0
)</f>
        <v>390.14066666666668</v>
      </c>
      <c r="P127" s="2">
        <f>IF(ROW()&lt;3, Query1[[#This Row],[Shares]], IF(Query1[[#This Row],[Month]]&lt;&gt;H126, P126+Query1[[#This Row],[Enhanced top up]]/Query1[[#This Row],[Adj Close]], P126))</f>
        <v>3292.4835508261312</v>
      </c>
      <c r="Q127" s="2">
        <f>IFERROR(AVERAGE(
  IF(ROW()&gt;20, INDEX(G:G, ROW()-20), 0) :
  INDEX(G:G, ROW())
),0)</f>
        <v>185.67060706728981</v>
      </c>
    </row>
    <row r="128" spans="1:17" x14ac:dyDescent="0.4">
      <c r="A128" s="1">
        <v>44014</v>
      </c>
      <c r="B128">
        <v>205.67999267578125</v>
      </c>
      <c r="C128">
        <v>208.02000427246094</v>
      </c>
      <c r="D128">
        <v>205</v>
      </c>
      <c r="E128">
        <v>206.25999450683594</v>
      </c>
      <c r="F128">
        <v>29315800</v>
      </c>
      <c r="G128">
        <v>197.29043579101563</v>
      </c>
      <c r="H128" s="2">
        <f>MONTH(Query1[[#This Row],[Date]])</f>
        <v>7</v>
      </c>
      <c r="I128" s="3">
        <f>Query1[[#This Row],[Shares]]*Query1[[#This Row],[Adj Close]]</f>
        <v>708726.22840220295</v>
      </c>
      <c r="J128" s="3">
        <f>IF(ROW()&lt;3, Dashboard!$E$7, IF(Query1[[#This Row],[Month]]&lt;&gt;H127,J127*(1+Dashboard!$E$4)+Dashboard!$E$5,J127))</f>
        <v>543064.10542070004</v>
      </c>
      <c r="K128">
        <f>IF(ROW()&lt;3, 0,IF(Query1[[#This Row],[Month]]&lt;&gt;H127,IF((J128-I128&gt;0),J128-I128,0),0))</f>
        <v>0</v>
      </c>
      <c r="L128" s="2">
        <f t="shared" si="1"/>
        <v>3592.2989655359538</v>
      </c>
      <c r="M128">
        <f>IF(ROW()&lt;3, 0, IF(Query1[[#This Row],[Month]]&lt;&gt;H127, Dashboard!$J$5,0))</f>
        <v>0</v>
      </c>
      <c r="N128" s="2">
        <f>IF(ROW()&lt;3, Query1[[#This Row],[Shares]], IF(Query1[[#This Row],[Month]]&lt;&gt;H127, N127+Query1[[#This Row],[Fix Top Up]]/Query1[[#This Row],[Adj Close]], N127))</f>
        <v>3300.146828247071</v>
      </c>
      <c r="O128">
        <f>IF(AND(Query1[[#This Row],[avg]]&gt;0, Query1[[#This Row],[Month]]&lt;&gt;H127),
    IF(Query1[[#This Row],[Adj Close]]&gt;Query1[[#This Row],[avg]],
       Dashboard!$L$5-Dashboard!$E$6,
       Dashboard!$L$5+Dashboard!$E$6
    ), 0
)</f>
        <v>0</v>
      </c>
      <c r="P128" s="2">
        <f>IF(ROW()&lt;3, Query1[[#This Row],[Shares]], IF(Query1[[#This Row],[Month]]&lt;&gt;H127, P127+Query1[[#This Row],[Enhanced top up]]/Query1[[#This Row],[Adj Close]], P127))</f>
        <v>3292.4835508261312</v>
      </c>
      <c r="Q128" s="2">
        <f>IFERROR(AVERAGE(
  IF(ROW()&gt;20, INDEX(G:G, ROW()-20), 0) :
  INDEX(G:G, ROW())
),0)</f>
        <v>186.62256803966704</v>
      </c>
    </row>
    <row r="129" spans="1:17" x14ac:dyDescent="0.4">
      <c r="A129" s="1">
        <v>44018</v>
      </c>
      <c r="B129">
        <v>208.83000183105469</v>
      </c>
      <c r="C129">
        <v>211.1300048828125</v>
      </c>
      <c r="D129">
        <v>208.08999633789063</v>
      </c>
      <c r="E129">
        <v>210.69999694824219</v>
      </c>
      <c r="F129">
        <v>31897600</v>
      </c>
      <c r="G129">
        <v>201.53732299804688</v>
      </c>
      <c r="H129" s="2">
        <f>MONTH(Query1[[#This Row],[Date]])</f>
        <v>7</v>
      </c>
      <c r="I129" s="3">
        <f>Query1[[#This Row],[Shares]]*Query1[[#This Row],[Adj Close]]</f>
        <v>723982.31692276918</v>
      </c>
      <c r="J129" s="3">
        <f>IF(ROW()&lt;3, Dashboard!$E$7, IF(Query1[[#This Row],[Month]]&lt;&gt;H128,J128*(1+Dashboard!$E$4)+Dashboard!$E$5,J128))</f>
        <v>543064.10542070004</v>
      </c>
      <c r="K129">
        <f>IF(ROW()&lt;3, 0,IF(Query1[[#This Row],[Month]]&lt;&gt;H128,IF((J129-I129&gt;0),J129-I129,0),0))</f>
        <v>0</v>
      </c>
      <c r="L129" s="2">
        <f t="shared" si="1"/>
        <v>3592.2989655359538</v>
      </c>
      <c r="M129">
        <f>IF(ROW()&lt;3, 0, IF(Query1[[#This Row],[Month]]&lt;&gt;H128, Dashboard!$J$5,0))</f>
        <v>0</v>
      </c>
      <c r="N129" s="2">
        <f>IF(ROW()&lt;3, Query1[[#This Row],[Shares]], IF(Query1[[#This Row],[Month]]&lt;&gt;H128, N128+Query1[[#This Row],[Fix Top Up]]/Query1[[#This Row],[Adj Close]], N128))</f>
        <v>3300.146828247071</v>
      </c>
      <c r="O129">
        <f>IF(AND(Query1[[#This Row],[avg]]&gt;0, Query1[[#This Row],[Month]]&lt;&gt;H128),
    IF(Query1[[#This Row],[Adj Close]]&gt;Query1[[#This Row],[avg]],
       Dashboard!$L$5-Dashboard!$E$6,
       Dashboard!$L$5+Dashboard!$E$6
    ), 0
)</f>
        <v>0</v>
      </c>
      <c r="P129" s="2">
        <f>IF(ROW()&lt;3, Query1[[#This Row],[Shares]], IF(Query1[[#This Row],[Month]]&lt;&gt;H128, P128+Query1[[#This Row],[Enhanced top up]]/Query1[[#This Row],[Adj Close]], P128))</f>
        <v>3292.4835508261312</v>
      </c>
      <c r="Q129" s="2">
        <f>IFERROR(AVERAGE(
  IF(ROW()&gt;20, INDEX(G:G, ROW()-20), 0) :
  INDEX(G:G, ROW())
),0)</f>
        <v>187.88789658319382</v>
      </c>
    </row>
    <row r="130" spans="1:17" x14ac:dyDescent="0.4">
      <c r="A130" s="1">
        <v>44019</v>
      </c>
      <c r="B130">
        <v>210.44999694824219</v>
      </c>
      <c r="C130">
        <v>214.66999816894531</v>
      </c>
      <c r="D130">
        <v>207.99000549316406</v>
      </c>
      <c r="E130">
        <v>208.25</v>
      </c>
      <c r="F130">
        <v>33600700</v>
      </c>
      <c r="G130">
        <v>199.19387817382813</v>
      </c>
      <c r="H130" s="2">
        <f>MONTH(Query1[[#This Row],[Date]])</f>
        <v>7</v>
      </c>
      <c r="I130" s="3">
        <f>Query1[[#This Row],[Shares]]*Query1[[#This Row],[Adj Close]]</f>
        <v>715563.96250493755</v>
      </c>
      <c r="J130" s="3">
        <f>IF(ROW()&lt;3, Dashboard!$E$7, IF(Query1[[#This Row],[Month]]&lt;&gt;H129,J129*(1+Dashboard!$E$4)+Dashboard!$E$5,J129))</f>
        <v>543064.10542070004</v>
      </c>
      <c r="K130">
        <f>IF(ROW()&lt;3, 0,IF(Query1[[#This Row],[Month]]&lt;&gt;H129,IF((J130-I130&gt;0),J130-I130,0),0))</f>
        <v>0</v>
      </c>
      <c r="L130" s="2">
        <f t="shared" ref="L130:L193" si="2">IF(ROW()&lt;3, J130/G130, L129+K129/G129)</f>
        <v>3592.2989655359538</v>
      </c>
      <c r="M130">
        <f>IF(ROW()&lt;3, 0, IF(Query1[[#This Row],[Month]]&lt;&gt;H129, Dashboard!$J$5,0))</f>
        <v>0</v>
      </c>
      <c r="N130" s="2">
        <f>IF(ROW()&lt;3, Query1[[#This Row],[Shares]], IF(Query1[[#This Row],[Month]]&lt;&gt;H129, N129+Query1[[#This Row],[Fix Top Up]]/Query1[[#This Row],[Adj Close]], N129))</f>
        <v>3300.146828247071</v>
      </c>
      <c r="O130">
        <f>IF(AND(Query1[[#This Row],[avg]]&gt;0, Query1[[#This Row],[Month]]&lt;&gt;H129),
    IF(Query1[[#This Row],[Adj Close]]&gt;Query1[[#This Row],[avg]],
       Dashboard!$L$5-Dashboard!$E$6,
       Dashboard!$L$5+Dashboard!$E$6
    ), 0
)</f>
        <v>0</v>
      </c>
      <c r="P130" s="2">
        <f>IF(ROW()&lt;3, Query1[[#This Row],[Shares]], IF(Query1[[#This Row],[Month]]&lt;&gt;H129, P129+Query1[[#This Row],[Enhanced top up]]/Query1[[#This Row],[Adj Close]], P129))</f>
        <v>3292.4835508261312</v>
      </c>
      <c r="Q130" s="2">
        <f>IFERROR(AVERAGE(
  IF(ROW()&gt;20, INDEX(G:G, ROW()-20), 0) :
  INDEX(G:G, ROW())
),0)</f>
        <v>188.84668840680803</v>
      </c>
    </row>
    <row r="131" spans="1:17" x14ac:dyDescent="0.4">
      <c r="A131" s="1">
        <v>44020</v>
      </c>
      <c r="B131">
        <v>210.07000732421875</v>
      </c>
      <c r="C131">
        <v>213.25999450683594</v>
      </c>
      <c r="D131">
        <v>208.69000244140625</v>
      </c>
      <c r="E131">
        <v>212.83000183105469</v>
      </c>
      <c r="F131">
        <v>33600000</v>
      </c>
      <c r="G131">
        <v>203.57472229003906</v>
      </c>
      <c r="H131" s="2">
        <f>MONTH(Query1[[#This Row],[Date]])</f>
        <v>7</v>
      </c>
      <c r="I131" s="3">
        <f>Query1[[#This Row],[Shares]]*Query1[[#This Row],[Adj Close]]</f>
        <v>731301.26429177646</v>
      </c>
      <c r="J131" s="3">
        <f>IF(ROW()&lt;3, Dashboard!$E$7, IF(Query1[[#This Row],[Month]]&lt;&gt;H130,J130*(1+Dashboard!$E$4)+Dashboard!$E$5,J130))</f>
        <v>543064.10542070004</v>
      </c>
      <c r="K131">
        <f>IF(ROW()&lt;3, 0,IF(Query1[[#This Row],[Month]]&lt;&gt;H130,IF((J131-I131&gt;0),J131-I131,0),0))</f>
        <v>0</v>
      </c>
      <c r="L131" s="2">
        <f t="shared" si="2"/>
        <v>3592.2989655359538</v>
      </c>
      <c r="M131">
        <f>IF(ROW()&lt;3, 0, IF(Query1[[#This Row],[Month]]&lt;&gt;H130, Dashboard!$J$5,0))</f>
        <v>0</v>
      </c>
      <c r="N131" s="2">
        <f>IF(ROW()&lt;3, Query1[[#This Row],[Shares]], IF(Query1[[#This Row],[Month]]&lt;&gt;H130, N130+Query1[[#This Row],[Fix Top Up]]/Query1[[#This Row],[Adj Close]], N130))</f>
        <v>3300.146828247071</v>
      </c>
      <c r="O131">
        <f>IF(AND(Query1[[#This Row],[avg]]&gt;0, Query1[[#This Row],[Month]]&lt;&gt;H130),
    IF(Query1[[#This Row],[Adj Close]]&gt;Query1[[#This Row],[avg]],
       Dashboard!$L$5-Dashboard!$E$6,
       Dashboard!$L$5+Dashboard!$E$6
    ), 0
)</f>
        <v>0</v>
      </c>
      <c r="P131" s="2">
        <f>IF(ROW()&lt;3, Query1[[#This Row],[Shares]], IF(Query1[[#This Row],[Month]]&lt;&gt;H130, P130+Query1[[#This Row],[Enhanced top up]]/Query1[[#This Row],[Adj Close]], P130))</f>
        <v>3292.4835508261312</v>
      </c>
      <c r="Q131" s="2">
        <f>IFERROR(AVERAGE(
  IF(ROW()&gt;20, INDEX(G:G, ROW()-20), 0) :
  INDEX(G:G, ROW())
),0)</f>
        <v>189.9612535749163</v>
      </c>
    </row>
    <row r="132" spans="1:17" x14ac:dyDescent="0.4">
      <c r="A132" s="1">
        <v>44021</v>
      </c>
      <c r="B132">
        <v>216.33000183105469</v>
      </c>
      <c r="C132">
        <v>216.3800048828125</v>
      </c>
      <c r="D132">
        <v>211.47000122070313</v>
      </c>
      <c r="E132">
        <v>214.32000732421875</v>
      </c>
      <c r="F132">
        <v>33121700</v>
      </c>
      <c r="G132">
        <v>204.99992370605469</v>
      </c>
      <c r="H132" s="2">
        <f>MONTH(Query1[[#This Row],[Date]])</f>
        <v>7</v>
      </c>
      <c r="I132" s="3">
        <f>Query1[[#This Row],[Shares]]*Query1[[#This Row],[Adj Close]]</f>
        <v>736421.01386420976</v>
      </c>
      <c r="J132" s="3">
        <f>IF(ROW()&lt;3, Dashboard!$E$7, IF(Query1[[#This Row],[Month]]&lt;&gt;H131,J131*(1+Dashboard!$E$4)+Dashboard!$E$5,J131))</f>
        <v>543064.10542070004</v>
      </c>
      <c r="K132">
        <f>IF(ROW()&lt;3, 0,IF(Query1[[#This Row],[Month]]&lt;&gt;H131,IF((J132-I132&gt;0),J132-I132,0),0))</f>
        <v>0</v>
      </c>
      <c r="L132" s="2">
        <f t="shared" si="2"/>
        <v>3592.2989655359538</v>
      </c>
      <c r="M132">
        <f>IF(ROW()&lt;3, 0, IF(Query1[[#This Row],[Month]]&lt;&gt;H131, Dashboard!$J$5,0))</f>
        <v>0</v>
      </c>
      <c r="N132" s="2">
        <f>IF(ROW()&lt;3, Query1[[#This Row],[Shares]], IF(Query1[[#This Row],[Month]]&lt;&gt;H131, N131+Query1[[#This Row],[Fix Top Up]]/Query1[[#This Row],[Adj Close]], N131))</f>
        <v>3300.146828247071</v>
      </c>
      <c r="O132">
        <f>IF(AND(Query1[[#This Row],[avg]]&gt;0, Query1[[#This Row],[Month]]&lt;&gt;H131),
    IF(Query1[[#This Row],[Adj Close]]&gt;Query1[[#This Row],[avg]],
       Dashboard!$L$5-Dashboard!$E$6,
       Dashboard!$L$5+Dashboard!$E$6
    ), 0
)</f>
        <v>0</v>
      </c>
      <c r="P132" s="2">
        <f>IF(ROW()&lt;3, Query1[[#This Row],[Shares]], IF(Query1[[#This Row],[Month]]&lt;&gt;H131, P131+Query1[[#This Row],[Enhanced top up]]/Query1[[#This Row],[Adj Close]], P131))</f>
        <v>3292.4835508261312</v>
      </c>
      <c r="Q132" s="2">
        <f>IFERROR(AVERAGE(
  IF(ROW()&gt;20, INDEX(G:G, ROW()-20), 0) :
  INDEX(G:G, ROW())
),0)</f>
        <v>191.07809593563988</v>
      </c>
    </row>
    <row r="133" spans="1:17" x14ac:dyDescent="0.4">
      <c r="A133" s="1">
        <v>44022</v>
      </c>
      <c r="B133">
        <v>213.6199951171875</v>
      </c>
      <c r="C133">
        <v>214.08000183105469</v>
      </c>
      <c r="D133">
        <v>211.08000183105469</v>
      </c>
      <c r="E133">
        <v>213.66999816894531</v>
      </c>
      <c r="F133">
        <v>26177600</v>
      </c>
      <c r="G133">
        <v>204.37818908691406</v>
      </c>
      <c r="H133" s="2">
        <f>MONTH(Query1[[#This Row],[Date]])</f>
        <v>7</v>
      </c>
      <c r="I133" s="3">
        <f>Query1[[#This Row],[Shares]]*Query1[[#This Row],[Adj Close]]</f>
        <v>734187.5572350329</v>
      </c>
      <c r="J133" s="3">
        <f>IF(ROW()&lt;3, Dashboard!$E$7, IF(Query1[[#This Row],[Month]]&lt;&gt;H132,J132*(1+Dashboard!$E$4)+Dashboard!$E$5,J132))</f>
        <v>543064.10542070004</v>
      </c>
      <c r="K133">
        <f>IF(ROW()&lt;3, 0,IF(Query1[[#This Row],[Month]]&lt;&gt;H132,IF((J133-I133&gt;0),J133-I133,0),0))</f>
        <v>0</v>
      </c>
      <c r="L133" s="2">
        <f t="shared" si="2"/>
        <v>3592.2989655359538</v>
      </c>
      <c r="M133">
        <f>IF(ROW()&lt;3, 0, IF(Query1[[#This Row],[Month]]&lt;&gt;H132, Dashboard!$J$5,0))</f>
        <v>0</v>
      </c>
      <c r="N133" s="2">
        <f>IF(ROW()&lt;3, Query1[[#This Row],[Shares]], IF(Query1[[#This Row],[Month]]&lt;&gt;H132, N132+Query1[[#This Row],[Fix Top Up]]/Query1[[#This Row],[Adj Close]], N132))</f>
        <v>3300.146828247071</v>
      </c>
      <c r="O133">
        <f>IF(AND(Query1[[#This Row],[avg]]&gt;0, Query1[[#This Row],[Month]]&lt;&gt;H132),
    IF(Query1[[#This Row],[Adj Close]]&gt;Query1[[#This Row],[avg]],
       Dashboard!$L$5-Dashboard!$E$6,
       Dashboard!$L$5+Dashboard!$E$6
    ), 0
)</f>
        <v>0</v>
      </c>
      <c r="P133" s="2">
        <f>IF(ROW()&lt;3, Query1[[#This Row],[Shares]], IF(Query1[[#This Row],[Month]]&lt;&gt;H132, P132+Query1[[#This Row],[Enhanced top up]]/Query1[[#This Row],[Adj Close]], P132))</f>
        <v>3292.4835508261312</v>
      </c>
      <c r="Q133" s="2">
        <f>IFERROR(AVERAGE(
  IF(ROW()&gt;20, INDEX(G:G, ROW()-20), 0) :
  INDEX(G:G, ROW())
),0)</f>
        <v>191.84467206682478</v>
      </c>
    </row>
    <row r="134" spans="1:17" x14ac:dyDescent="0.4">
      <c r="A134" s="1">
        <v>44025</v>
      </c>
      <c r="B134">
        <v>214.47999572753906</v>
      </c>
      <c r="C134">
        <v>215.80000305175781</v>
      </c>
      <c r="D134">
        <v>206.5</v>
      </c>
      <c r="E134">
        <v>207.07000732421875</v>
      </c>
      <c r="F134">
        <v>38135600</v>
      </c>
      <c r="G134">
        <v>198.06520080566406</v>
      </c>
      <c r="H134" s="2">
        <f>MONTH(Query1[[#This Row],[Date]])</f>
        <v>7</v>
      </c>
      <c r="I134" s="3">
        <f>Query1[[#This Row],[Shares]]*Query1[[#This Row],[Adj Close]]</f>
        <v>711509.41596285801</v>
      </c>
      <c r="J134" s="3">
        <f>IF(ROW()&lt;3, Dashboard!$E$7, IF(Query1[[#This Row],[Month]]&lt;&gt;H133,J133*(1+Dashboard!$E$4)+Dashboard!$E$5,J133))</f>
        <v>543064.10542070004</v>
      </c>
      <c r="K134">
        <f>IF(ROW()&lt;3, 0,IF(Query1[[#This Row],[Month]]&lt;&gt;H133,IF((J134-I134&gt;0),J134-I134,0),0))</f>
        <v>0</v>
      </c>
      <c r="L134" s="2">
        <f t="shared" si="2"/>
        <v>3592.2989655359538</v>
      </c>
      <c r="M134">
        <f>IF(ROW()&lt;3, 0, IF(Query1[[#This Row],[Month]]&lt;&gt;H133, Dashboard!$J$5,0))</f>
        <v>0</v>
      </c>
      <c r="N134" s="2">
        <f>IF(ROW()&lt;3, Query1[[#This Row],[Shares]], IF(Query1[[#This Row],[Month]]&lt;&gt;H133, N133+Query1[[#This Row],[Fix Top Up]]/Query1[[#This Row],[Adj Close]], N133))</f>
        <v>3300.146828247071</v>
      </c>
      <c r="O134">
        <f>IF(AND(Query1[[#This Row],[avg]]&gt;0, Query1[[#This Row],[Month]]&lt;&gt;H133),
    IF(Query1[[#This Row],[Adj Close]]&gt;Query1[[#This Row],[avg]],
       Dashboard!$L$5-Dashboard!$E$6,
       Dashboard!$L$5+Dashboard!$E$6
    ), 0
)</f>
        <v>0</v>
      </c>
      <c r="P134" s="2">
        <f>IF(ROW()&lt;3, Query1[[#This Row],[Shares]], IF(Query1[[#This Row],[Month]]&lt;&gt;H133, P133+Query1[[#This Row],[Enhanced top up]]/Query1[[#This Row],[Adj Close]], P133))</f>
        <v>3292.4835508261312</v>
      </c>
      <c r="Q134" s="2">
        <f>IFERROR(AVERAGE(
  IF(ROW()&gt;20, INDEX(G:G, ROW()-20), 0) :
  INDEX(G:G, ROW())
),0)</f>
        <v>192.79207574753534</v>
      </c>
    </row>
    <row r="135" spans="1:17" x14ac:dyDescent="0.4">
      <c r="A135" s="1">
        <v>44026</v>
      </c>
      <c r="B135">
        <v>206.1300048828125</v>
      </c>
      <c r="C135">
        <v>208.85000610351563</v>
      </c>
      <c r="D135">
        <v>202.02999877929688</v>
      </c>
      <c r="E135">
        <v>208.35000610351563</v>
      </c>
      <c r="F135">
        <v>37591800</v>
      </c>
      <c r="G135">
        <v>199.28952026367188</v>
      </c>
      <c r="H135" s="2">
        <f>MONTH(Query1[[#This Row],[Date]])</f>
        <v>7</v>
      </c>
      <c r="I135" s="3">
        <f>Query1[[#This Row],[Shares]]*Query1[[#This Row],[Adj Close]]</f>
        <v>715907.53748534503</v>
      </c>
      <c r="J135" s="3">
        <f>IF(ROW()&lt;3, Dashboard!$E$7, IF(Query1[[#This Row],[Month]]&lt;&gt;H134,J134*(1+Dashboard!$E$4)+Dashboard!$E$5,J134))</f>
        <v>543064.10542070004</v>
      </c>
      <c r="K135">
        <f>IF(ROW()&lt;3, 0,IF(Query1[[#This Row],[Month]]&lt;&gt;H134,IF((J135-I135&gt;0),J135-I135,0),0))</f>
        <v>0</v>
      </c>
      <c r="L135" s="2">
        <f t="shared" si="2"/>
        <v>3592.2989655359538</v>
      </c>
      <c r="M135">
        <f>IF(ROW()&lt;3, 0, IF(Query1[[#This Row],[Month]]&lt;&gt;H134, Dashboard!$J$5,0))</f>
        <v>0</v>
      </c>
      <c r="N135" s="2">
        <f>IF(ROW()&lt;3, Query1[[#This Row],[Shares]], IF(Query1[[#This Row],[Month]]&lt;&gt;H134, N134+Query1[[#This Row],[Fix Top Up]]/Query1[[#This Row],[Adj Close]], N134))</f>
        <v>3300.146828247071</v>
      </c>
      <c r="O135">
        <f>IF(AND(Query1[[#This Row],[avg]]&gt;0, Query1[[#This Row],[Month]]&lt;&gt;H134),
    IF(Query1[[#This Row],[Adj Close]]&gt;Query1[[#This Row],[avg]],
       Dashboard!$L$5-Dashboard!$E$6,
       Dashboard!$L$5+Dashboard!$E$6
    ), 0
)</f>
        <v>0</v>
      </c>
      <c r="P135" s="2">
        <f>IF(ROW()&lt;3, Query1[[#This Row],[Shares]], IF(Query1[[#This Row],[Month]]&lt;&gt;H134, P134+Query1[[#This Row],[Enhanced top up]]/Query1[[#This Row],[Adj Close]], P134))</f>
        <v>3292.4835508261312</v>
      </c>
      <c r="Q135" s="2">
        <f>IFERROR(AVERAGE(
  IF(ROW()&gt;20, INDEX(G:G, ROW()-20), 0) :
  INDEX(G:G, ROW())
),0)</f>
        <v>193.73082333519346</v>
      </c>
    </row>
    <row r="136" spans="1:17" x14ac:dyDescent="0.4">
      <c r="A136" s="1">
        <v>44027</v>
      </c>
      <c r="B136">
        <v>209.55999755859375</v>
      </c>
      <c r="C136">
        <v>211.33000183105469</v>
      </c>
      <c r="D136">
        <v>205.02999877929688</v>
      </c>
      <c r="E136">
        <v>208.03999328613281</v>
      </c>
      <c r="F136">
        <v>32179400</v>
      </c>
      <c r="G136">
        <v>198.99299621582031</v>
      </c>
      <c r="H136" s="2">
        <f>MONTH(Query1[[#This Row],[Date]])</f>
        <v>7</v>
      </c>
      <c r="I136" s="3">
        <f>Query1[[#This Row],[Shares]]*Query1[[#This Row],[Adj Close]]</f>
        <v>714842.33445499127</v>
      </c>
      <c r="J136" s="3">
        <f>IF(ROW()&lt;3, Dashboard!$E$7, IF(Query1[[#This Row],[Month]]&lt;&gt;H135,J135*(1+Dashboard!$E$4)+Dashboard!$E$5,J135))</f>
        <v>543064.10542070004</v>
      </c>
      <c r="K136">
        <f>IF(ROW()&lt;3, 0,IF(Query1[[#This Row],[Month]]&lt;&gt;H135,IF((J136-I136&gt;0),J136-I136,0),0))</f>
        <v>0</v>
      </c>
      <c r="L136" s="2">
        <f t="shared" si="2"/>
        <v>3592.2989655359538</v>
      </c>
      <c r="M136">
        <f>IF(ROW()&lt;3, 0, IF(Query1[[#This Row],[Month]]&lt;&gt;H135, Dashboard!$J$5,0))</f>
        <v>0</v>
      </c>
      <c r="N136" s="2">
        <f>IF(ROW()&lt;3, Query1[[#This Row],[Shares]], IF(Query1[[#This Row],[Month]]&lt;&gt;H135, N135+Query1[[#This Row],[Fix Top Up]]/Query1[[#This Row],[Adj Close]], N135))</f>
        <v>3300.146828247071</v>
      </c>
      <c r="O136">
        <f>IF(AND(Query1[[#This Row],[avg]]&gt;0, Query1[[#This Row],[Month]]&lt;&gt;H135),
    IF(Query1[[#This Row],[Adj Close]]&gt;Query1[[#This Row],[avg]],
       Dashboard!$L$5-Dashboard!$E$6,
       Dashboard!$L$5+Dashboard!$E$6
    ), 0
)</f>
        <v>0</v>
      </c>
      <c r="P136" s="2">
        <f>IF(ROW()&lt;3, Query1[[#This Row],[Shares]], IF(Query1[[#This Row],[Month]]&lt;&gt;H135, P135+Query1[[#This Row],[Enhanced top up]]/Query1[[#This Row],[Adj Close]], P135))</f>
        <v>3292.4835508261312</v>
      </c>
      <c r="Q136" s="2">
        <f>IFERROR(AVERAGE(
  IF(ROW()&gt;20, INDEX(G:G, ROW()-20), 0) :
  INDEX(G:G, ROW())
),0)</f>
        <v>194.60079302106584</v>
      </c>
    </row>
    <row r="137" spans="1:17" x14ac:dyDescent="0.4">
      <c r="A137" s="1">
        <v>44028</v>
      </c>
      <c r="B137">
        <v>205.39999389648438</v>
      </c>
      <c r="C137">
        <v>205.69999694824219</v>
      </c>
      <c r="D137">
        <v>202.30999755859375</v>
      </c>
      <c r="E137">
        <v>203.91999816894531</v>
      </c>
      <c r="F137">
        <v>29940700</v>
      </c>
      <c r="G137">
        <v>195.05216979980469</v>
      </c>
      <c r="H137" s="2">
        <f>MONTH(Query1[[#This Row],[Date]])</f>
        <v>7</v>
      </c>
      <c r="I137" s="3">
        <f>Query1[[#This Row],[Shares]]*Query1[[#This Row],[Adj Close]]</f>
        <v>700685.70779738156</v>
      </c>
      <c r="J137" s="3">
        <f>IF(ROW()&lt;3, Dashboard!$E$7, IF(Query1[[#This Row],[Month]]&lt;&gt;H136,J136*(1+Dashboard!$E$4)+Dashboard!$E$5,J136))</f>
        <v>543064.10542070004</v>
      </c>
      <c r="K137">
        <f>IF(ROW()&lt;3, 0,IF(Query1[[#This Row],[Month]]&lt;&gt;H136,IF((J137-I137&gt;0),J137-I137,0),0))</f>
        <v>0</v>
      </c>
      <c r="L137" s="2">
        <f t="shared" si="2"/>
        <v>3592.2989655359538</v>
      </c>
      <c r="M137">
        <f>IF(ROW()&lt;3, 0, IF(Query1[[#This Row],[Month]]&lt;&gt;H136, Dashboard!$J$5,0))</f>
        <v>0</v>
      </c>
      <c r="N137" s="2">
        <f>IF(ROW()&lt;3, Query1[[#This Row],[Shares]], IF(Query1[[#This Row],[Month]]&lt;&gt;H136, N136+Query1[[#This Row],[Fix Top Up]]/Query1[[#This Row],[Adj Close]], N136))</f>
        <v>3300.146828247071</v>
      </c>
      <c r="O137">
        <f>IF(AND(Query1[[#This Row],[avg]]&gt;0, Query1[[#This Row],[Month]]&lt;&gt;H136),
    IF(Query1[[#This Row],[Adj Close]]&gt;Query1[[#This Row],[avg]],
       Dashboard!$L$5-Dashboard!$E$6,
       Dashboard!$L$5+Dashboard!$E$6
    ), 0
)</f>
        <v>0</v>
      </c>
      <c r="P137" s="2">
        <f>IF(ROW()&lt;3, Query1[[#This Row],[Shares]], IF(Query1[[#This Row],[Month]]&lt;&gt;H136, P136+Query1[[#This Row],[Enhanced top up]]/Query1[[#This Row],[Adj Close]], P136))</f>
        <v>3292.4835508261312</v>
      </c>
      <c r="Q137" s="2">
        <f>IFERROR(AVERAGE(
  IF(ROW()&gt;20, INDEX(G:G, ROW()-20), 0) :
  INDEX(G:G, ROW())
),0)</f>
        <v>195.0722169421968</v>
      </c>
    </row>
    <row r="138" spans="1:17" x14ac:dyDescent="0.4">
      <c r="A138" s="1">
        <v>44029</v>
      </c>
      <c r="B138">
        <v>204.47000122070313</v>
      </c>
      <c r="C138">
        <v>205.03999328613281</v>
      </c>
      <c r="D138">
        <v>201.38999938964844</v>
      </c>
      <c r="E138">
        <v>202.8800048828125</v>
      </c>
      <c r="F138">
        <v>31635300</v>
      </c>
      <c r="G138">
        <v>194.05740356445313</v>
      </c>
      <c r="H138" s="2">
        <f>MONTH(Query1[[#This Row],[Date]])</f>
        <v>7</v>
      </c>
      <c r="I138" s="3">
        <f>Query1[[#This Row],[Shares]]*Query1[[#This Row],[Adj Close]]</f>
        <v>697112.2100791781</v>
      </c>
      <c r="J138" s="3">
        <f>IF(ROW()&lt;3, Dashboard!$E$7, IF(Query1[[#This Row],[Month]]&lt;&gt;H137,J137*(1+Dashboard!$E$4)+Dashboard!$E$5,J137))</f>
        <v>543064.10542070004</v>
      </c>
      <c r="K138">
        <f>IF(ROW()&lt;3, 0,IF(Query1[[#This Row],[Month]]&lt;&gt;H137,IF((J138-I138&gt;0),J138-I138,0),0))</f>
        <v>0</v>
      </c>
      <c r="L138" s="2">
        <f t="shared" si="2"/>
        <v>3592.2989655359538</v>
      </c>
      <c r="M138">
        <f>IF(ROW()&lt;3, 0, IF(Query1[[#This Row],[Month]]&lt;&gt;H137, Dashboard!$J$5,0))</f>
        <v>0</v>
      </c>
      <c r="N138" s="2">
        <f>IF(ROW()&lt;3, Query1[[#This Row],[Shares]], IF(Query1[[#This Row],[Month]]&lt;&gt;H137, N137+Query1[[#This Row],[Fix Top Up]]/Query1[[#This Row],[Adj Close]], N137))</f>
        <v>3300.146828247071</v>
      </c>
      <c r="O138">
        <f>IF(AND(Query1[[#This Row],[avg]]&gt;0, Query1[[#This Row],[Month]]&lt;&gt;H137),
    IF(Query1[[#This Row],[Adj Close]]&gt;Query1[[#This Row],[avg]],
       Dashboard!$L$5-Dashboard!$E$6,
       Dashboard!$L$5+Dashboard!$E$6
    ), 0
)</f>
        <v>0</v>
      </c>
      <c r="P138" s="2">
        <f>IF(ROW()&lt;3, Query1[[#This Row],[Shares]], IF(Query1[[#This Row],[Month]]&lt;&gt;H137, P137+Query1[[#This Row],[Enhanced top up]]/Query1[[#This Row],[Adj Close]], P137))</f>
        <v>3292.4835508261312</v>
      </c>
      <c r="Q138" s="2">
        <f>IFERROR(AVERAGE(
  IF(ROW()&gt;20, INDEX(G:G, ROW()-20), 0) :
  INDEX(G:G, ROW())
),0)</f>
        <v>195.46575419108072</v>
      </c>
    </row>
    <row r="139" spans="1:17" x14ac:dyDescent="0.4">
      <c r="A139" s="1">
        <v>44032</v>
      </c>
      <c r="B139">
        <v>205</v>
      </c>
      <c r="C139">
        <v>212.30000305175781</v>
      </c>
      <c r="D139">
        <v>203.00999450683594</v>
      </c>
      <c r="E139">
        <v>211.60000610351563</v>
      </c>
      <c r="F139">
        <v>36884800</v>
      </c>
      <c r="G139">
        <v>202.39822387695313</v>
      </c>
      <c r="H139" s="2">
        <f>MONTH(Query1[[#This Row],[Date]])</f>
        <v>7</v>
      </c>
      <c r="I139" s="3">
        <f>Query1[[#This Row],[Shares]]*Query1[[#This Row],[Adj Close]]</f>
        <v>727074.93025949306</v>
      </c>
      <c r="J139" s="3">
        <f>IF(ROW()&lt;3, Dashboard!$E$7, IF(Query1[[#This Row],[Month]]&lt;&gt;H138,J138*(1+Dashboard!$E$4)+Dashboard!$E$5,J138))</f>
        <v>543064.10542070004</v>
      </c>
      <c r="K139">
        <f>IF(ROW()&lt;3, 0,IF(Query1[[#This Row],[Month]]&lt;&gt;H138,IF((J139-I139&gt;0),J139-I139,0),0))</f>
        <v>0</v>
      </c>
      <c r="L139" s="2">
        <f t="shared" si="2"/>
        <v>3592.2989655359538</v>
      </c>
      <c r="M139">
        <f>IF(ROW()&lt;3, 0, IF(Query1[[#This Row],[Month]]&lt;&gt;H138, Dashboard!$J$5,0))</f>
        <v>0</v>
      </c>
      <c r="N139" s="2">
        <f>IF(ROW()&lt;3, Query1[[#This Row],[Shares]], IF(Query1[[#This Row],[Month]]&lt;&gt;H138, N138+Query1[[#This Row],[Fix Top Up]]/Query1[[#This Row],[Adj Close]], N138))</f>
        <v>3300.146828247071</v>
      </c>
      <c r="O139">
        <f>IF(AND(Query1[[#This Row],[avg]]&gt;0, Query1[[#This Row],[Month]]&lt;&gt;H138),
    IF(Query1[[#This Row],[Adj Close]]&gt;Query1[[#This Row],[avg]],
       Dashboard!$L$5-Dashboard!$E$6,
       Dashboard!$L$5+Dashboard!$E$6
    ), 0
)</f>
        <v>0</v>
      </c>
      <c r="P139" s="2">
        <f>IF(ROW()&lt;3, Query1[[#This Row],[Shares]], IF(Query1[[#This Row],[Month]]&lt;&gt;H138, P138+Query1[[#This Row],[Enhanced top up]]/Query1[[#This Row],[Adj Close]], P138))</f>
        <v>3292.4835508261312</v>
      </c>
      <c r="Q139" s="2">
        <f>IFERROR(AVERAGE(
  IF(ROW()&gt;20, INDEX(G:G, ROW()-20), 0) :
  INDEX(G:G, ROW())
),0)</f>
        <v>196.16173299153647</v>
      </c>
    </row>
    <row r="140" spans="1:17" x14ac:dyDescent="0.4">
      <c r="A140" s="1">
        <v>44033</v>
      </c>
      <c r="B140">
        <v>213.66000366210938</v>
      </c>
      <c r="C140">
        <v>213.94000244140625</v>
      </c>
      <c r="D140">
        <v>208.02999877929688</v>
      </c>
      <c r="E140">
        <v>208.75</v>
      </c>
      <c r="F140">
        <v>37990400</v>
      </c>
      <c r="G140">
        <v>199.67213439941406</v>
      </c>
      <c r="H140" s="2">
        <f>MONTH(Query1[[#This Row],[Date]])</f>
        <v>7</v>
      </c>
      <c r="I140" s="3">
        <f>Query1[[#This Row],[Shares]]*Query1[[#This Row],[Adj Close]]</f>
        <v>717282.00184937112</v>
      </c>
      <c r="J140" s="3">
        <f>IF(ROW()&lt;3, Dashboard!$E$7, IF(Query1[[#This Row],[Month]]&lt;&gt;H139,J139*(1+Dashboard!$E$4)+Dashboard!$E$5,J139))</f>
        <v>543064.10542070004</v>
      </c>
      <c r="K140">
        <f>IF(ROW()&lt;3, 0,IF(Query1[[#This Row],[Month]]&lt;&gt;H139,IF((J140-I140&gt;0),J140-I140,0),0))</f>
        <v>0</v>
      </c>
      <c r="L140" s="2">
        <f t="shared" si="2"/>
        <v>3592.2989655359538</v>
      </c>
      <c r="M140">
        <f>IF(ROW()&lt;3, 0, IF(Query1[[#This Row],[Month]]&lt;&gt;H139, Dashboard!$J$5,0))</f>
        <v>0</v>
      </c>
      <c r="N140" s="2">
        <f>IF(ROW()&lt;3, Query1[[#This Row],[Shares]], IF(Query1[[#This Row],[Month]]&lt;&gt;H139, N139+Query1[[#This Row],[Fix Top Up]]/Query1[[#This Row],[Adj Close]], N139))</f>
        <v>3300.146828247071</v>
      </c>
      <c r="O140">
        <f>IF(AND(Query1[[#This Row],[avg]]&gt;0, Query1[[#This Row],[Month]]&lt;&gt;H139),
    IF(Query1[[#This Row],[Adj Close]]&gt;Query1[[#This Row],[avg]],
       Dashboard!$L$5-Dashboard!$E$6,
       Dashboard!$L$5+Dashboard!$E$6
    ), 0
)</f>
        <v>0</v>
      </c>
      <c r="P140" s="2">
        <f>IF(ROW()&lt;3, Query1[[#This Row],[Shares]], IF(Query1[[#This Row],[Month]]&lt;&gt;H139, P139+Query1[[#This Row],[Enhanced top up]]/Query1[[#This Row],[Adj Close]], P139))</f>
        <v>3292.4835508261312</v>
      </c>
      <c r="Q140" s="2">
        <f>IFERROR(AVERAGE(
  IF(ROW()&gt;20, INDEX(G:G, ROW()-20), 0) :
  INDEX(G:G, ROW())
),0)</f>
        <v>196.78118969145277</v>
      </c>
    </row>
    <row r="141" spans="1:17" x14ac:dyDescent="0.4">
      <c r="A141" s="1">
        <v>44034</v>
      </c>
      <c r="B141">
        <v>209.19999694824219</v>
      </c>
      <c r="C141">
        <v>212.30000305175781</v>
      </c>
      <c r="D141">
        <v>208.38999938964844</v>
      </c>
      <c r="E141">
        <v>211.75</v>
      </c>
      <c r="F141">
        <v>49605700</v>
      </c>
      <c r="G141">
        <v>202.54170227050781</v>
      </c>
      <c r="H141" s="2">
        <f>MONTH(Query1[[#This Row],[Date]])</f>
        <v>7</v>
      </c>
      <c r="I141" s="3">
        <f>Query1[[#This Row],[Shares]]*Query1[[#This Row],[Adj Close]]</f>
        <v>727590.34754423634</v>
      </c>
      <c r="J141" s="3">
        <f>IF(ROW()&lt;3, Dashboard!$E$7, IF(Query1[[#This Row],[Month]]&lt;&gt;H140,J140*(1+Dashboard!$E$4)+Dashboard!$E$5,J140))</f>
        <v>543064.10542070004</v>
      </c>
      <c r="K141">
        <f>IF(ROW()&lt;3, 0,IF(Query1[[#This Row],[Month]]&lt;&gt;H140,IF((J141-I141&gt;0),J141-I141,0),0))</f>
        <v>0</v>
      </c>
      <c r="L141" s="2">
        <f t="shared" si="2"/>
        <v>3592.2989655359538</v>
      </c>
      <c r="M141">
        <f>IF(ROW()&lt;3, 0, IF(Query1[[#This Row],[Month]]&lt;&gt;H140, Dashboard!$J$5,0))</f>
        <v>0</v>
      </c>
      <c r="N141" s="2">
        <f>IF(ROW()&lt;3, Query1[[#This Row],[Shares]], IF(Query1[[#This Row],[Month]]&lt;&gt;H140, N140+Query1[[#This Row],[Fix Top Up]]/Query1[[#This Row],[Adj Close]], N140))</f>
        <v>3300.146828247071</v>
      </c>
      <c r="O141">
        <f>IF(AND(Query1[[#This Row],[avg]]&gt;0, Query1[[#This Row],[Month]]&lt;&gt;H140),
    IF(Query1[[#This Row],[Adj Close]]&gt;Query1[[#This Row],[avg]],
       Dashboard!$L$5-Dashboard!$E$6,
       Dashboard!$L$5+Dashboard!$E$6
    ), 0
)</f>
        <v>0</v>
      </c>
      <c r="P141" s="2">
        <f>IF(ROW()&lt;3, Query1[[#This Row],[Shares]], IF(Query1[[#This Row],[Month]]&lt;&gt;H140, P140+Query1[[#This Row],[Enhanced top up]]/Query1[[#This Row],[Adj Close]], P140))</f>
        <v>3292.4835508261312</v>
      </c>
      <c r="Q141" s="2">
        <f>IFERROR(AVERAGE(
  IF(ROW()&gt;20, INDEX(G:G, ROW()-20), 0) :
  INDEX(G:G, ROW())
),0)</f>
        <v>197.29041980561755</v>
      </c>
    </row>
    <row r="142" spans="1:17" x14ac:dyDescent="0.4">
      <c r="A142" s="1">
        <v>44035</v>
      </c>
      <c r="B142">
        <v>207.19000244140625</v>
      </c>
      <c r="C142">
        <v>210.91999816894531</v>
      </c>
      <c r="D142">
        <v>202.14999389648438</v>
      </c>
      <c r="E142">
        <v>202.53999328613281</v>
      </c>
      <c r="F142">
        <v>67457000</v>
      </c>
      <c r="G142">
        <v>193.732177734375</v>
      </c>
      <c r="H142" s="2">
        <f>MONTH(Query1[[#This Row],[Date]])</f>
        <v>7</v>
      </c>
      <c r="I142" s="3">
        <f>Query1[[#This Row],[Shares]]*Query1[[#This Row],[Adj Close]]</f>
        <v>695943.90166622284</v>
      </c>
      <c r="J142" s="3">
        <f>IF(ROW()&lt;3, Dashboard!$E$7, IF(Query1[[#This Row],[Month]]&lt;&gt;H141,J141*(1+Dashboard!$E$4)+Dashboard!$E$5,J141))</f>
        <v>543064.10542070004</v>
      </c>
      <c r="K142">
        <f>IF(ROW()&lt;3, 0,IF(Query1[[#This Row],[Month]]&lt;&gt;H141,IF((J142-I142&gt;0),J142-I142,0),0))</f>
        <v>0</v>
      </c>
      <c r="L142" s="2">
        <f t="shared" si="2"/>
        <v>3592.2989655359538</v>
      </c>
      <c r="M142">
        <f>IF(ROW()&lt;3, 0, IF(Query1[[#This Row],[Month]]&lt;&gt;H141, Dashboard!$J$5,0))</f>
        <v>0</v>
      </c>
      <c r="N142" s="2">
        <f>IF(ROW()&lt;3, Query1[[#This Row],[Shares]], IF(Query1[[#This Row],[Month]]&lt;&gt;H141, N141+Query1[[#This Row],[Fix Top Up]]/Query1[[#This Row],[Adj Close]], N141))</f>
        <v>3300.146828247071</v>
      </c>
      <c r="O142">
        <f>IF(AND(Query1[[#This Row],[avg]]&gt;0, Query1[[#This Row],[Month]]&lt;&gt;H141),
    IF(Query1[[#This Row],[Adj Close]]&gt;Query1[[#This Row],[avg]],
       Dashboard!$L$5-Dashboard!$E$6,
       Dashboard!$L$5+Dashboard!$E$6
    ), 0
)</f>
        <v>0</v>
      </c>
      <c r="P142" s="2">
        <f>IF(ROW()&lt;3, Query1[[#This Row],[Shares]], IF(Query1[[#This Row],[Month]]&lt;&gt;H141, P141+Query1[[#This Row],[Enhanced top up]]/Query1[[#This Row],[Adj Close]], P141))</f>
        <v>3292.4835508261312</v>
      </c>
      <c r="Q142" s="2">
        <f>IFERROR(AVERAGE(
  IF(ROW()&gt;20, INDEX(G:G, ROW()-20), 0) :
  INDEX(G:G, ROW())
),0)</f>
        <v>197.3191135951451</v>
      </c>
    </row>
    <row r="143" spans="1:17" x14ac:dyDescent="0.4">
      <c r="A143" s="1">
        <v>44036</v>
      </c>
      <c r="B143">
        <v>200.41999816894531</v>
      </c>
      <c r="C143">
        <v>202.86000061035156</v>
      </c>
      <c r="D143">
        <v>197.50999450683594</v>
      </c>
      <c r="E143">
        <v>201.30000305175781</v>
      </c>
      <c r="F143">
        <v>39827000</v>
      </c>
      <c r="G143">
        <v>192.54608154296875</v>
      </c>
      <c r="H143" s="2">
        <f>MONTH(Query1[[#This Row],[Date]])</f>
        <v>7</v>
      </c>
      <c r="I143" s="3">
        <f>Query1[[#This Row],[Shares]]*Query1[[#This Row],[Adj Close]]</f>
        <v>691683.08954480803</v>
      </c>
      <c r="J143" s="3">
        <f>IF(ROW()&lt;3, Dashboard!$E$7, IF(Query1[[#This Row],[Month]]&lt;&gt;H142,J142*(1+Dashboard!$E$4)+Dashboard!$E$5,J142))</f>
        <v>543064.10542070004</v>
      </c>
      <c r="K143">
        <f>IF(ROW()&lt;3, 0,IF(Query1[[#This Row],[Month]]&lt;&gt;H142,IF((J143-I143&gt;0),J143-I143,0),0))</f>
        <v>0</v>
      </c>
      <c r="L143" s="2">
        <f t="shared" si="2"/>
        <v>3592.2989655359538</v>
      </c>
      <c r="M143">
        <f>IF(ROW()&lt;3, 0, IF(Query1[[#This Row],[Month]]&lt;&gt;H142, Dashboard!$J$5,0))</f>
        <v>0</v>
      </c>
      <c r="N143" s="2">
        <f>IF(ROW()&lt;3, Query1[[#This Row],[Shares]], IF(Query1[[#This Row],[Month]]&lt;&gt;H142, N142+Query1[[#This Row],[Fix Top Up]]/Query1[[#This Row],[Adj Close]], N142))</f>
        <v>3300.146828247071</v>
      </c>
      <c r="O143">
        <f>IF(AND(Query1[[#This Row],[avg]]&gt;0, Query1[[#This Row],[Month]]&lt;&gt;H142),
    IF(Query1[[#This Row],[Adj Close]]&gt;Query1[[#This Row],[avg]],
       Dashboard!$L$5-Dashboard!$E$6,
       Dashboard!$L$5+Dashboard!$E$6
    ), 0
)</f>
        <v>0</v>
      </c>
      <c r="P143" s="2">
        <f>IF(ROW()&lt;3, Query1[[#This Row],[Shares]], IF(Query1[[#This Row],[Month]]&lt;&gt;H142, P142+Query1[[#This Row],[Enhanced top up]]/Query1[[#This Row],[Adj Close]], P142))</f>
        <v>3292.4835508261312</v>
      </c>
      <c r="Q143" s="2">
        <f>IFERROR(AVERAGE(
  IF(ROW()&gt;20, INDEX(G:G, ROW()-20), 0) :
  INDEX(G:G, ROW())
),0)</f>
        <v>197.47670854840959</v>
      </c>
    </row>
    <row r="144" spans="1:17" x14ac:dyDescent="0.4">
      <c r="A144" s="1">
        <v>44039</v>
      </c>
      <c r="B144">
        <v>201.47000122070313</v>
      </c>
      <c r="C144">
        <v>203.97000122070313</v>
      </c>
      <c r="D144">
        <v>200.86000061035156</v>
      </c>
      <c r="E144">
        <v>203.85000610351563</v>
      </c>
      <c r="F144">
        <v>30160900</v>
      </c>
      <c r="G144">
        <v>194.98521423339844</v>
      </c>
      <c r="H144" s="2">
        <f>MONTH(Query1[[#This Row],[Date]])</f>
        <v>7</v>
      </c>
      <c r="I144" s="3">
        <f>Query1[[#This Row],[Shares]]*Query1[[#This Row],[Adj Close]]</f>
        <v>700445.18338544352</v>
      </c>
      <c r="J144" s="3">
        <f>IF(ROW()&lt;3, Dashboard!$E$7, IF(Query1[[#This Row],[Month]]&lt;&gt;H143,J143*(1+Dashboard!$E$4)+Dashboard!$E$5,J143))</f>
        <v>543064.10542070004</v>
      </c>
      <c r="K144">
        <f>IF(ROW()&lt;3, 0,IF(Query1[[#This Row],[Month]]&lt;&gt;H143,IF((J144-I144&gt;0),J144-I144,0),0))</f>
        <v>0</v>
      </c>
      <c r="L144" s="2">
        <f t="shared" si="2"/>
        <v>3592.2989655359538</v>
      </c>
      <c r="M144">
        <f>IF(ROW()&lt;3, 0, IF(Query1[[#This Row],[Month]]&lt;&gt;H143, Dashboard!$J$5,0))</f>
        <v>0</v>
      </c>
      <c r="N144" s="2">
        <f>IF(ROW()&lt;3, Query1[[#This Row],[Shares]], IF(Query1[[#This Row],[Month]]&lt;&gt;H143, N143+Query1[[#This Row],[Fix Top Up]]/Query1[[#This Row],[Adj Close]], N143))</f>
        <v>3300.146828247071</v>
      </c>
      <c r="O144">
        <f>IF(AND(Query1[[#This Row],[avg]]&gt;0, Query1[[#This Row],[Month]]&lt;&gt;H143),
    IF(Query1[[#This Row],[Adj Close]]&gt;Query1[[#This Row],[avg]],
       Dashboard!$L$5-Dashboard!$E$6,
       Dashboard!$L$5+Dashboard!$E$6
    ), 0
)</f>
        <v>0</v>
      </c>
      <c r="P144" s="2">
        <f>IF(ROW()&lt;3, Query1[[#This Row],[Shares]], IF(Query1[[#This Row],[Month]]&lt;&gt;H143, P143+Query1[[#This Row],[Enhanced top up]]/Query1[[#This Row],[Adj Close]], P143))</f>
        <v>3292.4835508261312</v>
      </c>
      <c r="Q144" s="2">
        <f>IFERROR(AVERAGE(
  IF(ROW()&gt;20, INDEX(G:G, ROW()-20), 0) :
  INDEX(G:G, ROW())
),0)</f>
        <v>197.63658214750745</v>
      </c>
    </row>
    <row r="145" spans="1:17" x14ac:dyDescent="0.4">
      <c r="A145" s="1">
        <v>44040</v>
      </c>
      <c r="B145">
        <v>203.61000061035156</v>
      </c>
      <c r="C145">
        <v>204.69999694824219</v>
      </c>
      <c r="D145">
        <v>201.74000549316406</v>
      </c>
      <c r="E145">
        <v>202.02000427246094</v>
      </c>
      <c r="F145">
        <v>23251400</v>
      </c>
      <c r="G145">
        <v>193.23481750488281</v>
      </c>
      <c r="H145" s="2">
        <f>MONTH(Query1[[#This Row],[Date]])</f>
        <v>7</v>
      </c>
      <c r="I145" s="3">
        <f>Query1[[#This Row],[Shares]]*Query1[[#This Row],[Adj Close]]</f>
        <v>694157.23502831929</v>
      </c>
      <c r="J145" s="3">
        <f>IF(ROW()&lt;3, Dashboard!$E$7, IF(Query1[[#This Row],[Month]]&lt;&gt;H144,J144*(1+Dashboard!$E$4)+Dashboard!$E$5,J144))</f>
        <v>543064.10542070004</v>
      </c>
      <c r="K145">
        <f>IF(ROW()&lt;3, 0,IF(Query1[[#This Row],[Month]]&lt;&gt;H144,IF((J145-I145&gt;0),J145-I145,0),0))</f>
        <v>0</v>
      </c>
      <c r="L145" s="2">
        <f t="shared" si="2"/>
        <v>3592.2989655359538</v>
      </c>
      <c r="M145">
        <f>IF(ROW()&lt;3, 0, IF(Query1[[#This Row],[Month]]&lt;&gt;H144, Dashboard!$J$5,0))</f>
        <v>0</v>
      </c>
      <c r="N145" s="2">
        <f>IF(ROW()&lt;3, Query1[[#This Row],[Shares]], IF(Query1[[#This Row],[Month]]&lt;&gt;H144, N144+Query1[[#This Row],[Fix Top Up]]/Query1[[#This Row],[Adj Close]], N144))</f>
        <v>3300.146828247071</v>
      </c>
      <c r="O145">
        <f>IF(AND(Query1[[#This Row],[avg]]&gt;0, Query1[[#This Row],[Month]]&lt;&gt;H144),
    IF(Query1[[#This Row],[Adj Close]]&gt;Query1[[#This Row],[avg]],
       Dashboard!$L$5-Dashboard!$E$6,
       Dashboard!$L$5+Dashboard!$E$6
    ), 0
)</f>
        <v>0</v>
      </c>
      <c r="P145" s="2">
        <f>IF(ROW()&lt;3, Query1[[#This Row],[Shares]], IF(Query1[[#This Row],[Month]]&lt;&gt;H144, P144+Query1[[#This Row],[Enhanced top up]]/Query1[[#This Row],[Adj Close]], P144))</f>
        <v>3292.4835508261312</v>
      </c>
      <c r="Q145" s="2">
        <f>IFERROR(AVERAGE(
  IF(ROW()&gt;20, INDEX(G:G, ROW()-20), 0) :
  INDEX(G:G, ROW())
),0)</f>
        <v>197.89575122651598</v>
      </c>
    </row>
    <row r="146" spans="1:17" x14ac:dyDescent="0.4">
      <c r="A146" s="1">
        <v>44041</v>
      </c>
      <c r="B146">
        <v>202.5</v>
      </c>
      <c r="C146">
        <v>204.64999389648438</v>
      </c>
      <c r="D146">
        <v>202.00999450683594</v>
      </c>
      <c r="E146">
        <v>204.05999755859375</v>
      </c>
      <c r="F146">
        <v>19632600</v>
      </c>
      <c r="G146">
        <v>195.18609619140625</v>
      </c>
      <c r="H146" s="2">
        <f>MONTH(Query1[[#This Row],[Date]])</f>
        <v>7</v>
      </c>
      <c r="I146" s="3">
        <f>Query1[[#This Row],[Shares]]*Query1[[#This Row],[Adj Close]]</f>
        <v>701166.8114353898</v>
      </c>
      <c r="J146" s="3">
        <f>IF(ROW()&lt;3, Dashboard!$E$7, IF(Query1[[#This Row],[Month]]&lt;&gt;H145,J145*(1+Dashboard!$E$4)+Dashboard!$E$5,J145))</f>
        <v>543064.10542070004</v>
      </c>
      <c r="K146">
        <f>IF(ROW()&lt;3, 0,IF(Query1[[#This Row],[Month]]&lt;&gt;H145,IF((J146-I146&gt;0),J146-I146,0),0))</f>
        <v>0</v>
      </c>
      <c r="L146" s="2">
        <f t="shared" si="2"/>
        <v>3592.2989655359538</v>
      </c>
      <c r="M146">
        <f>IF(ROW()&lt;3, 0, IF(Query1[[#This Row],[Month]]&lt;&gt;H145, Dashboard!$J$5,0))</f>
        <v>0</v>
      </c>
      <c r="N146" s="2">
        <f>IF(ROW()&lt;3, Query1[[#This Row],[Shares]], IF(Query1[[#This Row],[Month]]&lt;&gt;H145, N145+Query1[[#This Row],[Fix Top Up]]/Query1[[#This Row],[Adj Close]], N145))</f>
        <v>3300.146828247071</v>
      </c>
      <c r="O146">
        <f>IF(AND(Query1[[#This Row],[avg]]&gt;0, Query1[[#This Row],[Month]]&lt;&gt;H145),
    IF(Query1[[#This Row],[Adj Close]]&gt;Query1[[#This Row],[avg]],
       Dashboard!$L$5-Dashboard!$E$6,
       Dashboard!$L$5+Dashboard!$E$6
    ), 0
)</f>
        <v>0</v>
      </c>
      <c r="P146" s="2">
        <f>IF(ROW()&lt;3, Query1[[#This Row],[Shares]], IF(Query1[[#This Row],[Month]]&lt;&gt;H145, P145+Query1[[#This Row],[Enhanced top up]]/Query1[[#This Row],[Adj Close]], P145))</f>
        <v>3292.4835508261312</v>
      </c>
      <c r="Q146" s="2">
        <f>IFERROR(AVERAGE(
  IF(ROW()&gt;20, INDEX(G:G, ROW()-20), 0) :
  INDEX(G:G, ROW())
),0)</f>
        <v>198.15173412504652</v>
      </c>
    </row>
    <row r="147" spans="1:17" x14ac:dyDescent="0.4">
      <c r="A147" s="1">
        <v>44042</v>
      </c>
      <c r="B147">
        <v>201</v>
      </c>
      <c r="C147">
        <v>204.46000671386719</v>
      </c>
      <c r="D147">
        <v>199.57000732421875</v>
      </c>
      <c r="E147">
        <v>203.89999389648438</v>
      </c>
      <c r="F147">
        <v>25079600</v>
      </c>
      <c r="G147">
        <v>195.03302001953125</v>
      </c>
      <c r="H147" s="2">
        <f>MONTH(Query1[[#This Row],[Date]])</f>
        <v>7</v>
      </c>
      <c r="I147" s="3">
        <f>Query1[[#This Row],[Shares]]*Query1[[#This Row],[Adj Close]]</f>
        <v>700616.9160615151</v>
      </c>
      <c r="J147" s="3">
        <f>IF(ROW()&lt;3, Dashboard!$E$7, IF(Query1[[#This Row],[Month]]&lt;&gt;H146,J146*(1+Dashboard!$E$4)+Dashboard!$E$5,J146))</f>
        <v>543064.10542070004</v>
      </c>
      <c r="K147">
        <f>IF(ROW()&lt;3, 0,IF(Query1[[#This Row],[Month]]&lt;&gt;H146,IF((J147-I147&gt;0),J147-I147,0),0))</f>
        <v>0</v>
      </c>
      <c r="L147" s="2">
        <f t="shared" si="2"/>
        <v>3592.2989655359538</v>
      </c>
      <c r="M147">
        <f>IF(ROW()&lt;3, 0, IF(Query1[[#This Row],[Month]]&lt;&gt;H146, Dashboard!$J$5,0))</f>
        <v>0</v>
      </c>
      <c r="N147" s="2">
        <f>IF(ROW()&lt;3, Query1[[#This Row],[Shares]], IF(Query1[[#This Row],[Month]]&lt;&gt;H146, N146+Query1[[#This Row],[Fix Top Up]]/Query1[[#This Row],[Adj Close]], N146))</f>
        <v>3300.146828247071</v>
      </c>
      <c r="O147">
        <f>IF(AND(Query1[[#This Row],[avg]]&gt;0, Query1[[#This Row],[Month]]&lt;&gt;H146),
    IF(Query1[[#This Row],[Adj Close]]&gt;Query1[[#This Row],[avg]],
       Dashboard!$L$5-Dashboard!$E$6,
       Dashboard!$L$5+Dashboard!$E$6
    ), 0
)</f>
        <v>0</v>
      </c>
      <c r="P147" s="2">
        <f>IF(ROW()&lt;3, Query1[[#This Row],[Shares]], IF(Query1[[#This Row],[Month]]&lt;&gt;H146, P146+Query1[[#This Row],[Enhanced top up]]/Query1[[#This Row],[Adj Close]], P146))</f>
        <v>3292.4835508261312</v>
      </c>
      <c r="Q147" s="2">
        <f>IFERROR(AVERAGE(
  IF(ROW()&gt;20, INDEX(G:G, ROW()-20), 0) :
  INDEX(G:G, ROW())
),0)</f>
        <v>198.16949753534226</v>
      </c>
    </row>
    <row r="148" spans="1:17" x14ac:dyDescent="0.4">
      <c r="A148" s="1">
        <v>44043</v>
      </c>
      <c r="B148">
        <v>204.39999389648438</v>
      </c>
      <c r="C148">
        <v>205.10000610351563</v>
      </c>
      <c r="D148">
        <v>199.00999450683594</v>
      </c>
      <c r="E148">
        <v>205.00999450683594</v>
      </c>
      <c r="F148">
        <v>51044000</v>
      </c>
      <c r="G148">
        <v>196.09477233886719</v>
      </c>
      <c r="H148" s="2">
        <f>MONTH(Query1[[#This Row],[Date]])</f>
        <v>7</v>
      </c>
      <c r="I148" s="3">
        <f>Query1[[#This Row],[Shares]]*Query1[[#This Row],[Adj Close]]</f>
        <v>704431.04781992093</v>
      </c>
      <c r="J148" s="3">
        <f>IF(ROW()&lt;3, Dashboard!$E$7, IF(Query1[[#This Row],[Month]]&lt;&gt;H147,J147*(1+Dashboard!$E$4)+Dashboard!$E$5,J147))</f>
        <v>543064.10542070004</v>
      </c>
      <c r="K148">
        <f>IF(ROW()&lt;3, 0,IF(Query1[[#This Row],[Month]]&lt;&gt;H147,IF((J148-I148&gt;0),J148-I148,0),0))</f>
        <v>0</v>
      </c>
      <c r="L148" s="2">
        <f t="shared" si="2"/>
        <v>3592.2989655359538</v>
      </c>
      <c r="M148">
        <f>IF(ROW()&lt;3, 0, IF(Query1[[#This Row],[Month]]&lt;&gt;H147, Dashboard!$J$5,0))</f>
        <v>0</v>
      </c>
      <c r="N148" s="2">
        <f>IF(ROW()&lt;3, Query1[[#This Row],[Shares]], IF(Query1[[#This Row],[Month]]&lt;&gt;H147, N147+Query1[[#This Row],[Fix Top Up]]/Query1[[#This Row],[Adj Close]], N147))</f>
        <v>3300.146828247071</v>
      </c>
      <c r="O148">
        <f>IF(AND(Query1[[#This Row],[avg]]&gt;0, Query1[[#This Row],[Month]]&lt;&gt;H147),
    IF(Query1[[#This Row],[Adj Close]]&gt;Query1[[#This Row],[avg]],
       Dashboard!$L$5-Dashboard!$E$6,
       Dashboard!$L$5+Dashboard!$E$6
    ), 0
)</f>
        <v>0</v>
      </c>
      <c r="P148" s="2">
        <f>IF(ROW()&lt;3, Query1[[#This Row],[Shares]], IF(Query1[[#This Row],[Month]]&lt;&gt;H147, P147+Query1[[#This Row],[Enhanced top up]]/Query1[[#This Row],[Adj Close]], P147))</f>
        <v>3292.4835508261312</v>
      </c>
      <c r="Q148" s="2">
        <f>IFERROR(AVERAGE(
  IF(ROW()&gt;20, INDEX(G:G, ROW()-20), 0) :
  INDEX(G:G, ROW())
),0)</f>
        <v>198.18361918131509</v>
      </c>
    </row>
    <row r="149" spans="1:17" x14ac:dyDescent="0.4">
      <c r="A149" s="1">
        <v>44046</v>
      </c>
      <c r="B149">
        <v>211.52000427246094</v>
      </c>
      <c r="C149">
        <v>217.63999938964844</v>
      </c>
      <c r="D149">
        <v>210.44000244140625</v>
      </c>
      <c r="E149">
        <v>216.53999328613281</v>
      </c>
      <c r="F149">
        <v>78983000</v>
      </c>
      <c r="G149">
        <v>207.12338256835938</v>
      </c>
      <c r="H149" s="2">
        <f>MONTH(Query1[[#This Row],[Date]])</f>
        <v>8</v>
      </c>
      <c r="I149" s="3">
        <f>Query1[[#This Row],[Shares]]*Query1[[#This Row],[Adj Close]]</f>
        <v>744049.11293862504</v>
      </c>
      <c r="J149" s="3">
        <f>IF(ROW()&lt;3, Dashboard!$E$7, IF(Query1[[#This Row],[Month]]&lt;&gt;H148,J148*(1+Dashboard!$E$4)+Dashboard!$E$5,J148))</f>
        <v>550494.74647490704</v>
      </c>
      <c r="K149">
        <f>IF(ROW()&lt;3, 0,IF(Query1[[#This Row],[Month]]&lt;&gt;H148,IF((J149-I149&gt;0),J149-I149,0),0))</f>
        <v>0</v>
      </c>
      <c r="L149" s="2">
        <f t="shared" si="2"/>
        <v>3592.2989655359538</v>
      </c>
      <c r="M149">
        <f>IF(ROW()&lt;3, 0, IF(Query1[[#This Row],[Month]]&lt;&gt;H148, Dashboard!$J$5,0))</f>
        <v>773.47399999999971</v>
      </c>
      <c r="N149" s="2">
        <f>IF(ROW()&lt;3, Query1[[#This Row],[Shares]], IF(Query1[[#This Row],[Month]]&lt;&gt;H148, N148+Query1[[#This Row],[Fix Top Up]]/Query1[[#This Row],[Adj Close]], N148))</f>
        <v>3303.8811917477478</v>
      </c>
      <c r="O149">
        <f>IF(AND(Query1[[#This Row],[avg]]&gt;0, Query1[[#This Row],[Month]]&lt;&gt;H148),
    IF(Query1[[#This Row],[Adj Close]]&gt;Query1[[#This Row],[avg]],
       Dashboard!$L$5-Dashboard!$E$6,
       Dashboard!$L$5+Dashboard!$E$6
    ), 0
)</f>
        <v>390.14066666666668</v>
      </c>
      <c r="P149" s="2">
        <f>IF(ROW()&lt;3, Query1[[#This Row],[Shares]], IF(Query1[[#This Row],[Month]]&lt;&gt;H148, P148+Query1[[#This Row],[Enhanced top up]]/Query1[[#This Row],[Adj Close]], P148))</f>
        <v>3294.367165615678</v>
      </c>
      <c r="Q149" s="2">
        <f>IFERROR(AVERAGE(
  IF(ROW()&gt;20, INDEX(G:G, ROW()-20), 0) :
  INDEX(G:G, ROW())
),0)</f>
        <v>198.65185474214098</v>
      </c>
    </row>
    <row r="150" spans="1:17" x14ac:dyDescent="0.4">
      <c r="A150" s="1">
        <v>44047</v>
      </c>
      <c r="B150">
        <v>214.16999816894531</v>
      </c>
      <c r="C150">
        <v>214.77000427246094</v>
      </c>
      <c r="D150">
        <v>210.30999755859375</v>
      </c>
      <c r="E150">
        <v>213.28999328613281</v>
      </c>
      <c r="F150">
        <v>49280100</v>
      </c>
      <c r="G150">
        <v>204.01469421386719</v>
      </c>
      <c r="H150" s="2">
        <f>MONTH(Query1[[#This Row],[Date]])</f>
        <v>8</v>
      </c>
      <c r="I150" s="3">
        <f>Query1[[#This Row],[Shares]]*Query1[[#This Row],[Adj Close]]</f>
        <v>732881.77497860906</v>
      </c>
      <c r="J150" s="3">
        <f>IF(ROW()&lt;3, Dashboard!$E$7, IF(Query1[[#This Row],[Month]]&lt;&gt;H149,J149*(1+Dashboard!$E$4)+Dashboard!$E$5,J149))</f>
        <v>550494.74647490704</v>
      </c>
      <c r="K150">
        <f>IF(ROW()&lt;3, 0,IF(Query1[[#This Row],[Month]]&lt;&gt;H149,IF((J150-I150&gt;0),J150-I150,0),0))</f>
        <v>0</v>
      </c>
      <c r="L150" s="2">
        <f t="shared" si="2"/>
        <v>3592.2989655359538</v>
      </c>
      <c r="M150">
        <f>IF(ROW()&lt;3, 0, IF(Query1[[#This Row],[Month]]&lt;&gt;H149, Dashboard!$J$5,0))</f>
        <v>0</v>
      </c>
      <c r="N150" s="2">
        <f>IF(ROW()&lt;3, Query1[[#This Row],[Shares]], IF(Query1[[#This Row],[Month]]&lt;&gt;H149, N149+Query1[[#This Row],[Fix Top Up]]/Query1[[#This Row],[Adj Close]], N149))</f>
        <v>3303.8811917477478</v>
      </c>
      <c r="O150">
        <f>IF(AND(Query1[[#This Row],[avg]]&gt;0, Query1[[#This Row],[Month]]&lt;&gt;H149),
    IF(Query1[[#This Row],[Adj Close]]&gt;Query1[[#This Row],[avg]],
       Dashboard!$L$5-Dashboard!$E$6,
       Dashboard!$L$5+Dashboard!$E$6
    ), 0
)</f>
        <v>0</v>
      </c>
      <c r="P150" s="2">
        <f>IF(ROW()&lt;3, Query1[[#This Row],[Shares]], IF(Query1[[#This Row],[Month]]&lt;&gt;H149, P149+Query1[[#This Row],[Enhanced top up]]/Query1[[#This Row],[Adj Close]], P149))</f>
        <v>3294.367165615678</v>
      </c>
      <c r="Q150" s="2">
        <f>IFERROR(AVERAGE(
  IF(ROW()&gt;20, INDEX(G:G, ROW()-20), 0) :
  INDEX(G:G, ROW())
),0)</f>
        <v>198.76982480003721</v>
      </c>
    </row>
    <row r="151" spans="1:17" x14ac:dyDescent="0.4">
      <c r="A151" s="1">
        <v>44048</v>
      </c>
      <c r="B151">
        <v>214.89999389648438</v>
      </c>
      <c r="C151">
        <v>215</v>
      </c>
      <c r="D151">
        <v>211.57000732421875</v>
      </c>
      <c r="E151">
        <v>212.94000244140625</v>
      </c>
      <c r="F151">
        <v>28806400</v>
      </c>
      <c r="G151">
        <v>203.67991638183594</v>
      </c>
      <c r="H151" s="2">
        <f>MONTH(Query1[[#This Row],[Date]])</f>
        <v>8</v>
      </c>
      <c r="I151" s="3">
        <f>Query1[[#This Row],[Shares]]*Query1[[#This Row],[Adj Close]]</f>
        <v>731679.15291891876</v>
      </c>
      <c r="J151" s="3">
        <f>IF(ROW()&lt;3, Dashboard!$E$7, IF(Query1[[#This Row],[Month]]&lt;&gt;H150,J150*(1+Dashboard!$E$4)+Dashboard!$E$5,J150))</f>
        <v>550494.74647490704</v>
      </c>
      <c r="K151">
        <f>IF(ROW()&lt;3, 0,IF(Query1[[#This Row],[Month]]&lt;&gt;H150,IF((J151-I151&gt;0),J151-I151,0),0))</f>
        <v>0</v>
      </c>
      <c r="L151" s="2">
        <f t="shared" si="2"/>
        <v>3592.2989655359538</v>
      </c>
      <c r="M151">
        <f>IF(ROW()&lt;3, 0, IF(Query1[[#This Row],[Month]]&lt;&gt;H150, Dashboard!$J$5,0))</f>
        <v>0</v>
      </c>
      <c r="N151" s="2">
        <f>IF(ROW()&lt;3, Query1[[#This Row],[Shares]], IF(Query1[[#This Row],[Month]]&lt;&gt;H150, N150+Query1[[#This Row],[Fix Top Up]]/Query1[[#This Row],[Adj Close]], N150))</f>
        <v>3303.8811917477478</v>
      </c>
      <c r="O151">
        <f>IF(AND(Query1[[#This Row],[avg]]&gt;0, Query1[[#This Row],[Month]]&lt;&gt;H150),
    IF(Query1[[#This Row],[Adj Close]]&gt;Query1[[#This Row],[avg]],
       Dashboard!$L$5-Dashboard!$E$6,
       Dashboard!$L$5+Dashboard!$E$6
    ), 0
)</f>
        <v>0</v>
      </c>
      <c r="P151" s="2">
        <f>IF(ROW()&lt;3, Query1[[#This Row],[Shares]], IF(Query1[[#This Row],[Month]]&lt;&gt;H150, P150+Query1[[#This Row],[Enhanced top up]]/Query1[[#This Row],[Adj Close]], P150))</f>
        <v>3294.367165615678</v>
      </c>
      <c r="Q151" s="2">
        <f>IFERROR(AVERAGE(
  IF(ROW()&gt;20, INDEX(G:G, ROW()-20), 0) :
  INDEX(G:G, ROW())
),0)</f>
        <v>198.98344566708519</v>
      </c>
    </row>
    <row r="152" spans="1:17" x14ac:dyDescent="0.4">
      <c r="A152" s="1">
        <v>44049</v>
      </c>
      <c r="B152">
        <v>212.33999633789063</v>
      </c>
      <c r="C152">
        <v>216.3699951171875</v>
      </c>
      <c r="D152">
        <v>211.55000305175781</v>
      </c>
      <c r="E152">
        <v>216.35000610351563</v>
      </c>
      <c r="F152">
        <v>32656800</v>
      </c>
      <c r="G152">
        <v>206.941650390625</v>
      </c>
      <c r="H152" s="2">
        <f>MONTH(Query1[[#This Row],[Date]])</f>
        <v>8</v>
      </c>
      <c r="I152" s="3">
        <f>Query1[[#This Row],[Shares]]*Query1[[#This Row],[Adj Close]]</f>
        <v>743396.27662454522</v>
      </c>
      <c r="J152" s="3">
        <f>IF(ROW()&lt;3, Dashboard!$E$7, IF(Query1[[#This Row],[Month]]&lt;&gt;H151,J151*(1+Dashboard!$E$4)+Dashboard!$E$5,J151))</f>
        <v>550494.74647490704</v>
      </c>
      <c r="K152">
        <f>IF(ROW()&lt;3, 0,IF(Query1[[#This Row],[Month]]&lt;&gt;H151,IF((J152-I152&gt;0),J152-I152,0),0))</f>
        <v>0</v>
      </c>
      <c r="L152" s="2">
        <f t="shared" si="2"/>
        <v>3592.2989655359538</v>
      </c>
      <c r="M152">
        <f>IF(ROW()&lt;3, 0, IF(Query1[[#This Row],[Month]]&lt;&gt;H151, Dashboard!$J$5,0))</f>
        <v>0</v>
      </c>
      <c r="N152" s="2">
        <f>IF(ROW()&lt;3, Query1[[#This Row],[Shares]], IF(Query1[[#This Row],[Month]]&lt;&gt;H151, N151+Query1[[#This Row],[Fix Top Up]]/Query1[[#This Row],[Adj Close]], N151))</f>
        <v>3303.8811917477478</v>
      </c>
      <c r="O152">
        <f>IF(AND(Query1[[#This Row],[avg]]&gt;0, Query1[[#This Row],[Month]]&lt;&gt;H151),
    IF(Query1[[#This Row],[Adj Close]]&gt;Query1[[#This Row],[avg]],
       Dashboard!$L$5-Dashboard!$E$6,
       Dashboard!$L$5+Dashboard!$E$6
    ), 0
)</f>
        <v>0</v>
      </c>
      <c r="P152" s="2">
        <f>IF(ROW()&lt;3, Query1[[#This Row],[Shares]], IF(Query1[[#This Row],[Month]]&lt;&gt;H151, P151+Query1[[#This Row],[Enhanced top up]]/Query1[[#This Row],[Adj Close]], P151))</f>
        <v>3294.367165615678</v>
      </c>
      <c r="Q152" s="2">
        <f>IFERROR(AVERAGE(
  IF(ROW()&gt;20, INDEX(G:G, ROW()-20), 0) :
  INDEX(G:G, ROW())
),0)</f>
        <v>199.1437755766369</v>
      </c>
    </row>
    <row r="153" spans="1:17" x14ac:dyDescent="0.4">
      <c r="A153" s="1">
        <v>44050</v>
      </c>
      <c r="B153">
        <v>214.85000610351563</v>
      </c>
      <c r="C153">
        <v>215.69999694824219</v>
      </c>
      <c r="D153">
        <v>210.92999267578125</v>
      </c>
      <c r="E153">
        <v>212.47999572753906</v>
      </c>
      <c r="F153">
        <v>27820400</v>
      </c>
      <c r="G153">
        <v>203.23989868164063</v>
      </c>
      <c r="H153" s="2">
        <f>MONTH(Query1[[#This Row],[Date]])</f>
        <v>8</v>
      </c>
      <c r="I153" s="3">
        <f>Query1[[#This Row],[Shares]]*Query1[[#This Row],[Adj Close]]</f>
        <v>730098.47778968967</v>
      </c>
      <c r="J153" s="3">
        <f>IF(ROW()&lt;3, Dashboard!$E$7, IF(Query1[[#This Row],[Month]]&lt;&gt;H152,J152*(1+Dashboard!$E$4)+Dashboard!$E$5,J152))</f>
        <v>550494.74647490704</v>
      </c>
      <c r="K153">
        <f>IF(ROW()&lt;3, 0,IF(Query1[[#This Row],[Month]]&lt;&gt;H152,IF((J153-I153&gt;0),J153-I153,0),0))</f>
        <v>0</v>
      </c>
      <c r="L153" s="2">
        <f t="shared" si="2"/>
        <v>3592.2989655359538</v>
      </c>
      <c r="M153">
        <f>IF(ROW()&lt;3, 0, IF(Query1[[#This Row],[Month]]&lt;&gt;H152, Dashboard!$J$5,0))</f>
        <v>0</v>
      </c>
      <c r="N153" s="2">
        <f>IF(ROW()&lt;3, Query1[[#This Row],[Shares]], IF(Query1[[#This Row],[Month]]&lt;&gt;H152, N152+Query1[[#This Row],[Fix Top Up]]/Query1[[#This Row],[Adj Close]], N152))</f>
        <v>3303.8811917477478</v>
      </c>
      <c r="O153">
        <f>IF(AND(Query1[[#This Row],[avg]]&gt;0, Query1[[#This Row],[Month]]&lt;&gt;H152),
    IF(Query1[[#This Row],[Adj Close]]&gt;Query1[[#This Row],[avg]],
       Dashboard!$L$5-Dashboard!$E$6,
       Dashboard!$L$5+Dashboard!$E$6
    ), 0
)</f>
        <v>0</v>
      </c>
      <c r="P153" s="2">
        <f>IF(ROW()&lt;3, Query1[[#This Row],[Shares]], IF(Query1[[#This Row],[Month]]&lt;&gt;H152, P152+Query1[[#This Row],[Enhanced top up]]/Query1[[#This Row],[Adj Close]], P152))</f>
        <v>3294.367165615678</v>
      </c>
      <c r="Q153" s="2">
        <f>IFERROR(AVERAGE(
  IF(ROW()&gt;20, INDEX(G:G, ROW()-20), 0) :
  INDEX(G:G, ROW())
),0)</f>
        <v>199.0599648611886</v>
      </c>
    </row>
    <row r="154" spans="1:17" x14ac:dyDescent="0.4">
      <c r="A154" s="1">
        <v>44053</v>
      </c>
      <c r="B154">
        <v>211.66999816894531</v>
      </c>
      <c r="C154">
        <v>211.8800048828125</v>
      </c>
      <c r="D154">
        <v>206.35000610351563</v>
      </c>
      <c r="E154">
        <v>208.25</v>
      </c>
      <c r="F154">
        <v>36716500</v>
      </c>
      <c r="G154">
        <v>199.19387817382813</v>
      </c>
      <c r="H154" s="2">
        <f>MONTH(Query1[[#This Row],[Date]])</f>
        <v>8</v>
      </c>
      <c r="I154" s="3">
        <f>Query1[[#This Row],[Shares]]*Query1[[#This Row],[Adj Close]]</f>
        <v>715563.96250493755</v>
      </c>
      <c r="J154" s="3">
        <f>IF(ROW()&lt;3, Dashboard!$E$7, IF(Query1[[#This Row],[Month]]&lt;&gt;H153,J153*(1+Dashboard!$E$4)+Dashboard!$E$5,J153))</f>
        <v>550494.74647490704</v>
      </c>
      <c r="K154">
        <f>IF(ROW()&lt;3, 0,IF(Query1[[#This Row],[Month]]&lt;&gt;H153,IF((J154-I154&gt;0),J154-I154,0),0))</f>
        <v>0</v>
      </c>
      <c r="L154" s="2">
        <f t="shared" si="2"/>
        <v>3592.2989655359538</v>
      </c>
      <c r="M154">
        <f>IF(ROW()&lt;3, 0, IF(Query1[[#This Row],[Month]]&lt;&gt;H153, Dashboard!$J$5,0))</f>
        <v>0</v>
      </c>
      <c r="N154" s="2">
        <f>IF(ROW()&lt;3, Query1[[#This Row],[Shares]], IF(Query1[[#This Row],[Month]]&lt;&gt;H153, N153+Query1[[#This Row],[Fix Top Up]]/Query1[[#This Row],[Adj Close]], N153))</f>
        <v>3303.8811917477478</v>
      </c>
      <c r="O154">
        <f>IF(AND(Query1[[#This Row],[avg]]&gt;0, Query1[[#This Row],[Month]]&lt;&gt;H153),
    IF(Query1[[#This Row],[Adj Close]]&gt;Query1[[#This Row],[avg]],
       Dashboard!$L$5-Dashboard!$E$6,
       Dashboard!$L$5+Dashboard!$E$6
    ), 0
)</f>
        <v>0</v>
      </c>
      <c r="P154" s="2">
        <f>IF(ROW()&lt;3, Query1[[#This Row],[Shares]], IF(Query1[[#This Row],[Month]]&lt;&gt;H153, P153+Query1[[#This Row],[Enhanced top up]]/Query1[[#This Row],[Adj Close]], P153))</f>
        <v>3294.367165615678</v>
      </c>
      <c r="Q154" s="2">
        <f>IFERROR(AVERAGE(
  IF(ROW()&gt;20, INDEX(G:G, ROW()-20), 0) :
  INDEX(G:G, ROW())
),0)</f>
        <v>198.81309291294642</v>
      </c>
    </row>
    <row r="155" spans="1:17" x14ac:dyDescent="0.4">
      <c r="A155" s="1">
        <v>44054</v>
      </c>
      <c r="B155">
        <v>207.16000366210938</v>
      </c>
      <c r="C155">
        <v>207.64999389648438</v>
      </c>
      <c r="D155">
        <v>203.13999938964844</v>
      </c>
      <c r="E155">
        <v>203.3800048828125</v>
      </c>
      <c r="F155">
        <v>36446500</v>
      </c>
      <c r="G155">
        <v>194.53561401367188</v>
      </c>
      <c r="H155" s="2">
        <f>MONTH(Query1[[#This Row],[Date]])</f>
        <v>8</v>
      </c>
      <c r="I155" s="3">
        <f>Query1[[#This Row],[Shares]]*Query1[[#This Row],[Adj Close]]</f>
        <v>698830.08498121507</v>
      </c>
      <c r="J155" s="3">
        <f>IF(ROW()&lt;3, Dashboard!$E$7, IF(Query1[[#This Row],[Month]]&lt;&gt;H154,J154*(1+Dashboard!$E$4)+Dashboard!$E$5,J154))</f>
        <v>550494.74647490704</v>
      </c>
      <c r="K155">
        <f>IF(ROW()&lt;3, 0,IF(Query1[[#This Row],[Month]]&lt;&gt;H154,IF((J155-I155&gt;0),J155-I155,0),0))</f>
        <v>0</v>
      </c>
      <c r="L155" s="2">
        <f t="shared" si="2"/>
        <v>3592.2989655359538</v>
      </c>
      <c r="M155">
        <f>IF(ROW()&lt;3, 0, IF(Query1[[#This Row],[Month]]&lt;&gt;H154, Dashboard!$J$5,0))</f>
        <v>0</v>
      </c>
      <c r="N155" s="2">
        <f>IF(ROW()&lt;3, Query1[[#This Row],[Shares]], IF(Query1[[#This Row],[Month]]&lt;&gt;H154, N154+Query1[[#This Row],[Fix Top Up]]/Query1[[#This Row],[Adj Close]], N154))</f>
        <v>3303.8811917477478</v>
      </c>
      <c r="O155">
        <f>IF(AND(Query1[[#This Row],[avg]]&gt;0, Query1[[#This Row],[Month]]&lt;&gt;H154),
    IF(Query1[[#This Row],[Adj Close]]&gt;Query1[[#This Row],[avg]],
       Dashboard!$L$5-Dashboard!$E$6,
       Dashboard!$L$5+Dashboard!$E$6
    ), 0
)</f>
        <v>0</v>
      </c>
      <c r="P155" s="2">
        <f>IF(ROW()&lt;3, Query1[[#This Row],[Shares]], IF(Query1[[#This Row],[Month]]&lt;&gt;H154, P154+Query1[[#This Row],[Enhanced top up]]/Query1[[#This Row],[Adj Close]], P154))</f>
        <v>3294.367165615678</v>
      </c>
      <c r="Q155" s="2">
        <f>IFERROR(AVERAGE(
  IF(ROW()&gt;20, INDEX(G:G, ROW()-20), 0) :
  INDEX(G:G, ROW())
),0)</f>
        <v>198.64501735142298</v>
      </c>
    </row>
    <row r="156" spans="1:17" x14ac:dyDescent="0.4">
      <c r="A156" s="1">
        <v>44055</v>
      </c>
      <c r="B156">
        <v>205.28999328613281</v>
      </c>
      <c r="C156">
        <v>210.27999877929688</v>
      </c>
      <c r="D156">
        <v>204.75</v>
      </c>
      <c r="E156">
        <v>209.19000244140625</v>
      </c>
      <c r="F156">
        <v>28013100</v>
      </c>
      <c r="G156">
        <v>200.09300231933594</v>
      </c>
      <c r="H156" s="2">
        <f>MONTH(Query1[[#This Row],[Date]])</f>
        <v>8</v>
      </c>
      <c r="I156" s="3">
        <f>Query1[[#This Row],[Shares]]*Query1[[#This Row],[Adj Close]]</f>
        <v>718793.88524273364</v>
      </c>
      <c r="J156" s="3">
        <f>IF(ROW()&lt;3, Dashboard!$E$7, IF(Query1[[#This Row],[Month]]&lt;&gt;H155,J155*(1+Dashboard!$E$4)+Dashboard!$E$5,J155))</f>
        <v>550494.74647490704</v>
      </c>
      <c r="K156">
        <f>IF(ROW()&lt;3, 0,IF(Query1[[#This Row],[Month]]&lt;&gt;H155,IF((J156-I156&gt;0),J156-I156,0),0))</f>
        <v>0</v>
      </c>
      <c r="L156" s="2">
        <f t="shared" si="2"/>
        <v>3592.2989655359538</v>
      </c>
      <c r="M156">
        <f>IF(ROW()&lt;3, 0, IF(Query1[[#This Row],[Month]]&lt;&gt;H155, Dashboard!$J$5,0))</f>
        <v>0</v>
      </c>
      <c r="N156" s="2">
        <f>IF(ROW()&lt;3, Query1[[#This Row],[Shares]], IF(Query1[[#This Row],[Month]]&lt;&gt;H155, N155+Query1[[#This Row],[Fix Top Up]]/Query1[[#This Row],[Adj Close]], N155))</f>
        <v>3303.8811917477478</v>
      </c>
      <c r="O156">
        <f>IF(AND(Query1[[#This Row],[avg]]&gt;0, Query1[[#This Row],[Month]]&lt;&gt;H155),
    IF(Query1[[#This Row],[Adj Close]]&gt;Query1[[#This Row],[avg]],
       Dashboard!$L$5-Dashboard!$E$6,
       Dashboard!$L$5+Dashboard!$E$6
    ), 0
)</f>
        <v>0</v>
      </c>
      <c r="P156" s="2">
        <f>IF(ROW()&lt;3, Query1[[#This Row],[Shares]], IF(Query1[[#This Row],[Month]]&lt;&gt;H155, P155+Query1[[#This Row],[Enhanced top up]]/Query1[[#This Row],[Adj Close]], P155))</f>
        <v>3294.367165615678</v>
      </c>
      <c r="Q156" s="2">
        <f>IFERROR(AVERAGE(
  IF(ROW()&gt;20, INDEX(G:G, ROW()-20), 0) :
  INDEX(G:G, ROW())
),0)</f>
        <v>198.68327840169272</v>
      </c>
    </row>
    <row r="157" spans="1:17" x14ac:dyDescent="0.4">
      <c r="A157" s="1">
        <v>44056</v>
      </c>
      <c r="B157">
        <v>209.44000244140625</v>
      </c>
      <c r="C157">
        <v>211.35000610351563</v>
      </c>
      <c r="D157">
        <v>208.14999389648438</v>
      </c>
      <c r="E157">
        <v>208.69999694824219</v>
      </c>
      <c r="F157">
        <v>22588900</v>
      </c>
      <c r="G157">
        <v>199.62429809570313</v>
      </c>
      <c r="H157" s="2">
        <f>MONTH(Query1[[#This Row],[Date]])</f>
        <v>8</v>
      </c>
      <c r="I157" s="3">
        <f>Query1[[#This Row],[Shares]]*Query1[[#This Row],[Adj Close]]</f>
        <v>717110.15954503522</v>
      </c>
      <c r="J157" s="3">
        <f>IF(ROW()&lt;3, Dashboard!$E$7, IF(Query1[[#This Row],[Month]]&lt;&gt;H156,J156*(1+Dashboard!$E$4)+Dashboard!$E$5,J156))</f>
        <v>550494.74647490704</v>
      </c>
      <c r="K157">
        <f>IF(ROW()&lt;3, 0,IF(Query1[[#This Row],[Month]]&lt;&gt;H156,IF((J157-I157&gt;0),J157-I157,0),0))</f>
        <v>0</v>
      </c>
      <c r="L157" s="2">
        <f t="shared" si="2"/>
        <v>3592.2989655359538</v>
      </c>
      <c r="M157">
        <f>IF(ROW()&lt;3, 0, IF(Query1[[#This Row],[Month]]&lt;&gt;H156, Dashboard!$J$5,0))</f>
        <v>0</v>
      </c>
      <c r="N157" s="2">
        <f>IF(ROW()&lt;3, Query1[[#This Row],[Shares]], IF(Query1[[#This Row],[Month]]&lt;&gt;H156, N156+Query1[[#This Row],[Fix Top Up]]/Query1[[#This Row],[Adj Close]], N156))</f>
        <v>3303.8811917477478</v>
      </c>
      <c r="O157">
        <f>IF(AND(Query1[[#This Row],[avg]]&gt;0, Query1[[#This Row],[Month]]&lt;&gt;H156),
    IF(Query1[[#This Row],[Adj Close]]&gt;Query1[[#This Row],[avg]],
       Dashboard!$L$5-Dashboard!$E$6,
       Dashboard!$L$5+Dashboard!$E$6
    ), 0
)</f>
        <v>0</v>
      </c>
      <c r="P157" s="2">
        <f>IF(ROW()&lt;3, Query1[[#This Row],[Shares]], IF(Query1[[#This Row],[Month]]&lt;&gt;H156, P156+Query1[[#This Row],[Enhanced top up]]/Query1[[#This Row],[Adj Close]], P156))</f>
        <v>3294.367165615678</v>
      </c>
      <c r="Q157" s="2">
        <f>IFERROR(AVERAGE(
  IF(ROW()&gt;20, INDEX(G:G, ROW()-20), 0) :
  INDEX(G:G, ROW())
),0)</f>
        <v>198.71334039597284</v>
      </c>
    </row>
    <row r="158" spans="1:17" x14ac:dyDescent="0.4">
      <c r="A158" s="1">
        <v>44057</v>
      </c>
      <c r="B158">
        <v>208.75999450683594</v>
      </c>
      <c r="C158">
        <v>209.58999633789063</v>
      </c>
      <c r="D158">
        <v>207.50999450683594</v>
      </c>
      <c r="E158">
        <v>208.89999389648438</v>
      </c>
      <c r="F158">
        <v>17958900</v>
      </c>
      <c r="G158">
        <v>199.81561279296875</v>
      </c>
      <c r="H158" s="2">
        <f>MONTH(Query1[[#This Row],[Date]])</f>
        <v>8</v>
      </c>
      <c r="I158" s="3">
        <f>Query1[[#This Row],[Shares]]*Query1[[#This Row],[Adj Close]]</f>
        <v>717797.41913411429</v>
      </c>
      <c r="J158" s="3">
        <f>IF(ROW()&lt;3, Dashboard!$E$7, IF(Query1[[#This Row],[Month]]&lt;&gt;H157,J157*(1+Dashboard!$E$4)+Dashboard!$E$5,J157))</f>
        <v>550494.74647490704</v>
      </c>
      <c r="K158">
        <f>IF(ROW()&lt;3, 0,IF(Query1[[#This Row],[Month]]&lt;&gt;H157,IF((J158-I158&gt;0),J158-I158,0),0))</f>
        <v>0</v>
      </c>
      <c r="L158" s="2">
        <f t="shared" si="2"/>
        <v>3592.2989655359538</v>
      </c>
      <c r="M158">
        <f>IF(ROW()&lt;3, 0, IF(Query1[[#This Row],[Month]]&lt;&gt;H157, Dashboard!$J$5,0))</f>
        <v>0</v>
      </c>
      <c r="N158" s="2">
        <f>IF(ROW()&lt;3, Query1[[#This Row],[Shares]], IF(Query1[[#This Row],[Month]]&lt;&gt;H157, N157+Query1[[#This Row],[Fix Top Up]]/Query1[[#This Row],[Adj Close]], N157))</f>
        <v>3303.8811917477478</v>
      </c>
      <c r="O158">
        <f>IF(AND(Query1[[#This Row],[avg]]&gt;0, Query1[[#This Row],[Month]]&lt;&gt;H157),
    IF(Query1[[#This Row],[Adj Close]]&gt;Query1[[#This Row],[avg]],
       Dashboard!$L$5-Dashboard!$E$6,
       Dashboard!$L$5+Dashboard!$E$6
    ), 0
)</f>
        <v>0</v>
      </c>
      <c r="P158" s="2">
        <f>IF(ROW()&lt;3, Query1[[#This Row],[Shares]], IF(Query1[[#This Row],[Month]]&lt;&gt;H157, P157+Query1[[#This Row],[Enhanced top up]]/Query1[[#This Row],[Adj Close]], P157))</f>
        <v>3294.367165615678</v>
      </c>
      <c r="Q158" s="2">
        <f>IFERROR(AVERAGE(
  IF(ROW()&gt;20, INDEX(G:G, ROW()-20), 0) :
  INDEX(G:G, ROW())
),0)</f>
        <v>198.94017101469495</v>
      </c>
    </row>
    <row r="159" spans="1:17" x14ac:dyDescent="0.4">
      <c r="A159" s="1">
        <v>44060</v>
      </c>
      <c r="B159">
        <v>209.60000610351563</v>
      </c>
      <c r="C159">
        <v>211.19000244140625</v>
      </c>
      <c r="D159">
        <v>208.91999816894531</v>
      </c>
      <c r="E159">
        <v>210.27999877929688</v>
      </c>
      <c r="F159">
        <v>20184800</v>
      </c>
      <c r="G159">
        <v>201.13558959960938</v>
      </c>
      <c r="H159" s="2">
        <f>MONTH(Query1[[#This Row],[Date]])</f>
        <v>8</v>
      </c>
      <c r="I159" s="3">
        <f>Query1[[#This Row],[Shares]]*Query1[[#This Row],[Adj Close]]</f>
        <v>722539.17045114096</v>
      </c>
      <c r="J159" s="3">
        <f>IF(ROW()&lt;3, Dashboard!$E$7, IF(Query1[[#This Row],[Month]]&lt;&gt;H158,J158*(1+Dashboard!$E$4)+Dashboard!$E$5,J158))</f>
        <v>550494.74647490704</v>
      </c>
      <c r="K159">
        <f>IF(ROW()&lt;3, 0,IF(Query1[[#This Row],[Month]]&lt;&gt;H158,IF((J159-I159&gt;0),J159-I159,0),0))</f>
        <v>0</v>
      </c>
      <c r="L159" s="2">
        <f t="shared" si="2"/>
        <v>3592.2989655359538</v>
      </c>
      <c r="M159">
        <f>IF(ROW()&lt;3, 0, IF(Query1[[#This Row],[Month]]&lt;&gt;H158, Dashboard!$J$5,0))</f>
        <v>0</v>
      </c>
      <c r="N159" s="2">
        <f>IF(ROW()&lt;3, Query1[[#This Row],[Shares]], IF(Query1[[#This Row],[Month]]&lt;&gt;H158, N158+Query1[[#This Row],[Fix Top Up]]/Query1[[#This Row],[Adj Close]], N158))</f>
        <v>3303.8811917477478</v>
      </c>
      <c r="O159">
        <f>IF(AND(Query1[[#This Row],[avg]]&gt;0, Query1[[#This Row],[Month]]&lt;&gt;H158),
    IF(Query1[[#This Row],[Adj Close]]&gt;Query1[[#This Row],[avg]],
       Dashboard!$L$5-Dashboard!$E$6,
       Dashboard!$L$5+Dashboard!$E$6
    ), 0
)</f>
        <v>0</v>
      </c>
      <c r="P159" s="2">
        <f>IF(ROW()&lt;3, Query1[[#This Row],[Shares]], IF(Query1[[#This Row],[Month]]&lt;&gt;H158, P158+Query1[[#This Row],[Enhanced top up]]/Query1[[#This Row],[Adj Close]], P158))</f>
        <v>3294.367165615678</v>
      </c>
      <c r="Q159" s="2">
        <f>IFERROR(AVERAGE(
  IF(ROW()&gt;20, INDEX(G:G, ROW()-20), 0) :
  INDEX(G:G, ROW())
),0)</f>
        <v>199.27722749255952</v>
      </c>
    </row>
    <row r="160" spans="1:17" x14ac:dyDescent="0.4">
      <c r="A160" s="1">
        <v>44061</v>
      </c>
      <c r="B160">
        <v>210.52999877929688</v>
      </c>
      <c r="C160">
        <v>212.36000061035156</v>
      </c>
      <c r="D160">
        <v>209.21000671386719</v>
      </c>
      <c r="E160">
        <v>211.49000549316406</v>
      </c>
      <c r="F160">
        <v>21336200</v>
      </c>
      <c r="G160">
        <v>202.29299926757813</v>
      </c>
      <c r="H160" s="2">
        <f>MONTH(Query1[[#This Row],[Date]])</f>
        <v>8</v>
      </c>
      <c r="I160" s="3">
        <f>Query1[[#This Row],[Shares]]*Query1[[#This Row],[Adj Close]]</f>
        <v>726696.93200408632</v>
      </c>
      <c r="J160" s="3">
        <f>IF(ROW()&lt;3, Dashboard!$E$7, IF(Query1[[#This Row],[Month]]&lt;&gt;H159,J159*(1+Dashboard!$E$4)+Dashboard!$E$5,J159))</f>
        <v>550494.74647490704</v>
      </c>
      <c r="K160">
        <f>IF(ROW()&lt;3, 0,IF(Query1[[#This Row],[Month]]&lt;&gt;H159,IF((J160-I160&gt;0),J160-I160,0),0))</f>
        <v>0</v>
      </c>
      <c r="L160" s="2">
        <f t="shared" si="2"/>
        <v>3592.2989655359538</v>
      </c>
      <c r="M160">
        <f>IF(ROW()&lt;3, 0, IF(Query1[[#This Row],[Month]]&lt;&gt;H159, Dashboard!$J$5,0))</f>
        <v>0</v>
      </c>
      <c r="N160" s="2">
        <f>IF(ROW()&lt;3, Query1[[#This Row],[Shares]], IF(Query1[[#This Row],[Month]]&lt;&gt;H159, N159+Query1[[#This Row],[Fix Top Up]]/Query1[[#This Row],[Adj Close]], N159))</f>
        <v>3303.8811917477478</v>
      </c>
      <c r="O160">
        <f>IF(AND(Query1[[#This Row],[avg]]&gt;0, Query1[[#This Row],[Month]]&lt;&gt;H159),
    IF(Query1[[#This Row],[Adj Close]]&gt;Query1[[#This Row],[avg]],
       Dashboard!$L$5-Dashboard!$E$6,
       Dashboard!$L$5+Dashboard!$E$6
    ), 0
)</f>
        <v>0</v>
      </c>
      <c r="P160" s="2">
        <f>IF(ROW()&lt;3, Query1[[#This Row],[Shares]], IF(Query1[[#This Row],[Month]]&lt;&gt;H159, P159+Query1[[#This Row],[Enhanced top up]]/Query1[[#This Row],[Adj Close]], P159))</f>
        <v>3294.367165615678</v>
      </c>
      <c r="Q160" s="2">
        <f>IFERROR(AVERAGE(
  IF(ROW()&gt;20, INDEX(G:G, ROW()-20), 0) :
  INDEX(G:G, ROW())
),0)</f>
        <v>199.272216796875</v>
      </c>
    </row>
    <row r="161" spans="1:17" x14ac:dyDescent="0.4">
      <c r="A161" s="1">
        <v>44062</v>
      </c>
      <c r="B161">
        <v>211.49000549316406</v>
      </c>
      <c r="C161">
        <v>212.10000610351563</v>
      </c>
      <c r="D161">
        <v>209.25</v>
      </c>
      <c r="E161">
        <v>209.69999694824219</v>
      </c>
      <c r="F161">
        <v>27627600</v>
      </c>
      <c r="G161">
        <v>201.06565856933594</v>
      </c>
      <c r="H161" s="2">
        <f>MONTH(Query1[[#This Row],[Date]])</f>
        <v>8</v>
      </c>
      <c r="I161" s="3">
        <f>Query1[[#This Row],[Shares]]*Query1[[#This Row],[Adj Close]]</f>
        <v>722287.95728343073</v>
      </c>
      <c r="J161" s="3">
        <f>IF(ROW()&lt;3, Dashboard!$E$7, IF(Query1[[#This Row],[Month]]&lt;&gt;H160,J160*(1+Dashboard!$E$4)+Dashboard!$E$5,J160))</f>
        <v>550494.74647490704</v>
      </c>
      <c r="K161">
        <f>IF(ROW()&lt;3, 0,IF(Query1[[#This Row],[Month]]&lt;&gt;H160,IF((J161-I161&gt;0),J161-I161,0),0))</f>
        <v>0</v>
      </c>
      <c r="L161" s="2">
        <f t="shared" si="2"/>
        <v>3592.2989655359538</v>
      </c>
      <c r="M161">
        <f>IF(ROW()&lt;3, 0, IF(Query1[[#This Row],[Month]]&lt;&gt;H160, Dashboard!$J$5,0))</f>
        <v>0</v>
      </c>
      <c r="N161" s="2">
        <f>IF(ROW()&lt;3, Query1[[#This Row],[Shares]], IF(Query1[[#This Row],[Month]]&lt;&gt;H160, N160+Query1[[#This Row],[Fix Top Up]]/Query1[[#This Row],[Adj Close]], N160))</f>
        <v>3303.8811917477478</v>
      </c>
      <c r="O161">
        <f>IF(AND(Query1[[#This Row],[avg]]&gt;0, Query1[[#This Row],[Month]]&lt;&gt;H160),
    IF(Query1[[#This Row],[Adj Close]]&gt;Query1[[#This Row],[avg]],
       Dashboard!$L$5-Dashboard!$E$6,
       Dashboard!$L$5+Dashboard!$E$6
    ), 0
)</f>
        <v>0</v>
      </c>
      <c r="P161" s="2">
        <f>IF(ROW()&lt;3, Query1[[#This Row],[Shares]], IF(Query1[[#This Row],[Month]]&lt;&gt;H160, P160+Query1[[#This Row],[Enhanced top up]]/Query1[[#This Row],[Adj Close]], P160))</f>
        <v>3294.367165615678</v>
      </c>
      <c r="Q161" s="2">
        <f>IFERROR(AVERAGE(
  IF(ROW()&gt;20, INDEX(G:G, ROW()-20), 0) :
  INDEX(G:G, ROW())
),0)</f>
        <v>199.33857509068079</v>
      </c>
    </row>
    <row r="162" spans="1:17" x14ac:dyDescent="0.4">
      <c r="A162" s="1">
        <v>44063</v>
      </c>
      <c r="B162">
        <v>209.53999328613281</v>
      </c>
      <c r="C162">
        <v>215</v>
      </c>
      <c r="D162">
        <v>208.91000366210938</v>
      </c>
      <c r="E162">
        <v>214.58000183105469</v>
      </c>
      <c r="F162">
        <v>26981500</v>
      </c>
      <c r="G162">
        <v>205.74476623535156</v>
      </c>
      <c r="H162" s="2">
        <f>MONTH(Query1[[#This Row],[Date]])</f>
        <v>8</v>
      </c>
      <c r="I162" s="3">
        <f>Query1[[#This Row],[Shares]]*Query1[[#This Row],[Adj Close]]</f>
        <v>739096.71091169002</v>
      </c>
      <c r="J162" s="3">
        <f>IF(ROW()&lt;3, Dashboard!$E$7, IF(Query1[[#This Row],[Month]]&lt;&gt;H161,J161*(1+Dashboard!$E$4)+Dashboard!$E$5,J161))</f>
        <v>550494.74647490704</v>
      </c>
      <c r="K162">
        <f>IF(ROW()&lt;3, 0,IF(Query1[[#This Row],[Month]]&lt;&gt;H161,IF((J162-I162&gt;0),J162-I162,0),0))</f>
        <v>0</v>
      </c>
      <c r="L162" s="2">
        <f t="shared" si="2"/>
        <v>3592.2989655359538</v>
      </c>
      <c r="M162">
        <f>IF(ROW()&lt;3, 0, IF(Query1[[#This Row],[Month]]&lt;&gt;H161, Dashboard!$J$5,0))</f>
        <v>0</v>
      </c>
      <c r="N162" s="2">
        <f>IF(ROW()&lt;3, Query1[[#This Row],[Shares]], IF(Query1[[#This Row],[Month]]&lt;&gt;H161, N161+Query1[[#This Row],[Fix Top Up]]/Query1[[#This Row],[Adj Close]], N161))</f>
        <v>3303.8811917477478</v>
      </c>
      <c r="O162">
        <f>IF(AND(Query1[[#This Row],[avg]]&gt;0, Query1[[#This Row],[Month]]&lt;&gt;H161),
    IF(Query1[[#This Row],[Adj Close]]&gt;Query1[[#This Row],[avg]],
       Dashboard!$L$5-Dashboard!$E$6,
       Dashboard!$L$5+Dashboard!$E$6
    ), 0
)</f>
        <v>0</v>
      </c>
      <c r="P162" s="2">
        <f>IF(ROW()&lt;3, Query1[[#This Row],[Shares]], IF(Query1[[#This Row],[Month]]&lt;&gt;H161, P161+Query1[[#This Row],[Enhanced top up]]/Query1[[#This Row],[Adj Close]], P161))</f>
        <v>3294.367165615678</v>
      </c>
      <c r="Q162" s="2">
        <f>IFERROR(AVERAGE(
  IF(ROW()&gt;20, INDEX(G:G, ROW()-20), 0) :
  INDEX(G:G, ROW())
),0)</f>
        <v>199.49110194614954</v>
      </c>
    </row>
    <row r="163" spans="1:17" x14ac:dyDescent="0.4">
      <c r="A163" s="1">
        <v>44064</v>
      </c>
      <c r="B163">
        <v>213.86000061035156</v>
      </c>
      <c r="C163">
        <v>216.25</v>
      </c>
      <c r="D163">
        <v>212.85000610351563</v>
      </c>
      <c r="E163">
        <v>213.02000427246094</v>
      </c>
      <c r="F163">
        <v>36249300</v>
      </c>
      <c r="G163">
        <v>204.24894714355469</v>
      </c>
      <c r="H163" s="2">
        <f>MONTH(Query1[[#This Row],[Date]])</f>
        <v>8</v>
      </c>
      <c r="I163" s="3">
        <f>Query1[[#This Row],[Shares]]*Query1[[#This Row],[Adj Close]]</f>
        <v>733723.28153559926</v>
      </c>
      <c r="J163" s="3">
        <f>IF(ROW()&lt;3, Dashboard!$E$7, IF(Query1[[#This Row],[Month]]&lt;&gt;H162,J162*(1+Dashboard!$E$4)+Dashboard!$E$5,J162))</f>
        <v>550494.74647490704</v>
      </c>
      <c r="K163">
        <f>IF(ROW()&lt;3, 0,IF(Query1[[#This Row],[Month]]&lt;&gt;H162,IF((J163-I163&gt;0),J163-I163,0),0))</f>
        <v>0</v>
      </c>
      <c r="L163" s="2">
        <f t="shared" si="2"/>
        <v>3592.2989655359538</v>
      </c>
      <c r="M163">
        <f>IF(ROW()&lt;3, 0, IF(Query1[[#This Row],[Month]]&lt;&gt;H162, Dashboard!$J$5,0))</f>
        <v>0</v>
      </c>
      <c r="N163" s="2">
        <f>IF(ROW()&lt;3, Query1[[#This Row],[Shares]], IF(Query1[[#This Row],[Month]]&lt;&gt;H162, N162+Query1[[#This Row],[Fix Top Up]]/Query1[[#This Row],[Adj Close]], N162))</f>
        <v>3303.8811917477478</v>
      </c>
      <c r="O163">
        <f>IF(AND(Query1[[#This Row],[avg]]&gt;0, Query1[[#This Row],[Month]]&lt;&gt;H162),
    IF(Query1[[#This Row],[Adj Close]]&gt;Query1[[#This Row],[avg]],
       Dashboard!$L$5-Dashboard!$E$6,
       Dashboard!$L$5+Dashboard!$E$6
    ), 0
)</f>
        <v>0</v>
      </c>
      <c r="P163" s="2">
        <f>IF(ROW()&lt;3, Query1[[#This Row],[Shares]], IF(Query1[[#This Row],[Month]]&lt;&gt;H162, P162+Query1[[#This Row],[Enhanced top up]]/Query1[[#This Row],[Adj Close]], P162))</f>
        <v>3294.367165615678</v>
      </c>
      <c r="Q163" s="2">
        <f>IFERROR(AVERAGE(
  IF(ROW()&gt;20, INDEX(G:G, ROW()-20), 0) :
  INDEX(G:G, ROW())
),0)</f>
        <v>199.99190048944382</v>
      </c>
    </row>
    <row r="164" spans="1:17" x14ac:dyDescent="0.4">
      <c r="A164" s="1">
        <v>44067</v>
      </c>
      <c r="B164">
        <v>214.78999328613281</v>
      </c>
      <c r="C164">
        <v>215.52000427246094</v>
      </c>
      <c r="D164">
        <v>212.42999267578125</v>
      </c>
      <c r="E164">
        <v>213.69000244140625</v>
      </c>
      <c r="F164">
        <v>25460100</v>
      </c>
      <c r="G164">
        <v>204.89143371582031</v>
      </c>
      <c r="H164" s="2">
        <f>MONTH(Query1[[#This Row],[Date]])</f>
        <v>8</v>
      </c>
      <c r="I164" s="3">
        <f>Query1[[#This Row],[Shares]]*Query1[[#This Row],[Adj Close]]</f>
        <v>736031.28538451972</v>
      </c>
      <c r="J164" s="3">
        <f>IF(ROW()&lt;3, Dashboard!$E$7, IF(Query1[[#This Row],[Month]]&lt;&gt;H163,J163*(1+Dashboard!$E$4)+Dashboard!$E$5,J163))</f>
        <v>550494.74647490704</v>
      </c>
      <c r="K164">
        <f>IF(ROW()&lt;3, 0,IF(Query1[[#This Row],[Month]]&lt;&gt;H163,IF((J164-I164&gt;0),J164-I164,0),0))</f>
        <v>0</v>
      </c>
      <c r="L164" s="2">
        <f t="shared" si="2"/>
        <v>3592.2989655359538</v>
      </c>
      <c r="M164">
        <f>IF(ROW()&lt;3, 0, IF(Query1[[#This Row],[Month]]&lt;&gt;H163, Dashboard!$J$5,0))</f>
        <v>0</v>
      </c>
      <c r="N164" s="2">
        <f>IF(ROW()&lt;3, Query1[[#This Row],[Shares]], IF(Query1[[#This Row],[Month]]&lt;&gt;H163, N163+Query1[[#This Row],[Fix Top Up]]/Query1[[#This Row],[Adj Close]], N163))</f>
        <v>3303.8811917477478</v>
      </c>
      <c r="O164">
        <f>IF(AND(Query1[[#This Row],[avg]]&gt;0, Query1[[#This Row],[Month]]&lt;&gt;H163),
    IF(Query1[[#This Row],[Adj Close]]&gt;Query1[[#This Row],[avg]],
       Dashboard!$L$5-Dashboard!$E$6,
       Dashboard!$L$5+Dashboard!$E$6
    ), 0
)</f>
        <v>0</v>
      </c>
      <c r="P164" s="2">
        <f>IF(ROW()&lt;3, Query1[[#This Row],[Shares]], IF(Query1[[#This Row],[Month]]&lt;&gt;H163, P163+Query1[[#This Row],[Enhanced top up]]/Query1[[#This Row],[Adj Close]], P163))</f>
        <v>3294.367165615678</v>
      </c>
      <c r="Q164" s="2">
        <f>IFERROR(AVERAGE(
  IF(ROW()&gt;20, INDEX(G:G, ROW()-20), 0) :
  INDEX(G:G, ROW())
),0)</f>
        <v>200.57977440243675</v>
      </c>
    </row>
    <row r="165" spans="1:17" x14ac:dyDescent="0.4">
      <c r="A165" s="1">
        <v>44068</v>
      </c>
      <c r="B165">
        <v>213.10000610351563</v>
      </c>
      <c r="C165">
        <v>216.61000061035156</v>
      </c>
      <c r="D165">
        <v>213.10000610351563</v>
      </c>
      <c r="E165">
        <v>216.47000122070313</v>
      </c>
      <c r="F165">
        <v>23043700</v>
      </c>
      <c r="G165">
        <v>207.55691528320313</v>
      </c>
      <c r="H165" s="2">
        <f>MONTH(Query1[[#This Row],[Date]])</f>
        <v>8</v>
      </c>
      <c r="I165" s="3">
        <f>Query1[[#This Row],[Shares]]*Query1[[#This Row],[Adj Close]]</f>
        <v>745606.49206168414</v>
      </c>
      <c r="J165" s="3">
        <f>IF(ROW()&lt;3, Dashboard!$E$7, IF(Query1[[#This Row],[Month]]&lt;&gt;H164,J164*(1+Dashboard!$E$4)+Dashboard!$E$5,J164))</f>
        <v>550494.74647490704</v>
      </c>
      <c r="K165">
        <f>IF(ROW()&lt;3, 0,IF(Query1[[#This Row],[Month]]&lt;&gt;H164,IF((J165-I165&gt;0),J165-I165,0),0))</f>
        <v>0</v>
      </c>
      <c r="L165" s="2">
        <f t="shared" si="2"/>
        <v>3592.2989655359538</v>
      </c>
      <c r="M165">
        <f>IF(ROW()&lt;3, 0, IF(Query1[[#This Row],[Month]]&lt;&gt;H164, Dashboard!$J$5,0))</f>
        <v>0</v>
      </c>
      <c r="N165" s="2">
        <f>IF(ROW()&lt;3, Query1[[#This Row],[Shares]], IF(Query1[[#This Row],[Month]]&lt;&gt;H164, N164+Query1[[#This Row],[Fix Top Up]]/Query1[[#This Row],[Adj Close]], N164))</f>
        <v>3303.8811917477478</v>
      </c>
      <c r="O165">
        <f>IF(AND(Query1[[#This Row],[avg]]&gt;0, Query1[[#This Row],[Month]]&lt;&gt;H164),
    IF(Query1[[#This Row],[Adj Close]]&gt;Query1[[#This Row],[avg]],
       Dashboard!$L$5-Dashboard!$E$6,
       Dashboard!$L$5+Dashboard!$E$6
    ), 0
)</f>
        <v>0</v>
      </c>
      <c r="P165" s="2">
        <f>IF(ROW()&lt;3, Query1[[#This Row],[Shares]], IF(Query1[[#This Row],[Month]]&lt;&gt;H164, P164+Query1[[#This Row],[Enhanced top up]]/Query1[[#This Row],[Adj Close]], P164))</f>
        <v>3294.367165615678</v>
      </c>
      <c r="Q165" s="2">
        <f>IFERROR(AVERAGE(
  IF(ROW()&gt;20, INDEX(G:G, ROW()-20), 0) :
  INDEX(G:G, ROW())
),0)</f>
        <v>201.17842683337983</v>
      </c>
    </row>
    <row r="166" spans="1:17" x14ac:dyDescent="0.4">
      <c r="A166" s="1">
        <v>44069</v>
      </c>
      <c r="B166">
        <v>217.8800048828125</v>
      </c>
      <c r="C166">
        <v>222.08999633789063</v>
      </c>
      <c r="D166">
        <v>217.36000061035156</v>
      </c>
      <c r="E166">
        <v>221.14999389648438</v>
      </c>
      <c r="F166">
        <v>39600800</v>
      </c>
      <c r="G166">
        <v>212.04425048828125</v>
      </c>
      <c r="H166" s="2">
        <f>MONTH(Query1[[#This Row],[Date]])</f>
        <v>8</v>
      </c>
      <c r="I166" s="3">
        <f>Query1[[#This Row],[Shares]]*Query1[[#This Row],[Adj Close]]</f>
        <v>761726.34167689935</v>
      </c>
      <c r="J166" s="3">
        <f>IF(ROW()&lt;3, Dashboard!$E$7, IF(Query1[[#This Row],[Month]]&lt;&gt;H165,J165*(1+Dashboard!$E$4)+Dashboard!$E$5,J165))</f>
        <v>550494.74647490704</v>
      </c>
      <c r="K166">
        <f>IF(ROW()&lt;3, 0,IF(Query1[[#This Row],[Month]]&lt;&gt;H165,IF((J166-I166&gt;0),J166-I166,0),0))</f>
        <v>0</v>
      </c>
      <c r="L166" s="2">
        <f t="shared" si="2"/>
        <v>3592.2989655359538</v>
      </c>
      <c r="M166">
        <f>IF(ROW()&lt;3, 0, IF(Query1[[#This Row],[Month]]&lt;&gt;H165, Dashboard!$J$5,0))</f>
        <v>0</v>
      </c>
      <c r="N166" s="2">
        <f>IF(ROW()&lt;3, Query1[[#This Row],[Shares]], IF(Query1[[#This Row],[Month]]&lt;&gt;H165, N165+Query1[[#This Row],[Fix Top Up]]/Query1[[#This Row],[Adj Close]], N165))</f>
        <v>3303.8811917477478</v>
      </c>
      <c r="O166">
        <f>IF(AND(Query1[[#This Row],[avg]]&gt;0, Query1[[#This Row],[Month]]&lt;&gt;H165),
    IF(Query1[[#This Row],[Adj Close]]&gt;Query1[[#This Row],[avg]],
       Dashboard!$L$5-Dashboard!$E$6,
       Dashboard!$L$5+Dashboard!$E$6
    ), 0
)</f>
        <v>0</v>
      </c>
      <c r="P166" s="2">
        <f>IF(ROW()&lt;3, Query1[[#This Row],[Shares]], IF(Query1[[#This Row],[Month]]&lt;&gt;H165, P165+Query1[[#This Row],[Enhanced top up]]/Query1[[#This Row],[Adj Close]], P165))</f>
        <v>3294.367165615678</v>
      </c>
      <c r="Q166" s="2">
        <f>IFERROR(AVERAGE(
  IF(ROW()&gt;20, INDEX(G:G, ROW()-20), 0) :
  INDEX(G:G, ROW())
),0)</f>
        <v>202.07411411830358</v>
      </c>
    </row>
    <row r="167" spans="1:17" x14ac:dyDescent="0.4">
      <c r="A167" s="1">
        <v>44070</v>
      </c>
      <c r="B167">
        <v>222.88999938964844</v>
      </c>
      <c r="C167">
        <v>231.14999389648438</v>
      </c>
      <c r="D167">
        <v>219.39999389648438</v>
      </c>
      <c r="E167">
        <v>226.58000183105469</v>
      </c>
      <c r="F167">
        <v>57602200</v>
      </c>
      <c r="G167">
        <v>217.25068664550781</v>
      </c>
      <c r="H167" s="2">
        <f>MONTH(Query1[[#This Row],[Date]])</f>
        <v>8</v>
      </c>
      <c r="I167" s="3">
        <f>Query1[[#This Row],[Shares]]*Query1[[#This Row],[Adj Close]]</f>
        <v>780429.41689863335</v>
      </c>
      <c r="J167" s="3">
        <f>IF(ROW()&lt;3, Dashboard!$E$7, IF(Query1[[#This Row],[Month]]&lt;&gt;H166,J166*(1+Dashboard!$E$4)+Dashboard!$E$5,J166))</f>
        <v>550494.74647490704</v>
      </c>
      <c r="K167">
        <f>IF(ROW()&lt;3, 0,IF(Query1[[#This Row],[Month]]&lt;&gt;H166,IF((J167-I167&gt;0),J167-I167,0),0))</f>
        <v>0</v>
      </c>
      <c r="L167" s="2">
        <f t="shared" si="2"/>
        <v>3592.2989655359538</v>
      </c>
      <c r="M167">
        <f>IF(ROW()&lt;3, 0, IF(Query1[[#This Row],[Month]]&lt;&gt;H166, Dashboard!$J$5,0))</f>
        <v>0</v>
      </c>
      <c r="N167" s="2">
        <f>IF(ROW()&lt;3, Query1[[#This Row],[Shares]], IF(Query1[[#This Row],[Month]]&lt;&gt;H166, N166+Query1[[#This Row],[Fix Top Up]]/Query1[[#This Row],[Adj Close]], N166))</f>
        <v>3303.8811917477478</v>
      </c>
      <c r="O167">
        <f>IF(AND(Query1[[#This Row],[avg]]&gt;0, Query1[[#This Row],[Month]]&lt;&gt;H166),
    IF(Query1[[#This Row],[Adj Close]]&gt;Query1[[#This Row],[avg]],
       Dashboard!$L$5-Dashboard!$E$6,
       Dashboard!$L$5+Dashboard!$E$6
    ), 0
)</f>
        <v>0</v>
      </c>
      <c r="P167" s="2">
        <f>IF(ROW()&lt;3, Query1[[#This Row],[Shares]], IF(Query1[[#This Row],[Month]]&lt;&gt;H166, P166+Query1[[#This Row],[Enhanced top up]]/Query1[[#This Row],[Adj Close]], P166))</f>
        <v>3294.367165615678</v>
      </c>
      <c r="Q167" s="2">
        <f>IFERROR(AVERAGE(
  IF(ROW()&gt;20, INDEX(G:G, ROW()-20), 0) :
  INDEX(G:G, ROW())
),0)</f>
        <v>203.12480890183221</v>
      </c>
    </row>
    <row r="168" spans="1:17" x14ac:dyDescent="0.4">
      <c r="A168" s="1">
        <v>44071</v>
      </c>
      <c r="B168">
        <v>228.17999267578125</v>
      </c>
      <c r="C168">
        <v>230.63999938964844</v>
      </c>
      <c r="D168">
        <v>226.58000183105469</v>
      </c>
      <c r="E168">
        <v>228.91000366210938</v>
      </c>
      <c r="F168">
        <v>26292900</v>
      </c>
      <c r="G168">
        <v>219.4847412109375</v>
      </c>
      <c r="H168" s="2">
        <f>MONTH(Query1[[#This Row],[Date]])</f>
        <v>8</v>
      </c>
      <c r="I168" s="3">
        <f>Query1[[#This Row],[Shares]]*Query1[[#This Row],[Adj Close]]</f>
        <v>788454.80880297732</v>
      </c>
      <c r="J168" s="3">
        <f>IF(ROW()&lt;3, Dashboard!$E$7, IF(Query1[[#This Row],[Month]]&lt;&gt;H167,J167*(1+Dashboard!$E$4)+Dashboard!$E$5,J167))</f>
        <v>550494.74647490704</v>
      </c>
      <c r="K168">
        <f>IF(ROW()&lt;3, 0,IF(Query1[[#This Row],[Month]]&lt;&gt;H167,IF((J168-I168&gt;0),J168-I168,0),0))</f>
        <v>0</v>
      </c>
      <c r="L168" s="2">
        <f t="shared" si="2"/>
        <v>3592.2989655359538</v>
      </c>
      <c r="M168">
        <f>IF(ROW()&lt;3, 0, IF(Query1[[#This Row],[Month]]&lt;&gt;H167, Dashboard!$J$5,0))</f>
        <v>0</v>
      </c>
      <c r="N168" s="2">
        <f>IF(ROW()&lt;3, Query1[[#This Row],[Shares]], IF(Query1[[#This Row],[Month]]&lt;&gt;H167, N167+Query1[[#This Row],[Fix Top Up]]/Query1[[#This Row],[Adj Close]], N167))</f>
        <v>3303.8811917477478</v>
      </c>
      <c r="O168">
        <f>IF(AND(Query1[[#This Row],[avg]]&gt;0, Query1[[#This Row],[Month]]&lt;&gt;H167),
    IF(Query1[[#This Row],[Adj Close]]&gt;Query1[[#This Row],[avg]],
       Dashboard!$L$5-Dashboard!$E$6,
       Dashboard!$L$5+Dashboard!$E$6
    ), 0
)</f>
        <v>0</v>
      </c>
      <c r="P168" s="2">
        <f>IF(ROW()&lt;3, Query1[[#This Row],[Shares]], IF(Query1[[#This Row],[Month]]&lt;&gt;H167, P167+Query1[[#This Row],[Enhanced top up]]/Query1[[#This Row],[Adj Close]], P167))</f>
        <v>3294.367165615678</v>
      </c>
      <c r="Q168" s="2">
        <f>IFERROR(AVERAGE(
  IF(ROW()&gt;20, INDEX(G:G, ROW()-20), 0) :
  INDEX(G:G, ROW())
),0)</f>
        <v>204.28917657761346</v>
      </c>
    </row>
    <row r="169" spans="1:17" x14ac:dyDescent="0.4">
      <c r="A169" s="1">
        <v>44074</v>
      </c>
      <c r="B169">
        <v>227</v>
      </c>
      <c r="C169">
        <v>228.69999694824219</v>
      </c>
      <c r="D169">
        <v>224.30999755859375</v>
      </c>
      <c r="E169">
        <v>225.52999877929688</v>
      </c>
      <c r="F169">
        <v>28774200</v>
      </c>
      <c r="G169">
        <v>216.24388122558594</v>
      </c>
      <c r="H169" s="2">
        <f>MONTH(Query1[[#This Row],[Date]])</f>
        <v>8</v>
      </c>
      <c r="I169" s="3">
        <f>Query1[[#This Row],[Shares]]*Query1[[#This Row],[Adj Close]]</f>
        <v>776812.670830152</v>
      </c>
      <c r="J169" s="3">
        <f>IF(ROW()&lt;3, Dashboard!$E$7, IF(Query1[[#This Row],[Month]]&lt;&gt;H168,J168*(1+Dashboard!$E$4)+Dashboard!$E$5,J168))</f>
        <v>550494.74647490704</v>
      </c>
      <c r="K169">
        <f>IF(ROW()&lt;3, 0,IF(Query1[[#This Row],[Month]]&lt;&gt;H168,IF((J169-I169&gt;0),J169-I169,0),0))</f>
        <v>0</v>
      </c>
      <c r="L169" s="2">
        <f t="shared" si="2"/>
        <v>3592.2989655359538</v>
      </c>
      <c r="M169">
        <f>IF(ROW()&lt;3, 0, IF(Query1[[#This Row],[Month]]&lt;&gt;H168, Dashboard!$J$5,0))</f>
        <v>0</v>
      </c>
      <c r="N169" s="2">
        <f>IF(ROW()&lt;3, Query1[[#This Row],[Shares]], IF(Query1[[#This Row],[Month]]&lt;&gt;H168, N168+Query1[[#This Row],[Fix Top Up]]/Query1[[#This Row],[Adj Close]], N168))</f>
        <v>3303.8811917477478</v>
      </c>
      <c r="O169">
        <f>IF(AND(Query1[[#This Row],[avg]]&gt;0, Query1[[#This Row],[Month]]&lt;&gt;H168),
    IF(Query1[[#This Row],[Adj Close]]&gt;Query1[[#This Row],[avg]],
       Dashboard!$L$5-Dashboard!$E$6,
       Dashboard!$L$5+Dashboard!$E$6
    ), 0
)</f>
        <v>0</v>
      </c>
      <c r="P169" s="2">
        <f>IF(ROW()&lt;3, Query1[[#This Row],[Shares]], IF(Query1[[#This Row],[Month]]&lt;&gt;H168, P168+Query1[[#This Row],[Enhanced top up]]/Query1[[#This Row],[Adj Close]], P168))</f>
        <v>3294.367165615678</v>
      </c>
      <c r="Q169" s="2">
        <f>IFERROR(AVERAGE(
  IF(ROW()&gt;20, INDEX(G:G, ROW()-20), 0) :
  INDEX(G:G, ROW())
),0)</f>
        <v>205.24865795317152</v>
      </c>
    </row>
    <row r="170" spans="1:17" x14ac:dyDescent="0.4">
      <c r="A170" s="1">
        <v>44075</v>
      </c>
      <c r="B170">
        <v>225.50999450683594</v>
      </c>
      <c r="C170">
        <v>227.44999694824219</v>
      </c>
      <c r="D170">
        <v>224.42999267578125</v>
      </c>
      <c r="E170">
        <v>227.27000427246094</v>
      </c>
      <c r="F170">
        <v>25725500</v>
      </c>
      <c r="G170">
        <v>217.91226196289063</v>
      </c>
      <c r="H170" s="2">
        <f>MONTH(Query1[[#This Row],[Date]])</f>
        <v>9</v>
      </c>
      <c r="I170" s="3">
        <f>Query1[[#This Row],[Shares]]*Query1[[#This Row],[Adj Close]]</f>
        <v>782805.99322689173</v>
      </c>
      <c r="J170" s="3">
        <f>IF(ROW()&lt;3, Dashboard!$E$7, IF(Query1[[#This Row],[Month]]&lt;&gt;H169,J169*(1+Dashboard!$E$4)+Dashboard!$E$5,J169))</f>
        <v>557999.69393965614</v>
      </c>
      <c r="K170">
        <f>IF(ROW()&lt;3, 0,IF(Query1[[#This Row],[Month]]&lt;&gt;H169,IF((J170-I170&gt;0),J170-I170,0),0))</f>
        <v>0</v>
      </c>
      <c r="L170" s="2">
        <f t="shared" si="2"/>
        <v>3592.2989655359538</v>
      </c>
      <c r="M170">
        <f>IF(ROW()&lt;3, 0, IF(Query1[[#This Row],[Month]]&lt;&gt;H169, Dashboard!$J$5,0))</f>
        <v>773.47399999999971</v>
      </c>
      <c r="N170" s="2">
        <f>IF(ROW()&lt;3, Query1[[#This Row],[Shares]], IF(Query1[[#This Row],[Month]]&lt;&gt;H169, N169+Query1[[#This Row],[Fix Top Up]]/Query1[[#This Row],[Adj Close]], N169))</f>
        <v>3307.4306661693922</v>
      </c>
      <c r="O170">
        <f>IF(AND(Query1[[#This Row],[avg]]&gt;0, Query1[[#This Row],[Month]]&lt;&gt;H169),
    IF(Query1[[#This Row],[Adj Close]]&gt;Query1[[#This Row],[avg]],
       Dashboard!$L$5-Dashboard!$E$6,
       Dashboard!$L$5+Dashboard!$E$6
    ), 0
)</f>
        <v>390.14066666666668</v>
      </c>
      <c r="P170" s="2">
        <f>IF(ROW()&lt;3, Query1[[#This Row],[Shares]], IF(Query1[[#This Row],[Month]]&lt;&gt;H169, P169+Query1[[#This Row],[Enhanced top up]]/Query1[[#This Row],[Adj Close]], P169))</f>
        <v>3296.1575222626716</v>
      </c>
      <c r="Q170" s="2">
        <f>IFERROR(AVERAGE(
  IF(ROW()&gt;20, INDEX(G:G, ROW()-20), 0) :
  INDEX(G:G, ROW())
),0)</f>
        <v>205.76241411481584</v>
      </c>
    </row>
    <row r="171" spans="1:17" x14ac:dyDescent="0.4">
      <c r="A171" s="1">
        <v>44076</v>
      </c>
      <c r="B171">
        <v>227.97000122070313</v>
      </c>
      <c r="C171">
        <v>232.86000061035156</v>
      </c>
      <c r="D171">
        <v>227.35000610351563</v>
      </c>
      <c r="E171">
        <v>231.64999389648438</v>
      </c>
      <c r="F171">
        <v>34080800</v>
      </c>
      <c r="G171">
        <v>222.11189270019531</v>
      </c>
      <c r="H171" s="2">
        <f>MONTH(Query1[[#This Row],[Date]])</f>
        <v>9</v>
      </c>
      <c r="I171" s="3">
        <f>Query1[[#This Row],[Shares]]*Query1[[#This Row],[Adj Close]]</f>
        <v>797892.32238014438</v>
      </c>
      <c r="J171" s="3">
        <f>IF(ROW()&lt;3, Dashboard!$E$7, IF(Query1[[#This Row],[Month]]&lt;&gt;H170,J170*(1+Dashboard!$E$4)+Dashboard!$E$5,J170))</f>
        <v>557999.69393965614</v>
      </c>
      <c r="K171">
        <f>IF(ROW()&lt;3, 0,IF(Query1[[#This Row],[Month]]&lt;&gt;H170,IF((J171-I171&gt;0),J171-I171,0),0))</f>
        <v>0</v>
      </c>
      <c r="L171" s="2">
        <f t="shared" si="2"/>
        <v>3592.2989655359538</v>
      </c>
      <c r="M171">
        <f>IF(ROW()&lt;3, 0, IF(Query1[[#This Row],[Month]]&lt;&gt;H170, Dashboard!$J$5,0))</f>
        <v>0</v>
      </c>
      <c r="N171" s="2">
        <f>IF(ROW()&lt;3, Query1[[#This Row],[Shares]], IF(Query1[[#This Row],[Month]]&lt;&gt;H170, N170+Query1[[#This Row],[Fix Top Up]]/Query1[[#This Row],[Adj Close]], N170))</f>
        <v>3307.4306661693922</v>
      </c>
      <c r="O171">
        <f>IF(AND(Query1[[#This Row],[avg]]&gt;0, Query1[[#This Row],[Month]]&lt;&gt;H170),
    IF(Query1[[#This Row],[Adj Close]]&gt;Query1[[#This Row],[avg]],
       Dashboard!$L$5-Dashboard!$E$6,
       Dashboard!$L$5+Dashboard!$E$6
    ), 0
)</f>
        <v>0</v>
      </c>
      <c r="P171" s="2">
        <f>IF(ROW()&lt;3, Query1[[#This Row],[Shares]], IF(Query1[[#This Row],[Month]]&lt;&gt;H170, P170+Query1[[#This Row],[Enhanced top up]]/Query1[[#This Row],[Adj Close]], P170))</f>
        <v>3296.1575222626716</v>
      </c>
      <c r="Q171" s="2">
        <f>IFERROR(AVERAGE(
  IF(ROW()&gt;20, INDEX(G:G, ROW()-20), 0) :
  INDEX(G:G, ROW())
),0)</f>
        <v>206.62418547130767</v>
      </c>
    </row>
    <row r="172" spans="1:17" x14ac:dyDescent="0.4">
      <c r="A172" s="1">
        <v>44077</v>
      </c>
      <c r="B172">
        <v>229.27000427246094</v>
      </c>
      <c r="C172">
        <v>229.30999755859375</v>
      </c>
      <c r="D172">
        <v>214.96000671386719</v>
      </c>
      <c r="E172">
        <v>217.30000305175781</v>
      </c>
      <c r="F172">
        <v>58400300</v>
      </c>
      <c r="G172">
        <v>208.35275268554688</v>
      </c>
      <c r="H172" s="2">
        <f>MONTH(Query1[[#This Row],[Date]])</f>
        <v>9</v>
      </c>
      <c r="I172" s="3">
        <f>Query1[[#This Row],[Shares]]*Query1[[#This Row],[Adj Close]]</f>
        <v>748465.37793885847</v>
      </c>
      <c r="J172" s="3">
        <f>IF(ROW()&lt;3, Dashboard!$E$7, IF(Query1[[#This Row],[Month]]&lt;&gt;H171,J171*(1+Dashboard!$E$4)+Dashboard!$E$5,J171))</f>
        <v>557999.69393965614</v>
      </c>
      <c r="K172">
        <f>IF(ROW()&lt;3, 0,IF(Query1[[#This Row],[Month]]&lt;&gt;H171,IF((J172-I172&gt;0),J172-I172,0),0))</f>
        <v>0</v>
      </c>
      <c r="L172" s="2">
        <f t="shared" si="2"/>
        <v>3592.2989655359538</v>
      </c>
      <c r="M172">
        <f>IF(ROW()&lt;3, 0, IF(Query1[[#This Row],[Month]]&lt;&gt;H171, Dashboard!$J$5,0))</f>
        <v>0</v>
      </c>
      <c r="N172" s="2">
        <f>IF(ROW()&lt;3, Query1[[#This Row],[Shares]], IF(Query1[[#This Row],[Month]]&lt;&gt;H171, N171+Query1[[#This Row],[Fix Top Up]]/Query1[[#This Row],[Adj Close]], N171))</f>
        <v>3307.4306661693922</v>
      </c>
      <c r="O172">
        <f>IF(AND(Query1[[#This Row],[avg]]&gt;0, Query1[[#This Row],[Month]]&lt;&gt;H171),
    IF(Query1[[#This Row],[Adj Close]]&gt;Query1[[#This Row],[avg]],
       Dashboard!$L$5-Dashboard!$E$6,
       Dashboard!$L$5+Dashboard!$E$6
    ), 0
)</f>
        <v>0</v>
      </c>
      <c r="P172" s="2">
        <f>IF(ROW()&lt;3, Query1[[#This Row],[Shares]], IF(Query1[[#This Row],[Month]]&lt;&gt;H171, P171+Query1[[#This Row],[Enhanced top up]]/Query1[[#This Row],[Adj Close]], P171))</f>
        <v>3296.1575222626716</v>
      </c>
      <c r="Q172" s="2">
        <f>IFERROR(AVERAGE(
  IF(ROW()&gt;20, INDEX(G:G, ROW()-20), 0) :
  INDEX(G:G, ROW())
),0)</f>
        <v>206.8467014857701</v>
      </c>
    </row>
    <row r="173" spans="1:17" x14ac:dyDescent="0.4">
      <c r="A173" s="1">
        <v>44078</v>
      </c>
      <c r="B173">
        <v>215.10000610351563</v>
      </c>
      <c r="C173">
        <v>218.36000061035156</v>
      </c>
      <c r="D173">
        <v>205.19000244140625</v>
      </c>
      <c r="E173">
        <v>214.25</v>
      </c>
      <c r="F173">
        <v>59664100</v>
      </c>
      <c r="G173">
        <v>205.42835998535156</v>
      </c>
      <c r="H173" s="2">
        <f>MONTH(Query1[[#This Row],[Date]])</f>
        <v>9</v>
      </c>
      <c r="I173" s="3">
        <f>Query1[[#This Row],[Shares]]*Query1[[#This Row],[Adj Close]]</f>
        <v>737960.08506712597</v>
      </c>
      <c r="J173" s="3">
        <f>IF(ROW()&lt;3, Dashboard!$E$7, IF(Query1[[#This Row],[Month]]&lt;&gt;H172,J172*(1+Dashboard!$E$4)+Dashboard!$E$5,J172))</f>
        <v>557999.69393965614</v>
      </c>
      <c r="K173">
        <f>IF(ROW()&lt;3, 0,IF(Query1[[#This Row],[Month]]&lt;&gt;H172,IF((J173-I173&gt;0),J173-I173,0),0))</f>
        <v>0</v>
      </c>
      <c r="L173" s="2">
        <f t="shared" si="2"/>
        <v>3592.2989655359538</v>
      </c>
      <c r="M173">
        <f>IF(ROW()&lt;3, 0, IF(Query1[[#This Row],[Month]]&lt;&gt;H172, Dashboard!$J$5,0))</f>
        <v>0</v>
      </c>
      <c r="N173" s="2">
        <f>IF(ROW()&lt;3, Query1[[#This Row],[Shares]], IF(Query1[[#This Row],[Month]]&lt;&gt;H172, N172+Query1[[#This Row],[Fix Top Up]]/Query1[[#This Row],[Adj Close]], N172))</f>
        <v>3307.4306661693922</v>
      </c>
      <c r="O173">
        <f>IF(AND(Query1[[#This Row],[avg]]&gt;0, Query1[[#This Row],[Month]]&lt;&gt;H172),
    IF(Query1[[#This Row],[Adj Close]]&gt;Query1[[#This Row],[avg]],
       Dashboard!$L$5-Dashboard!$E$6,
       Dashboard!$L$5+Dashboard!$E$6
    ), 0
)</f>
        <v>0</v>
      </c>
      <c r="P173" s="2">
        <f>IF(ROW()&lt;3, Query1[[#This Row],[Shares]], IF(Query1[[#This Row],[Month]]&lt;&gt;H172, P172+Query1[[#This Row],[Enhanced top up]]/Query1[[#This Row],[Adj Close]], P172))</f>
        <v>3296.1575222626716</v>
      </c>
      <c r="Q173" s="2">
        <f>IFERROR(AVERAGE(
  IF(ROW()&gt;20, INDEX(G:G, ROW()-20), 0) :
  INDEX(G:G, ROW())
),0)</f>
        <v>206.77464003789993</v>
      </c>
    </row>
    <row r="174" spans="1:17" x14ac:dyDescent="0.4">
      <c r="A174" s="1">
        <v>44082</v>
      </c>
      <c r="B174">
        <v>206.5</v>
      </c>
      <c r="C174">
        <v>210.02999877929688</v>
      </c>
      <c r="D174">
        <v>202.19999694824219</v>
      </c>
      <c r="E174">
        <v>202.66000366210938</v>
      </c>
      <c r="F174">
        <v>52924300</v>
      </c>
      <c r="G174">
        <v>194.31552124023438</v>
      </c>
      <c r="H174" s="2">
        <f>MONTH(Query1[[#This Row],[Date]])</f>
        <v>9</v>
      </c>
      <c r="I174" s="3">
        <f>Query1[[#This Row],[Shares]]*Query1[[#This Row],[Adj Close]]</f>
        <v>698039.44593887357</v>
      </c>
      <c r="J174" s="3">
        <f>IF(ROW()&lt;3, Dashboard!$E$7, IF(Query1[[#This Row],[Month]]&lt;&gt;H173,J173*(1+Dashboard!$E$4)+Dashboard!$E$5,J173))</f>
        <v>557999.69393965614</v>
      </c>
      <c r="K174">
        <f>IF(ROW()&lt;3, 0,IF(Query1[[#This Row],[Month]]&lt;&gt;H173,IF((J174-I174&gt;0),J174-I174,0),0))</f>
        <v>0</v>
      </c>
      <c r="L174" s="2">
        <f t="shared" si="2"/>
        <v>3592.2989655359538</v>
      </c>
      <c r="M174">
        <f>IF(ROW()&lt;3, 0, IF(Query1[[#This Row],[Month]]&lt;&gt;H173, Dashboard!$J$5,0))</f>
        <v>0</v>
      </c>
      <c r="N174" s="2">
        <f>IF(ROW()&lt;3, Query1[[#This Row],[Shares]], IF(Query1[[#This Row],[Month]]&lt;&gt;H173, N173+Query1[[#This Row],[Fix Top Up]]/Query1[[#This Row],[Adj Close]], N173))</f>
        <v>3307.4306661693922</v>
      </c>
      <c r="O174">
        <f>IF(AND(Query1[[#This Row],[avg]]&gt;0, Query1[[#This Row],[Month]]&lt;&gt;H173),
    IF(Query1[[#This Row],[Adj Close]]&gt;Query1[[#This Row],[avg]],
       Dashboard!$L$5-Dashboard!$E$6,
       Dashboard!$L$5+Dashboard!$E$6
    ), 0
)</f>
        <v>0</v>
      </c>
      <c r="P174" s="2">
        <f>IF(ROW()&lt;3, Query1[[#This Row],[Shares]], IF(Query1[[#This Row],[Month]]&lt;&gt;H173, P173+Query1[[#This Row],[Enhanced top up]]/Query1[[#This Row],[Adj Close]], P173))</f>
        <v>3296.1575222626716</v>
      </c>
      <c r="Q174" s="2">
        <f>IFERROR(AVERAGE(
  IF(ROW()&gt;20, INDEX(G:G, ROW()-20), 0) :
  INDEX(G:G, ROW())
),0)</f>
        <v>206.34966968354723</v>
      </c>
    </row>
    <row r="175" spans="1:17" x14ac:dyDescent="0.4">
      <c r="A175" s="1">
        <v>44083</v>
      </c>
      <c r="B175">
        <v>207.60000610351563</v>
      </c>
      <c r="C175">
        <v>214.83999633789063</v>
      </c>
      <c r="D175">
        <v>206.69999694824219</v>
      </c>
      <c r="E175">
        <v>211.28999328613281</v>
      </c>
      <c r="F175">
        <v>45679000</v>
      </c>
      <c r="G175">
        <v>202.5902099609375</v>
      </c>
      <c r="H175" s="2">
        <f>MONTH(Query1[[#This Row],[Date]])</f>
        <v>9</v>
      </c>
      <c r="I175" s="3">
        <f>Query1[[#This Row],[Shares]]*Query1[[#This Row],[Adj Close]]</f>
        <v>727764.60167038743</v>
      </c>
      <c r="J175" s="3">
        <f>IF(ROW()&lt;3, Dashboard!$E$7, IF(Query1[[#This Row],[Month]]&lt;&gt;H174,J174*(1+Dashboard!$E$4)+Dashboard!$E$5,J174))</f>
        <v>557999.69393965614</v>
      </c>
      <c r="K175">
        <f>IF(ROW()&lt;3, 0,IF(Query1[[#This Row],[Month]]&lt;&gt;H174,IF((J175-I175&gt;0),J175-I175,0),0))</f>
        <v>0</v>
      </c>
      <c r="L175" s="2">
        <f t="shared" si="2"/>
        <v>3592.2989655359538</v>
      </c>
      <c r="M175">
        <f>IF(ROW()&lt;3, 0, IF(Query1[[#This Row],[Month]]&lt;&gt;H174, Dashboard!$J$5,0))</f>
        <v>0</v>
      </c>
      <c r="N175" s="2">
        <f>IF(ROW()&lt;3, Query1[[#This Row],[Shares]], IF(Query1[[#This Row],[Month]]&lt;&gt;H174, N174+Query1[[#This Row],[Fix Top Up]]/Query1[[#This Row],[Adj Close]], N174))</f>
        <v>3307.4306661693922</v>
      </c>
      <c r="O175">
        <f>IF(AND(Query1[[#This Row],[avg]]&gt;0, Query1[[#This Row],[Month]]&lt;&gt;H174),
    IF(Query1[[#This Row],[Adj Close]]&gt;Query1[[#This Row],[avg]],
       Dashboard!$L$5-Dashboard!$E$6,
       Dashboard!$L$5+Dashboard!$E$6
    ), 0
)</f>
        <v>0</v>
      </c>
      <c r="P175" s="2">
        <f>IF(ROW()&lt;3, Query1[[#This Row],[Shares]], IF(Query1[[#This Row],[Month]]&lt;&gt;H174, P174+Query1[[#This Row],[Enhanced top up]]/Query1[[#This Row],[Adj Close]], P174))</f>
        <v>3296.1575222626716</v>
      </c>
      <c r="Q175" s="2">
        <f>IFERROR(AVERAGE(
  IF(ROW()&gt;20, INDEX(G:G, ROW()-20), 0) :
  INDEX(G:G, ROW())
),0)</f>
        <v>206.51139976864769</v>
      </c>
    </row>
    <row r="176" spans="1:17" x14ac:dyDescent="0.4">
      <c r="A176" s="1">
        <v>44084</v>
      </c>
      <c r="B176">
        <v>213.39999389648438</v>
      </c>
      <c r="C176">
        <v>214.74000549316406</v>
      </c>
      <c r="D176">
        <v>204.11000061035156</v>
      </c>
      <c r="E176">
        <v>205.3699951171875</v>
      </c>
      <c r="F176">
        <v>35461500</v>
      </c>
      <c r="G176">
        <v>196.91400146484375</v>
      </c>
      <c r="H176" s="2">
        <f>MONTH(Query1[[#This Row],[Date]])</f>
        <v>9</v>
      </c>
      <c r="I176" s="3">
        <f>Query1[[#This Row],[Shares]]*Query1[[#This Row],[Adj Close]]</f>
        <v>707373.96376170346</v>
      </c>
      <c r="J176" s="3">
        <f>IF(ROW()&lt;3, Dashboard!$E$7, IF(Query1[[#This Row],[Month]]&lt;&gt;H175,J175*(1+Dashboard!$E$4)+Dashboard!$E$5,J175))</f>
        <v>557999.69393965614</v>
      </c>
      <c r="K176">
        <f>IF(ROW()&lt;3, 0,IF(Query1[[#This Row],[Month]]&lt;&gt;H175,IF((J176-I176&gt;0),J176-I176,0),0))</f>
        <v>0</v>
      </c>
      <c r="L176" s="2">
        <f t="shared" si="2"/>
        <v>3592.2989655359538</v>
      </c>
      <c r="M176">
        <f>IF(ROW()&lt;3, 0, IF(Query1[[#This Row],[Month]]&lt;&gt;H175, Dashboard!$J$5,0))</f>
        <v>0</v>
      </c>
      <c r="N176" s="2">
        <f>IF(ROW()&lt;3, Query1[[#This Row],[Shares]], IF(Query1[[#This Row],[Month]]&lt;&gt;H175, N175+Query1[[#This Row],[Fix Top Up]]/Query1[[#This Row],[Adj Close]], N175))</f>
        <v>3307.4306661693922</v>
      </c>
      <c r="O176">
        <f>IF(AND(Query1[[#This Row],[avg]]&gt;0, Query1[[#This Row],[Month]]&lt;&gt;H175),
    IF(Query1[[#This Row],[Adj Close]]&gt;Query1[[#This Row],[avg]],
       Dashboard!$L$5-Dashboard!$E$6,
       Dashboard!$L$5+Dashboard!$E$6
    ), 0
)</f>
        <v>0</v>
      </c>
      <c r="P176" s="2">
        <f>IF(ROW()&lt;3, Query1[[#This Row],[Shares]], IF(Query1[[#This Row],[Month]]&lt;&gt;H175, P175+Query1[[#This Row],[Enhanced top up]]/Query1[[#This Row],[Adj Close]], P175))</f>
        <v>3296.1575222626716</v>
      </c>
      <c r="Q176" s="2">
        <f>IFERROR(AVERAGE(
  IF(ROW()&gt;20, INDEX(G:G, ROW()-20), 0) :
  INDEX(G:G, ROW())
),0)</f>
        <v>206.62465631394159</v>
      </c>
    </row>
    <row r="177" spans="1:17" x14ac:dyDescent="0.4">
      <c r="A177" s="1">
        <v>44085</v>
      </c>
      <c r="B177">
        <v>207.19999694824219</v>
      </c>
      <c r="C177">
        <v>208.6300048828125</v>
      </c>
      <c r="D177">
        <v>201.24000549316406</v>
      </c>
      <c r="E177">
        <v>204.02999877929688</v>
      </c>
      <c r="F177">
        <v>33620100</v>
      </c>
      <c r="G177">
        <v>195.629150390625</v>
      </c>
      <c r="H177" s="2">
        <f>MONTH(Query1[[#This Row],[Date]])</f>
        <v>9</v>
      </c>
      <c r="I177" s="3">
        <f>Query1[[#This Row],[Shares]]*Query1[[#This Row],[Adj Close]]</f>
        <v>702758.39457691973</v>
      </c>
      <c r="J177" s="3">
        <f>IF(ROW()&lt;3, Dashboard!$E$7, IF(Query1[[#This Row],[Month]]&lt;&gt;H176,J176*(1+Dashboard!$E$4)+Dashboard!$E$5,J176))</f>
        <v>557999.69393965614</v>
      </c>
      <c r="K177">
        <f>IF(ROW()&lt;3, 0,IF(Query1[[#This Row],[Month]]&lt;&gt;H176,IF((J177-I177&gt;0),J177-I177,0),0))</f>
        <v>0</v>
      </c>
      <c r="L177" s="2">
        <f t="shared" si="2"/>
        <v>3592.2989655359538</v>
      </c>
      <c r="M177">
        <f>IF(ROW()&lt;3, 0, IF(Query1[[#This Row],[Month]]&lt;&gt;H176, Dashboard!$J$5,0))</f>
        <v>0</v>
      </c>
      <c r="N177" s="2">
        <f>IF(ROW()&lt;3, Query1[[#This Row],[Shares]], IF(Query1[[#This Row],[Month]]&lt;&gt;H176, N176+Query1[[#This Row],[Fix Top Up]]/Query1[[#This Row],[Adj Close]], N176))</f>
        <v>3307.4306661693922</v>
      </c>
      <c r="O177">
        <f>IF(AND(Query1[[#This Row],[avg]]&gt;0, Query1[[#This Row],[Month]]&lt;&gt;H176),
    IF(Query1[[#This Row],[Adj Close]]&gt;Query1[[#This Row],[avg]],
       Dashboard!$L$5-Dashboard!$E$6,
       Dashboard!$L$5+Dashboard!$E$6
    ), 0
)</f>
        <v>0</v>
      </c>
      <c r="P177" s="2">
        <f>IF(ROW()&lt;3, Query1[[#This Row],[Shares]], IF(Query1[[#This Row],[Month]]&lt;&gt;H176, P176+Query1[[#This Row],[Enhanced top up]]/Query1[[#This Row],[Adj Close]], P176))</f>
        <v>3296.1575222626716</v>
      </c>
      <c r="Q177" s="2">
        <f>IFERROR(AVERAGE(
  IF(ROW()&gt;20, INDEX(G:G, ROW()-20), 0) :
  INDEX(G:G, ROW())
),0)</f>
        <v>206.41209193638392</v>
      </c>
    </row>
    <row r="178" spans="1:17" x14ac:dyDescent="0.4">
      <c r="A178" s="1">
        <v>44088</v>
      </c>
      <c r="B178">
        <v>204.24000549316406</v>
      </c>
      <c r="C178">
        <v>209.19999694824219</v>
      </c>
      <c r="D178">
        <v>204.02999877929688</v>
      </c>
      <c r="E178">
        <v>205.41000366210938</v>
      </c>
      <c r="F178">
        <v>30375800</v>
      </c>
      <c r="G178">
        <v>196.95231628417969</v>
      </c>
      <c r="H178" s="2">
        <f>MONTH(Query1[[#This Row],[Date]])</f>
        <v>9</v>
      </c>
      <c r="I178" s="3">
        <f>Query1[[#This Row],[Shares]]*Query1[[#This Row],[Adj Close]]</f>
        <v>707511.60204756865</v>
      </c>
      <c r="J178" s="3">
        <f>IF(ROW()&lt;3, Dashboard!$E$7, IF(Query1[[#This Row],[Month]]&lt;&gt;H177,J177*(1+Dashboard!$E$4)+Dashboard!$E$5,J177))</f>
        <v>557999.69393965614</v>
      </c>
      <c r="K178">
        <f>IF(ROW()&lt;3, 0,IF(Query1[[#This Row],[Month]]&lt;&gt;H177,IF((J178-I178&gt;0),J178-I178,0),0))</f>
        <v>0</v>
      </c>
      <c r="L178" s="2">
        <f t="shared" si="2"/>
        <v>3592.2989655359538</v>
      </c>
      <c r="M178">
        <f>IF(ROW()&lt;3, 0, IF(Query1[[#This Row],[Month]]&lt;&gt;H177, Dashboard!$J$5,0))</f>
        <v>0</v>
      </c>
      <c r="N178" s="2">
        <f>IF(ROW()&lt;3, Query1[[#This Row],[Shares]], IF(Query1[[#This Row],[Month]]&lt;&gt;H177, N177+Query1[[#This Row],[Fix Top Up]]/Query1[[#This Row],[Adj Close]], N177))</f>
        <v>3307.4306661693922</v>
      </c>
      <c r="O178">
        <f>IF(AND(Query1[[#This Row],[avg]]&gt;0, Query1[[#This Row],[Month]]&lt;&gt;H177),
    IF(Query1[[#This Row],[Adj Close]]&gt;Query1[[#This Row],[avg]],
       Dashboard!$L$5-Dashboard!$E$6,
       Dashboard!$L$5+Dashboard!$E$6
    ), 0
)</f>
        <v>0</v>
      </c>
      <c r="P178" s="2">
        <f>IF(ROW()&lt;3, Query1[[#This Row],[Shares]], IF(Query1[[#This Row],[Month]]&lt;&gt;H177, P177+Query1[[#This Row],[Enhanced top up]]/Query1[[#This Row],[Adj Close]], P177))</f>
        <v>3296.1575222626716</v>
      </c>
      <c r="Q178" s="2">
        <f>IFERROR(AVERAGE(
  IF(ROW()&gt;20, INDEX(G:G, ROW()-20), 0) :
  INDEX(G:G, ROW())
),0)</f>
        <v>206.28485470726378</v>
      </c>
    </row>
    <row r="179" spans="1:17" x14ac:dyDescent="0.4">
      <c r="A179" s="1">
        <v>44089</v>
      </c>
      <c r="B179">
        <v>208.41999816894531</v>
      </c>
      <c r="C179">
        <v>209.77999877929688</v>
      </c>
      <c r="D179">
        <v>206.92999267578125</v>
      </c>
      <c r="E179">
        <v>208.77999877929688</v>
      </c>
      <c r="F179">
        <v>21823900</v>
      </c>
      <c r="G179">
        <v>200.18357849121094</v>
      </c>
      <c r="H179" s="2">
        <f>MONTH(Query1[[#This Row],[Date]])</f>
        <v>9</v>
      </c>
      <c r="I179" s="3">
        <f>Query1[[#This Row],[Shares]]*Query1[[#This Row],[Adj Close]]</f>
        <v>719119.26193126244</v>
      </c>
      <c r="J179" s="3">
        <f>IF(ROW()&lt;3, Dashboard!$E$7, IF(Query1[[#This Row],[Month]]&lt;&gt;H178,J178*(1+Dashboard!$E$4)+Dashboard!$E$5,J178))</f>
        <v>557999.69393965614</v>
      </c>
      <c r="K179">
        <f>IF(ROW()&lt;3, 0,IF(Query1[[#This Row],[Month]]&lt;&gt;H178,IF((J179-I179&gt;0),J179-I179,0),0))</f>
        <v>0</v>
      </c>
      <c r="L179" s="2">
        <f t="shared" si="2"/>
        <v>3592.2989655359538</v>
      </c>
      <c r="M179">
        <f>IF(ROW()&lt;3, 0, IF(Query1[[#This Row],[Month]]&lt;&gt;H178, Dashboard!$J$5,0))</f>
        <v>0</v>
      </c>
      <c r="N179" s="2">
        <f>IF(ROW()&lt;3, Query1[[#This Row],[Shares]], IF(Query1[[#This Row],[Month]]&lt;&gt;H178, N178+Query1[[#This Row],[Fix Top Up]]/Query1[[#This Row],[Adj Close]], N178))</f>
        <v>3307.4306661693922</v>
      </c>
      <c r="O179">
        <f>IF(AND(Query1[[#This Row],[avg]]&gt;0, Query1[[#This Row],[Month]]&lt;&gt;H178),
    IF(Query1[[#This Row],[Adj Close]]&gt;Query1[[#This Row],[avg]],
       Dashboard!$L$5-Dashboard!$E$6,
       Dashboard!$L$5+Dashboard!$E$6
    ), 0
)</f>
        <v>0</v>
      </c>
      <c r="P179" s="2">
        <f>IF(ROW()&lt;3, Query1[[#This Row],[Shares]], IF(Query1[[#This Row],[Month]]&lt;&gt;H178, P178+Query1[[#This Row],[Enhanced top up]]/Query1[[#This Row],[Adj Close]], P178))</f>
        <v>3296.1575222626716</v>
      </c>
      <c r="Q179" s="2">
        <f>IFERROR(AVERAGE(
  IF(ROW()&gt;20, INDEX(G:G, ROW()-20), 0) :
  INDEX(G:G, ROW())
),0)</f>
        <v>206.30237688337053</v>
      </c>
    </row>
    <row r="180" spans="1:17" x14ac:dyDescent="0.4">
      <c r="A180" s="1">
        <v>44090</v>
      </c>
      <c r="B180">
        <v>210.6199951171875</v>
      </c>
      <c r="C180">
        <v>210.64999389648438</v>
      </c>
      <c r="D180">
        <v>204.63999938964844</v>
      </c>
      <c r="E180">
        <v>205.05000305175781</v>
      </c>
      <c r="F180">
        <v>26328100</v>
      </c>
      <c r="G180">
        <v>196.607177734375</v>
      </c>
      <c r="H180" s="2">
        <f>MONTH(Query1[[#This Row],[Date]])</f>
        <v>9</v>
      </c>
      <c r="I180" s="3">
        <f>Query1[[#This Row],[Shares]]*Query1[[#This Row],[Adj Close]]</f>
        <v>706271.76119213877</v>
      </c>
      <c r="J180" s="3">
        <f>IF(ROW()&lt;3, Dashboard!$E$7, IF(Query1[[#This Row],[Month]]&lt;&gt;H179,J179*(1+Dashboard!$E$4)+Dashboard!$E$5,J179))</f>
        <v>557999.69393965614</v>
      </c>
      <c r="K180">
        <f>IF(ROW()&lt;3, 0,IF(Query1[[#This Row],[Month]]&lt;&gt;H179,IF((J180-I180&gt;0),J180-I180,0),0))</f>
        <v>0</v>
      </c>
      <c r="L180" s="2">
        <f t="shared" si="2"/>
        <v>3592.2989655359538</v>
      </c>
      <c r="M180">
        <f>IF(ROW()&lt;3, 0, IF(Query1[[#This Row],[Month]]&lt;&gt;H179, Dashboard!$J$5,0))</f>
        <v>0</v>
      </c>
      <c r="N180" s="2">
        <f>IF(ROW()&lt;3, Query1[[#This Row],[Shares]], IF(Query1[[#This Row],[Month]]&lt;&gt;H179, N179+Query1[[#This Row],[Fix Top Up]]/Query1[[#This Row],[Adj Close]], N179))</f>
        <v>3307.4306661693922</v>
      </c>
      <c r="O180">
        <f>IF(AND(Query1[[#This Row],[avg]]&gt;0, Query1[[#This Row],[Month]]&lt;&gt;H179),
    IF(Query1[[#This Row],[Adj Close]]&gt;Query1[[#This Row],[avg]],
       Dashboard!$L$5-Dashboard!$E$6,
       Dashboard!$L$5+Dashboard!$E$6
    ), 0
)</f>
        <v>0</v>
      </c>
      <c r="P180" s="2">
        <f>IF(ROW()&lt;3, Query1[[#This Row],[Shares]], IF(Query1[[#This Row],[Month]]&lt;&gt;H179, P179+Query1[[#This Row],[Enhanced top up]]/Query1[[#This Row],[Adj Close]], P179))</f>
        <v>3296.1575222626716</v>
      </c>
      <c r="Q180" s="2">
        <f>IFERROR(AVERAGE(
  IF(ROW()&gt;20, INDEX(G:G, ROW()-20), 0) :
  INDEX(G:G, ROW())
),0)</f>
        <v>206.08673822312127</v>
      </c>
    </row>
    <row r="181" spans="1:17" x14ac:dyDescent="0.4">
      <c r="A181" s="1">
        <v>44091</v>
      </c>
      <c r="B181">
        <v>200.05000305175781</v>
      </c>
      <c r="C181">
        <v>204.33000183105469</v>
      </c>
      <c r="D181">
        <v>199.96000671386719</v>
      </c>
      <c r="E181">
        <v>202.91000366210938</v>
      </c>
      <c r="F181">
        <v>34011300</v>
      </c>
      <c r="G181">
        <v>194.5552978515625</v>
      </c>
      <c r="H181" s="2">
        <f>MONTH(Query1[[#This Row],[Date]])</f>
        <v>9</v>
      </c>
      <c r="I181" s="3">
        <f>Query1[[#This Row],[Shares]]*Query1[[#This Row],[Adj Close]]</f>
        <v>698900.79521170736</v>
      </c>
      <c r="J181" s="3">
        <f>IF(ROW()&lt;3, Dashboard!$E$7, IF(Query1[[#This Row],[Month]]&lt;&gt;H180,J180*(1+Dashboard!$E$4)+Dashboard!$E$5,J180))</f>
        <v>557999.69393965614</v>
      </c>
      <c r="K181">
        <f>IF(ROW()&lt;3, 0,IF(Query1[[#This Row],[Month]]&lt;&gt;H180,IF((J181-I181&gt;0),J181-I181,0),0))</f>
        <v>0</v>
      </c>
      <c r="L181" s="2">
        <f t="shared" si="2"/>
        <v>3592.2989655359538</v>
      </c>
      <c r="M181">
        <f>IF(ROW()&lt;3, 0, IF(Query1[[#This Row],[Month]]&lt;&gt;H180, Dashboard!$J$5,0))</f>
        <v>0</v>
      </c>
      <c r="N181" s="2">
        <f>IF(ROW()&lt;3, Query1[[#This Row],[Shares]], IF(Query1[[#This Row],[Month]]&lt;&gt;H180, N180+Query1[[#This Row],[Fix Top Up]]/Query1[[#This Row],[Adj Close]], N180))</f>
        <v>3307.4306661693922</v>
      </c>
      <c r="O181">
        <f>IF(AND(Query1[[#This Row],[avg]]&gt;0, Query1[[#This Row],[Month]]&lt;&gt;H180),
    IF(Query1[[#This Row],[Adj Close]]&gt;Query1[[#This Row],[avg]],
       Dashboard!$L$5-Dashboard!$E$6,
       Dashboard!$L$5+Dashboard!$E$6
    ), 0
)</f>
        <v>0</v>
      </c>
      <c r="P181" s="2">
        <f>IF(ROW()&lt;3, Query1[[#This Row],[Shares]], IF(Query1[[#This Row],[Month]]&lt;&gt;H180, P180+Query1[[#This Row],[Enhanced top up]]/Query1[[#This Row],[Adj Close]], P180))</f>
        <v>3296.1575222626716</v>
      </c>
      <c r="Q181" s="2">
        <f>IFERROR(AVERAGE(
  IF(ROW()&gt;20, INDEX(G:G, ROW()-20), 0) :
  INDEX(G:G, ROW())
),0)</f>
        <v>205.71827625093005</v>
      </c>
    </row>
    <row r="182" spans="1:17" x14ac:dyDescent="0.4">
      <c r="A182" s="1">
        <v>44092</v>
      </c>
      <c r="B182">
        <v>202.80000305175781</v>
      </c>
      <c r="C182">
        <v>203.64999389648438</v>
      </c>
      <c r="D182">
        <v>196.25</v>
      </c>
      <c r="E182">
        <v>200.38999938964844</v>
      </c>
      <c r="F182">
        <v>55225300</v>
      </c>
      <c r="G182">
        <v>192.13900756835938</v>
      </c>
      <c r="H182" s="2">
        <f>MONTH(Query1[[#This Row],[Date]])</f>
        <v>9</v>
      </c>
      <c r="I182" s="3">
        <f>Query1[[#This Row],[Shares]]*Query1[[#This Row],[Adj Close]]</f>
        <v>690220.75812692218</v>
      </c>
      <c r="J182" s="3">
        <f>IF(ROW()&lt;3, Dashboard!$E$7, IF(Query1[[#This Row],[Month]]&lt;&gt;H181,J181*(1+Dashboard!$E$4)+Dashboard!$E$5,J181))</f>
        <v>557999.69393965614</v>
      </c>
      <c r="K182">
        <f>IF(ROW()&lt;3, 0,IF(Query1[[#This Row],[Month]]&lt;&gt;H181,IF((J182-I182&gt;0),J182-I182,0),0))</f>
        <v>0</v>
      </c>
      <c r="L182" s="2">
        <f t="shared" si="2"/>
        <v>3592.2989655359538</v>
      </c>
      <c r="M182">
        <f>IF(ROW()&lt;3, 0, IF(Query1[[#This Row],[Month]]&lt;&gt;H181, Dashboard!$J$5,0))</f>
        <v>0</v>
      </c>
      <c r="N182" s="2">
        <f>IF(ROW()&lt;3, Query1[[#This Row],[Shares]], IF(Query1[[#This Row],[Month]]&lt;&gt;H181, N181+Query1[[#This Row],[Fix Top Up]]/Query1[[#This Row],[Adj Close]], N181))</f>
        <v>3307.4306661693922</v>
      </c>
      <c r="O182">
        <f>IF(AND(Query1[[#This Row],[avg]]&gt;0, Query1[[#This Row],[Month]]&lt;&gt;H181),
    IF(Query1[[#This Row],[Adj Close]]&gt;Query1[[#This Row],[avg]],
       Dashboard!$L$5-Dashboard!$E$6,
       Dashboard!$L$5+Dashboard!$E$6
    ), 0
)</f>
        <v>0</v>
      </c>
      <c r="P182" s="2">
        <f>IF(ROW()&lt;3, Query1[[#This Row],[Shares]], IF(Query1[[#This Row],[Month]]&lt;&gt;H181, P181+Query1[[#This Row],[Enhanced top up]]/Query1[[#This Row],[Adj Close]], P181))</f>
        <v>3296.1575222626716</v>
      </c>
      <c r="Q182" s="2">
        <f>IFERROR(AVERAGE(
  IF(ROW()&gt;20, INDEX(G:G, ROW()-20), 0) :
  INDEX(G:G, ROW())
),0)</f>
        <v>205.29319763183594</v>
      </c>
    </row>
    <row r="183" spans="1:17" x14ac:dyDescent="0.4">
      <c r="A183" s="1">
        <v>44095</v>
      </c>
      <c r="B183">
        <v>197.19000244140625</v>
      </c>
      <c r="C183">
        <v>202.71000671386719</v>
      </c>
      <c r="D183">
        <v>196.3800048828125</v>
      </c>
      <c r="E183">
        <v>202.53999328613281</v>
      </c>
      <c r="F183">
        <v>39839700</v>
      </c>
      <c r="G183">
        <v>194.20050048828125</v>
      </c>
      <c r="H183" s="2">
        <f>MONTH(Query1[[#This Row],[Date]])</f>
        <v>9</v>
      </c>
      <c r="I183" s="3">
        <f>Query1[[#This Row],[Shares]]*Query1[[#This Row],[Adj Close]]</f>
        <v>697626.25701061718</v>
      </c>
      <c r="J183" s="3">
        <f>IF(ROW()&lt;3, Dashboard!$E$7, IF(Query1[[#This Row],[Month]]&lt;&gt;H182,J182*(1+Dashboard!$E$4)+Dashboard!$E$5,J182))</f>
        <v>557999.69393965614</v>
      </c>
      <c r="K183">
        <f>IF(ROW()&lt;3, 0,IF(Query1[[#This Row],[Month]]&lt;&gt;H182,IF((J183-I183&gt;0),J183-I183,0),0))</f>
        <v>0</v>
      </c>
      <c r="L183" s="2">
        <f t="shared" si="2"/>
        <v>3592.2989655359538</v>
      </c>
      <c r="M183">
        <f>IF(ROW()&lt;3, 0, IF(Query1[[#This Row],[Month]]&lt;&gt;H182, Dashboard!$J$5,0))</f>
        <v>0</v>
      </c>
      <c r="N183" s="2">
        <f>IF(ROW()&lt;3, Query1[[#This Row],[Shares]], IF(Query1[[#This Row],[Month]]&lt;&gt;H182, N182+Query1[[#This Row],[Fix Top Up]]/Query1[[#This Row],[Adj Close]], N182))</f>
        <v>3307.4306661693922</v>
      </c>
      <c r="O183">
        <f>IF(AND(Query1[[#This Row],[avg]]&gt;0, Query1[[#This Row],[Month]]&lt;&gt;H182),
    IF(Query1[[#This Row],[Adj Close]]&gt;Query1[[#This Row],[avg]],
       Dashboard!$L$5-Dashboard!$E$6,
       Dashboard!$L$5+Dashboard!$E$6
    ), 0
)</f>
        <v>0</v>
      </c>
      <c r="P183" s="2">
        <f>IF(ROW()&lt;3, Query1[[#This Row],[Shares]], IF(Query1[[#This Row],[Month]]&lt;&gt;H182, P182+Query1[[#This Row],[Enhanced top up]]/Query1[[#This Row],[Adj Close]], P182))</f>
        <v>3296.1575222626716</v>
      </c>
      <c r="Q183" s="2">
        <f>IFERROR(AVERAGE(
  IF(ROW()&gt;20, INDEX(G:G, ROW()-20), 0) :
  INDEX(G:G, ROW())
),0)</f>
        <v>204.74347069149925</v>
      </c>
    </row>
    <row r="184" spans="1:17" x14ac:dyDescent="0.4">
      <c r="A184" s="1">
        <v>44096</v>
      </c>
      <c r="B184">
        <v>205.05999755859375</v>
      </c>
      <c r="C184">
        <v>208.10000610351563</v>
      </c>
      <c r="D184">
        <v>202.08000183105469</v>
      </c>
      <c r="E184">
        <v>207.41999816894531</v>
      </c>
      <c r="F184">
        <v>33517100</v>
      </c>
      <c r="G184">
        <v>198.87959289550781</v>
      </c>
      <c r="H184" s="2">
        <f>MONTH(Query1[[#This Row],[Date]])</f>
        <v>9</v>
      </c>
      <c r="I184" s="3">
        <f>Query1[[#This Row],[Shares]]*Query1[[#This Row],[Adj Close]]</f>
        <v>714434.95582474431</v>
      </c>
      <c r="J184" s="3">
        <f>IF(ROW()&lt;3, Dashboard!$E$7, IF(Query1[[#This Row],[Month]]&lt;&gt;H183,J183*(1+Dashboard!$E$4)+Dashboard!$E$5,J183))</f>
        <v>557999.69393965614</v>
      </c>
      <c r="K184">
        <f>IF(ROW()&lt;3, 0,IF(Query1[[#This Row],[Month]]&lt;&gt;H183,IF((J184-I184&gt;0),J184-I184,0),0))</f>
        <v>0</v>
      </c>
      <c r="L184" s="2">
        <f t="shared" si="2"/>
        <v>3592.2989655359538</v>
      </c>
      <c r="M184">
        <f>IF(ROW()&lt;3, 0, IF(Query1[[#This Row],[Month]]&lt;&gt;H183, Dashboard!$J$5,0))</f>
        <v>0</v>
      </c>
      <c r="N184" s="2">
        <f>IF(ROW()&lt;3, Query1[[#This Row],[Shares]], IF(Query1[[#This Row],[Month]]&lt;&gt;H183, N183+Query1[[#This Row],[Fix Top Up]]/Query1[[#This Row],[Adj Close]], N183))</f>
        <v>3307.4306661693922</v>
      </c>
      <c r="O184">
        <f>IF(AND(Query1[[#This Row],[avg]]&gt;0, Query1[[#This Row],[Month]]&lt;&gt;H183),
    IF(Query1[[#This Row],[Adj Close]]&gt;Query1[[#This Row],[avg]],
       Dashboard!$L$5-Dashboard!$E$6,
       Dashboard!$L$5+Dashboard!$E$6
    ), 0
)</f>
        <v>0</v>
      </c>
      <c r="P184" s="2">
        <f>IF(ROW()&lt;3, Query1[[#This Row],[Shares]], IF(Query1[[#This Row],[Month]]&lt;&gt;H183, P183+Query1[[#This Row],[Enhanced top up]]/Query1[[#This Row],[Adj Close]], P183))</f>
        <v>3296.1575222626716</v>
      </c>
      <c r="Q184" s="2">
        <f>IFERROR(AVERAGE(
  IF(ROW()&gt;20, INDEX(G:G, ROW()-20), 0) :
  INDEX(G:G, ROW())
),0)</f>
        <v>204.48778715587798</v>
      </c>
    </row>
    <row r="185" spans="1:17" x14ac:dyDescent="0.4">
      <c r="A185" s="1">
        <v>44097</v>
      </c>
      <c r="B185">
        <v>207.89999389648438</v>
      </c>
      <c r="C185">
        <v>208.10000610351563</v>
      </c>
      <c r="D185">
        <v>200.02999877929688</v>
      </c>
      <c r="E185">
        <v>200.58999633789063</v>
      </c>
      <c r="F185">
        <v>30803800</v>
      </c>
      <c r="G185">
        <v>192.33078002929688</v>
      </c>
      <c r="H185" s="2">
        <f>MONTH(Query1[[#This Row],[Date]])</f>
        <v>9</v>
      </c>
      <c r="I185" s="3">
        <f>Query1[[#This Row],[Shares]]*Query1[[#This Row],[Adj Close]]</f>
        <v>690909.66213996627</v>
      </c>
      <c r="J185" s="3">
        <f>IF(ROW()&lt;3, Dashboard!$E$7, IF(Query1[[#This Row],[Month]]&lt;&gt;H184,J184*(1+Dashboard!$E$4)+Dashboard!$E$5,J184))</f>
        <v>557999.69393965614</v>
      </c>
      <c r="K185">
        <f>IF(ROW()&lt;3, 0,IF(Query1[[#This Row],[Month]]&lt;&gt;H184,IF((J185-I185&gt;0),J185-I185,0),0))</f>
        <v>0</v>
      </c>
      <c r="L185" s="2">
        <f t="shared" si="2"/>
        <v>3592.2989655359538</v>
      </c>
      <c r="M185">
        <f>IF(ROW()&lt;3, 0, IF(Query1[[#This Row],[Month]]&lt;&gt;H184, Dashboard!$J$5,0))</f>
        <v>0</v>
      </c>
      <c r="N185" s="2">
        <f>IF(ROW()&lt;3, Query1[[#This Row],[Shares]], IF(Query1[[#This Row],[Month]]&lt;&gt;H184, N184+Query1[[#This Row],[Fix Top Up]]/Query1[[#This Row],[Adj Close]], N184))</f>
        <v>3307.4306661693922</v>
      </c>
      <c r="O185">
        <f>IF(AND(Query1[[#This Row],[avg]]&gt;0, Query1[[#This Row],[Month]]&lt;&gt;H184),
    IF(Query1[[#This Row],[Adj Close]]&gt;Query1[[#This Row],[avg]],
       Dashboard!$L$5-Dashboard!$E$6,
       Dashboard!$L$5+Dashboard!$E$6
    ), 0
)</f>
        <v>0</v>
      </c>
      <c r="P185" s="2">
        <f>IF(ROW()&lt;3, Query1[[#This Row],[Shares]], IF(Query1[[#This Row],[Month]]&lt;&gt;H184, P184+Query1[[#This Row],[Enhanced top up]]/Query1[[#This Row],[Adj Close]], P184))</f>
        <v>3296.1575222626716</v>
      </c>
      <c r="Q185" s="2">
        <f>IFERROR(AVERAGE(
  IF(ROW()&gt;20, INDEX(G:G, ROW()-20), 0) :
  INDEX(G:G, ROW())
),0)</f>
        <v>203.88966078985305</v>
      </c>
    </row>
    <row r="186" spans="1:17" x14ac:dyDescent="0.4">
      <c r="A186" s="1">
        <v>44098</v>
      </c>
      <c r="B186">
        <v>199.85000610351563</v>
      </c>
      <c r="C186">
        <v>205.57000732421875</v>
      </c>
      <c r="D186">
        <v>199.19999694824219</v>
      </c>
      <c r="E186">
        <v>203.19000244140625</v>
      </c>
      <c r="F186">
        <v>31202500</v>
      </c>
      <c r="G186">
        <v>194.82374572753906</v>
      </c>
      <c r="H186" s="2">
        <f>MONTH(Query1[[#This Row],[Date]])</f>
        <v>9</v>
      </c>
      <c r="I186" s="3">
        <f>Query1[[#This Row],[Shares]]*Query1[[#This Row],[Adj Close]]</f>
        <v>699865.14023887832</v>
      </c>
      <c r="J186" s="3">
        <f>IF(ROW()&lt;3, Dashboard!$E$7, IF(Query1[[#This Row],[Month]]&lt;&gt;H185,J185*(1+Dashboard!$E$4)+Dashboard!$E$5,J185))</f>
        <v>557999.69393965614</v>
      </c>
      <c r="K186">
        <f>IF(ROW()&lt;3, 0,IF(Query1[[#This Row],[Month]]&lt;&gt;H185,IF((J186-I186&gt;0),J186-I186,0),0))</f>
        <v>0</v>
      </c>
      <c r="L186" s="2">
        <f t="shared" si="2"/>
        <v>3592.2989655359538</v>
      </c>
      <c r="M186">
        <f>IF(ROW()&lt;3, 0, IF(Query1[[#This Row],[Month]]&lt;&gt;H185, Dashboard!$J$5,0))</f>
        <v>0</v>
      </c>
      <c r="N186" s="2">
        <f>IF(ROW()&lt;3, Query1[[#This Row],[Shares]], IF(Query1[[#This Row],[Month]]&lt;&gt;H185, N185+Query1[[#This Row],[Fix Top Up]]/Query1[[#This Row],[Adj Close]], N185))</f>
        <v>3307.4306661693922</v>
      </c>
      <c r="O186">
        <f>IF(AND(Query1[[#This Row],[avg]]&gt;0, Query1[[#This Row],[Month]]&lt;&gt;H185),
    IF(Query1[[#This Row],[Adj Close]]&gt;Query1[[#This Row],[avg]],
       Dashboard!$L$5-Dashboard!$E$6,
       Dashboard!$L$5+Dashboard!$E$6
    ), 0
)</f>
        <v>0</v>
      </c>
      <c r="P186" s="2">
        <f>IF(ROW()&lt;3, Query1[[#This Row],[Shares]], IF(Query1[[#This Row],[Month]]&lt;&gt;H185, P185+Query1[[#This Row],[Enhanced top up]]/Query1[[#This Row],[Adj Close]], P185))</f>
        <v>3296.1575222626716</v>
      </c>
      <c r="Q186" s="2">
        <f>IFERROR(AVERAGE(
  IF(ROW()&gt;20, INDEX(G:G, ROW()-20), 0) :
  INDEX(G:G, ROW())
),0)</f>
        <v>203.28331938244048</v>
      </c>
    </row>
    <row r="187" spans="1:17" x14ac:dyDescent="0.4">
      <c r="A187" s="1">
        <v>44099</v>
      </c>
      <c r="B187">
        <v>203.55000305175781</v>
      </c>
      <c r="C187">
        <v>209.03999328613281</v>
      </c>
      <c r="D187">
        <v>202.53999328613281</v>
      </c>
      <c r="E187">
        <v>207.82000732421875</v>
      </c>
      <c r="F187">
        <v>29437300</v>
      </c>
      <c r="G187">
        <v>199.26310729980469</v>
      </c>
      <c r="H187" s="2">
        <f>MONTH(Query1[[#This Row],[Date]])</f>
        <v>9</v>
      </c>
      <c r="I187" s="3">
        <f>Query1[[#This Row],[Shares]]*Query1[[#This Row],[Adj Close]]</f>
        <v>715812.65422256815</v>
      </c>
      <c r="J187" s="3">
        <f>IF(ROW()&lt;3, Dashboard!$E$7, IF(Query1[[#This Row],[Month]]&lt;&gt;H186,J186*(1+Dashboard!$E$4)+Dashboard!$E$5,J186))</f>
        <v>557999.69393965614</v>
      </c>
      <c r="K187">
        <f>IF(ROW()&lt;3, 0,IF(Query1[[#This Row],[Month]]&lt;&gt;H186,IF((J187-I187&gt;0),J187-I187,0),0))</f>
        <v>0</v>
      </c>
      <c r="L187" s="2">
        <f t="shared" si="2"/>
        <v>3592.2989655359538</v>
      </c>
      <c r="M187">
        <f>IF(ROW()&lt;3, 0, IF(Query1[[#This Row],[Month]]&lt;&gt;H186, Dashboard!$J$5,0))</f>
        <v>0</v>
      </c>
      <c r="N187" s="2">
        <f>IF(ROW()&lt;3, Query1[[#This Row],[Shares]], IF(Query1[[#This Row],[Month]]&lt;&gt;H186, N186+Query1[[#This Row],[Fix Top Up]]/Query1[[#This Row],[Adj Close]], N186))</f>
        <v>3307.4306661693922</v>
      </c>
      <c r="O187">
        <f>IF(AND(Query1[[#This Row],[avg]]&gt;0, Query1[[#This Row],[Month]]&lt;&gt;H186),
    IF(Query1[[#This Row],[Adj Close]]&gt;Query1[[#This Row],[avg]],
       Dashboard!$L$5-Dashboard!$E$6,
       Dashboard!$L$5+Dashboard!$E$6
    ), 0
)</f>
        <v>0</v>
      </c>
      <c r="P187" s="2">
        <f>IF(ROW()&lt;3, Query1[[#This Row],[Shares]], IF(Query1[[#This Row],[Month]]&lt;&gt;H186, P186+Query1[[#This Row],[Enhanced top up]]/Query1[[#This Row],[Adj Close]], P186))</f>
        <v>3296.1575222626716</v>
      </c>
      <c r="Q187" s="2">
        <f>IFERROR(AVERAGE(
  IF(ROW()&gt;20, INDEX(G:G, ROW()-20), 0) :
  INDEX(G:G, ROW())
),0)</f>
        <v>202.67469351632255</v>
      </c>
    </row>
    <row r="188" spans="1:17" x14ac:dyDescent="0.4">
      <c r="A188" s="1">
        <v>44102</v>
      </c>
      <c r="B188">
        <v>210.8800048828125</v>
      </c>
      <c r="C188">
        <v>212.57000732421875</v>
      </c>
      <c r="D188">
        <v>208.05999755859375</v>
      </c>
      <c r="E188">
        <v>209.44000244140625</v>
      </c>
      <c r="F188">
        <v>32004900</v>
      </c>
      <c r="G188">
        <v>200.81637573242188</v>
      </c>
      <c r="H188" s="2">
        <f>MONTH(Query1[[#This Row],[Date]])</f>
        <v>9</v>
      </c>
      <c r="I188" s="3">
        <f>Query1[[#This Row],[Shares]]*Query1[[#This Row],[Adj Close]]</f>
        <v>721392.45880625851</v>
      </c>
      <c r="J188" s="3">
        <f>IF(ROW()&lt;3, Dashboard!$E$7, IF(Query1[[#This Row],[Month]]&lt;&gt;H187,J187*(1+Dashboard!$E$4)+Dashboard!$E$5,J187))</f>
        <v>557999.69393965614</v>
      </c>
      <c r="K188">
        <f>IF(ROW()&lt;3, 0,IF(Query1[[#This Row],[Month]]&lt;&gt;H187,IF((J188-I188&gt;0),J188-I188,0),0))</f>
        <v>0</v>
      </c>
      <c r="L188" s="2">
        <f t="shared" si="2"/>
        <v>3592.2989655359538</v>
      </c>
      <c r="M188">
        <f>IF(ROW()&lt;3, 0, IF(Query1[[#This Row],[Month]]&lt;&gt;H187, Dashboard!$J$5,0))</f>
        <v>0</v>
      </c>
      <c r="N188" s="2">
        <f>IF(ROW()&lt;3, Query1[[#This Row],[Shares]], IF(Query1[[#This Row],[Month]]&lt;&gt;H187, N187+Query1[[#This Row],[Fix Top Up]]/Query1[[#This Row],[Adj Close]], N187))</f>
        <v>3307.4306661693922</v>
      </c>
      <c r="O188">
        <f>IF(AND(Query1[[#This Row],[avg]]&gt;0, Query1[[#This Row],[Month]]&lt;&gt;H187),
    IF(Query1[[#This Row],[Adj Close]]&gt;Query1[[#This Row],[avg]],
       Dashboard!$L$5-Dashboard!$E$6,
       Dashboard!$L$5+Dashboard!$E$6
    ), 0
)</f>
        <v>0</v>
      </c>
      <c r="P188" s="2">
        <f>IF(ROW()&lt;3, Query1[[#This Row],[Shares]], IF(Query1[[#This Row],[Month]]&lt;&gt;H187, P187+Query1[[#This Row],[Enhanced top up]]/Query1[[#This Row],[Adj Close]], P187))</f>
        <v>3296.1575222626716</v>
      </c>
      <c r="Q188" s="2">
        <f>IFERROR(AVERAGE(
  IF(ROW()&gt;20, INDEX(G:G, ROW()-20), 0) :
  INDEX(G:G, ROW())
),0)</f>
        <v>201.89210728236608</v>
      </c>
    </row>
    <row r="189" spans="1:17" x14ac:dyDescent="0.4">
      <c r="A189" s="1">
        <v>44103</v>
      </c>
      <c r="B189">
        <v>209.35000610351563</v>
      </c>
      <c r="C189">
        <v>210.07000732421875</v>
      </c>
      <c r="D189">
        <v>206.80999755859375</v>
      </c>
      <c r="E189">
        <v>207.25999450683594</v>
      </c>
      <c r="F189">
        <v>24221900</v>
      </c>
      <c r="G189">
        <v>198.72615051269531</v>
      </c>
      <c r="H189" s="2">
        <f>MONTH(Query1[[#This Row],[Date]])</f>
        <v>9</v>
      </c>
      <c r="I189" s="3">
        <f>Query1[[#This Row],[Shares]]*Query1[[#This Row],[Adj Close]]</f>
        <v>713883.74491169758</v>
      </c>
      <c r="J189" s="3">
        <f>IF(ROW()&lt;3, Dashboard!$E$7, IF(Query1[[#This Row],[Month]]&lt;&gt;H188,J188*(1+Dashboard!$E$4)+Dashboard!$E$5,J188))</f>
        <v>557999.69393965614</v>
      </c>
      <c r="K189">
        <f>IF(ROW()&lt;3, 0,IF(Query1[[#This Row],[Month]]&lt;&gt;H188,IF((J189-I189&gt;0),J189-I189,0),0))</f>
        <v>0</v>
      </c>
      <c r="L189" s="2">
        <f t="shared" si="2"/>
        <v>3592.2989655359538</v>
      </c>
      <c r="M189">
        <f>IF(ROW()&lt;3, 0, IF(Query1[[#This Row],[Month]]&lt;&gt;H188, Dashboard!$J$5,0))</f>
        <v>0</v>
      </c>
      <c r="N189" s="2">
        <f>IF(ROW()&lt;3, Query1[[#This Row],[Shares]], IF(Query1[[#This Row],[Month]]&lt;&gt;H188, N188+Query1[[#This Row],[Fix Top Up]]/Query1[[#This Row],[Adj Close]], N188))</f>
        <v>3307.4306661693922</v>
      </c>
      <c r="O189">
        <f>IF(AND(Query1[[#This Row],[avg]]&gt;0, Query1[[#This Row],[Month]]&lt;&gt;H188),
    IF(Query1[[#This Row],[Adj Close]]&gt;Query1[[#This Row],[avg]],
       Dashboard!$L$5-Dashboard!$E$6,
       Dashboard!$L$5+Dashboard!$E$6
    ), 0
)</f>
        <v>0</v>
      </c>
      <c r="P189" s="2">
        <f>IF(ROW()&lt;3, Query1[[#This Row],[Shares]], IF(Query1[[#This Row],[Month]]&lt;&gt;H188, P188+Query1[[#This Row],[Enhanced top up]]/Query1[[#This Row],[Adj Close]], P188))</f>
        <v>3296.1575222626716</v>
      </c>
      <c r="Q189" s="2">
        <f>IFERROR(AVERAGE(
  IF(ROW()&gt;20, INDEX(G:G, ROW()-20), 0) :
  INDEX(G:G, ROW())
),0)</f>
        <v>200.90360296340216</v>
      </c>
    </row>
    <row r="190" spans="1:17" x14ac:dyDescent="0.4">
      <c r="A190" s="1">
        <v>44104</v>
      </c>
      <c r="B190">
        <v>207.72999572753906</v>
      </c>
      <c r="C190">
        <v>211.97999572753906</v>
      </c>
      <c r="D190">
        <v>206.53999328613281</v>
      </c>
      <c r="E190">
        <v>210.33000183105469</v>
      </c>
      <c r="F190">
        <v>33829100</v>
      </c>
      <c r="G190">
        <v>201.66973876953125</v>
      </c>
      <c r="H190" s="2">
        <f>MONTH(Query1[[#This Row],[Date]])</f>
        <v>9</v>
      </c>
      <c r="I190" s="3">
        <f>Query1[[#This Row],[Shares]]*Query1[[#This Row],[Adj Close]]</f>
        <v>724457.99396169314</v>
      </c>
      <c r="J190" s="3">
        <f>IF(ROW()&lt;3, Dashboard!$E$7, IF(Query1[[#This Row],[Month]]&lt;&gt;H189,J189*(1+Dashboard!$E$4)+Dashboard!$E$5,J189))</f>
        <v>557999.69393965614</v>
      </c>
      <c r="K190">
        <f>IF(ROW()&lt;3, 0,IF(Query1[[#This Row],[Month]]&lt;&gt;H189,IF((J190-I190&gt;0),J190-I190,0),0))</f>
        <v>0</v>
      </c>
      <c r="L190" s="2">
        <f t="shared" si="2"/>
        <v>3592.2989655359538</v>
      </c>
      <c r="M190">
        <f>IF(ROW()&lt;3, 0, IF(Query1[[#This Row],[Month]]&lt;&gt;H189, Dashboard!$J$5,0))</f>
        <v>0</v>
      </c>
      <c r="N190" s="2">
        <f>IF(ROW()&lt;3, Query1[[#This Row],[Shares]], IF(Query1[[#This Row],[Month]]&lt;&gt;H189, N189+Query1[[#This Row],[Fix Top Up]]/Query1[[#This Row],[Adj Close]], N189))</f>
        <v>3307.4306661693922</v>
      </c>
      <c r="O190">
        <f>IF(AND(Query1[[#This Row],[avg]]&gt;0, Query1[[#This Row],[Month]]&lt;&gt;H189),
    IF(Query1[[#This Row],[Adj Close]]&gt;Query1[[#This Row],[avg]],
       Dashboard!$L$5-Dashboard!$E$6,
       Dashboard!$L$5+Dashboard!$E$6
    ), 0
)</f>
        <v>0</v>
      </c>
      <c r="P190" s="2">
        <f>IF(ROW()&lt;3, Query1[[#This Row],[Shares]], IF(Query1[[#This Row],[Month]]&lt;&gt;H189, P189+Query1[[#This Row],[Enhanced top up]]/Query1[[#This Row],[Adj Close]], P189))</f>
        <v>3296.1575222626716</v>
      </c>
      <c r="Q190" s="2">
        <f>IFERROR(AVERAGE(
  IF(ROW()&gt;20, INDEX(G:G, ROW()-20), 0) :
  INDEX(G:G, ROW())
),0)</f>
        <v>200.2095961797805</v>
      </c>
    </row>
    <row r="191" spans="1:17" x14ac:dyDescent="0.4">
      <c r="A191" s="1">
        <v>44105</v>
      </c>
      <c r="B191">
        <v>213.49000549316406</v>
      </c>
      <c r="C191">
        <v>213.99000549316406</v>
      </c>
      <c r="D191">
        <v>211.32000732421875</v>
      </c>
      <c r="E191">
        <v>212.46000671386719</v>
      </c>
      <c r="F191">
        <v>27158400</v>
      </c>
      <c r="G191">
        <v>203.71206665039063</v>
      </c>
      <c r="H191" s="2">
        <f>MONTH(Query1[[#This Row],[Date]])</f>
        <v>10</v>
      </c>
      <c r="I191" s="3">
        <f>Query1[[#This Row],[Shares]]*Query1[[#This Row],[Adj Close]]</f>
        <v>731794.64629538951</v>
      </c>
      <c r="J191" s="3">
        <f>IF(ROW()&lt;3, Dashboard!$E$7, IF(Query1[[#This Row],[Month]]&lt;&gt;H190,J190*(1+Dashboard!$E$4)+Dashboard!$E$5,J190))</f>
        <v>565579.69087905274</v>
      </c>
      <c r="K191">
        <f>IF(ROW()&lt;3, 0,IF(Query1[[#This Row],[Month]]&lt;&gt;H190,IF((J191-I191&gt;0),J191-I191,0),0))</f>
        <v>0</v>
      </c>
      <c r="L191" s="2">
        <f t="shared" si="2"/>
        <v>3592.2989655359538</v>
      </c>
      <c r="M191">
        <f>IF(ROW()&lt;3, 0, IF(Query1[[#This Row],[Month]]&lt;&gt;H190, Dashboard!$J$5,0))</f>
        <v>773.47399999999971</v>
      </c>
      <c r="N191" s="2">
        <f>IF(ROW()&lt;3, Query1[[#This Row],[Shares]], IF(Query1[[#This Row],[Month]]&lt;&gt;H190, N190+Query1[[#This Row],[Fix Top Up]]/Query1[[#This Row],[Adj Close]], N190))</f>
        <v>3311.2275644715796</v>
      </c>
      <c r="O191">
        <f>IF(AND(Query1[[#This Row],[avg]]&gt;0, Query1[[#This Row],[Month]]&lt;&gt;H190),
    IF(Query1[[#This Row],[Adj Close]]&gt;Query1[[#This Row],[avg]],
       Dashboard!$L$5-Dashboard!$E$6,
       Dashboard!$L$5+Dashboard!$E$6
    ), 0
)</f>
        <v>390.14066666666668</v>
      </c>
      <c r="P191" s="2">
        <f>IF(ROW()&lt;3, Query1[[#This Row],[Shares]], IF(Query1[[#This Row],[Month]]&lt;&gt;H190, P190+Query1[[#This Row],[Enhanced top up]]/Query1[[#This Row],[Adj Close]], P190))</f>
        <v>3298.072679636909</v>
      </c>
      <c r="Q191" s="2">
        <f>IFERROR(AVERAGE(
  IF(ROW()&gt;20, INDEX(G:G, ROW()-20), 0) :
  INDEX(G:G, ROW())
),0)</f>
        <v>199.53339640299478</v>
      </c>
    </row>
    <row r="192" spans="1:17" x14ac:dyDescent="0.4">
      <c r="A192" s="1">
        <v>44106</v>
      </c>
      <c r="B192">
        <v>208</v>
      </c>
      <c r="C192">
        <v>210.99000549316406</v>
      </c>
      <c r="D192">
        <v>205.53999328613281</v>
      </c>
      <c r="E192">
        <v>206.19000244140625</v>
      </c>
      <c r="F192">
        <v>33154800</v>
      </c>
      <c r="G192">
        <v>197.7001953125</v>
      </c>
      <c r="H192" s="2">
        <f>MONTH(Query1[[#This Row],[Date]])</f>
        <v>10</v>
      </c>
      <c r="I192" s="3">
        <f>Query1[[#This Row],[Shares]]*Query1[[#This Row],[Adj Close]]</f>
        <v>710198.20710734976</v>
      </c>
      <c r="J192" s="3">
        <f>IF(ROW()&lt;3, Dashboard!$E$7, IF(Query1[[#This Row],[Month]]&lt;&gt;H191,J191*(1+Dashboard!$E$4)+Dashboard!$E$5,J191))</f>
        <v>565579.69087905274</v>
      </c>
      <c r="K192">
        <f>IF(ROW()&lt;3, 0,IF(Query1[[#This Row],[Month]]&lt;&gt;H191,IF((J192-I192&gt;0),J192-I192,0),0))</f>
        <v>0</v>
      </c>
      <c r="L192" s="2">
        <f t="shared" si="2"/>
        <v>3592.2989655359538</v>
      </c>
      <c r="M192">
        <f>IF(ROW()&lt;3, 0, IF(Query1[[#This Row],[Month]]&lt;&gt;H191, Dashboard!$J$5,0))</f>
        <v>0</v>
      </c>
      <c r="N192" s="2">
        <f>IF(ROW()&lt;3, Query1[[#This Row],[Shares]], IF(Query1[[#This Row],[Month]]&lt;&gt;H191, N191+Query1[[#This Row],[Fix Top Up]]/Query1[[#This Row],[Adj Close]], N191))</f>
        <v>3311.2275644715796</v>
      </c>
      <c r="O192">
        <f>IF(AND(Query1[[#This Row],[avg]]&gt;0, Query1[[#This Row],[Month]]&lt;&gt;H191),
    IF(Query1[[#This Row],[Adj Close]]&gt;Query1[[#This Row],[avg]],
       Dashboard!$L$5-Dashboard!$E$6,
       Dashboard!$L$5+Dashboard!$E$6
    ), 0
)</f>
        <v>0</v>
      </c>
      <c r="P192" s="2">
        <f>IF(ROW()&lt;3, Query1[[#This Row],[Shares]], IF(Query1[[#This Row],[Month]]&lt;&gt;H191, P191+Query1[[#This Row],[Enhanced top up]]/Query1[[#This Row],[Adj Close]], P191))</f>
        <v>3298.072679636909</v>
      </c>
      <c r="Q192" s="2">
        <f>IFERROR(AVERAGE(
  IF(ROW()&gt;20, INDEX(G:G, ROW()-20), 0) :
  INDEX(G:G, ROW())
),0)</f>
        <v>198.37093462262834</v>
      </c>
    </row>
    <row r="193" spans="1:17" x14ac:dyDescent="0.4">
      <c r="A193" s="1">
        <v>44109</v>
      </c>
      <c r="B193">
        <v>207.22000122070313</v>
      </c>
      <c r="C193">
        <v>210.41000366210938</v>
      </c>
      <c r="D193">
        <v>206.97999572753906</v>
      </c>
      <c r="E193">
        <v>210.3800048828125</v>
      </c>
      <c r="F193">
        <v>21331600</v>
      </c>
      <c r="G193">
        <v>201.71769714355469</v>
      </c>
      <c r="H193" s="2">
        <f>MONTH(Query1[[#This Row],[Date]])</f>
        <v>10</v>
      </c>
      <c r="I193" s="3">
        <f>Query1[[#This Row],[Shares]]*Query1[[#This Row],[Adj Close]]</f>
        <v>724630.27477908635</v>
      </c>
      <c r="J193" s="3">
        <f>IF(ROW()&lt;3, Dashboard!$E$7, IF(Query1[[#This Row],[Month]]&lt;&gt;H192,J192*(1+Dashboard!$E$4)+Dashboard!$E$5,J192))</f>
        <v>565579.69087905274</v>
      </c>
      <c r="K193">
        <f>IF(ROW()&lt;3, 0,IF(Query1[[#This Row],[Month]]&lt;&gt;H192,IF((J193-I193&gt;0),J193-I193,0),0))</f>
        <v>0</v>
      </c>
      <c r="L193" s="2">
        <f t="shared" si="2"/>
        <v>3592.2989655359538</v>
      </c>
      <c r="M193">
        <f>IF(ROW()&lt;3, 0, IF(Query1[[#This Row],[Month]]&lt;&gt;H192, Dashboard!$J$5,0))</f>
        <v>0</v>
      </c>
      <c r="N193" s="2">
        <f>IF(ROW()&lt;3, Query1[[#This Row],[Shares]], IF(Query1[[#This Row],[Month]]&lt;&gt;H192, N192+Query1[[#This Row],[Fix Top Up]]/Query1[[#This Row],[Adj Close]], N192))</f>
        <v>3311.2275644715796</v>
      </c>
      <c r="O193">
        <f>IF(AND(Query1[[#This Row],[avg]]&gt;0, Query1[[#This Row],[Month]]&lt;&gt;H192),
    IF(Query1[[#This Row],[Adj Close]]&gt;Query1[[#This Row],[avg]],
       Dashboard!$L$5-Dashboard!$E$6,
       Dashboard!$L$5+Dashboard!$E$6
    ), 0
)</f>
        <v>0</v>
      </c>
      <c r="P193" s="2">
        <f>IF(ROW()&lt;3, Query1[[#This Row],[Shares]], IF(Query1[[#This Row],[Month]]&lt;&gt;H192, P192+Query1[[#This Row],[Enhanced top up]]/Query1[[#This Row],[Adj Close]], P192))</f>
        <v>3298.072679636909</v>
      </c>
      <c r="Q193" s="2">
        <f>IFERROR(AVERAGE(
  IF(ROW()&gt;20, INDEX(G:G, ROW()-20), 0) :
  INDEX(G:G, ROW())
),0)</f>
        <v>198.05497959681921</v>
      </c>
    </row>
    <row r="194" spans="1:17" x14ac:dyDescent="0.4">
      <c r="A194" s="1">
        <v>44110</v>
      </c>
      <c r="B194">
        <v>208.82000732421875</v>
      </c>
      <c r="C194">
        <v>210.17999267578125</v>
      </c>
      <c r="D194">
        <v>204.82000732421875</v>
      </c>
      <c r="E194">
        <v>205.91000366210938</v>
      </c>
      <c r="F194">
        <v>28554300</v>
      </c>
      <c r="G194">
        <v>197.43174743652344</v>
      </c>
      <c r="H194" s="2">
        <f>MONTH(Query1[[#This Row],[Date]])</f>
        <v>10</v>
      </c>
      <c r="I194" s="3">
        <f>Query1[[#This Row],[Shares]]*Query1[[#This Row],[Adj Close]]</f>
        <v>709233.86208017881</v>
      </c>
      <c r="J194" s="3">
        <f>IF(ROW()&lt;3, Dashboard!$E$7, IF(Query1[[#This Row],[Month]]&lt;&gt;H193,J193*(1+Dashboard!$E$4)+Dashboard!$E$5,J193))</f>
        <v>565579.69087905274</v>
      </c>
      <c r="K194">
        <f>IF(ROW()&lt;3, 0,IF(Query1[[#This Row],[Month]]&lt;&gt;H193,IF((J194-I194&gt;0),J194-I194,0),0))</f>
        <v>0</v>
      </c>
      <c r="L194" s="2">
        <f t="shared" ref="L194:L257" si="3">IF(ROW()&lt;3, J194/G194, L193+K193/G193)</f>
        <v>3592.2989655359538</v>
      </c>
      <c r="M194">
        <f>IF(ROW()&lt;3, 0, IF(Query1[[#This Row],[Month]]&lt;&gt;H193, Dashboard!$J$5,0))</f>
        <v>0</v>
      </c>
      <c r="N194" s="2">
        <f>IF(ROW()&lt;3, Query1[[#This Row],[Shares]], IF(Query1[[#This Row],[Month]]&lt;&gt;H193, N193+Query1[[#This Row],[Fix Top Up]]/Query1[[#This Row],[Adj Close]], N193))</f>
        <v>3311.2275644715796</v>
      </c>
      <c r="O194">
        <f>IF(AND(Query1[[#This Row],[avg]]&gt;0, Query1[[#This Row],[Month]]&lt;&gt;H193),
    IF(Query1[[#This Row],[Adj Close]]&gt;Query1[[#This Row],[avg]],
       Dashboard!$L$5-Dashboard!$E$6,
       Dashboard!$L$5+Dashboard!$E$6
    ), 0
)</f>
        <v>0</v>
      </c>
      <c r="P194" s="2">
        <f>IF(ROW()&lt;3, Query1[[#This Row],[Shares]], IF(Query1[[#This Row],[Month]]&lt;&gt;H193, P193+Query1[[#This Row],[Enhanced top up]]/Query1[[#This Row],[Adj Close]], P193))</f>
        <v>3298.072679636909</v>
      </c>
      <c r="Q194" s="2">
        <f>IFERROR(AVERAGE(
  IF(ROW()&gt;20, INDEX(G:G, ROW()-20), 0) :
  INDEX(G:G, ROW())
),0)</f>
        <v>197.67418852306548</v>
      </c>
    </row>
    <row r="195" spans="1:17" x14ac:dyDescent="0.4">
      <c r="A195" s="1">
        <v>44111</v>
      </c>
      <c r="B195">
        <v>207.05999755859375</v>
      </c>
      <c r="C195">
        <v>210.11000061035156</v>
      </c>
      <c r="D195">
        <v>206.72000122070313</v>
      </c>
      <c r="E195">
        <v>209.83000183105469</v>
      </c>
      <c r="F195">
        <v>25681100</v>
      </c>
      <c r="G195">
        <v>201.19032287597656</v>
      </c>
      <c r="H195" s="2">
        <f>MONTH(Query1[[#This Row],[Date]])</f>
        <v>10</v>
      </c>
      <c r="I195" s="3">
        <f>Query1[[#This Row],[Shares]]*Query1[[#This Row],[Adj Close]]</f>
        <v>722735.78874321515</v>
      </c>
      <c r="J195" s="3">
        <f>IF(ROW()&lt;3, Dashboard!$E$7, IF(Query1[[#This Row],[Month]]&lt;&gt;H194,J194*(1+Dashboard!$E$4)+Dashboard!$E$5,J194))</f>
        <v>565579.69087905274</v>
      </c>
      <c r="K195">
        <f>IF(ROW()&lt;3, 0,IF(Query1[[#This Row],[Month]]&lt;&gt;H194,IF((J195-I195&gt;0),J195-I195,0),0))</f>
        <v>0</v>
      </c>
      <c r="L195" s="2">
        <f t="shared" si="3"/>
        <v>3592.2989655359538</v>
      </c>
      <c r="M195">
        <f>IF(ROW()&lt;3, 0, IF(Query1[[#This Row],[Month]]&lt;&gt;H194, Dashboard!$J$5,0))</f>
        <v>0</v>
      </c>
      <c r="N195" s="2">
        <f>IF(ROW()&lt;3, Query1[[#This Row],[Shares]], IF(Query1[[#This Row],[Month]]&lt;&gt;H194, N194+Query1[[#This Row],[Fix Top Up]]/Query1[[#This Row],[Adj Close]], N194))</f>
        <v>3311.2275644715796</v>
      </c>
      <c r="O195">
        <f>IF(AND(Query1[[#This Row],[avg]]&gt;0, Query1[[#This Row],[Month]]&lt;&gt;H194),
    IF(Query1[[#This Row],[Adj Close]]&gt;Query1[[#This Row],[avg]],
       Dashboard!$L$5-Dashboard!$E$6,
       Dashboard!$L$5+Dashboard!$E$6
    ), 0
)</f>
        <v>0</v>
      </c>
      <c r="P195" s="2">
        <f>IF(ROW()&lt;3, Query1[[#This Row],[Shares]], IF(Query1[[#This Row],[Month]]&lt;&gt;H194, P194+Query1[[#This Row],[Enhanced top up]]/Query1[[#This Row],[Adj Close]], P194))</f>
        <v>3298.072679636909</v>
      </c>
      <c r="Q195" s="2">
        <f>IFERROR(AVERAGE(
  IF(ROW()&gt;20, INDEX(G:G, ROW()-20), 0) :
  INDEX(G:G, ROW())
),0)</f>
        <v>198.0015600295294</v>
      </c>
    </row>
    <row r="196" spans="1:17" x14ac:dyDescent="0.4">
      <c r="A196" s="1">
        <v>44112</v>
      </c>
      <c r="B196">
        <v>210.50999450683594</v>
      </c>
      <c r="C196">
        <v>211.19000244140625</v>
      </c>
      <c r="D196">
        <v>208.32000732421875</v>
      </c>
      <c r="E196">
        <v>210.58000183105469</v>
      </c>
      <c r="F196">
        <v>19925800</v>
      </c>
      <c r="G196">
        <v>201.90943908691406</v>
      </c>
      <c r="H196" s="2">
        <f>MONTH(Query1[[#This Row],[Date]])</f>
        <v>10</v>
      </c>
      <c r="I196" s="3">
        <f>Query1[[#This Row],[Shares]]*Query1[[#This Row],[Adj Close]]</f>
        <v>725319.06916386611</v>
      </c>
      <c r="J196" s="3">
        <f>IF(ROW()&lt;3, Dashboard!$E$7, IF(Query1[[#This Row],[Month]]&lt;&gt;H195,J195*(1+Dashboard!$E$4)+Dashboard!$E$5,J195))</f>
        <v>565579.69087905274</v>
      </c>
      <c r="K196">
        <f>IF(ROW()&lt;3, 0,IF(Query1[[#This Row],[Month]]&lt;&gt;H195,IF((J196-I196&gt;0),J196-I196,0),0))</f>
        <v>0</v>
      </c>
      <c r="L196" s="2">
        <f t="shared" si="3"/>
        <v>3592.2989655359538</v>
      </c>
      <c r="M196">
        <f>IF(ROW()&lt;3, 0, IF(Query1[[#This Row],[Month]]&lt;&gt;H195, Dashboard!$J$5,0))</f>
        <v>0</v>
      </c>
      <c r="N196" s="2">
        <f>IF(ROW()&lt;3, Query1[[#This Row],[Shares]], IF(Query1[[#This Row],[Month]]&lt;&gt;H195, N195+Query1[[#This Row],[Fix Top Up]]/Query1[[#This Row],[Adj Close]], N195))</f>
        <v>3311.2275644715796</v>
      </c>
      <c r="O196">
        <f>IF(AND(Query1[[#This Row],[avg]]&gt;0, Query1[[#This Row],[Month]]&lt;&gt;H195),
    IF(Query1[[#This Row],[Adj Close]]&gt;Query1[[#This Row],[avg]],
       Dashboard!$L$5-Dashboard!$E$6,
       Dashboard!$L$5+Dashboard!$E$6
    ), 0
)</f>
        <v>0</v>
      </c>
      <c r="P196" s="2">
        <f>IF(ROW()&lt;3, Query1[[#This Row],[Shares]], IF(Query1[[#This Row],[Month]]&lt;&gt;H195, P195+Query1[[#This Row],[Enhanced top up]]/Query1[[#This Row],[Adj Close]], P195))</f>
        <v>3298.072679636909</v>
      </c>
      <c r="Q196" s="2">
        <f>IFERROR(AVERAGE(
  IF(ROW()&gt;20, INDEX(G:G, ROW()-20), 0) :
  INDEX(G:G, ROW())
),0)</f>
        <v>197.96914236886161</v>
      </c>
    </row>
    <row r="197" spans="1:17" x14ac:dyDescent="0.4">
      <c r="A197" s="1">
        <v>44113</v>
      </c>
      <c r="B197">
        <v>211.22999572753906</v>
      </c>
      <c r="C197">
        <v>215.86000061035156</v>
      </c>
      <c r="D197">
        <v>211.22999572753906</v>
      </c>
      <c r="E197">
        <v>215.80999755859375</v>
      </c>
      <c r="F197">
        <v>26458000</v>
      </c>
      <c r="G197">
        <v>206.92408752441406</v>
      </c>
      <c r="H197" s="2">
        <f>MONTH(Query1[[#This Row],[Date]])</f>
        <v>10</v>
      </c>
      <c r="I197" s="3">
        <f>Query1[[#This Row],[Shares]]*Query1[[#This Row],[Adj Close]]</f>
        <v>743333.18555842375</v>
      </c>
      <c r="J197" s="3">
        <f>IF(ROW()&lt;3, Dashboard!$E$7, IF(Query1[[#This Row],[Month]]&lt;&gt;H196,J196*(1+Dashboard!$E$4)+Dashboard!$E$5,J196))</f>
        <v>565579.69087905274</v>
      </c>
      <c r="K197">
        <f>IF(ROW()&lt;3, 0,IF(Query1[[#This Row],[Month]]&lt;&gt;H196,IF((J197-I197&gt;0),J197-I197,0),0))</f>
        <v>0</v>
      </c>
      <c r="L197" s="2">
        <f t="shared" si="3"/>
        <v>3592.2989655359538</v>
      </c>
      <c r="M197">
        <f>IF(ROW()&lt;3, 0, IF(Query1[[#This Row],[Month]]&lt;&gt;H196, Dashboard!$J$5,0))</f>
        <v>0</v>
      </c>
      <c r="N197" s="2">
        <f>IF(ROW()&lt;3, Query1[[#This Row],[Shares]], IF(Query1[[#This Row],[Month]]&lt;&gt;H196, N196+Query1[[#This Row],[Fix Top Up]]/Query1[[#This Row],[Adj Close]], N196))</f>
        <v>3311.2275644715796</v>
      </c>
      <c r="O197">
        <f>IF(AND(Query1[[#This Row],[avg]]&gt;0, Query1[[#This Row],[Month]]&lt;&gt;H196),
    IF(Query1[[#This Row],[Adj Close]]&gt;Query1[[#This Row],[avg]],
       Dashboard!$L$5-Dashboard!$E$6,
       Dashboard!$L$5+Dashboard!$E$6
    ), 0
)</f>
        <v>0</v>
      </c>
      <c r="P197" s="2">
        <f>IF(ROW()&lt;3, Query1[[#This Row],[Shares]], IF(Query1[[#This Row],[Month]]&lt;&gt;H196, P196+Query1[[#This Row],[Enhanced top up]]/Query1[[#This Row],[Adj Close]], P196))</f>
        <v>3298.072679636909</v>
      </c>
      <c r="Q197" s="2">
        <f>IFERROR(AVERAGE(
  IF(ROW()&gt;20, INDEX(G:G, ROW()-20), 0) :
  INDEX(G:G, ROW())
),0)</f>
        <v>198.44581313360305</v>
      </c>
    </row>
    <row r="198" spans="1:17" x14ac:dyDescent="0.4">
      <c r="A198" s="1">
        <v>44116</v>
      </c>
      <c r="B198">
        <v>218.78999328613281</v>
      </c>
      <c r="C198">
        <v>223.86000061035156</v>
      </c>
      <c r="D198">
        <v>216.80999755859375</v>
      </c>
      <c r="E198">
        <v>221.39999389648438</v>
      </c>
      <c r="F198">
        <v>40461400</v>
      </c>
      <c r="G198">
        <v>212.283935546875</v>
      </c>
      <c r="H198" s="2">
        <f>MONTH(Query1[[#This Row],[Date]])</f>
        <v>10</v>
      </c>
      <c r="I198" s="3">
        <f>Query1[[#This Row],[Shares]]*Query1[[#This Row],[Adj Close]]</f>
        <v>762587.36206494016</v>
      </c>
      <c r="J198" s="3">
        <f>IF(ROW()&lt;3, Dashboard!$E$7, IF(Query1[[#This Row],[Month]]&lt;&gt;H197,J197*(1+Dashboard!$E$4)+Dashboard!$E$5,J197))</f>
        <v>565579.69087905274</v>
      </c>
      <c r="K198">
        <f>IF(ROW()&lt;3, 0,IF(Query1[[#This Row],[Month]]&lt;&gt;H197,IF((J198-I198&gt;0),J198-I198,0),0))</f>
        <v>0</v>
      </c>
      <c r="L198" s="2">
        <f t="shared" si="3"/>
        <v>3592.2989655359538</v>
      </c>
      <c r="M198">
        <f>IF(ROW()&lt;3, 0, IF(Query1[[#This Row],[Month]]&lt;&gt;H197, Dashboard!$J$5,0))</f>
        <v>0</v>
      </c>
      <c r="N198" s="2">
        <f>IF(ROW()&lt;3, Query1[[#This Row],[Shares]], IF(Query1[[#This Row],[Month]]&lt;&gt;H197, N197+Query1[[#This Row],[Fix Top Up]]/Query1[[#This Row],[Adj Close]], N197))</f>
        <v>3311.2275644715796</v>
      </c>
      <c r="O198">
        <f>IF(AND(Query1[[#This Row],[avg]]&gt;0, Query1[[#This Row],[Month]]&lt;&gt;H197),
    IF(Query1[[#This Row],[Adj Close]]&gt;Query1[[#This Row],[avg]],
       Dashboard!$L$5-Dashboard!$E$6,
       Dashboard!$L$5+Dashboard!$E$6
    ), 0
)</f>
        <v>0</v>
      </c>
      <c r="P198" s="2">
        <f>IF(ROW()&lt;3, Query1[[#This Row],[Shares]], IF(Query1[[#This Row],[Month]]&lt;&gt;H197, P197+Query1[[#This Row],[Enhanced top up]]/Query1[[#This Row],[Adj Close]], P197))</f>
        <v>3298.072679636909</v>
      </c>
      <c r="Q198" s="2">
        <f>IFERROR(AVERAGE(
  IF(ROW()&gt;20, INDEX(G:G, ROW()-20), 0) :
  INDEX(G:G, ROW())
),0)</f>
        <v>199.23889814104353</v>
      </c>
    </row>
    <row r="199" spans="1:17" x14ac:dyDescent="0.4">
      <c r="A199" s="1">
        <v>44117</v>
      </c>
      <c r="B199">
        <v>222.72000122070313</v>
      </c>
      <c r="C199">
        <v>225.21000671386719</v>
      </c>
      <c r="D199">
        <v>220.42999267578125</v>
      </c>
      <c r="E199">
        <v>222.86000061035156</v>
      </c>
      <c r="F199">
        <v>28950800</v>
      </c>
      <c r="G199">
        <v>213.68382263183594</v>
      </c>
      <c r="H199" s="2">
        <f>MONTH(Query1[[#This Row],[Date]])</f>
        <v>10</v>
      </c>
      <c r="I199" s="3">
        <f>Query1[[#This Row],[Shares]]*Query1[[#This Row],[Adj Close]]</f>
        <v>767616.17499211244</v>
      </c>
      <c r="J199" s="3">
        <f>IF(ROW()&lt;3, Dashboard!$E$7, IF(Query1[[#This Row],[Month]]&lt;&gt;H198,J198*(1+Dashboard!$E$4)+Dashboard!$E$5,J198))</f>
        <v>565579.69087905274</v>
      </c>
      <c r="K199">
        <f>IF(ROW()&lt;3, 0,IF(Query1[[#This Row],[Month]]&lt;&gt;H198,IF((J199-I199&gt;0),J199-I199,0),0))</f>
        <v>0</v>
      </c>
      <c r="L199" s="2">
        <f t="shared" si="3"/>
        <v>3592.2989655359538</v>
      </c>
      <c r="M199">
        <f>IF(ROW()&lt;3, 0, IF(Query1[[#This Row],[Month]]&lt;&gt;H198, Dashboard!$J$5,0))</f>
        <v>0</v>
      </c>
      <c r="N199" s="2">
        <f>IF(ROW()&lt;3, Query1[[#This Row],[Shares]], IF(Query1[[#This Row],[Month]]&lt;&gt;H198, N198+Query1[[#This Row],[Fix Top Up]]/Query1[[#This Row],[Adj Close]], N198))</f>
        <v>3311.2275644715796</v>
      </c>
      <c r="O199">
        <f>IF(AND(Query1[[#This Row],[avg]]&gt;0, Query1[[#This Row],[Month]]&lt;&gt;H198),
    IF(Query1[[#This Row],[Adj Close]]&gt;Query1[[#This Row],[avg]],
       Dashboard!$L$5-Dashboard!$E$6,
       Dashboard!$L$5+Dashboard!$E$6
    ), 0
)</f>
        <v>0</v>
      </c>
      <c r="P199" s="2">
        <f>IF(ROW()&lt;3, Query1[[#This Row],[Shares]], IF(Query1[[#This Row],[Month]]&lt;&gt;H198, P198+Query1[[#This Row],[Enhanced top up]]/Query1[[#This Row],[Adj Close]], P198))</f>
        <v>3298.072679636909</v>
      </c>
      <c r="Q199" s="2">
        <f>IFERROR(AVERAGE(
  IF(ROW()&gt;20, INDEX(G:G, ROW()-20), 0) :
  INDEX(G:G, ROW())
),0)</f>
        <v>200.03563653855096</v>
      </c>
    </row>
    <row r="200" spans="1:17" x14ac:dyDescent="0.4">
      <c r="A200" s="1">
        <v>44118</v>
      </c>
      <c r="B200">
        <v>223</v>
      </c>
      <c r="C200">
        <v>224.22000122070313</v>
      </c>
      <c r="D200">
        <v>219.1300048828125</v>
      </c>
      <c r="E200">
        <v>220.86000061035156</v>
      </c>
      <c r="F200">
        <v>23421700</v>
      </c>
      <c r="G200">
        <v>211.76617431640625</v>
      </c>
      <c r="H200" s="2">
        <f>MONTH(Query1[[#This Row],[Date]])</f>
        <v>10</v>
      </c>
      <c r="I200" s="3">
        <f>Query1[[#This Row],[Shares]]*Query1[[#This Row],[Adj Close]]</f>
        <v>760727.40893233265</v>
      </c>
      <c r="J200" s="3">
        <f>IF(ROW()&lt;3, Dashboard!$E$7, IF(Query1[[#This Row],[Month]]&lt;&gt;H199,J199*(1+Dashboard!$E$4)+Dashboard!$E$5,J199))</f>
        <v>565579.69087905274</v>
      </c>
      <c r="K200">
        <f>IF(ROW()&lt;3, 0,IF(Query1[[#This Row],[Month]]&lt;&gt;H199,IF((J200-I200&gt;0),J200-I200,0),0))</f>
        <v>0</v>
      </c>
      <c r="L200" s="2">
        <f t="shared" si="3"/>
        <v>3592.2989655359538</v>
      </c>
      <c r="M200">
        <f>IF(ROW()&lt;3, 0, IF(Query1[[#This Row],[Month]]&lt;&gt;H199, Dashboard!$J$5,0))</f>
        <v>0</v>
      </c>
      <c r="N200" s="2">
        <f>IF(ROW()&lt;3, Query1[[#This Row],[Shares]], IF(Query1[[#This Row],[Month]]&lt;&gt;H199, N199+Query1[[#This Row],[Fix Top Up]]/Query1[[#This Row],[Adj Close]], N199))</f>
        <v>3311.2275644715796</v>
      </c>
      <c r="O200">
        <f>IF(AND(Query1[[#This Row],[avg]]&gt;0, Query1[[#This Row],[Month]]&lt;&gt;H199),
    IF(Query1[[#This Row],[Adj Close]]&gt;Query1[[#This Row],[avg]],
       Dashboard!$L$5-Dashboard!$E$6,
       Dashboard!$L$5+Dashboard!$E$6
    ), 0
)</f>
        <v>0</v>
      </c>
      <c r="P200" s="2">
        <f>IF(ROW()&lt;3, Query1[[#This Row],[Shares]], IF(Query1[[#This Row],[Month]]&lt;&gt;H199, P199+Query1[[#This Row],[Enhanced top up]]/Query1[[#This Row],[Adj Close]], P199))</f>
        <v>3298.072679636909</v>
      </c>
      <c r="Q200" s="2">
        <f>IFERROR(AVERAGE(
  IF(ROW()&gt;20, INDEX(G:G, ROW()-20), 0) :
  INDEX(G:G, ROW())
),0)</f>
        <v>200.58718872070313</v>
      </c>
    </row>
    <row r="201" spans="1:17" x14ac:dyDescent="0.4">
      <c r="A201" s="1">
        <v>44119</v>
      </c>
      <c r="B201">
        <v>217.10000610351563</v>
      </c>
      <c r="C201">
        <v>220.36000061035156</v>
      </c>
      <c r="D201">
        <v>216.00999450683594</v>
      </c>
      <c r="E201">
        <v>219.66000366210938</v>
      </c>
      <c r="F201">
        <v>22733100</v>
      </c>
      <c r="G201">
        <v>210.61561584472656</v>
      </c>
      <c r="H201" s="2">
        <f>MONTH(Query1[[#This Row],[Date]])</f>
        <v>10</v>
      </c>
      <c r="I201" s="3">
        <f>Query1[[#This Row],[Shares]]*Query1[[#This Row],[Adj Close]]</f>
        <v>756594.25892472907</v>
      </c>
      <c r="J201" s="3">
        <f>IF(ROW()&lt;3, Dashboard!$E$7, IF(Query1[[#This Row],[Month]]&lt;&gt;H200,J200*(1+Dashboard!$E$4)+Dashboard!$E$5,J200))</f>
        <v>565579.69087905274</v>
      </c>
      <c r="K201">
        <f>IF(ROW()&lt;3, 0,IF(Query1[[#This Row],[Month]]&lt;&gt;H200,IF((J201-I201&gt;0),J201-I201,0),0))</f>
        <v>0</v>
      </c>
      <c r="L201" s="2">
        <f t="shared" si="3"/>
        <v>3592.2989655359538</v>
      </c>
      <c r="M201">
        <f>IF(ROW()&lt;3, 0, IF(Query1[[#This Row],[Month]]&lt;&gt;H200, Dashboard!$J$5,0))</f>
        <v>0</v>
      </c>
      <c r="N201" s="2">
        <f>IF(ROW()&lt;3, Query1[[#This Row],[Shares]], IF(Query1[[#This Row],[Month]]&lt;&gt;H200, N200+Query1[[#This Row],[Fix Top Up]]/Query1[[#This Row],[Adj Close]], N200))</f>
        <v>3311.2275644715796</v>
      </c>
      <c r="O201">
        <f>IF(AND(Query1[[#This Row],[avg]]&gt;0, Query1[[#This Row],[Month]]&lt;&gt;H200),
    IF(Query1[[#This Row],[Adj Close]]&gt;Query1[[#This Row],[avg]],
       Dashboard!$L$5-Dashboard!$E$6,
       Dashboard!$L$5+Dashboard!$E$6
    ), 0
)</f>
        <v>0</v>
      </c>
      <c r="P201" s="2">
        <f>IF(ROW()&lt;3, Query1[[#This Row],[Shares]], IF(Query1[[#This Row],[Month]]&lt;&gt;H200, P200+Query1[[#This Row],[Enhanced top up]]/Query1[[#This Row],[Adj Close]], P200))</f>
        <v>3298.072679636909</v>
      </c>
      <c r="Q201" s="2">
        <f>IFERROR(AVERAGE(
  IF(ROW()&gt;20, INDEX(G:G, ROW()-20), 0) :
  INDEX(G:G, ROW())
),0)</f>
        <v>201.25425720214844</v>
      </c>
    </row>
    <row r="202" spans="1:17" x14ac:dyDescent="0.4">
      <c r="A202" s="1">
        <v>44120</v>
      </c>
      <c r="B202">
        <v>220.14999389648438</v>
      </c>
      <c r="C202">
        <v>222.28999328613281</v>
      </c>
      <c r="D202">
        <v>219.32000732421875</v>
      </c>
      <c r="E202">
        <v>219.66000366210938</v>
      </c>
      <c r="F202">
        <v>26057900</v>
      </c>
      <c r="G202">
        <v>210.61561584472656</v>
      </c>
      <c r="H202" s="2">
        <f>MONTH(Query1[[#This Row],[Date]])</f>
        <v>10</v>
      </c>
      <c r="I202" s="3">
        <f>Query1[[#This Row],[Shares]]*Query1[[#This Row],[Adj Close]]</f>
        <v>756594.25892472907</v>
      </c>
      <c r="J202" s="3">
        <f>IF(ROW()&lt;3, Dashboard!$E$7, IF(Query1[[#This Row],[Month]]&lt;&gt;H201,J201*(1+Dashboard!$E$4)+Dashboard!$E$5,J201))</f>
        <v>565579.69087905274</v>
      </c>
      <c r="K202">
        <f>IF(ROW()&lt;3, 0,IF(Query1[[#This Row],[Month]]&lt;&gt;H201,IF((J202-I202&gt;0),J202-I202,0),0))</f>
        <v>0</v>
      </c>
      <c r="L202" s="2">
        <f t="shared" si="3"/>
        <v>3592.2989655359538</v>
      </c>
      <c r="M202">
        <f>IF(ROW()&lt;3, 0, IF(Query1[[#This Row],[Month]]&lt;&gt;H201, Dashboard!$J$5,0))</f>
        <v>0</v>
      </c>
      <c r="N202" s="2">
        <f>IF(ROW()&lt;3, Query1[[#This Row],[Shares]], IF(Query1[[#This Row],[Month]]&lt;&gt;H201, N201+Query1[[#This Row],[Fix Top Up]]/Query1[[#This Row],[Adj Close]], N201))</f>
        <v>3311.2275644715796</v>
      </c>
      <c r="O202">
        <f>IF(AND(Query1[[#This Row],[avg]]&gt;0, Query1[[#This Row],[Month]]&lt;&gt;H201),
    IF(Query1[[#This Row],[Adj Close]]&gt;Query1[[#This Row],[avg]],
       Dashboard!$L$5-Dashboard!$E$6,
       Dashboard!$L$5+Dashboard!$E$6
    ), 0
)</f>
        <v>0</v>
      </c>
      <c r="P202" s="2">
        <f>IF(ROW()&lt;3, Query1[[#This Row],[Shares]], IF(Query1[[#This Row],[Month]]&lt;&gt;H201, P201+Query1[[#This Row],[Enhanced top up]]/Query1[[#This Row],[Adj Close]], P201))</f>
        <v>3298.072679636909</v>
      </c>
      <c r="Q202" s="2">
        <f>IFERROR(AVERAGE(
  IF(ROW()&gt;20, INDEX(G:G, ROW()-20), 0) :
  INDEX(G:G, ROW())
),0)</f>
        <v>202.01903424944197</v>
      </c>
    </row>
    <row r="203" spans="1:17" x14ac:dyDescent="0.4">
      <c r="A203" s="1">
        <v>44123</v>
      </c>
      <c r="B203">
        <v>220.41999816894531</v>
      </c>
      <c r="C203">
        <v>222.30000305175781</v>
      </c>
      <c r="D203">
        <v>213.72000122070313</v>
      </c>
      <c r="E203">
        <v>214.22000122070313</v>
      </c>
      <c r="F203">
        <v>27625800</v>
      </c>
      <c r="G203">
        <v>205.39958190917969</v>
      </c>
      <c r="H203" s="2">
        <f>MONTH(Query1[[#This Row],[Date]])</f>
        <v>10</v>
      </c>
      <c r="I203" s="3">
        <f>Query1[[#This Row],[Shares]]*Query1[[#This Row],[Adj Close]]</f>
        <v>737856.70561386365</v>
      </c>
      <c r="J203" s="3">
        <f>IF(ROW()&lt;3, Dashboard!$E$7, IF(Query1[[#This Row],[Month]]&lt;&gt;H202,J202*(1+Dashboard!$E$4)+Dashboard!$E$5,J202))</f>
        <v>565579.69087905274</v>
      </c>
      <c r="K203">
        <f>IF(ROW()&lt;3, 0,IF(Query1[[#This Row],[Month]]&lt;&gt;H202,IF((J203-I203&gt;0),J203-I203,0),0))</f>
        <v>0</v>
      </c>
      <c r="L203" s="2">
        <f t="shared" si="3"/>
        <v>3592.2989655359538</v>
      </c>
      <c r="M203">
        <f>IF(ROW()&lt;3, 0, IF(Query1[[#This Row],[Month]]&lt;&gt;H202, Dashboard!$J$5,0))</f>
        <v>0</v>
      </c>
      <c r="N203" s="2">
        <f>IF(ROW()&lt;3, Query1[[#This Row],[Shares]], IF(Query1[[#This Row],[Month]]&lt;&gt;H202, N202+Query1[[#This Row],[Fix Top Up]]/Query1[[#This Row],[Adj Close]], N202))</f>
        <v>3311.2275644715796</v>
      </c>
      <c r="O203">
        <f>IF(AND(Query1[[#This Row],[avg]]&gt;0, Query1[[#This Row],[Month]]&lt;&gt;H202),
    IF(Query1[[#This Row],[Adj Close]]&gt;Query1[[#This Row],[avg]],
       Dashboard!$L$5-Dashboard!$E$6,
       Dashboard!$L$5+Dashboard!$E$6
    ), 0
)</f>
        <v>0</v>
      </c>
      <c r="P203" s="2">
        <f>IF(ROW()&lt;3, Query1[[#This Row],[Shares]], IF(Query1[[#This Row],[Month]]&lt;&gt;H202, P202+Query1[[#This Row],[Enhanced top up]]/Query1[[#This Row],[Adj Close]], P202))</f>
        <v>3298.072679636909</v>
      </c>
      <c r="Q203" s="2">
        <f>IFERROR(AVERAGE(
  IF(ROW()&gt;20, INDEX(G:G, ROW()-20), 0) :
  INDEX(G:G, ROW())
),0)</f>
        <v>202.65049017043341</v>
      </c>
    </row>
    <row r="204" spans="1:17" x14ac:dyDescent="0.4">
      <c r="A204" s="1">
        <v>44124</v>
      </c>
      <c r="B204">
        <v>215.80000305175781</v>
      </c>
      <c r="C204">
        <v>217.3699951171875</v>
      </c>
      <c r="D204">
        <v>213.08999633789063</v>
      </c>
      <c r="E204">
        <v>214.64999389648438</v>
      </c>
      <c r="F204">
        <v>22753500</v>
      </c>
      <c r="G204">
        <v>205.8118896484375</v>
      </c>
      <c r="H204" s="2">
        <f>MONTH(Query1[[#This Row],[Date]])</f>
        <v>10</v>
      </c>
      <c r="I204" s="3">
        <f>Query1[[#This Row],[Shares]]*Query1[[#This Row],[Adj Close]]</f>
        <v>739337.83827908186</v>
      </c>
      <c r="J204" s="3">
        <f>IF(ROW()&lt;3, Dashboard!$E$7, IF(Query1[[#This Row],[Month]]&lt;&gt;H203,J203*(1+Dashboard!$E$4)+Dashboard!$E$5,J203))</f>
        <v>565579.69087905274</v>
      </c>
      <c r="K204">
        <f>IF(ROW()&lt;3, 0,IF(Query1[[#This Row],[Month]]&lt;&gt;H203,IF((J204-I204&gt;0),J204-I204,0),0))</f>
        <v>0</v>
      </c>
      <c r="L204" s="2">
        <f t="shared" si="3"/>
        <v>3592.2989655359538</v>
      </c>
      <c r="M204">
        <f>IF(ROW()&lt;3, 0, IF(Query1[[#This Row],[Month]]&lt;&gt;H203, Dashboard!$J$5,0))</f>
        <v>0</v>
      </c>
      <c r="N204" s="2">
        <f>IF(ROW()&lt;3, Query1[[#This Row],[Shares]], IF(Query1[[#This Row],[Month]]&lt;&gt;H203, N203+Query1[[#This Row],[Fix Top Up]]/Query1[[#This Row],[Adj Close]], N203))</f>
        <v>3311.2275644715796</v>
      </c>
      <c r="O204">
        <f>IF(AND(Query1[[#This Row],[avg]]&gt;0, Query1[[#This Row],[Month]]&lt;&gt;H203),
    IF(Query1[[#This Row],[Adj Close]]&gt;Query1[[#This Row],[avg]],
       Dashboard!$L$5-Dashboard!$E$6,
       Dashboard!$L$5+Dashboard!$E$6
    ), 0
)</f>
        <v>0</v>
      </c>
      <c r="P204" s="2">
        <f>IF(ROW()&lt;3, Query1[[#This Row],[Shares]], IF(Query1[[#This Row],[Month]]&lt;&gt;H203, P203+Query1[[#This Row],[Enhanced top up]]/Query1[[#This Row],[Adj Close]], P203))</f>
        <v>3298.072679636909</v>
      </c>
      <c r="Q204" s="2">
        <f>IFERROR(AVERAGE(
  IF(ROW()&gt;20, INDEX(G:G, ROW()-20), 0) :
  INDEX(G:G, ROW())
),0)</f>
        <v>203.20341346377418</v>
      </c>
    </row>
    <row r="205" spans="1:17" x14ac:dyDescent="0.4">
      <c r="A205" s="1">
        <v>44125</v>
      </c>
      <c r="B205">
        <v>213.1199951171875</v>
      </c>
      <c r="C205">
        <v>216.91999816894531</v>
      </c>
      <c r="D205">
        <v>213.1199951171875</v>
      </c>
      <c r="E205">
        <v>214.80000305175781</v>
      </c>
      <c r="F205">
        <v>22724900</v>
      </c>
      <c r="G205">
        <v>205.95570373535156</v>
      </c>
      <c r="H205" s="2">
        <f>MONTH(Query1[[#This Row],[Date]])</f>
        <v>10</v>
      </c>
      <c r="I205" s="3">
        <f>Query1[[#This Row],[Shares]]*Query1[[#This Row],[Adj Close]]</f>
        <v>739854.46147473285</v>
      </c>
      <c r="J205" s="3">
        <f>IF(ROW()&lt;3, Dashboard!$E$7, IF(Query1[[#This Row],[Month]]&lt;&gt;H204,J204*(1+Dashboard!$E$4)+Dashboard!$E$5,J204))</f>
        <v>565579.69087905274</v>
      </c>
      <c r="K205">
        <f>IF(ROW()&lt;3, 0,IF(Query1[[#This Row],[Month]]&lt;&gt;H204,IF((J205-I205&gt;0),J205-I205,0),0))</f>
        <v>0</v>
      </c>
      <c r="L205" s="2">
        <f t="shared" si="3"/>
        <v>3592.2989655359538</v>
      </c>
      <c r="M205">
        <f>IF(ROW()&lt;3, 0, IF(Query1[[#This Row],[Month]]&lt;&gt;H204, Dashboard!$J$5,0))</f>
        <v>0</v>
      </c>
      <c r="N205" s="2">
        <f>IF(ROW()&lt;3, Query1[[#This Row],[Shares]], IF(Query1[[#This Row],[Month]]&lt;&gt;H204, N204+Query1[[#This Row],[Fix Top Up]]/Query1[[#This Row],[Adj Close]], N204))</f>
        <v>3311.2275644715796</v>
      </c>
      <c r="O205">
        <f>IF(AND(Query1[[#This Row],[avg]]&gt;0, Query1[[#This Row],[Month]]&lt;&gt;H204),
    IF(Query1[[#This Row],[Adj Close]]&gt;Query1[[#This Row],[avg]],
       Dashboard!$L$5-Dashboard!$E$6,
       Dashboard!$L$5+Dashboard!$E$6
    ), 0
)</f>
        <v>0</v>
      </c>
      <c r="P205" s="2">
        <f>IF(ROW()&lt;3, Query1[[#This Row],[Shares]], IF(Query1[[#This Row],[Month]]&lt;&gt;H204, P204+Query1[[#This Row],[Enhanced top up]]/Query1[[#This Row],[Adj Close]], P204))</f>
        <v>3298.072679636909</v>
      </c>
      <c r="Q205" s="2">
        <f>IFERROR(AVERAGE(
  IF(ROW()&gt;20, INDEX(G:G, ROW()-20), 0) :
  INDEX(G:G, ROW())
),0)</f>
        <v>203.54037112281435</v>
      </c>
    </row>
    <row r="206" spans="1:17" x14ac:dyDescent="0.4">
      <c r="A206" s="1">
        <v>44126</v>
      </c>
      <c r="B206">
        <v>213.92999267578125</v>
      </c>
      <c r="C206">
        <v>216.05999755859375</v>
      </c>
      <c r="D206">
        <v>211.69999694824219</v>
      </c>
      <c r="E206">
        <v>214.88999938964844</v>
      </c>
      <c r="F206">
        <v>22351500</v>
      </c>
      <c r="G206">
        <v>206.04200744628906</v>
      </c>
      <c r="H206" s="2">
        <f>MONTH(Query1[[#This Row],[Date]])</f>
        <v>10</v>
      </c>
      <c r="I206" s="3">
        <f>Query1[[#This Row],[Shares]]*Query1[[#This Row],[Adj Close]]</f>
        <v>740164.49020625546</v>
      </c>
      <c r="J206" s="3">
        <f>IF(ROW()&lt;3, Dashboard!$E$7, IF(Query1[[#This Row],[Month]]&lt;&gt;H205,J205*(1+Dashboard!$E$4)+Dashboard!$E$5,J205))</f>
        <v>565579.69087905274</v>
      </c>
      <c r="K206">
        <f>IF(ROW()&lt;3, 0,IF(Query1[[#This Row],[Month]]&lt;&gt;H205,IF((J206-I206&gt;0),J206-I206,0),0))</f>
        <v>0</v>
      </c>
      <c r="L206" s="2">
        <f t="shared" si="3"/>
        <v>3592.2989655359538</v>
      </c>
      <c r="M206">
        <f>IF(ROW()&lt;3, 0, IF(Query1[[#This Row],[Month]]&lt;&gt;H205, Dashboard!$J$5,0))</f>
        <v>0</v>
      </c>
      <c r="N206" s="2">
        <f>IF(ROW()&lt;3, Query1[[#This Row],[Shares]], IF(Query1[[#This Row],[Month]]&lt;&gt;H205, N205+Query1[[#This Row],[Fix Top Up]]/Query1[[#This Row],[Adj Close]], N205))</f>
        <v>3311.2275644715796</v>
      </c>
      <c r="O206">
        <f>IF(AND(Query1[[#This Row],[avg]]&gt;0, Query1[[#This Row],[Month]]&lt;&gt;H205),
    IF(Query1[[#This Row],[Adj Close]]&gt;Query1[[#This Row],[avg]],
       Dashboard!$L$5-Dashboard!$E$6,
       Dashboard!$L$5+Dashboard!$E$6
    ), 0
)</f>
        <v>0</v>
      </c>
      <c r="P206" s="2">
        <f>IF(ROW()&lt;3, Query1[[#This Row],[Shares]], IF(Query1[[#This Row],[Month]]&lt;&gt;H205, P205+Query1[[#This Row],[Enhanced top up]]/Query1[[#This Row],[Adj Close]], P205))</f>
        <v>3298.072679636909</v>
      </c>
      <c r="Q206" s="2">
        <f>IFERROR(AVERAGE(
  IF(ROW()&gt;20, INDEX(G:G, ROW()-20), 0) :
  INDEX(G:G, ROW())
),0)</f>
        <v>204.19328671409971</v>
      </c>
    </row>
    <row r="207" spans="1:17" x14ac:dyDescent="0.4">
      <c r="A207" s="1">
        <v>44127</v>
      </c>
      <c r="B207">
        <v>215.02999877929688</v>
      </c>
      <c r="C207">
        <v>216.27999877929688</v>
      </c>
      <c r="D207">
        <v>213.16000366210938</v>
      </c>
      <c r="E207">
        <v>216.22999572753906</v>
      </c>
      <c r="F207">
        <v>18879600</v>
      </c>
      <c r="G207">
        <v>207.32684326171875</v>
      </c>
      <c r="H207" s="2">
        <f>MONTH(Query1[[#This Row],[Date]])</f>
        <v>10</v>
      </c>
      <c r="I207" s="3">
        <f>Query1[[#This Row],[Shares]]*Query1[[#This Row],[Adj Close]]</f>
        <v>744780.00457690714</v>
      </c>
      <c r="J207" s="3">
        <f>IF(ROW()&lt;3, Dashboard!$E$7, IF(Query1[[#This Row],[Month]]&lt;&gt;H206,J206*(1+Dashboard!$E$4)+Dashboard!$E$5,J206))</f>
        <v>565579.69087905274</v>
      </c>
      <c r="K207">
        <f>IF(ROW()&lt;3, 0,IF(Query1[[#This Row],[Month]]&lt;&gt;H206,IF((J207-I207&gt;0),J207-I207,0),0))</f>
        <v>0</v>
      </c>
      <c r="L207" s="2">
        <f t="shared" si="3"/>
        <v>3592.2989655359538</v>
      </c>
      <c r="M207">
        <f>IF(ROW()&lt;3, 0, IF(Query1[[#This Row],[Month]]&lt;&gt;H206, Dashboard!$J$5,0))</f>
        <v>0</v>
      </c>
      <c r="N207" s="2">
        <f>IF(ROW()&lt;3, Query1[[#This Row],[Shares]], IF(Query1[[#This Row],[Month]]&lt;&gt;H206, N206+Query1[[#This Row],[Fix Top Up]]/Query1[[#This Row],[Adj Close]], N206))</f>
        <v>3311.2275644715796</v>
      </c>
      <c r="O207">
        <f>IF(AND(Query1[[#This Row],[avg]]&gt;0, Query1[[#This Row],[Month]]&lt;&gt;H206),
    IF(Query1[[#This Row],[Adj Close]]&gt;Query1[[#This Row],[avg]],
       Dashboard!$L$5-Dashboard!$E$6,
       Dashboard!$L$5+Dashboard!$E$6
    ), 0
)</f>
        <v>0</v>
      </c>
      <c r="P207" s="2">
        <f>IF(ROW()&lt;3, Query1[[#This Row],[Shares]], IF(Query1[[#This Row],[Month]]&lt;&gt;H206, P206+Query1[[#This Row],[Enhanced top up]]/Query1[[#This Row],[Adj Close]], P206))</f>
        <v>3298.072679636909</v>
      </c>
      <c r="Q207" s="2">
        <f>IFERROR(AVERAGE(
  IF(ROW()&gt;20, INDEX(G:G, ROW()-20), 0) :
  INDEX(G:G, ROW())
),0)</f>
        <v>204.78867231096541</v>
      </c>
    </row>
    <row r="208" spans="1:17" x14ac:dyDescent="0.4">
      <c r="A208" s="1">
        <v>44130</v>
      </c>
      <c r="B208">
        <v>213.85000610351563</v>
      </c>
      <c r="C208">
        <v>216.33999633789063</v>
      </c>
      <c r="D208">
        <v>208.10000610351563</v>
      </c>
      <c r="E208">
        <v>210.08000183105469</v>
      </c>
      <c r="F208">
        <v>37111600</v>
      </c>
      <c r="G208">
        <v>201.43002319335938</v>
      </c>
      <c r="H208" s="2">
        <f>MONTH(Query1[[#This Row],[Date]])</f>
        <v>10</v>
      </c>
      <c r="I208" s="3">
        <f>Query1[[#This Row],[Shares]]*Query1[[#This Row],[Adj Close]]</f>
        <v>723596.86394538812</v>
      </c>
      <c r="J208" s="3">
        <f>IF(ROW()&lt;3, Dashboard!$E$7, IF(Query1[[#This Row],[Month]]&lt;&gt;H207,J207*(1+Dashboard!$E$4)+Dashboard!$E$5,J207))</f>
        <v>565579.69087905274</v>
      </c>
      <c r="K208">
        <f>IF(ROW()&lt;3, 0,IF(Query1[[#This Row],[Month]]&lt;&gt;H207,IF((J208-I208&gt;0),J208-I208,0),0))</f>
        <v>0</v>
      </c>
      <c r="L208" s="2">
        <f t="shared" si="3"/>
        <v>3592.2989655359538</v>
      </c>
      <c r="M208">
        <f>IF(ROW()&lt;3, 0, IF(Query1[[#This Row],[Month]]&lt;&gt;H207, Dashboard!$J$5,0))</f>
        <v>0</v>
      </c>
      <c r="N208" s="2">
        <f>IF(ROW()&lt;3, Query1[[#This Row],[Shares]], IF(Query1[[#This Row],[Month]]&lt;&gt;H207, N207+Query1[[#This Row],[Fix Top Up]]/Query1[[#This Row],[Adj Close]], N207))</f>
        <v>3311.2275644715796</v>
      </c>
      <c r="O208">
        <f>IF(AND(Query1[[#This Row],[avg]]&gt;0, Query1[[#This Row],[Month]]&lt;&gt;H207),
    IF(Query1[[#This Row],[Adj Close]]&gt;Query1[[#This Row],[avg]],
       Dashboard!$L$5-Dashboard!$E$6,
       Dashboard!$L$5+Dashboard!$E$6
    ), 0
)</f>
        <v>0</v>
      </c>
      <c r="P208" s="2">
        <f>IF(ROW()&lt;3, Query1[[#This Row],[Shares]], IF(Query1[[#This Row],[Month]]&lt;&gt;H207, P207+Query1[[#This Row],[Enhanced top up]]/Query1[[#This Row],[Adj Close]], P207))</f>
        <v>3298.072679636909</v>
      </c>
      <c r="Q208" s="2">
        <f>IFERROR(AVERAGE(
  IF(ROW()&gt;20, INDEX(G:G, ROW()-20), 0) :
  INDEX(G:G, ROW())
),0)</f>
        <v>204.89185878208704</v>
      </c>
    </row>
    <row r="209" spans="1:17" x14ac:dyDescent="0.4">
      <c r="A209" s="1">
        <v>44131</v>
      </c>
      <c r="B209">
        <v>211.58999633789063</v>
      </c>
      <c r="C209">
        <v>214.66999816894531</v>
      </c>
      <c r="D209">
        <v>210.33000183105469</v>
      </c>
      <c r="E209">
        <v>213.25</v>
      </c>
      <c r="F209">
        <v>36700300</v>
      </c>
      <c r="G209">
        <v>204.46951293945313</v>
      </c>
      <c r="H209" s="2">
        <f>MONTH(Query1[[#This Row],[Date]])</f>
        <v>10</v>
      </c>
      <c r="I209" s="3">
        <f>Query1[[#This Row],[Shares]]*Query1[[#This Row],[Adj Close]]</f>
        <v>734515.61981603783</v>
      </c>
      <c r="J209" s="3">
        <f>IF(ROW()&lt;3, Dashboard!$E$7, IF(Query1[[#This Row],[Month]]&lt;&gt;H208,J208*(1+Dashboard!$E$4)+Dashboard!$E$5,J208))</f>
        <v>565579.69087905274</v>
      </c>
      <c r="K209">
        <f>IF(ROW()&lt;3, 0,IF(Query1[[#This Row],[Month]]&lt;&gt;H208,IF((J209-I209&gt;0),J209-I209,0),0))</f>
        <v>0</v>
      </c>
      <c r="L209" s="2">
        <f t="shared" si="3"/>
        <v>3592.2989655359538</v>
      </c>
      <c r="M209">
        <f>IF(ROW()&lt;3, 0, IF(Query1[[#This Row],[Month]]&lt;&gt;H208, Dashboard!$J$5,0))</f>
        <v>0</v>
      </c>
      <c r="N209" s="2">
        <f>IF(ROW()&lt;3, Query1[[#This Row],[Shares]], IF(Query1[[#This Row],[Month]]&lt;&gt;H208, N208+Query1[[#This Row],[Fix Top Up]]/Query1[[#This Row],[Adj Close]], N208))</f>
        <v>3311.2275644715796</v>
      </c>
      <c r="O209">
        <f>IF(AND(Query1[[#This Row],[avg]]&gt;0, Query1[[#This Row],[Month]]&lt;&gt;H208),
    IF(Query1[[#This Row],[Adj Close]]&gt;Query1[[#This Row],[avg]],
       Dashboard!$L$5-Dashboard!$E$6,
       Dashboard!$L$5+Dashboard!$E$6
    ), 0
)</f>
        <v>0</v>
      </c>
      <c r="P209" s="2">
        <f>IF(ROW()&lt;3, Query1[[#This Row],[Shares]], IF(Query1[[#This Row],[Month]]&lt;&gt;H208, P208+Query1[[#This Row],[Enhanced top up]]/Query1[[#This Row],[Adj Close]], P208))</f>
        <v>3298.072679636909</v>
      </c>
      <c r="Q209" s="2">
        <f>IFERROR(AVERAGE(
  IF(ROW()&gt;20, INDEX(G:G, ROW()-20), 0) :
  INDEX(G:G, ROW())
),0)</f>
        <v>205.0658176967076</v>
      </c>
    </row>
    <row r="210" spans="1:17" x14ac:dyDescent="0.4">
      <c r="A210" s="1">
        <v>44132</v>
      </c>
      <c r="B210">
        <v>207.66999816894531</v>
      </c>
      <c r="C210">
        <v>208.83999633789063</v>
      </c>
      <c r="D210">
        <v>202.10000610351563</v>
      </c>
      <c r="E210">
        <v>202.67999267578125</v>
      </c>
      <c r="F210">
        <v>51195600</v>
      </c>
      <c r="G210">
        <v>194.334716796875</v>
      </c>
      <c r="H210" s="2">
        <f>MONTH(Query1[[#This Row],[Date]])</f>
        <v>10</v>
      </c>
      <c r="I210" s="3">
        <f>Query1[[#This Row],[Shares]]*Query1[[#This Row],[Adj Close]]</f>
        <v>698108.40211713663</v>
      </c>
      <c r="J210" s="3">
        <f>IF(ROW()&lt;3, Dashboard!$E$7, IF(Query1[[#This Row],[Month]]&lt;&gt;H209,J209*(1+Dashboard!$E$4)+Dashboard!$E$5,J209))</f>
        <v>565579.69087905274</v>
      </c>
      <c r="K210">
        <f>IF(ROW()&lt;3, 0,IF(Query1[[#This Row],[Month]]&lt;&gt;H209,IF((J210-I210&gt;0),J210-I210,0),0))</f>
        <v>0</v>
      </c>
      <c r="L210" s="2">
        <f t="shared" si="3"/>
        <v>3592.2989655359538</v>
      </c>
      <c r="M210">
        <f>IF(ROW()&lt;3, 0, IF(Query1[[#This Row],[Month]]&lt;&gt;H209, Dashboard!$J$5,0))</f>
        <v>0</v>
      </c>
      <c r="N210" s="2">
        <f>IF(ROW()&lt;3, Query1[[#This Row],[Shares]], IF(Query1[[#This Row],[Month]]&lt;&gt;H209, N209+Query1[[#This Row],[Fix Top Up]]/Query1[[#This Row],[Adj Close]], N209))</f>
        <v>3311.2275644715796</v>
      </c>
      <c r="O210">
        <f>IF(AND(Query1[[#This Row],[avg]]&gt;0, Query1[[#This Row],[Month]]&lt;&gt;H209),
    IF(Query1[[#This Row],[Adj Close]]&gt;Query1[[#This Row],[avg]],
       Dashboard!$L$5-Dashboard!$E$6,
       Dashboard!$L$5+Dashboard!$E$6
    ), 0
)</f>
        <v>0</v>
      </c>
      <c r="P210" s="2">
        <f>IF(ROW()&lt;3, Query1[[#This Row],[Shares]], IF(Query1[[#This Row],[Month]]&lt;&gt;H209, P209+Query1[[#This Row],[Enhanced top up]]/Query1[[#This Row],[Adj Close]], P209))</f>
        <v>3298.072679636909</v>
      </c>
      <c r="Q210" s="2">
        <f>IFERROR(AVERAGE(
  IF(ROW()&gt;20, INDEX(G:G, ROW()-20), 0) :
  INDEX(G:G, ROW())
),0)</f>
        <v>204.85670180547805</v>
      </c>
    </row>
    <row r="211" spans="1:17" x14ac:dyDescent="0.4">
      <c r="A211" s="1">
        <v>44133</v>
      </c>
      <c r="B211">
        <v>204.07000732421875</v>
      </c>
      <c r="C211">
        <v>207.36000061035156</v>
      </c>
      <c r="D211">
        <v>203.3699951171875</v>
      </c>
      <c r="E211">
        <v>204.72000122070313</v>
      </c>
      <c r="F211">
        <v>31432600</v>
      </c>
      <c r="G211">
        <v>196.29072570800781</v>
      </c>
      <c r="H211" s="2">
        <f>MONTH(Query1[[#This Row],[Date]])</f>
        <v>10</v>
      </c>
      <c r="I211" s="3">
        <f>Query1[[#This Row],[Shares]]*Query1[[#This Row],[Adj Close]]</f>
        <v>705134.97090517811</v>
      </c>
      <c r="J211" s="3">
        <f>IF(ROW()&lt;3, Dashboard!$E$7, IF(Query1[[#This Row],[Month]]&lt;&gt;H210,J210*(1+Dashboard!$E$4)+Dashboard!$E$5,J210))</f>
        <v>565579.69087905274</v>
      </c>
      <c r="K211">
        <f>IF(ROW()&lt;3, 0,IF(Query1[[#This Row],[Month]]&lt;&gt;H210,IF((J211-I211&gt;0),J211-I211,0),0))</f>
        <v>0</v>
      </c>
      <c r="L211" s="2">
        <f t="shared" si="3"/>
        <v>3592.2989655359538</v>
      </c>
      <c r="M211">
        <f>IF(ROW()&lt;3, 0, IF(Query1[[#This Row],[Month]]&lt;&gt;H210, Dashboard!$J$5,0))</f>
        <v>0</v>
      </c>
      <c r="N211" s="2">
        <f>IF(ROW()&lt;3, Query1[[#This Row],[Shares]], IF(Query1[[#This Row],[Month]]&lt;&gt;H210, N210+Query1[[#This Row],[Fix Top Up]]/Query1[[#This Row],[Adj Close]], N210))</f>
        <v>3311.2275644715796</v>
      </c>
      <c r="O211">
        <f>IF(AND(Query1[[#This Row],[avg]]&gt;0, Query1[[#This Row],[Month]]&lt;&gt;H210),
    IF(Query1[[#This Row],[Adj Close]]&gt;Query1[[#This Row],[avg]],
       Dashboard!$L$5-Dashboard!$E$6,
       Dashboard!$L$5+Dashboard!$E$6
    ), 0
)</f>
        <v>0</v>
      </c>
      <c r="P211" s="2">
        <f>IF(ROW()&lt;3, Query1[[#This Row],[Shares]], IF(Query1[[#This Row],[Month]]&lt;&gt;H210, P210+Query1[[#This Row],[Enhanced top up]]/Query1[[#This Row],[Adj Close]], P210))</f>
        <v>3298.072679636909</v>
      </c>
      <c r="Q211" s="2">
        <f>IFERROR(AVERAGE(
  IF(ROW()&gt;20, INDEX(G:G, ROW()-20), 0) :
  INDEX(G:G, ROW())
),0)</f>
        <v>204.60055832635788</v>
      </c>
    </row>
    <row r="212" spans="1:17" x14ac:dyDescent="0.4">
      <c r="A212" s="1">
        <v>44134</v>
      </c>
      <c r="B212">
        <v>203.5</v>
      </c>
      <c r="C212">
        <v>204.28999328613281</v>
      </c>
      <c r="D212">
        <v>199.6199951171875</v>
      </c>
      <c r="E212">
        <v>202.47000122070313</v>
      </c>
      <c r="F212">
        <v>36953700</v>
      </c>
      <c r="G212">
        <v>194.13337707519531</v>
      </c>
      <c r="H212" s="2">
        <f>MONTH(Query1[[#This Row],[Date]])</f>
        <v>10</v>
      </c>
      <c r="I212" s="3">
        <f>Query1[[#This Row],[Shares]]*Query1[[#This Row],[Adj Close]]</f>
        <v>697385.12964322534</v>
      </c>
      <c r="J212" s="3">
        <f>IF(ROW()&lt;3, Dashboard!$E$7, IF(Query1[[#This Row],[Month]]&lt;&gt;H211,J211*(1+Dashboard!$E$4)+Dashboard!$E$5,J211))</f>
        <v>565579.69087905274</v>
      </c>
      <c r="K212">
        <f>IF(ROW()&lt;3, 0,IF(Query1[[#This Row],[Month]]&lt;&gt;H211,IF((J212-I212&gt;0),J212-I212,0),0))</f>
        <v>0</v>
      </c>
      <c r="L212" s="2">
        <f t="shared" si="3"/>
        <v>3592.2989655359538</v>
      </c>
      <c r="M212">
        <f>IF(ROW()&lt;3, 0, IF(Query1[[#This Row],[Month]]&lt;&gt;H211, Dashboard!$J$5,0))</f>
        <v>0</v>
      </c>
      <c r="N212" s="2">
        <f>IF(ROW()&lt;3, Query1[[#This Row],[Shares]], IF(Query1[[#This Row],[Month]]&lt;&gt;H211, N211+Query1[[#This Row],[Fix Top Up]]/Query1[[#This Row],[Adj Close]], N211))</f>
        <v>3311.2275644715796</v>
      </c>
      <c r="O212">
        <f>IF(AND(Query1[[#This Row],[avg]]&gt;0, Query1[[#This Row],[Month]]&lt;&gt;H211),
    IF(Query1[[#This Row],[Adj Close]]&gt;Query1[[#This Row],[avg]],
       Dashboard!$L$5-Dashboard!$E$6,
       Dashboard!$L$5+Dashboard!$E$6
    ), 0
)</f>
        <v>0</v>
      </c>
      <c r="P212" s="2">
        <f>IF(ROW()&lt;3, Query1[[#This Row],[Shares]], IF(Query1[[#This Row],[Month]]&lt;&gt;H211, P211+Query1[[#This Row],[Enhanced top up]]/Query1[[#This Row],[Adj Close]], P211))</f>
        <v>3298.072679636909</v>
      </c>
      <c r="Q212" s="2">
        <f>IFERROR(AVERAGE(
  IF(ROW()&gt;20, INDEX(G:G, ROW()-20), 0) :
  INDEX(G:G, ROW())
),0)</f>
        <v>204.14443025134858</v>
      </c>
    </row>
    <row r="213" spans="1:17" x14ac:dyDescent="0.4">
      <c r="A213" s="1">
        <v>44137</v>
      </c>
      <c r="B213">
        <v>204.28999328613281</v>
      </c>
      <c r="C213">
        <v>205.27999877929688</v>
      </c>
      <c r="D213">
        <v>200.1199951171875</v>
      </c>
      <c r="E213">
        <v>202.33000183105469</v>
      </c>
      <c r="F213">
        <v>30842200</v>
      </c>
      <c r="G213">
        <v>193.9991455078125</v>
      </c>
      <c r="H213" s="2">
        <f>MONTH(Query1[[#This Row],[Date]])</f>
        <v>11</v>
      </c>
      <c r="I213" s="3">
        <f>Query1[[#This Row],[Shares]]*Query1[[#This Row],[Adj Close]]</f>
        <v>696902.92972257384</v>
      </c>
      <c r="J213" s="3">
        <f>IF(ROW()&lt;3, Dashboard!$E$7, IF(Query1[[#This Row],[Month]]&lt;&gt;H212,J212*(1+Dashboard!$E$4)+Dashboard!$E$5,J212))</f>
        <v>573235.48778784322</v>
      </c>
      <c r="K213">
        <f>IF(ROW()&lt;3, 0,IF(Query1[[#This Row],[Month]]&lt;&gt;H212,IF((J213-I213&gt;0),J213-I213,0),0))</f>
        <v>0</v>
      </c>
      <c r="L213" s="2">
        <f t="shared" si="3"/>
        <v>3592.2989655359538</v>
      </c>
      <c r="M213">
        <f>IF(ROW()&lt;3, 0, IF(Query1[[#This Row],[Month]]&lt;&gt;H212, Dashboard!$J$5,0))</f>
        <v>773.47399999999971</v>
      </c>
      <c r="N213" s="2">
        <f>IF(ROW()&lt;3, Query1[[#This Row],[Shares]], IF(Query1[[#This Row],[Month]]&lt;&gt;H212, N212+Query1[[#This Row],[Fix Top Up]]/Query1[[#This Row],[Adj Close]], N212))</f>
        <v>3315.2145614141455</v>
      </c>
      <c r="O213">
        <f>IF(AND(Query1[[#This Row],[avg]]&gt;0, Query1[[#This Row],[Month]]&lt;&gt;H212),
    IF(Query1[[#This Row],[Adj Close]]&gt;Query1[[#This Row],[avg]],
       Dashboard!$L$5-Dashboard!$E$6,
       Dashboard!$L$5+Dashboard!$E$6
    ), 0
)</f>
        <v>1390.1406666666667</v>
      </c>
      <c r="P213" s="2">
        <f>IF(ROW()&lt;3, Query1[[#This Row],[Shares]], IF(Query1[[#This Row],[Month]]&lt;&gt;H212, P212+Query1[[#This Row],[Enhanced top up]]/Query1[[#This Row],[Adj Close]], P212))</f>
        <v>3305.2383847384849</v>
      </c>
      <c r="Q213" s="2">
        <f>IFERROR(AVERAGE(
  IF(ROW()&gt;20, INDEX(G:G, ROW()-20), 0) :
  INDEX(G:G, ROW())
),0)</f>
        <v>203.9681897844587</v>
      </c>
    </row>
    <row r="214" spans="1:17" x14ac:dyDescent="0.4">
      <c r="A214" s="1">
        <v>44138</v>
      </c>
      <c r="B214">
        <v>203.88999938964844</v>
      </c>
      <c r="C214">
        <v>208.1199951171875</v>
      </c>
      <c r="D214">
        <v>203.1199951171875</v>
      </c>
      <c r="E214">
        <v>206.42999267578125</v>
      </c>
      <c r="F214">
        <v>27512000</v>
      </c>
      <c r="G214">
        <v>197.93031311035156</v>
      </c>
      <c r="H214" s="2">
        <f>MONTH(Query1[[#This Row],[Date]])</f>
        <v>11</v>
      </c>
      <c r="I214" s="3">
        <f>Query1[[#This Row],[Shares]]*Query1[[#This Row],[Adj Close]]</f>
        <v>711024.85903452337</v>
      </c>
      <c r="J214" s="3">
        <f>IF(ROW()&lt;3, Dashboard!$E$7, IF(Query1[[#This Row],[Month]]&lt;&gt;H213,J213*(1+Dashboard!$E$4)+Dashboard!$E$5,J213))</f>
        <v>573235.48778784322</v>
      </c>
      <c r="K214">
        <f>IF(ROW()&lt;3, 0,IF(Query1[[#This Row],[Month]]&lt;&gt;H213,IF((J214-I214&gt;0),J214-I214,0),0))</f>
        <v>0</v>
      </c>
      <c r="L214" s="2">
        <f t="shared" si="3"/>
        <v>3592.2989655359538</v>
      </c>
      <c r="M214">
        <f>IF(ROW()&lt;3, 0, IF(Query1[[#This Row],[Month]]&lt;&gt;H213, Dashboard!$J$5,0))</f>
        <v>0</v>
      </c>
      <c r="N214" s="2">
        <f>IF(ROW()&lt;3, Query1[[#This Row],[Shares]], IF(Query1[[#This Row],[Month]]&lt;&gt;H213, N213+Query1[[#This Row],[Fix Top Up]]/Query1[[#This Row],[Adj Close]], N213))</f>
        <v>3315.2145614141455</v>
      </c>
      <c r="O214">
        <f>IF(AND(Query1[[#This Row],[avg]]&gt;0, Query1[[#This Row],[Month]]&lt;&gt;H213),
    IF(Query1[[#This Row],[Adj Close]]&gt;Query1[[#This Row],[avg]],
       Dashboard!$L$5-Dashboard!$E$6,
       Dashboard!$L$5+Dashboard!$E$6
    ), 0
)</f>
        <v>0</v>
      </c>
      <c r="P214" s="2">
        <f>IF(ROW()&lt;3, Query1[[#This Row],[Shares]], IF(Query1[[#This Row],[Month]]&lt;&gt;H213, P213+Query1[[#This Row],[Enhanced top up]]/Query1[[#This Row],[Adj Close]], P213))</f>
        <v>3305.2383847384849</v>
      </c>
      <c r="Q214" s="2">
        <f>IFERROR(AVERAGE(
  IF(ROW()&gt;20, INDEX(G:G, ROW()-20), 0) :
  INDEX(G:G, ROW())
),0)</f>
        <v>203.78783816382997</v>
      </c>
    </row>
    <row r="215" spans="1:17" x14ac:dyDescent="0.4">
      <c r="A215" s="1">
        <v>44139</v>
      </c>
      <c r="B215">
        <v>214.02000427246094</v>
      </c>
      <c r="C215">
        <v>218.32000732421875</v>
      </c>
      <c r="D215">
        <v>212.41999816894531</v>
      </c>
      <c r="E215">
        <v>216.38999938964844</v>
      </c>
      <c r="F215">
        <v>42311800</v>
      </c>
      <c r="G215">
        <v>207.480224609375</v>
      </c>
      <c r="H215" s="2">
        <f>MONTH(Query1[[#This Row],[Date]])</f>
        <v>11</v>
      </c>
      <c r="I215" s="3">
        <f>Query1[[#This Row],[Shares]]*Query1[[#This Row],[Adj Close]]</f>
        <v>745330.9962334251</v>
      </c>
      <c r="J215" s="3">
        <f>IF(ROW()&lt;3, Dashboard!$E$7, IF(Query1[[#This Row],[Month]]&lt;&gt;H214,J214*(1+Dashboard!$E$4)+Dashboard!$E$5,J214))</f>
        <v>573235.48778784322</v>
      </c>
      <c r="K215">
        <f>IF(ROW()&lt;3, 0,IF(Query1[[#This Row],[Month]]&lt;&gt;H214,IF((J215-I215&gt;0),J215-I215,0),0))</f>
        <v>0</v>
      </c>
      <c r="L215" s="2">
        <f t="shared" si="3"/>
        <v>3592.2989655359538</v>
      </c>
      <c r="M215">
        <f>IF(ROW()&lt;3, 0, IF(Query1[[#This Row],[Month]]&lt;&gt;H214, Dashboard!$J$5,0))</f>
        <v>0</v>
      </c>
      <c r="N215" s="2">
        <f>IF(ROW()&lt;3, Query1[[#This Row],[Shares]], IF(Query1[[#This Row],[Month]]&lt;&gt;H214, N214+Query1[[#This Row],[Fix Top Up]]/Query1[[#This Row],[Adj Close]], N214))</f>
        <v>3315.2145614141455</v>
      </c>
      <c r="O215">
        <f>IF(AND(Query1[[#This Row],[avg]]&gt;0, Query1[[#This Row],[Month]]&lt;&gt;H214),
    IF(Query1[[#This Row],[Adj Close]]&gt;Query1[[#This Row],[avg]],
       Dashboard!$L$5-Dashboard!$E$6,
       Dashboard!$L$5+Dashboard!$E$6
    ), 0
)</f>
        <v>0</v>
      </c>
      <c r="P215" s="2">
        <f>IF(ROW()&lt;3, Query1[[#This Row],[Shares]], IF(Query1[[#This Row],[Month]]&lt;&gt;H214, P214+Query1[[#This Row],[Enhanced top up]]/Query1[[#This Row],[Adj Close]], P214))</f>
        <v>3305.2383847384849</v>
      </c>
      <c r="Q215" s="2">
        <f>IFERROR(AVERAGE(
  IF(ROW()&gt;20, INDEX(G:G, ROW()-20), 0) :
  INDEX(G:G, ROW())
),0)</f>
        <v>204.26633707682291</v>
      </c>
    </row>
    <row r="216" spans="1:17" x14ac:dyDescent="0.4">
      <c r="A216" s="1">
        <v>44140</v>
      </c>
      <c r="B216">
        <v>222.03999328613281</v>
      </c>
      <c r="C216">
        <v>224.1199951171875</v>
      </c>
      <c r="D216">
        <v>221.14999389648438</v>
      </c>
      <c r="E216">
        <v>223.28999328613281</v>
      </c>
      <c r="F216">
        <v>36080100</v>
      </c>
      <c r="G216">
        <v>214.09613037109375</v>
      </c>
      <c r="H216" s="2">
        <f>MONTH(Query1[[#This Row],[Date]])</f>
        <v>11</v>
      </c>
      <c r="I216" s="3">
        <f>Query1[[#This Row],[Shares]]*Query1[[#This Row],[Adj Close]]</f>
        <v>769097.30765733076</v>
      </c>
      <c r="J216" s="3">
        <f>IF(ROW()&lt;3, Dashboard!$E$7, IF(Query1[[#This Row],[Month]]&lt;&gt;H215,J215*(1+Dashboard!$E$4)+Dashboard!$E$5,J215))</f>
        <v>573235.48778784322</v>
      </c>
      <c r="K216">
        <f>IF(ROW()&lt;3, 0,IF(Query1[[#This Row],[Month]]&lt;&gt;H215,IF((J216-I216&gt;0),J216-I216,0),0))</f>
        <v>0</v>
      </c>
      <c r="L216" s="2">
        <f t="shared" si="3"/>
        <v>3592.2989655359538</v>
      </c>
      <c r="M216">
        <f>IF(ROW()&lt;3, 0, IF(Query1[[#This Row],[Month]]&lt;&gt;H215, Dashboard!$J$5,0))</f>
        <v>0</v>
      </c>
      <c r="N216" s="2">
        <f>IF(ROW()&lt;3, Query1[[#This Row],[Shares]], IF(Query1[[#This Row],[Month]]&lt;&gt;H215, N215+Query1[[#This Row],[Fix Top Up]]/Query1[[#This Row],[Adj Close]], N215))</f>
        <v>3315.2145614141455</v>
      </c>
      <c r="O216">
        <f>IF(AND(Query1[[#This Row],[avg]]&gt;0, Query1[[#This Row],[Month]]&lt;&gt;H215),
    IF(Query1[[#This Row],[Adj Close]]&gt;Query1[[#This Row],[avg]],
       Dashboard!$L$5-Dashboard!$E$6,
       Dashboard!$L$5+Dashboard!$E$6
    ), 0
)</f>
        <v>0</v>
      </c>
      <c r="P216" s="2">
        <f>IF(ROW()&lt;3, Query1[[#This Row],[Shares]], IF(Query1[[#This Row],[Month]]&lt;&gt;H215, P215+Query1[[#This Row],[Enhanced top up]]/Query1[[#This Row],[Adj Close]], P215))</f>
        <v>3305.2383847384849</v>
      </c>
      <c r="Q216" s="2">
        <f>IFERROR(AVERAGE(
  IF(ROW()&gt;20, INDEX(G:G, ROW()-20), 0) :
  INDEX(G:G, ROW())
),0)</f>
        <v>204.88089933849517</v>
      </c>
    </row>
    <row r="217" spans="1:17" x14ac:dyDescent="0.4">
      <c r="A217" s="1">
        <v>44141</v>
      </c>
      <c r="B217">
        <v>222.25999450683594</v>
      </c>
      <c r="C217">
        <v>224.36000061035156</v>
      </c>
      <c r="D217">
        <v>218.02999877929688</v>
      </c>
      <c r="E217">
        <v>223.72000122070313</v>
      </c>
      <c r="F217">
        <v>25231900</v>
      </c>
      <c r="G217">
        <v>214.50843811035156</v>
      </c>
      <c r="H217" s="2">
        <f>MONTH(Query1[[#This Row],[Date]])</f>
        <v>11</v>
      </c>
      <c r="I217" s="3">
        <f>Query1[[#This Row],[Shares]]*Query1[[#This Row],[Adj Close]]</f>
        <v>770578.44032254908</v>
      </c>
      <c r="J217" s="3">
        <f>IF(ROW()&lt;3, Dashboard!$E$7, IF(Query1[[#This Row],[Month]]&lt;&gt;H216,J216*(1+Dashboard!$E$4)+Dashboard!$E$5,J216))</f>
        <v>573235.48778784322</v>
      </c>
      <c r="K217">
        <f>IF(ROW()&lt;3, 0,IF(Query1[[#This Row],[Month]]&lt;&gt;H216,IF((J217-I217&gt;0),J217-I217,0),0))</f>
        <v>0</v>
      </c>
      <c r="L217" s="2">
        <f t="shared" si="3"/>
        <v>3592.2989655359538</v>
      </c>
      <c r="M217">
        <f>IF(ROW()&lt;3, 0, IF(Query1[[#This Row],[Month]]&lt;&gt;H216, Dashboard!$J$5,0))</f>
        <v>0</v>
      </c>
      <c r="N217" s="2">
        <f>IF(ROW()&lt;3, Query1[[#This Row],[Shares]], IF(Query1[[#This Row],[Month]]&lt;&gt;H216, N216+Query1[[#This Row],[Fix Top Up]]/Query1[[#This Row],[Adj Close]], N216))</f>
        <v>3315.2145614141455</v>
      </c>
      <c r="O217">
        <f>IF(AND(Query1[[#This Row],[avg]]&gt;0, Query1[[#This Row],[Month]]&lt;&gt;H216),
    IF(Query1[[#This Row],[Adj Close]]&gt;Query1[[#This Row],[avg]],
       Dashboard!$L$5-Dashboard!$E$6,
       Dashboard!$L$5+Dashboard!$E$6
    ), 0
)</f>
        <v>0</v>
      </c>
      <c r="P217" s="2">
        <f>IF(ROW()&lt;3, Query1[[#This Row],[Shares]], IF(Query1[[#This Row],[Month]]&lt;&gt;H216, P216+Query1[[#This Row],[Enhanced top up]]/Query1[[#This Row],[Adj Close]], P216))</f>
        <v>3305.2383847384849</v>
      </c>
      <c r="Q217" s="2">
        <f>IFERROR(AVERAGE(
  IF(ROW()&gt;20, INDEX(G:G, ROW()-20), 0) :
  INDEX(G:G, ROW())
),0)</f>
        <v>205.48085167294457</v>
      </c>
    </row>
    <row r="218" spans="1:17" x14ac:dyDescent="0.4">
      <c r="A218" s="1">
        <v>44144</v>
      </c>
      <c r="B218">
        <v>224.44000244140625</v>
      </c>
      <c r="C218">
        <v>228.1199951171875</v>
      </c>
      <c r="D218">
        <v>217.8800048828125</v>
      </c>
      <c r="E218">
        <v>218.38999938964844</v>
      </c>
      <c r="F218">
        <v>44395000</v>
      </c>
      <c r="G218">
        <v>209.39788818359375</v>
      </c>
      <c r="H218" s="2">
        <f>MONTH(Query1[[#This Row],[Date]])</f>
        <v>11</v>
      </c>
      <c r="I218" s="3">
        <f>Query1[[#This Row],[Shares]]*Query1[[#This Row],[Adj Close]]</f>
        <v>752219.81710733718</v>
      </c>
      <c r="J218" s="3">
        <f>IF(ROW()&lt;3, Dashboard!$E$7, IF(Query1[[#This Row],[Month]]&lt;&gt;H217,J217*(1+Dashboard!$E$4)+Dashboard!$E$5,J217))</f>
        <v>573235.48778784322</v>
      </c>
      <c r="K218">
        <f>IF(ROW()&lt;3, 0,IF(Query1[[#This Row],[Month]]&lt;&gt;H217,IF((J218-I218&gt;0),J218-I218,0),0))</f>
        <v>0</v>
      </c>
      <c r="L218" s="2">
        <f t="shared" si="3"/>
        <v>3592.2989655359538</v>
      </c>
      <c r="M218">
        <f>IF(ROW()&lt;3, 0, IF(Query1[[#This Row],[Month]]&lt;&gt;H217, Dashboard!$J$5,0))</f>
        <v>0</v>
      </c>
      <c r="N218" s="2">
        <f>IF(ROW()&lt;3, Query1[[#This Row],[Shares]], IF(Query1[[#This Row],[Month]]&lt;&gt;H217, N217+Query1[[#This Row],[Fix Top Up]]/Query1[[#This Row],[Adj Close]], N217))</f>
        <v>3315.2145614141455</v>
      </c>
      <c r="O218">
        <f>IF(AND(Query1[[#This Row],[avg]]&gt;0, Query1[[#This Row],[Month]]&lt;&gt;H217),
    IF(Query1[[#This Row],[Adj Close]]&gt;Query1[[#This Row],[avg]],
       Dashboard!$L$5-Dashboard!$E$6,
       Dashboard!$L$5+Dashboard!$E$6
    ), 0
)</f>
        <v>0</v>
      </c>
      <c r="P218" s="2">
        <f>IF(ROW()&lt;3, Query1[[#This Row],[Shares]], IF(Query1[[#This Row],[Month]]&lt;&gt;H217, P217+Query1[[#This Row],[Enhanced top up]]/Query1[[#This Row],[Adj Close]], P217))</f>
        <v>3305.2383847384849</v>
      </c>
      <c r="Q218" s="2">
        <f>IFERROR(AVERAGE(
  IF(ROW()&gt;20, INDEX(G:G, ROW()-20), 0) :
  INDEX(G:G, ROW())
),0)</f>
        <v>205.59865170433409</v>
      </c>
    </row>
    <row r="219" spans="1:17" x14ac:dyDescent="0.4">
      <c r="A219" s="1">
        <v>44145</v>
      </c>
      <c r="B219">
        <v>214.5</v>
      </c>
      <c r="C219">
        <v>216.5</v>
      </c>
      <c r="D219">
        <v>209.72000122070313</v>
      </c>
      <c r="E219">
        <v>211.00999450683594</v>
      </c>
      <c r="F219">
        <v>44045100</v>
      </c>
      <c r="G219">
        <v>202.32177734375</v>
      </c>
      <c r="H219" s="2">
        <f>MONTH(Query1[[#This Row],[Date]])</f>
        <v>11</v>
      </c>
      <c r="I219" s="3">
        <f>Query1[[#This Row],[Shares]]*Query1[[#This Row],[Adj Close]]</f>
        <v>726800.31145734875</v>
      </c>
      <c r="J219" s="3">
        <f>IF(ROW()&lt;3, Dashboard!$E$7, IF(Query1[[#This Row],[Month]]&lt;&gt;H218,J218*(1+Dashboard!$E$4)+Dashboard!$E$5,J218))</f>
        <v>573235.48778784322</v>
      </c>
      <c r="K219">
        <f>IF(ROW()&lt;3, 0,IF(Query1[[#This Row],[Month]]&lt;&gt;H218,IF((J219-I219&gt;0),J219-I219,0),0))</f>
        <v>0</v>
      </c>
      <c r="L219" s="2">
        <f t="shared" si="3"/>
        <v>3592.2989655359538</v>
      </c>
      <c r="M219">
        <f>IF(ROW()&lt;3, 0, IF(Query1[[#This Row],[Month]]&lt;&gt;H218, Dashboard!$J$5,0))</f>
        <v>0</v>
      </c>
      <c r="N219" s="2">
        <f>IF(ROW()&lt;3, Query1[[#This Row],[Shares]], IF(Query1[[#This Row],[Month]]&lt;&gt;H218, N218+Query1[[#This Row],[Fix Top Up]]/Query1[[#This Row],[Adj Close]], N218))</f>
        <v>3315.2145614141455</v>
      </c>
      <c r="O219">
        <f>IF(AND(Query1[[#This Row],[avg]]&gt;0, Query1[[#This Row],[Month]]&lt;&gt;H218),
    IF(Query1[[#This Row],[Adj Close]]&gt;Query1[[#This Row],[avg]],
       Dashboard!$L$5-Dashboard!$E$6,
       Dashboard!$L$5+Dashboard!$E$6
    ), 0
)</f>
        <v>0</v>
      </c>
      <c r="P219" s="2">
        <f>IF(ROW()&lt;3, Query1[[#This Row],[Shares]], IF(Query1[[#This Row],[Month]]&lt;&gt;H218, P218+Query1[[#This Row],[Enhanced top up]]/Query1[[#This Row],[Adj Close]], P218))</f>
        <v>3305.2383847384849</v>
      </c>
      <c r="Q219" s="2">
        <f>IFERROR(AVERAGE(
  IF(ROW()&gt;20, INDEX(G:G, ROW()-20), 0) :
  INDEX(G:G, ROW())
),0)</f>
        <v>205.12426321847099</v>
      </c>
    </row>
    <row r="220" spans="1:17" x14ac:dyDescent="0.4">
      <c r="A220" s="1">
        <v>44146</v>
      </c>
      <c r="B220">
        <v>212.38999938964844</v>
      </c>
      <c r="C220">
        <v>218.03999328613281</v>
      </c>
      <c r="D220">
        <v>212.19999694824219</v>
      </c>
      <c r="E220">
        <v>216.55000305175781</v>
      </c>
      <c r="F220">
        <v>29440800</v>
      </c>
      <c r="G220">
        <v>207.6336669921875</v>
      </c>
      <c r="H220" s="2">
        <f>MONTH(Query1[[#This Row],[Date]])</f>
        <v>11</v>
      </c>
      <c r="I220" s="3">
        <f>Query1[[#This Row],[Shares]]*Query1[[#This Row],[Adj Close]]</f>
        <v>745882.20714647183</v>
      </c>
      <c r="J220" s="3">
        <f>IF(ROW()&lt;3, Dashboard!$E$7, IF(Query1[[#This Row],[Month]]&lt;&gt;H219,J219*(1+Dashboard!$E$4)+Dashboard!$E$5,J219))</f>
        <v>573235.48778784322</v>
      </c>
      <c r="K220">
        <f>IF(ROW()&lt;3, 0,IF(Query1[[#This Row],[Month]]&lt;&gt;H219,IF((J220-I220&gt;0),J220-I220,0),0))</f>
        <v>0</v>
      </c>
      <c r="L220" s="2">
        <f t="shared" si="3"/>
        <v>3592.2989655359538</v>
      </c>
      <c r="M220">
        <f>IF(ROW()&lt;3, 0, IF(Query1[[#This Row],[Month]]&lt;&gt;H219, Dashboard!$J$5,0))</f>
        <v>0</v>
      </c>
      <c r="N220" s="2">
        <f>IF(ROW()&lt;3, Query1[[#This Row],[Shares]], IF(Query1[[#This Row],[Month]]&lt;&gt;H219, N219+Query1[[#This Row],[Fix Top Up]]/Query1[[#This Row],[Adj Close]], N219))</f>
        <v>3315.2145614141455</v>
      </c>
      <c r="O220">
        <f>IF(AND(Query1[[#This Row],[avg]]&gt;0, Query1[[#This Row],[Month]]&lt;&gt;H219),
    IF(Query1[[#This Row],[Adj Close]]&gt;Query1[[#This Row],[avg]],
       Dashboard!$L$5-Dashboard!$E$6,
       Dashboard!$L$5+Dashboard!$E$6
    ), 0
)</f>
        <v>0</v>
      </c>
      <c r="P220" s="2">
        <f>IF(ROW()&lt;3, Query1[[#This Row],[Shares]], IF(Query1[[#This Row],[Month]]&lt;&gt;H219, P219+Query1[[#This Row],[Enhanced top up]]/Query1[[#This Row],[Adj Close]], P219))</f>
        <v>3305.2383847384849</v>
      </c>
      <c r="Q220" s="2">
        <f>IFERROR(AVERAGE(
  IF(ROW()&gt;20, INDEX(G:G, ROW()-20), 0) :
  INDEX(G:G, ROW())
),0)</f>
        <v>204.83616056896392</v>
      </c>
    </row>
    <row r="221" spans="1:17" x14ac:dyDescent="0.4">
      <c r="A221" s="1">
        <v>44147</v>
      </c>
      <c r="B221">
        <v>217.21000671386719</v>
      </c>
      <c r="C221">
        <v>219.11000061035156</v>
      </c>
      <c r="D221">
        <v>214.46000671386719</v>
      </c>
      <c r="E221">
        <v>215.44000244140625</v>
      </c>
      <c r="F221">
        <v>21593900</v>
      </c>
      <c r="G221">
        <v>206.5693359375</v>
      </c>
      <c r="H221" s="2">
        <f>MONTH(Query1[[#This Row],[Date]])</f>
        <v>11</v>
      </c>
      <c r="I221" s="3">
        <f>Query1[[#This Row],[Shares]]*Query1[[#This Row],[Adj Close]]</f>
        <v>742058.81179973017</v>
      </c>
      <c r="J221" s="3">
        <f>IF(ROW()&lt;3, Dashboard!$E$7, IF(Query1[[#This Row],[Month]]&lt;&gt;H220,J220*(1+Dashboard!$E$4)+Dashboard!$E$5,J220))</f>
        <v>573235.48778784322</v>
      </c>
      <c r="K221">
        <f>IF(ROW()&lt;3, 0,IF(Query1[[#This Row],[Month]]&lt;&gt;H220,IF((J221-I221&gt;0),J221-I221,0),0))</f>
        <v>0</v>
      </c>
      <c r="L221" s="2">
        <f t="shared" si="3"/>
        <v>3592.2989655359538</v>
      </c>
      <c r="M221">
        <f>IF(ROW()&lt;3, 0, IF(Query1[[#This Row],[Month]]&lt;&gt;H220, Dashboard!$J$5,0))</f>
        <v>0</v>
      </c>
      <c r="N221" s="2">
        <f>IF(ROW()&lt;3, Query1[[#This Row],[Shares]], IF(Query1[[#This Row],[Month]]&lt;&gt;H220, N220+Query1[[#This Row],[Fix Top Up]]/Query1[[#This Row],[Adj Close]], N220))</f>
        <v>3315.2145614141455</v>
      </c>
      <c r="O221">
        <f>IF(AND(Query1[[#This Row],[avg]]&gt;0, Query1[[#This Row],[Month]]&lt;&gt;H220),
    IF(Query1[[#This Row],[Adj Close]]&gt;Query1[[#This Row],[avg]],
       Dashboard!$L$5-Dashboard!$E$6,
       Dashboard!$L$5+Dashboard!$E$6
    ), 0
)</f>
        <v>0</v>
      </c>
      <c r="P221" s="2">
        <f>IF(ROW()&lt;3, Query1[[#This Row],[Shares]], IF(Query1[[#This Row],[Month]]&lt;&gt;H220, P220+Query1[[#This Row],[Enhanced top up]]/Query1[[#This Row],[Adj Close]], P220))</f>
        <v>3305.2383847384849</v>
      </c>
      <c r="Q221" s="2">
        <f>IFERROR(AVERAGE(
  IF(ROW()&gt;20, INDEX(G:G, ROW()-20), 0) :
  INDEX(G:G, ROW())
),0)</f>
        <v>204.58869207473029</v>
      </c>
    </row>
    <row r="222" spans="1:17" x14ac:dyDescent="0.4">
      <c r="A222" s="1">
        <v>44148</v>
      </c>
      <c r="B222">
        <v>216.36000061035156</v>
      </c>
      <c r="C222">
        <v>217.41999816894531</v>
      </c>
      <c r="D222">
        <v>214.16000366210938</v>
      </c>
      <c r="E222">
        <v>216.50999450683594</v>
      </c>
      <c r="F222">
        <v>18621100</v>
      </c>
      <c r="G222">
        <v>207.59527587890625</v>
      </c>
      <c r="H222" s="2">
        <f>MONTH(Query1[[#This Row],[Date]])</f>
        <v>11</v>
      </c>
      <c r="I222" s="3">
        <f>Query1[[#This Row],[Shares]]*Query1[[#This Row],[Adj Close]]</f>
        <v>745744.29478994582</v>
      </c>
      <c r="J222" s="3">
        <f>IF(ROW()&lt;3, Dashboard!$E$7, IF(Query1[[#This Row],[Month]]&lt;&gt;H221,J221*(1+Dashboard!$E$4)+Dashboard!$E$5,J221))</f>
        <v>573235.48778784322</v>
      </c>
      <c r="K222">
        <f>IF(ROW()&lt;3, 0,IF(Query1[[#This Row],[Month]]&lt;&gt;H221,IF((J222-I222&gt;0),J222-I222,0),0))</f>
        <v>0</v>
      </c>
      <c r="L222" s="2">
        <f t="shared" si="3"/>
        <v>3592.2989655359538</v>
      </c>
      <c r="M222">
        <f>IF(ROW()&lt;3, 0, IF(Query1[[#This Row],[Month]]&lt;&gt;H221, Dashboard!$J$5,0))</f>
        <v>0</v>
      </c>
      <c r="N222" s="2">
        <f>IF(ROW()&lt;3, Query1[[#This Row],[Shares]], IF(Query1[[#This Row],[Month]]&lt;&gt;H221, N221+Query1[[#This Row],[Fix Top Up]]/Query1[[#This Row],[Adj Close]], N221))</f>
        <v>3315.2145614141455</v>
      </c>
      <c r="O222">
        <f>IF(AND(Query1[[#This Row],[avg]]&gt;0, Query1[[#This Row],[Month]]&lt;&gt;H221),
    IF(Query1[[#This Row],[Adj Close]]&gt;Query1[[#This Row],[avg]],
       Dashboard!$L$5-Dashboard!$E$6,
       Dashboard!$L$5+Dashboard!$E$6
    ), 0
)</f>
        <v>0</v>
      </c>
      <c r="P222" s="2">
        <f>IF(ROW()&lt;3, Query1[[#This Row],[Shares]], IF(Query1[[#This Row],[Month]]&lt;&gt;H221, P221+Query1[[#This Row],[Enhanced top up]]/Query1[[#This Row],[Adj Close]], P221))</f>
        <v>3305.2383847384849</v>
      </c>
      <c r="Q222" s="2">
        <f>IFERROR(AVERAGE(
  IF(ROW()&gt;20, INDEX(G:G, ROW()-20), 0) :
  INDEX(G:G, ROW())
),0)</f>
        <v>204.44486636207216</v>
      </c>
    </row>
    <row r="223" spans="1:17" x14ac:dyDescent="0.4">
      <c r="A223" s="1">
        <v>44151</v>
      </c>
      <c r="B223">
        <v>214.8699951171875</v>
      </c>
      <c r="C223">
        <v>217.74000549316406</v>
      </c>
      <c r="D223">
        <v>214.52000427246094</v>
      </c>
      <c r="E223">
        <v>217.22999572753906</v>
      </c>
      <c r="F223">
        <v>24953300</v>
      </c>
      <c r="G223">
        <v>208.28565979003906</v>
      </c>
      <c r="H223" s="2">
        <f>MONTH(Query1[[#This Row],[Date]])</f>
        <v>11</v>
      </c>
      <c r="I223" s="3">
        <f>Query1[[#This Row],[Shares]]*Query1[[#This Row],[Adj Close]]</f>
        <v>748224.36019973096</v>
      </c>
      <c r="J223" s="3">
        <f>IF(ROW()&lt;3, Dashboard!$E$7, IF(Query1[[#This Row],[Month]]&lt;&gt;H222,J222*(1+Dashboard!$E$4)+Dashboard!$E$5,J222))</f>
        <v>573235.48778784322</v>
      </c>
      <c r="K223">
        <f>IF(ROW()&lt;3, 0,IF(Query1[[#This Row],[Month]]&lt;&gt;H222,IF((J223-I223&gt;0),J223-I223,0),0))</f>
        <v>0</v>
      </c>
      <c r="L223" s="2">
        <f t="shared" si="3"/>
        <v>3592.2989655359538</v>
      </c>
      <c r="M223">
        <f>IF(ROW()&lt;3, 0, IF(Query1[[#This Row],[Month]]&lt;&gt;H222, Dashboard!$J$5,0))</f>
        <v>0</v>
      </c>
      <c r="N223" s="2">
        <f>IF(ROW()&lt;3, Query1[[#This Row],[Shares]], IF(Query1[[#This Row],[Month]]&lt;&gt;H222, N222+Query1[[#This Row],[Fix Top Up]]/Query1[[#This Row],[Adj Close]], N222))</f>
        <v>3315.2145614141455</v>
      </c>
      <c r="O223">
        <f>IF(AND(Query1[[#This Row],[avg]]&gt;0, Query1[[#This Row],[Month]]&lt;&gt;H222),
    IF(Query1[[#This Row],[Adj Close]]&gt;Query1[[#This Row],[avg]],
       Dashboard!$L$5-Dashboard!$E$6,
       Dashboard!$L$5+Dashboard!$E$6
    ), 0
)</f>
        <v>0</v>
      </c>
      <c r="P223" s="2">
        <f>IF(ROW()&lt;3, Query1[[#This Row],[Shares]], IF(Query1[[#This Row],[Month]]&lt;&gt;H222, P222+Query1[[#This Row],[Enhanced top up]]/Query1[[#This Row],[Adj Close]], P222))</f>
        <v>3305.2383847384849</v>
      </c>
      <c r="Q223" s="2">
        <f>IFERROR(AVERAGE(
  IF(ROW()&gt;20, INDEX(G:G, ROW()-20), 0) :
  INDEX(G:G, ROW())
),0)</f>
        <v>204.33391607375373</v>
      </c>
    </row>
    <row r="224" spans="1:17" x14ac:dyDescent="0.4">
      <c r="A224" s="1">
        <v>44152</v>
      </c>
      <c r="B224">
        <v>216.10000610351563</v>
      </c>
      <c r="C224">
        <v>217.67999267578125</v>
      </c>
      <c r="D224">
        <v>214.08000183105469</v>
      </c>
      <c r="E224">
        <v>214.46000671386719</v>
      </c>
      <c r="F224">
        <v>24154100</v>
      </c>
      <c r="G224">
        <v>205.62973022460938</v>
      </c>
      <c r="H224" s="2">
        <f>MONTH(Query1[[#This Row],[Date]])</f>
        <v>11</v>
      </c>
      <c r="I224" s="3">
        <f>Query1[[#This Row],[Shares]]*Query1[[#This Row],[Adj Close]]</f>
        <v>738683.46716930147</v>
      </c>
      <c r="J224" s="3">
        <f>IF(ROW()&lt;3, Dashboard!$E$7, IF(Query1[[#This Row],[Month]]&lt;&gt;H223,J223*(1+Dashboard!$E$4)+Dashboard!$E$5,J223))</f>
        <v>573235.48778784322</v>
      </c>
      <c r="K224">
        <f>IF(ROW()&lt;3, 0,IF(Query1[[#This Row],[Month]]&lt;&gt;H223,IF((J224-I224&gt;0),J224-I224,0),0))</f>
        <v>0</v>
      </c>
      <c r="L224" s="2">
        <f t="shared" si="3"/>
        <v>3592.2989655359538</v>
      </c>
      <c r="M224">
        <f>IF(ROW()&lt;3, 0, IF(Query1[[#This Row],[Month]]&lt;&gt;H223, Dashboard!$J$5,0))</f>
        <v>0</v>
      </c>
      <c r="N224" s="2">
        <f>IF(ROW()&lt;3, Query1[[#This Row],[Shares]], IF(Query1[[#This Row],[Month]]&lt;&gt;H223, N223+Query1[[#This Row],[Fix Top Up]]/Query1[[#This Row],[Adj Close]], N223))</f>
        <v>3315.2145614141455</v>
      </c>
      <c r="O224">
        <f>IF(AND(Query1[[#This Row],[avg]]&gt;0, Query1[[#This Row],[Month]]&lt;&gt;H223),
    IF(Query1[[#This Row],[Adj Close]]&gt;Query1[[#This Row],[avg]],
       Dashboard!$L$5-Dashboard!$E$6,
       Dashboard!$L$5+Dashboard!$E$6
    ), 0
)</f>
        <v>0</v>
      </c>
      <c r="P224" s="2">
        <f>IF(ROW()&lt;3, Query1[[#This Row],[Shares]], IF(Query1[[#This Row],[Month]]&lt;&gt;H223, P223+Query1[[#This Row],[Enhanced top up]]/Query1[[#This Row],[Adj Close]], P223))</f>
        <v>3305.2383847384849</v>
      </c>
      <c r="Q224" s="2">
        <f>IFERROR(AVERAGE(
  IF(ROW()&gt;20, INDEX(G:G, ROW()-20), 0) :
  INDEX(G:G, ROW())
),0)</f>
        <v>204.3448755173456</v>
      </c>
    </row>
    <row r="225" spans="1:17" x14ac:dyDescent="0.4">
      <c r="A225" s="1">
        <v>44153</v>
      </c>
      <c r="B225">
        <v>213.64999389648438</v>
      </c>
      <c r="C225">
        <v>215.16999816894531</v>
      </c>
      <c r="D225">
        <v>210.92999267578125</v>
      </c>
      <c r="E225">
        <v>211.08000183105469</v>
      </c>
      <c r="F225">
        <v>28372800</v>
      </c>
      <c r="G225">
        <v>202.91876220703125</v>
      </c>
      <c r="H225" s="2">
        <f>MONTH(Query1[[#This Row],[Date]])</f>
        <v>11</v>
      </c>
      <c r="I225" s="3">
        <f>Query1[[#This Row],[Shares]]*Query1[[#This Row],[Adj Close]]</f>
        <v>728944.85956415453</v>
      </c>
      <c r="J225" s="3">
        <f>IF(ROW()&lt;3, Dashboard!$E$7, IF(Query1[[#This Row],[Month]]&lt;&gt;H224,J224*(1+Dashboard!$E$4)+Dashboard!$E$5,J224))</f>
        <v>573235.48778784322</v>
      </c>
      <c r="K225">
        <f>IF(ROW()&lt;3, 0,IF(Query1[[#This Row],[Month]]&lt;&gt;H224,IF((J225-I225&gt;0),J225-I225,0),0))</f>
        <v>0</v>
      </c>
      <c r="L225" s="2">
        <f t="shared" si="3"/>
        <v>3592.2989655359538</v>
      </c>
      <c r="M225">
        <f>IF(ROW()&lt;3, 0, IF(Query1[[#This Row],[Month]]&lt;&gt;H224, Dashboard!$J$5,0))</f>
        <v>0</v>
      </c>
      <c r="N225" s="2">
        <f>IF(ROW()&lt;3, Query1[[#This Row],[Shares]], IF(Query1[[#This Row],[Month]]&lt;&gt;H224, N224+Query1[[#This Row],[Fix Top Up]]/Query1[[#This Row],[Adj Close]], N224))</f>
        <v>3315.2145614141455</v>
      </c>
      <c r="O225">
        <f>IF(AND(Query1[[#This Row],[avg]]&gt;0, Query1[[#This Row],[Month]]&lt;&gt;H224),
    IF(Query1[[#This Row],[Adj Close]]&gt;Query1[[#This Row],[avg]],
       Dashboard!$L$5-Dashboard!$E$6,
       Dashboard!$L$5+Dashboard!$E$6
    ), 0
)</f>
        <v>0</v>
      </c>
      <c r="P225" s="2">
        <f>IF(ROW()&lt;3, Query1[[#This Row],[Shares]], IF(Query1[[#This Row],[Month]]&lt;&gt;H224, P224+Query1[[#This Row],[Enhanced top up]]/Query1[[#This Row],[Adj Close]], P224))</f>
        <v>3305.2383847384849</v>
      </c>
      <c r="Q225" s="2">
        <f>IFERROR(AVERAGE(
  IF(ROW()&gt;20, INDEX(G:G, ROW()-20), 0) :
  INDEX(G:G, ROW())
),0)</f>
        <v>204.20710754394531</v>
      </c>
    </row>
    <row r="226" spans="1:17" x14ac:dyDescent="0.4">
      <c r="A226" s="1">
        <v>44154</v>
      </c>
      <c r="B226">
        <v>211.3800048828125</v>
      </c>
      <c r="C226">
        <v>213.02999877929688</v>
      </c>
      <c r="D226">
        <v>209.92999267578125</v>
      </c>
      <c r="E226">
        <v>212.41999816894531</v>
      </c>
      <c r="F226">
        <v>24792700</v>
      </c>
      <c r="G226">
        <v>204.20692443847656</v>
      </c>
      <c r="H226" s="2">
        <f>MONTH(Query1[[#This Row],[Date]])</f>
        <v>11</v>
      </c>
      <c r="I226" s="3">
        <f>Query1[[#This Row],[Shares]]*Query1[[#This Row],[Adj Close]]</f>
        <v>733572.32341561804</v>
      </c>
      <c r="J226" s="3">
        <f>IF(ROW()&lt;3, Dashboard!$E$7, IF(Query1[[#This Row],[Month]]&lt;&gt;H225,J225*(1+Dashboard!$E$4)+Dashboard!$E$5,J225))</f>
        <v>573235.48778784322</v>
      </c>
      <c r="K226">
        <f>IF(ROW()&lt;3, 0,IF(Query1[[#This Row],[Month]]&lt;&gt;H225,IF((J226-I226&gt;0),J226-I226,0),0))</f>
        <v>0</v>
      </c>
      <c r="L226" s="2">
        <f t="shared" si="3"/>
        <v>3592.2989655359538</v>
      </c>
      <c r="M226">
        <f>IF(ROW()&lt;3, 0, IF(Query1[[#This Row],[Month]]&lt;&gt;H225, Dashboard!$J$5,0))</f>
        <v>0</v>
      </c>
      <c r="N226" s="2">
        <f>IF(ROW()&lt;3, Query1[[#This Row],[Shares]], IF(Query1[[#This Row],[Month]]&lt;&gt;H225, N225+Query1[[#This Row],[Fix Top Up]]/Query1[[#This Row],[Adj Close]], N225))</f>
        <v>3315.2145614141455</v>
      </c>
      <c r="O226">
        <f>IF(AND(Query1[[#This Row],[avg]]&gt;0, Query1[[#This Row],[Month]]&lt;&gt;H225),
    IF(Query1[[#This Row],[Adj Close]]&gt;Query1[[#This Row],[avg]],
       Dashboard!$L$5-Dashboard!$E$6,
       Dashboard!$L$5+Dashboard!$E$6
    ), 0
)</f>
        <v>0</v>
      </c>
      <c r="P226" s="2">
        <f>IF(ROW()&lt;3, Query1[[#This Row],[Shares]], IF(Query1[[#This Row],[Month]]&lt;&gt;H225, P225+Query1[[#This Row],[Enhanced top up]]/Query1[[#This Row],[Adj Close]], P225))</f>
        <v>3305.2383847384849</v>
      </c>
      <c r="Q226" s="2">
        <f>IFERROR(AVERAGE(
  IF(ROW()&gt;20, INDEX(G:G, ROW()-20), 0) :
  INDEX(G:G, ROW())
),0)</f>
        <v>204.12383233933221</v>
      </c>
    </row>
    <row r="227" spans="1:17" x14ac:dyDescent="0.4">
      <c r="A227" s="1">
        <v>44155</v>
      </c>
      <c r="B227">
        <v>212.19999694824219</v>
      </c>
      <c r="C227">
        <v>213.28999328613281</v>
      </c>
      <c r="D227">
        <v>210</v>
      </c>
      <c r="E227">
        <v>210.38999938964844</v>
      </c>
      <c r="F227">
        <v>22843100</v>
      </c>
      <c r="G227">
        <v>202.25546264648438</v>
      </c>
      <c r="H227" s="2">
        <f>MONTH(Query1[[#This Row],[Date]])</f>
        <v>11</v>
      </c>
      <c r="I227" s="3">
        <f>Query1[[#This Row],[Shares]]*Query1[[#This Row],[Adj Close]]</f>
        <v>726562.08923896158</v>
      </c>
      <c r="J227" s="3">
        <f>IF(ROW()&lt;3, Dashboard!$E$7, IF(Query1[[#This Row],[Month]]&lt;&gt;H226,J226*(1+Dashboard!$E$4)+Dashboard!$E$5,J226))</f>
        <v>573235.48778784322</v>
      </c>
      <c r="K227">
        <f>IF(ROW()&lt;3, 0,IF(Query1[[#This Row],[Month]]&lt;&gt;H226,IF((J227-I227&gt;0),J227-I227,0),0))</f>
        <v>0</v>
      </c>
      <c r="L227" s="2">
        <f t="shared" si="3"/>
        <v>3592.2989655359538</v>
      </c>
      <c r="M227">
        <f>IF(ROW()&lt;3, 0, IF(Query1[[#This Row],[Month]]&lt;&gt;H226, Dashboard!$J$5,0))</f>
        <v>0</v>
      </c>
      <c r="N227" s="2">
        <f>IF(ROW()&lt;3, Query1[[#This Row],[Shares]], IF(Query1[[#This Row],[Month]]&lt;&gt;H226, N226+Query1[[#This Row],[Fix Top Up]]/Query1[[#This Row],[Adj Close]], N226))</f>
        <v>3315.2145614141455</v>
      </c>
      <c r="O227">
        <f>IF(AND(Query1[[#This Row],[avg]]&gt;0, Query1[[#This Row],[Month]]&lt;&gt;H226),
    IF(Query1[[#This Row],[Adj Close]]&gt;Query1[[#This Row],[avg]],
       Dashboard!$L$5-Dashboard!$E$6,
       Dashboard!$L$5+Dashboard!$E$6
    ), 0
)</f>
        <v>0</v>
      </c>
      <c r="P227" s="2">
        <f>IF(ROW()&lt;3, Query1[[#This Row],[Shares]], IF(Query1[[#This Row],[Month]]&lt;&gt;H226, P226+Query1[[#This Row],[Enhanced top up]]/Query1[[#This Row],[Adj Close]], P226))</f>
        <v>3305.2383847384849</v>
      </c>
      <c r="Q227" s="2">
        <f>IFERROR(AVERAGE(
  IF(ROW()&gt;20, INDEX(G:G, ROW()-20), 0) :
  INDEX(G:G, ROW())
),0)</f>
        <v>203.94352068219865</v>
      </c>
    </row>
    <row r="228" spans="1:17" x14ac:dyDescent="0.4">
      <c r="A228" s="1">
        <v>44158</v>
      </c>
      <c r="B228">
        <v>210.94999694824219</v>
      </c>
      <c r="C228">
        <v>212.28999328613281</v>
      </c>
      <c r="D228">
        <v>208.16000366210938</v>
      </c>
      <c r="E228">
        <v>210.11000061035156</v>
      </c>
      <c r="F228">
        <v>25683500</v>
      </c>
      <c r="G228">
        <v>201.98625183105469</v>
      </c>
      <c r="H228" s="2">
        <f>MONTH(Query1[[#This Row],[Date]])</f>
        <v>11</v>
      </c>
      <c r="I228" s="3">
        <f>Query1[[#This Row],[Shares]]*Query1[[#This Row],[Adj Close]]</f>
        <v>725595.00350518245</v>
      </c>
      <c r="J228" s="3">
        <f>IF(ROW()&lt;3, Dashboard!$E$7, IF(Query1[[#This Row],[Month]]&lt;&gt;H227,J227*(1+Dashboard!$E$4)+Dashboard!$E$5,J227))</f>
        <v>573235.48778784322</v>
      </c>
      <c r="K228">
        <f>IF(ROW()&lt;3, 0,IF(Query1[[#This Row],[Month]]&lt;&gt;H227,IF((J228-I228&gt;0),J228-I228,0),0))</f>
        <v>0</v>
      </c>
      <c r="L228" s="2">
        <f t="shared" si="3"/>
        <v>3592.2989655359538</v>
      </c>
      <c r="M228">
        <f>IF(ROW()&lt;3, 0, IF(Query1[[#This Row],[Month]]&lt;&gt;H227, Dashboard!$J$5,0))</f>
        <v>0</v>
      </c>
      <c r="N228" s="2">
        <f>IF(ROW()&lt;3, Query1[[#This Row],[Shares]], IF(Query1[[#This Row],[Month]]&lt;&gt;H227, N227+Query1[[#This Row],[Fix Top Up]]/Query1[[#This Row],[Adj Close]], N227))</f>
        <v>3315.2145614141455</v>
      </c>
      <c r="O228">
        <f>IF(AND(Query1[[#This Row],[avg]]&gt;0, Query1[[#This Row],[Month]]&lt;&gt;H227),
    IF(Query1[[#This Row],[Adj Close]]&gt;Query1[[#This Row],[avg]],
       Dashboard!$L$5-Dashboard!$E$6,
       Dashboard!$L$5+Dashboard!$E$6
    ), 0
)</f>
        <v>0</v>
      </c>
      <c r="P228" s="2">
        <f>IF(ROW()&lt;3, Query1[[#This Row],[Shares]], IF(Query1[[#This Row],[Month]]&lt;&gt;H227, P227+Query1[[#This Row],[Enhanced top up]]/Query1[[#This Row],[Adj Close]], P227))</f>
        <v>3305.2383847384849</v>
      </c>
      <c r="Q228" s="2">
        <f>IFERROR(AVERAGE(
  IF(ROW()&gt;20, INDEX(G:G, ROW()-20), 0) :
  INDEX(G:G, ROW())
),0)</f>
        <v>203.68920680454798</v>
      </c>
    </row>
    <row r="229" spans="1:17" x14ac:dyDescent="0.4">
      <c r="A229" s="1">
        <v>44159</v>
      </c>
      <c r="B229">
        <v>209.58999633789063</v>
      </c>
      <c r="C229">
        <v>214.25</v>
      </c>
      <c r="D229">
        <v>208.86000061035156</v>
      </c>
      <c r="E229">
        <v>213.86000061035156</v>
      </c>
      <c r="F229">
        <v>33979700</v>
      </c>
      <c r="G229">
        <v>205.59126281738281</v>
      </c>
      <c r="H229" s="2">
        <f>MONTH(Query1[[#This Row],[Date]])</f>
        <v>11</v>
      </c>
      <c r="I229" s="3">
        <f>Query1[[#This Row],[Shares]]*Query1[[#This Row],[Adj Close]]</f>
        <v>738545.28074211464</v>
      </c>
      <c r="J229" s="3">
        <f>IF(ROW()&lt;3, Dashboard!$E$7, IF(Query1[[#This Row],[Month]]&lt;&gt;H228,J228*(1+Dashboard!$E$4)+Dashboard!$E$5,J228))</f>
        <v>573235.48778784322</v>
      </c>
      <c r="K229">
        <f>IF(ROW()&lt;3, 0,IF(Query1[[#This Row],[Month]]&lt;&gt;H228,IF((J229-I229&gt;0),J229-I229,0),0))</f>
        <v>0</v>
      </c>
      <c r="L229" s="2">
        <f t="shared" si="3"/>
        <v>3592.2989655359538</v>
      </c>
      <c r="M229">
        <f>IF(ROW()&lt;3, 0, IF(Query1[[#This Row],[Month]]&lt;&gt;H228, Dashboard!$J$5,0))</f>
        <v>0</v>
      </c>
      <c r="N229" s="2">
        <f>IF(ROW()&lt;3, Query1[[#This Row],[Shares]], IF(Query1[[#This Row],[Month]]&lt;&gt;H228, N228+Query1[[#This Row],[Fix Top Up]]/Query1[[#This Row],[Adj Close]], N228))</f>
        <v>3315.2145614141455</v>
      </c>
      <c r="O229">
        <f>IF(AND(Query1[[#This Row],[avg]]&gt;0, Query1[[#This Row],[Month]]&lt;&gt;H228),
    IF(Query1[[#This Row],[Adj Close]]&gt;Query1[[#This Row],[avg]],
       Dashboard!$L$5-Dashboard!$E$6,
       Dashboard!$L$5+Dashboard!$E$6
    ), 0
)</f>
        <v>0</v>
      </c>
      <c r="P229" s="2">
        <f>IF(ROW()&lt;3, Query1[[#This Row],[Shares]], IF(Query1[[#This Row],[Month]]&lt;&gt;H228, P228+Query1[[#This Row],[Enhanced top up]]/Query1[[#This Row],[Adj Close]], P228))</f>
        <v>3305.2383847384849</v>
      </c>
      <c r="Q229" s="2">
        <f>IFERROR(AVERAGE(
  IF(ROW()&gt;20, INDEX(G:G, ROW()-20), 0) :
  INDEX(G:G, ROW())
),0)</f>
        <v>203.88736107235863</v>
      </c>
    </row>
    <row r="230" spans="1:17" x14ac:dyDescent="0.4">
      <c r="A230" s="1">
        <v>44160</v>
      </c>
      <c r="B230">
        <v>215.11000061035156</v>
      </c>
      <c r="C230">
        <v>215.28999328613281</v>
      </c>
      <c r="D230">
        <v>212.46000671386719</v>
      </c>
      <c r="E230">
        <v>213.8699951171875</v>
      </c>
      <c r="F230">
        <v>21012900</v>
      </c>
      <c r="G230">
        <v>205.60084533691406</v>
      </c>
      <c r="H230" s="2">
        <f>MONTH(Query1[[#This Row],[Date]])</f>
        <v>11</v>
      </c>
      <c r="I230" s="3">
        <f>Query1[[#This Row],[Shares]]*Query1[[#This Row],[Adj Close]]</f>
        <v>738579.70401711401</v>
      </c>
      <c r="J230" s="3">
        <f>IF(ROW()&lt;3, Dashboard!$E$7, IF(Query1[[#This Row],[Month]]&lt;&gt;H229,J229*(1+Dashboard!$E$4)+Dashboard!$E$5,J229))</f>
        <v>573235.48778784322</v>
      </c>
      <c r="K230">
        <f>IF(ROW()&lt;3, 0,IF(Query1[[#This Row],[Month]]&lt;&gt;H229,IF((J230-I230&gt;0),J230-I230,0),0))</f>
        <v>0</v>
      </c>
      <c r="L230" s="2">
        <f t="shared" si="3"/>
        <v>3592.2989655359538</v>
      </c>
      <c r="M230">
        <f>IF(ROW()&lt;3, 0, IF(Query1[[#This Row],[Month]]&lt;&gt;H229, Dashboard!$J$5,0))</f>
        <v>0</v>
      </c>
      <c r="N230" s="2">
        <f>IF(ROW()&lt;3, Query1[[#This Row],[Shares]], IF(Query1[[#This Row],[Month]]&lt;&gt;H229, N229+Query1[[#This Row],[Fix Top Up]]/Query1[[#This Row],[Adj Close]], N229))</f>
        <v>3315.2145614141455</v>
      </c>
      <c r="O230">
        <f>IF(AND(Query1[[#This Row],[avg]]&gt;0, Query1[[#This Row],[Month]]&lt;&gt;H229),
    IF(Query1[[#This Row],[Adj Close]]&gt;Query1[[#This Row],[avg]],
       Dashboard!$L$5-Dashboard!$E$6,
       Dashboard!$L$5+Dashboard!$E$6
    ), 0
)</f>
        <v>0</v>
      </c>
      <c r="P230" s="2">
        <f>IF(ROW()&lt;3, Query1[[#This Row],[Shares]], IF(Query1[[#This Row],[Month]]&lt;&gt;H229, P229+Query1[[#This Row],[Enhanced top up]]/Query1[[#This Row],[Adj Close]], P229))</f>
        <v>3305.2383847384849</v>
      </c>
      <c r="Q230" s="2">
        <f>IFERROR(AVERAGE(
  IF(ROW()&gt;20, INDEX(G:G, ROW()-20), 0) :
  INDEX(G:G, ROW())
),0)</f>
        <v>203.9412340436663</v>
      </c>
    </row>
    <row r="231" spans="1:17" x14ac:dyDescent="0.4">
      <c r="A231" s="1">
        <v>44162</v>
      </c>
      <c r="B231">
        <v>214.85000610351563</v>
      </c>
      <c r="C231">
        <v>216.27000427246094</v>
      </c>
      <c r="D231">
        <v>214.03999328613281</v>
      </c>
      <c r="E231">
        <v>215.22999572753906</v>
      </c>
      <c r="F231">
        <v>14512200</v>
      </c>
      <c r="G231">
        <v>206.90824890136719</v>
      </c>
      <c r="H231" s="2">
        <f>MONTH(Query1[[#This Row],[Date]])</f>
        <v>11</v>
      </c>
      <c r="I231" s="3">
        <f>Query1[[#This Row],[Shares]]*Query1[[#This Row],[Adj Close]]</f>
        <v>743276.28848923696</v>
      </c>
      <c r="J231" s="3">
        <f>IF(ROW()&lt;3, Dashboard!$E$7, IF(Query1[[#This Row],[Month]]&lt;&gt;H230,J230*(1+Dashboard!$E$4)+Dashboard!$E$5,J230))</f>
        <v>573235.48778784322</v>
      </c>
      <c r="K231">
        <f>IF(ROW()&lt;3, 0,IF(Query1[[#This Row],[Month]]&lt;&gt;H230,IF((J231-I231&gt;0),J231-I231,0),0))</f>
        <v>0</v>
      </c>
      <c r="L231" s="2">
        <f t="shared" si="3"/>
        <v>3592.2989655359538</v>
      </c>
      <c r="M231">
        <f>IF(ROW()&lt;3, 0, IF(Query1[[#This Row],[Month]]&lt;&gt;H230, Dashboard!$J$5,0))</f>
        <v>0</v>
      </c>
      <c r="N231" s="2">
        <f>IF(ROW()&lt;3, Query1[[#This Row],[Shares]], IF(Query1[[#This Row],[Month]]&lt;&gt;H230, N230+Query1[[#This Row],[Fix Top Up]]/Query1[[#This Row],[Adj Close]], N230))</f>
        <v>3315.2145614141455</v>
      </c>
      <c r="O231">
        <f>IF(AND(Query1[[#This Row],[avg]]&gt;0, Query1[[#This Row],[Month]]&lt;&gt;H230),
    IF(Query1[[#This Row],[Adj Close]]&gt;Query1[[#This Row],[avg]],
       Dashboard!$L$5-Dashboard!$E$6,
       Dashboard!$L$5+Dashboard!$E$6
    ), 0
)</f>
        <v>0</v>
      </c>
      <c r="P231" s="2">
        <f>IF(ROW()&lt;3, Query1[[#This Row],[Shares]], IF(Query1[[#This Row],[Month]]&lt;&gt;H230, P230+Query1[[#This Row],[Enhanced top up]]/Query1[[#This Row],[Adj Close]], P230))</f>
        <v>3305.2383847384849</v>
      </c>
      <c r="Q231" s="2">
        <f>IFERROR(AVERAGE(
  IF(ROW()&gt;20, INDEX(G:G, ROW()-20), 0) :
  INDEX(G:G, ROW())
),0)</f>
        <v>204.53997366768974</v>
      </c>
    </row>
    <row r="232" spans="1:17" x14ac:dyDescent="0.4">
      <c r="A232" s="1">
        <v>44165</v>
      </c>
      <c r="B232">
        <v>214.10000610351563</v>
      </c>
      <c r="C232">
        <v>214.75999450683594</v>
      </c>
      <c r="D232">
        <v>210.83999633789063</v>
      </c>
      <c r="E232">
        <v>214.07000732421875</v>
      </c>
      <c r="F232">
        <v>33064800</v>
      </c>
      <c r="G232">
        <v>205.79313659667969</v>
      </c>
      <c r="H232" s="2">
        <f>MONTH(Query1[[#This Row],[Date]])</f>
        <v>11</v>
      </c>
      <c r="I232" s="3">
        <f>Query1[[#This Row],[Shares]]*Query1[[#This Row],[Adj Close]]</f>
        <v>739270.47171065165</v>
      </c>
      <c r="J232" s="3">
        <f>IF(ROW()&lt;3, Dashboard!$E$7, IF(Query1[[#This Row],[Month]]&lt;&gt;H231,J231*(1+Dashboard!$E$4)+Dashboard!$E$5,J231))</f>
        <v>573235.48778784322</v>
      </c>
      <c r="K232">
        <f>IF(ROW()&lt;3, 0,IF(Query1[[#This Row],[Month]]&lt;&gt;H231,IF((J232-I232&gt;0),J232-I232,0),0))</f>
        <v>0</v>
      </c>
      <c r="L232" s="2">
        <f t="shared" si="3"/>
        <v>3592.2989655359538</v>
      </c>
      <c r="M232">
        <f>IF(ROW()&lt;3, 0, IF(Query1[[#This Row],[Month]]&lt;&gt;H231, Dashboard!$J$5,0))</f>
        <v>0</v>
      </c>
      <c r="N232" s="2">
        <f>IF(ROW()&lt;3, Query1[[#This Row],[Shares]], IF(Query1[[#This Row],[Month]]&lt;&gt;H231, N231+Query1[[#This Row],[Fix Top Up]]/Query1[[#This Row],[Adj Close]], N231))</f>
        <v>3315.2145614141455</v>
      </c>
      <c r="O232">
        <f>IF(AND(Query1[[#This Row],[avg]]&gt;0, Query1[[#This Row],[Month]]&lt;&gt;H231),
    IF(Query1[[#This Row],[Adj Close]]&gt;Query1[[#This Row],[avg]],
       Dashboard!$L$5-Dashboard!$E$6,
       Dashboard!$L$5+Dashboard!$E$6
    ), 0
)</f>
        <v>0</v>
      </c>
      <c r="P232" s="2">
        <f>IF(ROW()&lt;3, Query1[[#This Row],[Shares]], IF(Query1[[#This Row],[Month]]&lt;&gt;H231, P231+Query1[[#This Row],[Enhanced top up]]/Query1[[#This Row],[Adj Close]], P231))</f>
        <v>3305.2383847384849</v>
      </c>
      <c r="Q232" s="2">
        <f>IFERROR(AVERAGE(
  IF(ROW()&gt;20, INDEX(G:G, ROW()-20), 0) :
  INDEX(G:G, ROW())
),0)</f>
        <v>204.99246942429315</v>
      </c>
    </row>
    <row r="233" spans="1:17" x14ac:dyDescent="0.4">
      <c r="A233" s="1">
        <v>44166</v>
      </c>
      <c r="B233">
        <v>214.50999450683594</v>
      </c>
      <c r="C233">
        <v>217.32000732421875</v>
      </c>
      <c r="D233">
        <v>213.35000610351563</v>
      </c>
      <c r="E233">
        <v>216.21000671386719</v>
      </c>
      <c r="F233">
        <v>30904500</v>
      </c>
      <c r="G233">
        <v>207.85037231445313</v>
      </c>
      <c r="H233" s="2">
        <f>MONTH(Query1[[#This Row],[Date]])</f>
        <v>12</v>
      </c>
      <c r="I233" s="3">
        <f>Query1[[#This Row],[Shares]]*Query1[[#This Row],[Adj Close]]</f>
        <v>746660.67745147285</v>
      </c>
      <c r="J233" s="3">
        <f>IF(ROW()&lt;3, Dashboard!$E$7, IF(Query1[[#This Row],[Month]]&lt;&gt;H232,J232*(1+Dashboard!$E$4)+Dashboard!$E$5,J232))</f>
        <v>580967.84266572166</v>
      </c>
      <c r="K233">
        <f>IF(ROW()&lt;3, 0,IF(Query1[[#This Row],[Month]]&lt;&gt;H232,IF((J233-I233&gt;0),J233-I233,0),0))</f>
        <v>0</v>
      </c>
      <c r="L233" s="2">
        <f t="shared" si="3"/>
        <v>3592.2989655359538</v>
      </c>
      <c r="M233">
        <f>IF(ROW()&lt;3, 0, IF(Query1[[#This Row],[Month]]&lt;&gt;H232, Dashboard!$J$5,0))</f>
        <v>773.47399999999971</v>
      </c>
      <c r="N233" s="2">
        <f>IF(ROW()&lt;3, Query1[[#This Row],[Shares]], IF(Query1[[#This Row],[Month]]&lt;&gt;H232, N232+Query1[[#This Row],[Fix Top Up]]/Query1[[#This Row],[Adj Close]], N232))</f>
        <v>3318.9358633843426</v>
      </c>
      <c r="O233">
        <f>IF(AND(Query1[[#This Row],[avg]]&gt;0, Query1[[#This Row],[Month]]&lt;&gt;H232),
    IF(Query1[[#This Row],[Adj Close]]&gt;Query1[[#This Row],[avg]],
       Dashboard!$L$5-Dashboard!$E$6,
       Dashboard!$L$5+Dashboard!$E$6
    ), 0
)</f>
        <v>390.14066666666668</v>
      </c>
      <c r="P233" s="2">
        <f>IF(ROW()&lt;3, Query1[[#This Row],[Shares]], IF(Query1[[#This Row],[Month]]&lt;&gt;H232, P232+Query1[[#This Row],[Enhanced top up]]/Query1[[#This Row],[Adj Close]], P232))</f>
        <v>3307.1154112856225</v>
      </c>
      <c r="Q233" s="2">
        <f>IFERROR(AVERAGE(
  IF(ROW()&gt;20, INDEX(G:G, ROW()-20), 0) :
  INDEX(G:G, ROW())
),0)</f>
        <v>205.64565967378161</v>
      </c>
    </row>
    <row r="234" spans="1:17" x14ac:dyDescent="0.4">
      <c r="A234" s="1">
        <v>44167</v>
      </c>
      <c r="B234">
        <v>214.8800048828125</v>
      </c>
      <c r="C234">
        <v>215.47000122070313</v>
      </c>
      <c r="D234">
        <v>212.80000305175781</v>
      </c>
      <c r="E234">
        <v>215.3699951171875</v>
      </c>
      <c r="F234">
        <v>23724500</v>
      </c>
      <c r="G234">
        <v>207.04286193847656</v>
      </c>
      <c r="H234" s="2">
        <f>MONTH(Query1[[#This Row],[Date]])</f>
        <v>12</v>
      </c>
      <c r="I234" s="3">
        <f>Query1[[#This Row],[Shares]]*Query1[[#This Row],[Adj Close]]</f>
        <v>743759.85876319266</v>
      </c>
      <c r="J234" s="3">
        <f>IF(ROW()&lt;3, Dashboard!$E$7, IF(Query1[[#This Row],[Month]]&lt;&gt;H233,J233*(1+Dashboard!$E$4)+Dashboard!$E$5,J233))</f>
        <v>580967.84266572166</v>
      </c>
      <c r="K234">
        <f>IF(ROW()&lt;3, 0,IF(Query1[[#This Row],[Month]]&lt;&gt;H233,IF((J234-I234&gt;0),J234-I234,0),0))</f>
        <v>0</v>
      </c>
      <c r="L234" s="2">
        <f t="shared" si="3"/>
        <v>3592.2989655359538</v>
      </c>
      <c r="M234">
        <f>IF(ROW()&lt;3, 0, IF(Query1[[#This Row],[Month]]&lt;&gt;H233, Dashboard!$J$5,0))</f>
        <v>0</v>
      </c>
      <c r="N234" s="2">
        <f>IF(ROW()&lt;3, Query1[[#This Row],[Shares]], IF(Query1[[#This Row],[Month]]&lt;&gt;H233, N233+Query1[[#This Row],[Fix Top Up]]/Query1[[#This Row],[Adj Close]], N233))</f>
        <v>3318.9358633843426</v>
      </c>
      <c r="O234">
        <f>IF(AND(Query1[[#This Row],[avg]]&gt;0, Query1[[#This Row],[Month]]&lt;&gt;H233),
    IF(Query1[[#This Row],[Adj Close]]&gt;Query1[[#This Row],[avg]],
       Dashboard!$L$5-Dashboard!$E$6,
       Dashboard!$L$5+Dashboard!$E$6
    ), 0
)</f>
        <v>0</v>
      </c>
      <c r="P234" s="2">
        <f>IF(ROW()&lt;3, Query1[[#This Row],[Shares]], IF(Query1[[#This Row],[Month]]&lt;&gt;H233, P233+Query1[[#This Row],[Enhanced top up]]/Query1[[#This Row],[Adj Close]], P233))</f>
        <v>3307.1154112856225</v>
      </c>
      <c r="Q234" s="2">
        <f>IFERROR(AVERAGE(
  IF(ROW()&gt;20, INDEX(G:G, ROW()-20), 0) :
  INDEX(G:G, ROW())
),0)</f>
        <v>206.26678902762276</v>
      </c>
    </row>
    <row r="235" spans="1:17" x14ac:dyDescent="0.4">
      <c r="A235" s="1">
        <v>44168</v>
      </c>
      <c r="B235">
        <v>214.61000061035156</v>
      </c>
      <c r="C235">
        <v>216.3800048828125</v>
      </c>
      <c r="D235">
        <v>213.64999389648438</v>
      </c>
      <c r="E235">
        <v>214.24000549316406</v>
      </c>
      <c r="F235">
        <v>25120900</v>
      </c>
      <c r="G235">
        <v>205.95655822753906</v>
      </c>
      <c r="H235" s="2">
        <f>MONTH(Query1[[#This Row],[Date]])</f>
        <v>12</v>
      </c>
      <c r="I235" s="3">
        <f>Query1[[#This Row],[Shares]]*Query1[[#This Row],[Adj Close]]</f>
        <v>739857.53106613399</v>
      </c>
      <c r="J235" s="3">
        <f>IF(ROW()&lt;3, Dashboard!$E$7, IF(Query1[[#This Row],[Month]]&lt;&gt;H234,J234*(1+Dashboard!$E$4)+Dashboard!$E$5,J234))</f>
        <v>580967.84266572166</v>
      </c>
      <c r="K235">
        <f>IF(ROW()&lt;3, 0,IF(Query1[[#This Row],[Month]]&lt;&gt;H234,IF((J235-I235&gt;0),J235-I235,0),0))</f>
        <v>0</v>
      </c>
      <c r="L235" s="2">
        <f t="shared" si="3"/>
        <v>3592.2989655359538</v>
      </c>
      <c r="M235">
        <f>IF(ROW()&lt;3, 0, IF(Query1[[#This Row],[Month]]&lt;&gt;H234, Dashboard!$J$5,0))</f>
        <v>0</v>
      </c>
      <c r="N235" s="2">
        <f>IF(ROW()&lt;3, Query1[[#This Row],[Shares]], IF(Query1[[#This Row],[Month]]&lt;&gt;H234, N234+Query1[[#This Row],[Fix Top Up]]/Query1[[#This Row],[Adj Close]], N234))</f>
        <v>3318.9358633843426</v>
      </c>
      <c r="O235">
        <f>IF(AND(Query1[[#This Row],[avg]]&gt;0, Query1[[#This Row],[Month]]&lt;&gt;H234),
    IF(Query1[[#This Row],[Adj Close]]&gt;Query1[[#This Row],[avg]],
       Dashboard!$L$5-Dashboard!$E$6,
       Dashboard!$L$5+Dashboard!$E$6
    ), 0
)</f>
        <v>0</v>
      </c>
      <c r="P235" s="2">
        <f>IF(ROW()&lt;3, Query1[[#This Row],[Shares]], IF(Query1[[#This Row],[Month]]&lt;&gt;H234, P234+Query1[[#This Row],[Enhanced top up]]/Query1[[#This Row],[Adj Close]], P234))</f>
        <v>3307.1154112856225</v>
      </c>
      <c r="Q235" s="2">
        <f>IFERROR(AVERAGE(
  IF(ROW()&gt;20, INDEX(G:G, ROW()-20), 0) :
  INDEX(G:G, ROW())
),0)</f>
        <v>206.64899117606026</v>
      </c>
    </row>
    <row r="236" spans="1:17" x14ac:dyDescent="0.4">
      <c r="A236" s="1">
        <v>44169</v>
      </c>
      <c r="B236">
        <v>214.22000122070313</v>
      </c>
      <c r="C236">
        <v>215.3800048828125</v>
      </c>
      <c r="D236">
        <v>213.17999267578125</v>
      </c>
      <c r="E236">
        <v>214.36000061035156</v>
      </c>
      <c r="F236">
        <v>24666000</v>
      </c>
      <c r="G236">
        <v>206.0718994140625</v>
      </c>
      <c r="H236" s="2">
        <f>MONTH(Query1[[#This Row],[Date]])</f>
        <v>12</v>
      </c>
      <c r="I236" s="3">
        <f>Query1[[#This Row],[Shares]]*Query1[[#This Row],[Adj Close]]</f>
        <v>740271.87109116581</v>
      </c>
      <c r="J236" s="3">
        <f>IF(ROW()&lt;3, Dashboard!$E$7, IF(Query1[[#This Row],[Month]]&lt;&gt;H235,J235*(1+Dashboard!$E$4)+Dashboard!$E$5,J235))</f>
        <v>580967.84266572166</v>
      </c>
      <c r="K236">
        <f>IF(ROW()&lt;3, 0,IF(Query1[[#This Row],[Month]]&lt;&gt;H235,IF((J236-I236&gt;0),J236-I236,0),0))</f>
        <v>0</v>
      </c>
      <c r="L236" s="2">
        <f t="shared" si="3"/>
        <v>3592.2989655359538</v>
      </c>
      <c r="M236">
        <f>IF(ROW()&lt;3, 0, IF(Query1[[#This Row],[Month]]&lt;&gt;H235, Dashboard!$J$5,0))</f>
        <v>0</v>
      </c>
      <c r="N236" s="2">
        <f>IF(ROW()&lt;3, Query1[[#This Row],[Shares]], IF(Query1[[#This Row],[Month]]&lt;&gt;H235, N235+Query1[[#This Row],[Fix Top Up]]/Query1[[#This Row],[Adj Close]], N235))</f>
        <v>3318.9358633843426</v>
      </c>
      <c r="O236">
        <f>IF(AND(Query1[[#This Row],[avg]]&gt;0, Query1[[#This Row],[Month]]&lt;&gt;H235),
    IF(Query1[[#This Row],[Adj Close]]&gt;Query1[[#This Row],[avg]],
       Dashboard!$L$5-Dashboard!$E$6,
       Dashboard!$L$5+Dashboard!$E$6
    ), 0
)</f>
        <v>0</v>
      </c>
      <c r="P236" s="2">
        <f>IF(ROW()&lt;3, Query1[[#This Row],[Shares]], IF(Query1[[#This Row],[Month]]&lt;&gt;H235, P235+Query1[[#This Row],[Enhanced top up]]/Query1[[#This Row],[Adj Close]], P235))</f>
        <v>3307.1154112856225</v>
      </c>
      <c r="Q236" s="2">
        <f>IFERROR(AVERAGE(
  IF(ROW()&gt;20, INDEX(G:G, ROW()-20), 0) :
  INDEX(G:G, ROW())
),0)</f>
        <v>206.58192807152159</v>
      </c>
    </row>
    <row r="237" spans="1:17" x14ac:dyDescent="0.4">
      <c r="A237" s="1">
        <v>44172</v>
      </c>
      <c r="B237">
        <v>214.3699951171875</v>
      </c>
      <c r="C237">
        <v>215.53999328613281</v>
      </c>
      <c r="D237">
        <v>212.99000549316406</v>
      </c>
      <c r="E237">
        <v>214.28999328613281</v>
      </c>
      <c r="F237">
        <v>24620000</v>
      </c>
      <c r="G237">
        <v>206.00462341308594</v>
      </c>
      <c r="H237" s="2">
        <f>MONTH(Query1[[#This Row],[Date]])</f>
        <v>12</v>
      </c>
      <c r="I237" s="3">
        <f>Query1[[#This Row],[Shares]]*Query1[[#This Row],[Adj Close]]</f>
        <v>740030.19558245235</v>
      </c>
      <c r="J237" s="3">
        <f>IF(ROW()&lt;3, Dashboard!$E$7, IF(Query1[[#This Row],[Month]]&lt;&gt;H236,J236*(1+Dashboard!$E$4)+Dashboard!$E$5,J236))</f>
        <v>580967.84266572166</v>
      </c>
      <c r="K237">
        <f>IF(ROW()&lt;3, 0,IF(Query1[[#This Row],[Month]]&lt;&gt;H236,IF((J237-I237&gt;0),J237-I237,0),0))</f>
        <v>0</v>
      </c>
      <c r="L237" s="2">
        <f t="shared" si="3"/>
        <v>3592.2989655359538</v>
      </c>
      <c r="M237">
        <f>IF(ROW()&lt;3, 0, IF(Query1[[#This Row],[Month]]&lt;&gt;H236, Dashboard!$J$5,0))</f>
        <v>0</v>
      </c>
      <c r="N237" s="2">
        <f>IF(ROW()&lt;3, Query1[[#This Row],[Shares]], IF(Query1[[#This Row],[Month]]&lt;&gt;H236, N236+Query1[[#This Row],[Fix Top Up]]/Query1[[#This Row],[Adj Close]], N236))</f>
        <v>3318.9358633843426</v>
      </c>
      <c r="O237">
        <f>IF(AND(Query1[[#This Row],[avg]]&gt;0, Query1[[#This Row],[Month]]&lt;&gt;H236),
    IF(Query1[[#This Row],[Adj Close]]&gt;Query1[[#This Row],[avg]],
       Dashboard!$L$5-Dashboard!$E$6,
       Dashboard!$L$5+Dashboard!$E$6
    ), 0
)</f>
        <v>0</v>
      </c>
      <c r="P237" s="2">
        <f>IF(ROW()&lt;3, Query1[[#This Row],[Shares]], IF(Query1[[#This Row],[Month]]&lt;&gt;H236, P236+Query1[[#This Row],[Enhanced top up]]/Query1[[#This Row],[Adj Close]], P236))</f>
        <v>3307.1154112856225</v>
      </c>
      <c r="Q237" s="2">
        <f>IFERROR(AVERAGE(
  IF(ROW()&gt;20, INDEX(G:G, ROW()-20), 0) :
  INDEX(G:G, ROW())
),0)</f>
        <v>206.19661821637834</v>
      </c>
    </row>
    <row r="238" spans="1:17" x14ac:dyDescent="0.4">
      <c r="A238" s="1">
        <v>44173</v>
      </c>
      <c r="B238">
        <v>213.97000122070313</v>
      </c>
      <c r="C238">
        <v>216.94999694824219</v>
      </c>
      <c r="D238">
        <v>212.88999938964844</v>
      </c>
      <c r="E238">
        <v>216.00999450683594</v>
      </c>
      <c r="F238">
        <v>23284100</v>
      </c>
      <c r="G238">
        <v>207.65809631347656</v>
      </c>
      <c r="H238" s="2">
        <f>MONTH(Query1[[#This Row],[Date]])</f>
        <v>12</v>
      </c>
      <c r="I238" s="3">
        <f>Query1[[#This Row],[Shares]]*Query1[[#This Row],[Adj Close]]</f>
        <v>745969.96457206737</v>
      </c>
      <c r="J238" s="3">
        <f>IF(ROW()&lt;3, Dashboard!$E$7, IF(Query1[[#This Row],[Month]]&lt;&gt;H237,J237*(1+Dashboard!$E$4)+Dashboard!$E$5,J237))</f>
        <v>580967.84266572166</v>
      </c>
      <c r="K238">
        <f>IF(ROW()&lt;3, 0,IF(Query1[[#This Row],[Month]]&lt;&gt;H237,IF((J238-I238&gt;0),J238-I238,0),0))</f>
        <v>0</v>
      </c>
      <c r="L238" s="2">
        <f t="shared" si="3"/>
        <v>3592.2989655359538</v>
      </c>
      <c r="M238">
        <f>IF(ROW()&lt;3, 0, IF(Query1[[#This Row],[Month]]&lt;&gt;H237, Dashboard!$J$5,0))</f>
        <v>0</v>
      </c>
      <c r="N238" s="2">
        <f>IF(ROW()&lt;3, Query1[[#This Row],[Shares]], IF(Query1[[#This Row],[Month]]&lt;&gt;H237, N237+Query1[[#This Row],[Fix Top Up]]/Query1[[#This Row],[Adj Close]], N237))</f>
        <v>3318.9358633843426</v>
      </c>
      <c r="O238">
        <f>IF(AND(Query1[[#This Row],[avg]]&gt;0, Query1[[#This Row],[Month]]&lt;&gt;H237),
    IF(Query1[[#This Row],[Adj Close]]&gt;Query1[[#This Row],[avg]],
       Dashboard!$L$5-Dashboard!$E$6,
       Dashboard!$L$5+Dashboard!$E$6
    ), 0
)</f>
        <v>0</v>
      </c>
      <c r="P238" s="2">
        <f>IF(ROW()&lt;3, Query1[[#This Row],[Shares]], IF(Query1[[#This Row],[Month]]&lt;&gt;H237, P237+Query1[[#This Row],[Enhanced top up]]/Query1[[#This Row],[Adj Close]], P237))</f>
        <v>3307.1154112856225</v>
      </c>
      <c r="Q238" s="2">
        <f>IFERROR(AVERAGE(
  IF(ROW()&gt;20, INDEX(G:G, ROW()-20), 0) :
  INDEX(G:G, ROW())
),0)</f>
        <v>205.8704114641462</v>
      </c>
    </row>
    <row r="239" spans="1:17" x14ac:dyDescent="0.4">
      <c r="A239" s="1">
        <v>44174</v>
      </c>
      <c r="B239">
        <v>215.16000366210938</v>
      </c>
      <c r="C239">
        <v>215.22999572753906</v>
      </c>
      <c r="D239">
        <v>211.21000671386719</v>
      </c>
      <c r="E239">
        <v>211.80000305175781</v>
      </c>
      <c r="F239">
        <v>32440600</v>
      </c>
      <c r="G239">
        <v>203.61088562011719</v>
      </c>
      <c r="H239" s="2">
        <f>MONTH(Query1[[#This Row],[Date]])</f>
        <v>12</v>
      </c>
      <c r="I239" s="3">
        <f>Query1[[#This Row],[Shares]]*Query1[[#This Row],[Adj Close]]</f>
        <v>731431.17378500639</v>
      </c>
      <c r="J239" s="3">
        <f>IF(ROW()&lt;3, Dashboard!$E$7, IF(Query1[[#This Row],[Month]]&lt;&gt;H238,J238*(1+Dashboard!$E$4)+Dashboard!$E$5,J238))</f>
        <v>580967.84266572166</v>
      </c>
      <c r="K239">
        <f>IF(ROW()&lt;3, 0,IF(Query1[[#This Row],[Month]]&lt;&gt;H238,IF((J239-I239&gt;0),J239-I239,0),0))</f>
        <v>0</v>
      </c>
      <c r="L239" s="2">
        <f t="shared" si="3"/>
        <v>3592.2989655359538</v>
      </c>
      <c r="M239">
        <f>IF(ROW()&lt;3, 0, IF(Query1[[#This Row],[Month]]&lt;&gt;H238, Dashboard!$J$5,0))</f>
        <v>0</v>
      </c>
      <c r="N239" s="2">
        <f>IF(ROW()&lt;3, Query1[[#This Row],[Shares]], IF(Query1[[#This Row],[Month]]&lt;&gt;H238, N238+Query1[[#This Row],[Fix Top Up]]/Query1[[#This Row],[Adj Close]], N238))</f>
        <v>3318.9358633843426</v>
      </c>
      <c r="O239">
        <f>IF(AND(Query1[[#This Row],[avg]]&gt;0, Query1[[#This Row],[Month]]&lt;&gt;H238),
    IF(Query1[[#This Row],[Adj Close]]&gt;Query1[[#This Row],[avg]],
       Dashboard!$L$5-Dashboard!$E$6,
       Dashboard!$L$5+Dashboard!$E$6
    ), 0
)</f>
        <v>0</v>
      </c>
      <c r="P239" s="2">
        <f>IF(ROW()&lt;3, Query1[[#This Row],[Shares]], IF(Query1[[#This Row],[Month]]&lt;&gt;H238, P238+Query1[[#This Row],[Enhanced top up]]/Query1[[#This Row],[Adj Close]], P238))</f>
        <v>3307.1154112856225</v>
      </c>
      <c r="Q239" s="2">
        <f>IFERROR(AVERAGE(
  IF(ROW()&gt;20, INDEX(G:G, ROW()-20), 0) :
  INDEX(G:G, ROW())
),0)</f>
        <v>205.59483991350447</v>
      </c>
    </row>
    <row r="240" spans="1:17" x14ac:dyDescent="0.4">
      <c r="A240" s="1">
        <v>44175</v>
      </c>
      <c r="B240">
        <v>211.77000427246094</v>
      </c>
      <c r="C240">
        <v>213.08000183105469</v>
      </c>
      <c r="D240">
        <v>210.36000061035156</v>
      </c>
      <c r="E240">
        <v>210.52000427246094</v>
      </c>
      <c r="F240">
        <v>26733300</v>
      </c>
      <c r="G240">
        <v>202.38038635253906</v>
      </c>
      <c r="H240" s="2">
        <f>MONTH(Query1[[#This Row],[Date]])</f>
        <v>12</v>
      </c>
      <c r="I240" s="3">
        <f>Query1[[#This Row],[Shares]]*Query1[[#This Row],[Adj Close]]</f>
        <v>727010.85253899277</v>
      </c>
      <c r="J240" s="3">
        <f>IF(ROW()&lt;3, Dashboard!$E$7, IF(Query1[[#This Row],[Month]]&lt;&gt;H239,J239*(1+Dashboard!$E$4)+Dashboard!$E$5,J239))</f>
        <v>580967.84266572166</v>
      </c>
      <c r="K240">
        <f>IF(ROW()&lt;3, 0,IF(Query1[[#This Row],[Month]]&lt;&gt;H239,IF((J240-I240&gt;0),J240-I240,0),0))</f>
        <v>0</v>
      </c>
      <c r="L240" s="2">
        <f t="shared" si="3"/>
        <v>3592.2989655359538</v>
      </c>
      <c r="M240">
        <f>IF(ROW()&lt;3, 0, IF(Query1[[#This Row],[Month]]&lt;&gt;H239, Dashboard!$J$5,0))</f>
        <v>0</v>
      </c>
      <c r="N240" s="2">
        <f>IF(ROW()&lt;3, Query1[[#This Row],[Shares]], IF(Query1[[#This Row],[Month]]&lt;&gt;H239, N239+Query1[[#This Row],[Fix Top Up]]/Query1[[#This Row],[Adj Close]], N239))</f>
        <v>3318.9358633843426</v>
      </c>
      <c r="O240">
        <f>IF(AND(Query1[[#This Row],[avg]]&gt;0, Query1[[#This Row],[Month]]&lt;&gt;H239),
    IF(Query1[[#This Row],[Adj Close]]&gt;Query1[[#This Row],[avg]],
       Dashboard!$L$5-Dashboard!$E$6,
       Dashboard!$L$5+Dashboard!$E$6
    ), 0
)</f>
        <v>0</v>
      </c>
      <c r="P240" s="2">
        <f>IF(ROW()&lt;3, Query1[[#This Row],[Shares]], IF(Query1[[#This Row],[Month]]&lt;&gt;H239, P239+Query1[[#This Row],[Enhanced top up]]/Query1[[#This Row],[Adj Close]], P239))</f>
        <v>3307.1154112856225</v>
      </c>
      <c r="Q240" s="2">
        <f>IFERROR(AVERAGE(
  IF(ROW()&gt;20, INDEX(G:G, ROW()-20), 0) :
  INDEX(G:G, ROW())
),0)</f>
        <v>205.59763081868491</v>
      </c>
    </row>
    <row r="241" spans="1:17" x14ac:dyDescent="0.4">
      <c r="A241" s="1">
        <v>44176</v>
      </c>
      <c r="B241">
        <v>210.05000305175781</v>
      </c>
      <c r="C241">
        <v>213.32000732421875</v>
      </c>
      <c r="D241">
        <v>209.11000061035156</v>
      </c>
      <c r="E241">
        <v>213.25999450683594</v>
      </c>
      <c r="F241">
        <v>30979400</v>
      </c>
      <c r="G241">
        <v>205.01443481445313</v>
      </c>
      <c r="H241" s="2">
        <f>MONTH(Query1[[#This Row],[Date]])</f>
        <v>12</v>
      </c>
      <c r="I241" s="3">
        <f>Query1[[#This Row],[Shares]]*Query1[[#This Row],[Adj Close]]</f>
        <v>736473.14210389822</v>
      </c>
      <c r="J241" s="3">
        <f>IF(ROW()&lt;3, Dashboard!$E$7, IF(Query1[[#This Row],[Month]]&lt;&gt;H240,J240*(1+Dashboard!$E$4)+Dashboard!$E$5,J240))</f>
        <v>580967.84266572166</v>
      </c>
      <c r="K241">
        <f>IF(ROW()&lt;3, 0,IF(Query1[[#This Row],[Month]]&lt;&gt;H240,IF((J241-I241&gt;0),J241-I241,0),0))</f>
        <v>0</v>
      </c>
      <c r="L241" s="2">
        <f t="shared" si="3"/>
        <v>3592.2989655359538</v>
      </c>
      <c r="M241">
        <f>IF(ROW()&lt;3, 0, IF(Query1[[#This Row],[Month]]&lt;&gt;H240, Dashboard!$J$5,0))</f>
        <v>0</v>
      </c>
      <c r="N241" s="2">
        <f>IF(ROW()&lt;3, Query1[[#This Row],[Shares]], IF(Query1[[#This Row],[Month]]&lt;&gt;H240, N240+Query1[[#This Row],[Fix Top Up]]/Query1[[#This Row],[Adj Close]], N240))</f>
        <v>3318.9358633843426</v>
      </c>
      <c r="O241">
        <f>IF(AND(Query1[[#This Row],[avg]]&gt;0, Query1[[#This Row],[Month]]&lt;&gt;H240),
    IF(Query1[[#This Row],[Adj Close]]&gt;Query1[[#This Row],[avg]],
       Dashboard!$L$5-Dashboard!$E$6,
       Dashboard!$L$5+Dashboard!$E$6
    ), 0
)</f>
        <v>0</v>
      </c>
      <c r="P241" s="2">
        <f>IF(ROW()&lt;3, Query1[[#This Row],[Shares]], IF(Query1[[#This Row],[Month]]&lt;&gt;H240, P240+Query1[[#This Row],[Enhanced top up]]/Query1[[#This Row],[Adj Close]], P240))</f>
        <v>3307.1154112856225</v>
      </c>
      <c r="Q241" s="2">
        <f>IFERROR(AVERAGE(
  IF(ROW()&gt;20, INDEX(G:G, ROW()-20), 0) :
  INDEX(G:G, ROW())
),0)</f>
        <v>205.47290547688803</v>
      </c>
    </row>
    <row r="242" spans="1:17" x14ac:dyDescent="0.4">
      <c r="A242" s="1">
        <v>44179</v>
      </c>
      <c r="B242">
        <v>213.10000610351563</v>
      </c>
      <c r="C242">
        <v>216.21000671386719</v>
      </c>
      <c r="D242">
        <v>212.8800048828125</v>
      </c>
      <c r="E242">
        <v>214.19999694824219</v>
      </c>
      <c r="F242">
        <v>28798400</v>
      </c>
      <c r="G242">
        <v>205.91810607910156</v>
      </c>
      <c r="H242" s="2">
        <f>MONTH(Query1[[#This Row],[Date]])</f>
        <v>12</v>
      </c>
      <c r="I242" s="3">
        <f>Query1[[#This Row],[Shares]]*Query1[[#This Row],[Adj Close]]</f>
        <v>739719.39945307933</v>
      </c>
      <c r="J242" s="3">
        <f>IF(ROW()&lt;3, Dashboard!$E$7, IF(Query1[[#This Row],[Month]]&lt;&gt;H241,J241*(1+Dashboard!$E$4)+Dashboard!$E$5,J241))</f>
        <v>580967.84266572166</v>
      </c>
      <c r="K242">
        <f>IF(ROW()&lt;3, 0,IF(Query1[[#This Row],[Month]]&lt;&gt;H241,IF((J242-I242&gt;0),J242-I242,0),0))</f>
        <v>0</v>
      </c>
      <c r="L242" s="2">
        <f t="shared" si="3"/>
        <v>3592.2989655359538</v>
      </c>
      <c r="M242">
        <f>IF(ROW()&lt;3, 0, IF(Query1[[#This Row],[Month]]&lt;&gt;H241, Dashboard!$J$5,0))</f>
        <v>0</v>
      </c>
      <c r="N242" s="2">
        <f>IF(ROW()&lt;3, Query1[[#This Row],[Shares]], IF(Query1[[#This Row],[Month]]&lt;&gt;H241, N241+Query1[[#This Row],[Fix Top Up]]/Query1[[#This Row],[Adj Close]], N241))</f>
        <v>3318.9358633843426</v>
      </c>
      <c r="O242">
        <f>IF(AND(Query1[[#This Row],[avg]]&gt;0, Query1[[#This Row],[Month]]&lt;&gt;H241),
    IF(Query1[[#This Row],[Adj Close]]&gt;Query1[[#This Row],[avg]],
       Dashboard!$L$5-Dashboard!$E$6,
       Dashboard!$L$5+Dashboard!$E$6
    ), 0
)</f>
        <v>0</v>
      </c>
      <c r="P242" s="2">
        <f>IF(ROW()&lt;3, Query1[[#This Row],[Shares]], IF(Query1[[#This Row],[Month]]&lt;&gt;H241, P241+Query1[[#This Row],[Enhanced top up]]/Query1[[#This Row],[Adj Close]], P241))</f>
        <v>3307.1154112856225</v>
      </c>
      <c r="Q242" s="2">
        <f>IFERROR(AVERAGE(
  IF(ROW()&gt;20, INDEX(G:G, ROW()-20), 0) :
  INDEX(G:G, ROW())
),0)</f>
        <v>205.44189453125</v>
      </c>
    </row>
    <row r="243" spans="1:17" x14ac:dyDescent="0.4">
      <c r="A243" s="1">
        <v>44180</v>
      </c>
      <c r="B243">
        <v>215.16999816894531</v>
      </c>
      <c r="C243">
        <v>215.41999816894531</v>
      </c>
      <c r="D243">
        <v>212.24000549316406</v>
      </c>
      <c r="E243">
        <v>214.1300048828125</v>
      </c>
      <c r="F243">
        <v>27000600</v>
      </c>
      <c r="G243">
        <v>205.85081481933594</v>
      </c>
      <c r="H243" s="2">
        <f>MONTH(Query1[[#This Row],[Date]])</f>
        <v>12</v>
      </c>
      <c r="I243" s="3">
        <f>Query1[[#This Row],[Shares]]*Query1[[#This Row],[Adj Close]]</f>
        <v>739477.6691302337</v>
      </c>
      <c r="J243" s="3">
        <f>IF(ROW()&lt;3, Dashboard!$E$7, IF(Query1[[#This Row],[Month]]&lt;&gt;H242,J242*(1+Dashboard!$E$4)+Dashboard!$E$5,J242))</f>
        <v>580967.84266572166</v>
      </c>
      <c r="K243">
        <f>IF(ROW()&lt;3, 0,IF(Query1[[#This Row],[Month]]&lt;&gt;H242,IF((J243-I243&gt;0),J243-I243,0),0))</f>
        <v>0</v>
      </c>
      <c r="L243" s="2">
        <f t="shared" si="3"/>
        <v>3592.2989655359538</v>
      </c>
      <c r="M243">
        <f>IF(ROW()&lt;3, 0, IF(Query1[[#This Row],[Month]]&lt;&gt;H242, Dashboard!$J$5,0))</f>
        <v>0</v>
      </c>
      <c r="N243" s="2">
        <f>IF(ROW()&lt;3, Query1[[#This Row],[Shares]], IF(Query1[[#This Row],[Month]]&lt;&gt;H242, N242+Query1[[#This Row],[Fix Top Up]]/Query1[[#This Row],[Adj Close]], N242))</f>
        <v>3318.9358633843426</v>
      </c>
      <c r="O243">
        <f>IF(AND(Query1[[#This Row],[avg]]&gt;0, Query1[[#This Row],[Month]]&lt;&gt;H242),
    IF(Query1[[#This Row],[Adj Close]]&gt;Query1[[#This Row],[avg]],
       Dashboard!$L$5-Dashboard!$E$6,
       Dashboard!$L$5+Dashboard!$E$6
    ), 0
)</f>
        <v>0</v>
      </c>
      <c r="P243" s="2">
        <f>IF(ROW()&lt;3, Query1[[#This Row],[Shares]], IF(Query1[[#This Row],[Month]]&lt;&gt;H242, P242+Query1[[#This Row],[Enhanced top up]]/Query1[[#This Row],[Adj Close]], P242))</f>
        <v>3307.1154112856225</v>
      </c>
      <c r="Q243" s="2">
        <f>IFERROR(AVERAGE(
  IF(ROW()&gt;20, INDEX(G:G, ROW()-20), 0) :
  INDEX(G:G, ROW())
),0)</f>
        <v>205.35882495698473</v>
      </c>
    </row>
    <row r="244" spans="1:17" x14ac:dyDescent="0.4">
      <c r="A244" s="1">
        <v>44181</v>
      </c>
      <c r="B244">
        <v>214.75</v>
      </c>
      <c r="C244">
        <v>220.11000061035156</v>
      </c>
      <c r="D244">
        <v>214.72000122070313</v>
      </c>
      <c r="E244">
        <v>219.27999877929688</v>
      </c>
      <c r="F244">
        <v>35023300</v>
      </c>
      <c r="G244">
        <v>210.80171203613281</v>
      </c>
      <c r="H244" s="2">
        <f>MONTH(Query1[[#This Row],[Date]])</f>
        <v>12</v>
      </c>
      <c r="I244" s="3">
        <f>Query1[[#This Row],[Shares]]*Query1[[#This Row],[Adj Close]]</f>
        <v>757262.77208060795</v>
      </c>
      <c r="J244" s="3">
        <f>IF(ROW()&lt;3, Dashboard!$E$7, IF(Query1[[#This Row],[Month]]&lt;&gt;H243,J243*(1+Dashboard!$E$4)+Dashboard!$E$5,J243))</f>
        <v>580967.84266572166</v>
      </c>
      <c r="K244">
        <f>IF(ROW()&lt;3, 0,IF(Query1[[#This Row],[Month]]&lt;&gt;H243,IF((J244-I244&gt;0),J244-I244,0),0))</f>
        <v>0</v>
      </c>
      <c r="L244" s="2">
        <f t="shared" si="3"/>
        <v>3592.2989655359538</v>
      </c>
      <c r="M244">
        <f>IF(ROW()&lt;3, 0, IF(Query1[[#This Row],[Month]]&lt;&gt;H243, Dashboard!$J$5,0))</f>
        <v>0</v>
      </c>
      <c r="N244" s="2">
        <f>IF(ROW()&lt;3, Query1[[#This Row],[Shares]], IF(Query1[[#This Row],[Month]]&lt;&gt;H243, N243+Query1[[#This Row],[Fix Top Up]]/Query1[[#This Row],[Adj Close]], N243))</f>
        <v>3318.9358633843426</v>
      </c>
      <c r="O244">
        <f>IF(AND(Query1[[#This Row],[avg]]&gt;0, Query1[[#This Row],[Month]]&lt;&gt;H243),
    IF(Query1[[#This Row],[Adj Close]]&gt;Query1[[#This Row],[avg]],
       Dashboard!$L$5-Dashboard!$E$6,
       Dashboard!$L$5+Dashboard!$E$6
    ), 0
)</f>
        <v>0</v>
      </c>
      <c r="P244" s="2">
        <f>IF(ROW()&lt;3, Query1[[#This Row],[Shares]], IF(Query1[[#This Row],[Month]]&lt;&gt;H243, P243+Query1[[#This Row],[Enhanced top up]]/Query1[[#This Row],[Adj Close]], P243))</f>
        <v>3307.1154112856225</v>
      </c>
      <c r="Q244" s="2">
        <f>IFERROR(AVERAGE(
  IF(ROW()&gt;20, INDEX(G:G, ROW()-20), 0) :
  INDEX(G:G, ROW())
),0)</f>
        <v>205.47863696870348</v>
      </c>
    </row>
    <row r="245" spans="1:17" x14ac:dyDescent="0.4">
      <c r="A245" s="1">
        <v>44182</v>
      </c>
      <c r="B245">
        <v>219.8699951171875</v>
      </c>
      <c r="C245">
        <v>220.88999938964844</v>
      </c>
      <c r="D245">
        <v>217.91999816894531</v>
      </c>
      <c r="E245">
        <v>219.41999816894531</v>
      </c>
      <c r="F245">
        <v>32515800</v>
      </c>
      <c r="G245">
        <v>210.93626403808594</v>
      </c>
      <c r="H245" s="2">
        <f>MONTH(Query1[[#This Row],[Date]])</f>
        <v>12</v>
      </c>
      <c r="I245" s="3">
        <f>Query1[[#This Row],[Shares]]*Query1[[#This Row],[Adj Close]]</f>
        <v>757746.12309803488</v>
      </c>
      <c r="J245" s="3">
        <f>IF(ROW()&lt;3, Dashboard!$E$7, IF(Query1[[#This Row],[Month]]&lt;&gt;H244,J244*(1+Dashboard!$E$4)+Dashboard!$E$5,J244))</f>
        <v>580967.84266572166</v>
      </c>
      <c r="K245">
        <f>IF(ROW()&lt;3, 0,IF(Query1[[#This Row],[Month]]&lt;&gt;H244,IF((J245-I245&gt;0),J245-I245,0),0))</f>
        <v>0</v>
      </c>
      <c r="L245" s="2">
        <f t="shared" si="3"/>
        <v>3592.2989655359538</v>
      </c>
      <c r="M245">
        <f>IF(ROW()&lt;3, 0, IF(Query1[[#This Row],[Month]]&lt;&gt;H244, Dashboard!$J$5,0))</f>
        <v>0</v>
      </c>
      <c r="N245" s="2">
        <f>IF(ROW()&lt;3, Query1[[#This Row],[Shares]], IF(Query1[[#This Row],[Month]]&lt;&gt;H244, N244+Query1[[#This Row],[Fix Top Up]]/Query1[[#This Row],[Adj Close]], N244))</f>
        <v>3318.9358633843426</v>
      </c>
      <c r="O245">
        <f>IF(AND(Query1[[#This Row],[avg]]&gt;0, Query1[[#This Row],[Month]]&lt;&gt;H244),
    IF(Query1[[#This Row],[Adj Close]]&gt;Query1[[#This Row],[avg]],
       Dashboard!$L$5-Dashboard!$E$6,
       Dashboard!$L$5+Dashboard!$E$6
    ), 0
)</f>
        <v>0</v>
      </c>
      <c r="P245" s="2">
        <f>IF(ROW()&lt;3, Query1[[#This Row],[Shares]], IF(Query1[[#This Row],[Month]]&lt;&gt;H244, P244+Query1[[#This Row],[Enhanced top up]]/Query1[[#This Row],[Adj Close]], P244))</f>
        <v>3307.1154112856225</v>
      </c>
      <c r="Q245" s="2">
        <f>IFERROR(AVERAGE(
  IF(ROW()&gt;20, INDEX(G:G, ROW()-20), 0) :
  INDEX(G:G, ROW())
),0)</f>
        <v>205.73132905505952</v>
      </c>
    </row>
    <row r="246" spans="1:17" x14ac:dyDescent="0.4">
      <c r="A246" s="1">
        <v>44183</v>
      </c>
      <c r="B246">
        <v>218.58999633789063</v>
      </c>
      <c r="C246">
        <v>219.69000244140625</v>
      </c>
      <c r="D246">
        <v>216.02000427246094</v>
      </c>
      <c r="E246">
        <v>218.58999633789063</v>
      </c>
      <c r="F246">
        <v>63354900</v>
      </c>
      <c r="G246">
        <v>210.13838195800781</v>
      </c>
      <c r="H246" s="2">
        <f>MONTH(Query1[[#This Row],[Date]])</f>
        <v>12</v>
      </c>
      <c r="I246" s="3">
        <f>Query1[[#This Row],[Shares]]*Query1[[#This Row],[Adj Close]]</f>
        <v>754879.89212715055</v>
      </c>
      <c r="J246" s="3">
        <f>IF(ROW()&lt;3, Dashboard!$E$7, IF(Query1[[#This Row],[Month]]&lt;&gt;H245,J245*(1+Dashboard!$E$4)+Dashboard!$E$5,J245))</f>
        <v>580967.84266572166</v>
      </c>
      <c r="K246">
        <f>IF(ROW()&lt;3, 0,IF(Query1[[#This Row],[Month]]&lt;&gt;H245,IF((J246-I246&gt;0),J246-I246,0),0))</f>
        <v>0</v>
      </c>
      <c r="L246" s="2">
        <f t="shared" si="3"/>
        <v>3592.2989655359538</v>
      </c>
      <c r="M246">
        <f>IF(ROW()&lt;3, 0, IF(Query1[[#This Row],[Month]]&lt;&gt;H245, Dashboard!$J$5,0))</f>
        <v>0</v>
      </c>
      <c r="N246" s="2">
        <f>IF(ROW()&lt;3, Query1[[#This Row],[Shares]], IF(Query1[[#This Row],[Month]]&lt;&gt;H245, N245+Query1[[#This Row],[Fix Top Up]]/Query1[[#This Row],[Adj Close]], N245))</f>
        <v>3318.9358633843426</v>
      </c>
      <c r="O246">
        <f>IF(AND(Query1[[#This Row],[avg]]&gt;0, Query1[[#This Row],[Month]]&lt;&gt;H245),
    IF(Query1[[#This Row],[Adj Close]]&gt;Query1[[#This Row],[avg]],
       Dashboard!$L$5-Dashboard!$E$6,
       Dashboard!$L$5+Dashboard!$E$6
    ), 0
)</f>
        <v>0</v>
      </c>
      <c r="P246" s="2">
        <f>IF(ROW()&lt;3, Query1[[#This Row],[Shares]], IF(Query1[[#This Row],[Month]]&lt;&gt;H245, P245+Query1[[#This Row],[Enhanced top up]]/Query1[[#This Row],[Adj Close]], P245))</f>
        <v>3307.1154112856225</v>
      </c>
      <c r="Q246" s="2">
        <f>IFERROR(AVERAGE(
  IF(ROW()&gt;20, INDEX(G:G, ROW()-20), 0) :
  INDEX(G:G, ROW())
),0)</f>
        <v>206.07512047177269</v>
      </c>
    </row>
    <row r="247" spans="1:17" x14ac:dyDescent="0.4">
      <c r="A247" s="1">
        <v>44186</v>
      </c>
      <c r="B247">
        <v>217.55000305175781</v>
      </c>
      <c r="C247">
        <v>224</v>
      </c>
      <c r="D247">
        <v>217.27999877929688</v>
      </c>
      <c r="E247">
        <v>222.58999633789063</v>
      </c>
      <c r="F247">
        <v>37181900</v>
      </c>
      <c r="G247">
        <v>213.98368835449219</v>
      </c>
      <c r="H247" s="2">
        <f>MONTH(Query1[[#This Row],[Date]])</f>
        <v>12</v>
      </c>
      <c r="I247" s="3">
        <f>Query1[[#This Row],[Shares]]*Query1[[#This Row],[Adj Close]]</f>
        <v>768693.3823174102</v>
      </c>
      <c r="J247" s="3">
        <f>IF(ROW()&lt;3, Dashboard!$E$7, IF(Query1[[#This Row],[Month]]&lt;&gt;H246,J246*(1+Dashboard!$E$4)+Dashboard!$E$5,J246))</f>
        <v>580967.84266572166</v>
      </c>
      <c r="K247">
        <f>IF(ROW()&lt;3, 0,IF(Query1[[#This Row],[Month]]&lt;&gt;H246,IF((J247-I247&gt;0),J247-I247,0),0))</f>
        <v>0</v>
      </c>
      <c r="L247" s="2">
        <f t="shared" si="3"/>
        <v>3592.2989655359538</v>
      </c>
      <c r="M247">
        <f>IF(ROW()&lt;3, 0, IF(Query1[[#This Row],[Month]]&lt;&gt;H246, Dashboard!$J$5,0))</f>
        <v>0</v>
      </c>
      <c r="N247" s="2">
        <f>IF(ROW()&lt;3, Query1[[#This Row],[Shares]], IF(Query1[[#This Row],[Month]]&lt;&gt;H246, N246+Query1[[#This Row],[Fix Top Up]]/Query1[[#This Row],[Adj Close]], N246))</f>
        <v>3318.9358633843426</v>
      </c>
      <c r="O247">
        <f>IF(AND(Query1[[#This Row],[avg]]&gt;0, Query1[[#This Row],[Month]]&lt;&gt;H246),
    IF(Query1[[#This Row],[Adj Close]]&gt;Query1[[#This Row],[avg]],
       Dashboard!$L$5-Dashboard!$E$6,
       Dashboard!$L$5+Dashboard!$E$6
    ), 0
)</f>
        <v>0</v>
      </c>
      <c r="P247" s="2">
        <f>IF(ROW()&lt;3, Query1[[#This Row],[Shares]], IF(Query1[[#This Row],[Month]]&lt;&gt;H246, P246+Query1[[#This Row],[Enhanced top up]]/Query1[[#This Row],[Adj Close]], P246))</f>
        <v>3307.1154112856225</v>
      </c>
      <c r="Q247" s="2">
        <f>IFERROR(AVERAGE(
  IF(ROW()&gt;20, INDEX(G:G, ROW()-20), 0) :
  INDEX(G:G, ROW())
),0)</f>
        <v>206.54068065824964</v>
      </c>
    </row>
    <row r="248" spans="1:17" x14ac:dyDescent="0.4">
      <c r="A248" s="1">
        <v>44187</v>
      </c>
      <c r="B248">
        <v>222.69000244140625</v>
      </c>
      <c r="C248">
        <v>225.6300048828125</v>
      </c>
      <c r="D248">
        <v>221.85000610351563</v>
      </c>
      <c r="E248">
        <v>223.94000244140625</v>
      </c>
      <c r="F248">
        <v>22612200</v>
      </c>
      <c r="G248">
        <v>215.28150939941406</v>
      </c>
      <c r="H248" s="2">
        <f>MONTH(Query1[[#This Row],[Date]])</f>
        <v>12</v>
      </c>
      <c r="I248" s="3">
        <f>Query1[[#This Row],[Shares]]*Query1[[#This Row],[Adj Close]]</f>
        <v>773355.5435145339</v>
      </c>
      <c r="J248" s="3">
        <f>IF(ROW()&lt;3, Dashboard!$E$7, IF(Query1[[#This Row],[Month]]&lt;&gt;H247,J247*(1+Dashboard!$E$4)+Dashboard!$E$5,J247))</f>
        <v>580967.84266572166</v>
      </c>
      <c r="K248">
        <f>IF(ROW()&lt;3, 0,IF(Query1[[#This Row],[Month]]&lt;&gt;H247,IF((J248-I248&gt;0),J248-I248,0),0))</f>
        <v>0</v>
      </c>
      <c r="L248" s="2">
        <f t="shared" si="3"/>
        <v>3592.2989655359538</v>
      </c>
      <c r="M248">
        <f>IF(ROW()&lt;3, 0, IF(Query1[[#This Row],[Month]]&lt;&gt;H247, Dashboard!$J$5,0))</f>
        <v>0</v>
      </c>
      <c r="N248" s="2">
        <f>IF(ROW()&lt;3, Query1[[#This Row],[Shares]], IF(Query1[[#This Row],[Month]]&lt;&gt;H247, N247+Query1[[#This Row],[Fix Top Up]]/Query1[[#This Row],[Adj Close]], N247))</f>
        <v>3318.9358633843426</v>
      </c>
      <c r="O248">
        <f>IF(AND(Query1[[#This Row],[avg]]&gt;0, Query1[[#This Row],[Month]]&lt;&gt;H247),
    IF(Query1[[#This Row],[Adj Close]]&gt;Query1[[#This Row],[avg]],
       Dashboard!$L$5-Dashboard!$E$6,
       Dashboard!$L$5+Dashboard!$E$6
    ), 0
)</f>
        <v>0</v>
      </c>
      <c r="P248" s="2">
        <f>IF(ROW()&lt;3, Query1[[#This Row],[Shares]], IF(Query1[[#This Row],[Month]]&lt;&gt;H247, P247+Query1[[#This Row],[Enhanced top up]]/Query1[[#This Row],[Adj Close]], P247))</f>
        <v>3307.1154112856225</v>
      </c>
      <c r="Q248" s="2">
        <f>IFERROR(AVERAGE(
  IF(ROW()&gt;20, INDEX(G:G, ROW()-20), 0) :
  INDEX(G:G, ROW())
),0)</f>
        <v>207.16096859886534</v>
      </c>
    </row>
    <row r="249" spans="1:17" x14ac:dyDescent="0.4">
      <c r="A249" s="1">
        <v>44188</v>
      </c>
      <c r="B249">
        <v>223.11000061035156</v>
      </c>
      <c r="C249">
        <v>223.55999755859375</v>
      </c>
      <c r="D249">
        <v>220.80000305175781</v>
      </c>
      <c r="E249">
        <v>221.02000427246094</v>
      </c>
      <c r="F249">
        <v>18699600</v>
      </c>
      <c r="G249">
        <v>212.47438049316406</v>
      </c>
      <c r="H249" s="2">
        <f>MONTH(Query1[[#This Row],[Date]])</f>
        <v>12</v>
      </c>
      <c r="I249" s="3">
        <f>Query1[[#This Row],[Shares]]*Query1[[#This Row],[Adj Close]]</f>
        <v>763271.49724848592</v>
      </c>
      <c r="J249" s="3">
        <f>IF(ROW()&lt;3, Dashboard!$E$7, IF(Query1[[#This Row],[Month]]&lt;&gt;H248,J248*(1+Dashboard!$E$4)+Dashboard!$E$5,J248))</f>
        <v>580967.84266572166</v>
      </c>
      <c r="K249">
        <f>IF(ROW()&lt;3, 0,IF(Query1[[#This Row],[Month]]&lt;&gt;H248,IF((J249-I249&gt;0),J249-I249,0),0))</f>
        <v>0</v>
      </c>
      <c r="L249" s="2">
        <f t="shared" si="3"/>
        <v>3592.2989655359538</v>
      </c>
      <c r="M249">
        <f>IF(ROW()&lt;3, 0, IF(Query1[[#This Row],[Month]]&lt;&gt;H248, Dashboard!$J$5,0))</f>
        <v>0</v>
      </c>
      <c r="N249" s="2">
        <f>IF(ROW()&lt;3, Query1[[#This Row],[Shares]], IF(Query1[[#This Row],[Month]]&lt;&gt;H248, N248+Query1[[#This Row],[Fix Top Up]]/Query1[[#This Row],[Adj Close]], N248))</f>
        <v>3318.9358633843426</v>
      </c>
      <c r="O249">
        <f>IF(AND(Query1[[#This Row],[avg]]&gt;0, Query1[[#This Row],[Month]]&lt;&gt;H248),
    IF(Query1[[#This Row],[Adj Close]]&gt;Query1[[#This Row],[avg]],
       Dashboard!$L$5-Dashboard!$E$6,
       Dashboard!$L$5+Dashboard!$E$6
    ), 0
)</f>
        <v>0</v>
      </c>
      <c r="P249" s="2">
        <f>IF(ROW()&lt;3, Query1[[#This Row],[Shares]], IF(Query1[[#This Row],[Month]]&lt;&gt;H248, P248+Query1[[#This Row],[Enhanced top up]]/Query1[[#This Row],[Adj Close]], P248))</f>
        <v>3307.1154112856225</v>
      </c>
      <c r="Q249" s="2">
        <f>IFERROR(AVERAGE(
  IF(ROW()&gt;20, INDEX(G:G, ROW()-20), 0) :
  INDEX(G:G, ROW())
),0)</f>
        <v>207.66040329706101</v>
      </c>
    </row>
    <row r="250" spans="1:17" x14ac:dyDescent="0.4">
      <c r="A250" s="1">
        <v>44189</v>
      </c>
      <c r="B250">
        <v>221.41999816894531</v>
      </c>
      <c r="C250">
        <v>223.61000061035156</v>
      </c>
      <c r="D250">
        <v>221.19999694824219</v>
      </c>
      <c r="E250">
        <v>222.75</v>
      </c>
      <c r="F250">
        <v>10550600</v>
      </c>
      <c r="G250">
        <v>214.13752746582031</v>
      </c>
      <c r="H250" s="2">
        <f>MONTH(Query1[[#This Row],[Date]])</f>
        <v>12</v>
      </c>
      <c r="I250" s="3">
        <f>Query1[[#This Row],[Shares]]*Query1[[#This Row],[Adj Close]]</f>
        <v>769246.01839789317</v>
      </c>
      <c r="J250" s="3">
        <f>IF(ROW()&lt;3, Dashboard!$E$7, IF(Query1[[#This Row],[Month]]&lt;&gt;H249,J249*(1+Dashboard!$E$4)+Dashboard!$E$5,J249))</f>
        <v>580967.84266572166</v>
      </c>
      <c r="K250">
        <f>IF(ROW()&lt;3, 0,IF(Query1[[#This Row],[Month]]&lt;&gt;H249,IF((J250-I250&gt;0),J250-I250,0),0))</f>
        <v>0</v>
      </c>
      <c r="L250" s="2">
        <f t="shared" si="3"/>
        <v>3592.2989655359538</v>
      </c>
      <c r="M250">
        <f>IF(ROW()&lt;3, 0, IF(Query1[[#This Row],[Month]]&lt;&gt;H249, Dashboard!$J$5,0))</f>
        <v>0</v>
      </c>
      <c r="N250" s="2">
        <f>IF(ROW()&lt;3, Query1[[#This Row],[Shares]], IF(Query1[[#This Row],[Month]]&lt;&gt;H249, N249+Query1[[#This Row],[Fix Top Up]]/Query1[[#This Row],[Adj Close]], N249))</f>
        <v>3318.9358633843426</v>
      </c>
      <c r="O250">
        <f>IF(AND(Query1[[#This Row],[avg]]&gt;0, Query1[[#This Row],[Month]]&lt;&gt;H249),
    IF(Query1[[#This Row],[Adj Close]]&gt;Query1[[#This Row],[avg]],
       Dashboard!$L$5-Dashboard!$E$6,
       Dashboard!$L$5+Dashboard!$E$6
    ), 0
)</f>
        <v>0</v>
      </c>
      <c r="P250" s="2">
        <f>IF(ROW()&lt;3, Query1[[#This Row],[Shares]], IF(Query1[[#This Row],[Month]]&lt;&gt;H249, P249+Query1[[#This Row],[Enhanced top up]]/Query1[[#This Row],[Adj Close]], P249))</f>
        <v>3307.1154112856225</v>
      </c>
      <c r="Q250" s="2">
        <f>IFERROR(AVERAGE(
  IF(ROW()&gt;20, INDEX(G:G, ROW()-20), 0) :
  INDEX(G:G, ROW())
),0)</f>
        <v>208.06736828031995</v>
      </c>
    </row>
    <row r="251" spans="1:17" x14ac:dyDescent="0.4">
      <c r="A251" s="1">
        <v>44193</v>
      </c>
      <c r="B251">
        <v>224.44999694824219</v>
      </c>
      <c r="C251">
        <v>226.02999877929688</v>
      </c>
      <c r="D251">
        <v>223.02000427246094</v>
      </c>
      <c r="E251">
        <v>224.96000671386719</v>
      </c>
      <c r="F251">
        <v>17933500</v>
      </c>
      <c r="G251">
        <v>216.26203918457031</v>
      </c>
      <c r="H251" s="2">
        <f>MONTH(Query1[[#This Row],[Date]])</f>
        <v>12</v>
      </c>
      <c r="I251" s="3">
        <f>Query1[[#This Row],[Shares]]*Query1[[#This Row],[Adj Close]]</f>
        <v>776877.89964742784</v>
      </c>
      <c r="J251" s="3">
        <f>IF(ROW()&lt;3, Dashboard!$E$7, IF(Query1[[#This Row],[Month]]&lt;&gt;H250,J250*(1+Dashboard!$E$4)+Dashboard!$E$5,J250))</f>
        <v>580967.84266572166</v>
      </c>
      <c r="K251">
        <f>IF(ROW()&lt;3, 0,IF(Query1[[#This Row],[Month]]&lt;&gt;H250,IF((J251-I251&gt;0),J251-I251,0),0))</f>
        <v>0</v>
      </c>
      <c r="L251" s="2">
        <f t="shared" si="3"/>
        <v>3592.2989655359538</v>
      </c>
      <c r="M251">
        <f>IF(ROW()&lt;3, 0, IF(Query1[[#This Row],[Month]]&lt;&gt;H250, Dashboard!$J$5,0))</f>
        <v>0</v>
      </c>
      <c r="N251" s="2">
        <f>IF(ROW()&lt;3, Query1[[#This Row],[Shares]], IF(Query1[[#This Row],[Month]]&lt;&gt;H250, N250+Query1[[#This Row],[Fix Top Up]]/Query1[[#This Row],[Adj Close]], N250))</f>
        <v>3318.9358633843426</v>
      </c>
      <c r="O251">
        <f>IF(AND(Query1[[#This Row],[avg]]&gt;0, Query1[[#This Row],[Month]]&lt;&gt;H250),
    IF(Query1[[#This Row],[Adj Close]]&gt;Query1[[#This Row],[avg]],
       Dashboard!$L$5-Dashboard!$E$6,
       Dashboard!$L$5+Dashboard!$E$6
    ), 0
)</f>
        <v>0</v>
      </c>
      <c r="P251" s="2">
        <f>IF(ROW()&lt;3, Query1[[#This Row],[Shares]], IF(Query1[[#This Row],[Month]]&lt;&gt;H250, P250+Query1[[#This Row],[Enhanced top up]]/Query1[[#This Row],[Adj Close]], P250))</f>
        <v>3307.1154112856225</v>
      </c>
      <c r="Q251" s="2">
        <f>IFERROR(AVERAGE(
  IF(ROW()&gt;20, INDEX(G:G, ROW()-20), 0) :
  INDEX(G:G, ROW())
),0)</f>
        <v>208.57504417782738</v>
      </c>
    </row>
    <row r="252" spans="1:17" x14ac:dyDescent="0.4">
      <c r="A252" s="1">
        <v>44194</v>
      </c>
      <c r="B252">
        <v>226.30999755859375</v>
      </c>
      <c r="C252">
        <v>227.17999267578125</v>
      </c>
      <c r="D252">
        <v>223.58000183105469</v>
      </c>
      <c r="E252">
        <v>224.14999389648438</v>
      </c>
      <c r="F252">
        <v>17403200</v>
      </c>
      <c r="G252">
        <v>215.4833984375</v>
      </c>
      <c r="H252" s="2">
        <f>MONTH(Query1[[#This Row],[Date]])</f>
        <v>12</v>
      </c>
      <c r="I252" s="3">
        <f>Query1[[#This Row],[Shares]]*Query1[[#This Row],[Adj Close]]</f>
        <v>774080.78929720307</v>
      </c>
      <c r="J252" s="3">
        <f>IF(ROW()&lt;3, Dashboard!$E$7, IF(Query1[[#This Row],[Month]]&lt;&gt;H251,J251*(1+Dashboard!$E$4)+Dashboard!$E$5,J251))</f>
        <v>580967.84266572166</v>
      </c>
      <c r="K252">
        <f>IF(ROW()&lt;3, 0,IF(Query1[[#This Row],[Month]]&lt;&gt;H251,IF((J252-I252&gt;0),J252-I252,0),0))</f>
        <v>0</v>
      </c>
      <c r="L252" s="2">
        <f t="shared" si="3"/>
        <v>3592.2989655359538</v>
      </c>
      <c r="M252">
        <f>IF(ROW()&lt;3, 0, IF(Query1[[#This Row],[Month]]&lt;&gt;H251, Dashboard!$J$5,0))</f>
        <v>0</v>
      </c>
      <c r="N252" s="2">
        <f>IF(ROW()&lt;3, Query1[[#This Row],[Shares]], IF(Query1[[#This Row],[Month]]&lt;&gt;H251, N251+Query1[[#This Row],[Fix Top Up]]/Query1[[#This Row],[Adj Close]], N251))</f>
        <v>3318.9358633843426</v>
      </c>
      <c r="O252">
        <f>IF(AND(Query1[[#This Row],[avg]]&gt;0, Query1[[#This Row],[Month]]&lt;&gt;H251),
    IF(Query1[[#This Row],[Adj Close]]&gt;Query1[[#This Row],[avg]],
       Dashboard!$L$5-Dashboard!$E$6,
       Dashboard!$L$5+Dashboard!$E$6
    ), 0
)</f>
        <v>0</v>
      </c>
      <c r="P252" s="2">
        <f>IF(ROW()&lt;3, Query1[[#This Row],[Shares]], IF(Query1[[#This Row],[Month]]&lt;&gt;H251, P251+Query1[[#This Row],[Enhanced top up]]/Query1[[#This Row],[Adj Close]], P251))</f>
        <v>3307.1154112856225</v>
      </c>
      <c r="Q252" s="2">
        <f>IFERROR(AVERAGE(
  IF(ROW()&gt;20, INDEX(G:G, ROW()-20), 0) :
  INDEX(G:G, ROW())
),0)</f>
        <v>208.98338463192894</v>
      </c>
    </row>
    <row r="253" spans="1:17" x14ac:dyDescent="0.4">
      <c r="A253" s="1">
        <v>44195</v>
      </c>
      <c r="B253">
        <v>225.22999572753906</v>
      </c>
      <c r="C253">
        <v>225.6300048828125</v>
      </c>
      <c r="D253">
        <v>221.47000122070313</v>
      </c>
      <c r="E253">
        <v>221.67999267578125</v>
      </c>
      <c r="F253">
        <v>20272300</v>
      </c>
      <c r="G253">
        <v>213.10887145996094</v>
      </c>
      <c r="H253" s="2">
        <f>MONTH(Query1[[#This Row],[Date]])</f>
        <v>12</v>
      </c>
      <c r="I253" s="3">
        <f>Query1[[#This Row],[Shares]]*Query1[[#This Row],[Adj Close]]</f>
        <v>765550.77849215223</v>
      </c>
      <c r="J253" s="3">
        <f>IF(ROW()&lt;3, Dashboard!$E$7, IF(Query1[[#This Row],[Month]]&lt;&gt;H252,J252*(1+Dashboard!$E$4)+Dashboard!$E$5,J252))</f>
        <v>580967.84266572166</v>
      </c>
      <c r="K253">
        <f>IF(ROW()&lt;3, 0,IF(Query1[[#This Row],[Month]]&lt;&gt;H252,IF((J253-I253&gt;0),J253-I253,0),0))</f>
        <v>0</v>
      </c>
      <c r="L253" s="2">
        <f t="shared" si="3"/>
        <v>3592.2989655359538</v>
      </c>
      <c r="M253">
        <f>IF(ROW()&lt;3, 0, IF(Query1[[#This Row],[Month]]&lt;&gt;H252, Dashboard!$J$5,0))</f>
        <v>0</v>
      </c>
      <c r="N253" s="2">
        <f>IF(ROW()&lt;3, Query1[[#This Row],[Shares]], IF(Query1[[#This Row],[Month]]&lt;&gt;H252, N252+Query1[[#This Row],[Fix Top Up]]/Query1[[#This Row],[Adj Close]], N252))</f>
        <v>3318.9358633843426</v>
      </c>
      <c r="O253">
        <f>IF(AND(Query1[[#This Row],[avg]]&gt;0, Query1[[#This Row],[Month]]&lt;&gt;H252),
    IF(Query1[[#This Row],[Adj Close]]&gt;Query1[[#This Row],[avg]],
       Dashboard!$L$5-Dashboard!$E$6,
       Dashboard!$L$5+Dashboard!$E$6
    ), 0
)</f>
        <v>0</v>
      </c>
      <c r="P253" s="2">
        <f>IF(ROW()&lt;3, Query1[[#This Row],[Shares]], IF(Query1[[#This Row],[Month]]&lt;&gt;H252, P252+Query1[[#This Row],[Enhanced top up]]/Query1[[#This Row],[Adj Close]], P252))</f>
        <v>3307.1154112856225</v>
      </c>
      <c r="Q253" s="2">
        <f>IFERROR(AVERAGE(
  IF(ROW()&gt;20, INDEX(G:G, ROW()-20), 0) :
  INDEX(G:G, ROW())
),0)</f>
        <v>209.33175295875185</v>
      </c>
    </row>
    <row r="254" spans="1:17" x14ac:dyDescent="0.4">
      <c r="A254" s="1">
        <v>44196</v>
      </c>
      <c r="B254">
        <v>221.69999694824219</v>
      </c>
      <c r="C254">
        <v>223</v>
      </c>
      <c r="D254">
        <v>219.67999267578125</v>
      </c>
      <c r="E254">
        <v>222.41999816894531</v>
      </c>
      <c r="F254">
        <v>20942100</v>
      </c>
      <c r="G254">
        <v>213.82028198242188</v>
      </c>
      <c r="H254" s="2">
        <f>MONTH(Query1[[#This Row],[Date]])</f>
        <v>12</v>
      </c>
      <c r="I254" s="3">
        <f>Query1[[#This Row],[Shares]]*Query1[[#This Row],[Adj Close]]</f>
        <v>768106.37777606002</v>
      </c>
      <c r="J254" s="3">
        <f>IF(ROW()&lt;3, Dashboard!$E$7, IF(Query1[[#This Row],[Month]]&lt;&gt;H253,J253*(1+Dashboard!$E$4)+Dashboard!$E$5,J253))</f>
        <v>580967.84266572166</v>
      </c>
      <c r="K254">
        <f>IF(ROW()&lt;3, 0,IF(Query1[[#This Row],[Month]]&lt;&gt;H253,IF((J254-I254&gt;0),J254-I254,0),0))</f>
        <v>0</v>
      </c>
      <c r="L254" s="2">
        <f t="shared" si="3"/>
        <v>3592.2989655359538</v>
      </c>
      <c r="M254">
        <f>IF(ROW()&lt;3, 0, IF(Query1[[#This Row],[Month]]&lt;&gt;H253, Dashboard!$J$5,0))</f>
        <v>0</v>
      </c>
      <c r="N254" s="2">
        <f>IF(ROW()&lt;3, Query1[[#This Row],[Shares]], IF(Query1[[#This Row],[Month]]&lt;&gt;H253, N253+Query1[[#This Row],[Fix Top Up]]/Query1[[#This Row],[Adj Close]], N253))</f>
        <v>3318.9358633843426</v>
      </c>
      <c r="O254">
        <f>IF(AND(Query1[[#This Row],[avg]]&gt;0, Query1[[#This Row],[Month]]&lt;&gt;H253),
    IF(Query1[[#This Row],[Adj Close]]&gt;Query1[[#This Row],[avg]],
       Dashboard!$L$5-Dashboard!$E$6,
       Dashboard!$L$5+Dashboard!$E$6
    ), 0
)</f>
        <v>0</v>
      </c>
      <c r="P254" s="2">
        <f>IF(ROW()&lt;3, Query1[[#This Row],[Shares]], IF(Query1[[#This Row],[Month]]&lt;&gt;H253, P253+Query1[[#This Row],[Enhanced top up]]/Query1[[#This Row],[Adj Close]], P253))</f>
        <v>3307.1154112856225</v>
      </c>
      <c r="Q254" s="2">
        <f>IFERROR(AVERAGE(
  IF(ROW()&gt;20, INDEX(G:G, ROW()-20), 0) :
  INDEX(G:G, ROW())
),0)</f>
        <v>209.61603437151228</v>
      </c>
    </row>
    <row r="255" spans="1:17" x14ac:dyDescent="0.4">
      <c r="A255" s="1">
        <v>44200</v>
      </c>
      <c r="B255">
        <v>222.52999877929688</v>
      </c>
      <c r="C255">
        <v>223</v>
      </c>
      <c r="D255">
        <v>214.80999755859375</v>
      </c>
      <c r="E255">
        <v>217.69000244140625</v>
      </c>
      <c r="F255">
        <v>37130100</v>
      </c>
      <c r="G255">
        <v>209.27320861816406</v>
      </c>
      <c r="H255" s="2">
        <f>MONTH(Query1[[#This Row],[Date]])</f>
        <v>1</v>
      </c>
      <c r="I255" s="3">
        <f>Query1[[#This Row],[Shares]]*Query1[[#This Row],[Adj Close]]</f>
        <v>751771.9308334206</v>
      </c>
      <c r="J255" s="3">
        <f>IF(ROW()&lt;3, Dashboard!$E$7, IF(Query1[[#This Row],[Month]]&lt;&gt;H254,J254*(1+Dashboard!$E$4)+Dashboard!$E$5,J254))</f>
        <v>588777.52109237888</v>
      </c>
      <c r="K255">
        <f>IF(ROW()&lt;3, 0,IF(Query1[[#This Row],[Month]]&lt;&gt;H254,IF((J255-I255&gt;0),J255-I255,0),0))</f>
        <v>0</v>
      </c>
      <c r="L255" s="2">
        <f t="shared" si="3"/>
        <v>3592.2989655359538</v>
      </c>
      <c r="M255">
        <f>IF(ROW()&lt;3, 0, IF(Query1[[#This Row],[Month]]&lt;&gt;H254, Dashboard!$J$5,0))</f>
        <v>773.47399999999971</v>
      </c>
      <c r="N255" s="2">
        <f>IF(ROW()&lt;3, Query1[[#This Row],[Shares]], IF(Query1[[#This Row],[Month]]&lt;&gt;H254, N254+Query1[[#This Row],[Fix Top Up]]/Query1[[#This Row],[Adj Close]], N254))</f>
        <v>3322.6318644401263</v>
      </c>
      <c r="O255">
        <f>IF(AND(Query1[[#This Row],[avg]]&gt;0, Query1[[#This Row],[Month]]&lt;&gt;H254),
    IF(Query1[[#This Row],[Adj Close]]&gt;Query1[[#This Row],[avg]],
       Dashboard!$L$5-Dashboard!$E$6,
       Dashboard!$L$5+Dashboard!$E$6
    ), 0
)</f>
        <v>1390.1406666666667</v>
      </c>
      <c r="P255" s="2">
        <f>IF(ROW()&lt;3, Query1[[#This Row],[Shares]], IF(Query1[[#This Row],[Month]]&lt;&gt;H254, P254+Query1[[#This Row],[Enhanced top up]]/Query1[[#This Row],[Adj Close]], P254))</f>
        <v>3313.7581185669119</v>
      </c>
      <c r="Q255" s="2">
        <f>IFERROR(AVERAGE(
  IF(ROW()&gt;20, INDEX(G:G, ROW()-20), 0) :
  INDEX(G:G, ROW())
),0)</f>
        <v>209.7222413562593</v>
      </c>
    </row>
    <row r="256" spans="1:17" x14ac:dyDescent="0.4">
      <c r="A256" s="1">
        <v>44201</v>
      </c>
      <c r="B256">
        <v>217.25999450683594</v>
      </c>
      <c r="C256">
        <v>218.52000427246094</v>
      </c>
      <c r="D256">
        <v>215.69999694824219</v>
      </c>
      <c r="E256">
        <v>217.89999389648438</v>
      </c>
      <c r="F256">
        <v>23823000</v>
      </c>
      <c r="G256">
        <v>209.47502136230469</v>
      </c>
      <c r="H256" s="2">
        <f>MONTH(Query1[[#This Row],[Date]])</f>
        <v>1</v>
      </c>
      <c r="I256" s="3">
        <f>Query1[[#This Row],[Shares]]*Query1[[#This Row],[Adj Close]]</f>
        <v>752496.90254542895</v>
      </c>
      <c r="J256" s="3">
        <f>IF(ROW()&lt;3, Dashboard!$E$7, IF(Query1[[#This Row],[Month]]&lt;&gt;H255,J255*(1+Dashboard!$E$4)+Dashboard!$E$5,J255))</f>
        <v>588777.52109237888</v>
      </c>
      <c r="K256">
        <f>IF(ROW()&lt;3, 0,IF(Query1[[#This Row],[Month]]&lt;&gt;H255,IF((J256-I256&gt;0),J256-I256,0),0))</f>
        <v>0</v>
      </c>
      <c r="L256" s="2">
        <f t="shared" si="3"/>
        <v>3592.2989655359538</v>
      </c>
      <c r="M256">
        <f>IF(ROW()&lt;3, 0, IF(Query1[[#This Row],[Month]]&lt;&gt;H255, Dashboard!$J$5,0))</f>
        <v>0</v>
      </c>
      <c r="N256" s="2">
        <f>IF(ROW()&lt;3, Query1[[#This Row],[Shares]], IF(Query1[[#This Row],[Month]]&lt;&gt;H255, N255+Query1[[#This Row],[Fix Top Up]]/Query1[[#This Row],[Adj Close]], N255))</f>
        <v>3322.6318644401263</v>
      </c>
      <c r="O256">
        <f>IF(AND(Query1[[#This Row],[avg]]&gt;0, Query1[[#This Row],[Month]]&lt;&gt;H255),
    IF(Query1[[#This Row],[Adj Close]]&gt;Query1[[#This Row],[avg]],
       Dashboard!$L$5-Dashboard!$E$6,
       Dashboard!$L$5+Dashboard!$E$6
    ), 0
)</f>
        <v>0</v>
      </c>
      <c r="P256" s="2">
        <f>IF(ROW()&lt;3, Query1[[#This Row],[Shares]], IF(Query1[[#This Row],[Month]]&lt;&gt;H255, P255+Query1[[#This Row],[Enhanced top up]]/Query1[[#This Row],[Adj Close]], P255))</f>
        <v>3313.7581185669119</v>
      </c>
      <c r="Q256" s="2">
        <f>IFERROR(AVERAGE(
  IF(ROW()&gt;20, INDEX(G:G, ROW()-20), 0) :
  INDEX(G:G, ROW())
),0)</f>
        <v>209.88978721981957</v>
      </c>
    </row>
    <row r="257" spans="1:17" x14ac:dyDescent="0.4">
      <c r="A257" s="1">
        <v>44202</v>
      </c>
      <c r="B257">
        <v>212.16999816894531</v>
      </c>
      <c r="C257">
        <v>216.49000549316406</v>
      </c>
      <c r="D257">
        <v>211.94000244140625</v>
      </c>
      <c r="E257">
        <v>212.25</v>
      </c>
      <c r="F257">
        <v>35930700</v>
      </c>
      <c r="G257">
        <v>204.04351806640625</v>
      </c>
      <c r="H257" s="2">
        <f>MONTH(Query1[[#This Row],[Date]])</f>
        <v>1</v>
      </c>
      <c r="I257" s="3">
        <f>Query1[[#This Row],[Shares]]*Query1[[#This Row],[Adj Close]]</f>
        <v>732985.31887426786</v>
      </c>
      <c r="J257" s="3">
        <f>IF(ROW()&lt;3, Dashboard!$E$7, IF(Query1[[#This Row],[Month]]&lt;&gt;H256,J256*(1+Dashboard!$E$4)+Dashboard!$E$5,J256))</f>
        <v>588777.52109237888</v>
      </c>
      <c r="K257">
        <f>IF(ROW()&lt;3, 0,IF(Query1[[#This Row],[Month]]&lt;&gt;H256,IF((J257-I257&gt;0),J257-I257,0),0))</f>
        <v>0</v>
      </c>
      <c r="L257" s="2">
        <f t="shared" si="3"/>
        <v>3592.2989655359538</v>
      </c>
      <c r="M257">
        <f>IF(ROW()&lt;3, 0, IF(Query1[[#This Row],[Month]]&lt;&gt;H256, Dashboard!$J$5,0))</f>
        <v>0</v>
      </c>
      <c r="N257" s="2">
        <f>IF(ROW()&lt;3, Query1[[#This Row],[Shares]], IF(Query1[[#This Row],[Month]]&lt;&gt;H256, N256+Query1[[#This Row],[Fix Top Up]]/Query1[[#This Row],[Adj Close]], N256))</f>
        <v>3322.6318644401263</v>
      </c>
      <c r="O257">
        <f>IF(AND(Query1[[#This Row],[avg]]&gt;0, Query1[[#This Row],[Month]]&lt;&gt;H256),
    IF(Query1[[#This Row],[Adj Close]]&gt;Query1[[#This Row],[avg]],
       Dashboard!$L$5-Dashboard!$E$6,
       Dashboard!$L$5+Dashboard!$E$6
    ), 0
)</f>
        <v>0</v>
      </c>
      <c r="P257" s="2">
        <f>IF(ROW()&lt;3, Query1[[#This Row],[Shares]], IF(Query1[[#This Row],[Month]]&lt;&gt;H256, P256+Query1[[#This Row],[Enhanced top up]]/Query1[[#This Row],[Adj Close]], P256))</f>
        <v>3313.7581185669119</v>
      </c>
      <c r="Q257" s="2">
        <f>IFERROR(AVERAGE(
  IF(ROW()&gt;20, INDEX(G:G, ROW()-20), 0) :
  INDEX(G:G, ROW())
),0)</f>
        <v>209.79319763183594</v>
      </c>
    </row>
    <row r="258" spans="1:17" x14ac:dyDescent="0.4">
      <c r="A258" s="1">
        <v>44203</v>
      </c>
      <c r="B258">
        <v>214.03999328613281</v>
      </c>
      <c r="C258">
        <v>219.33999633789063</v>
      </c>
      <c r="D258">
        <v>213.71000671386719</v>
      </c>
      <c r="E258">
        <v>218.28999328613281</v>
      </c>
      <c r="F258">
        <v>27694500</v>
      </c>
      <c r="G258">
        <v>209.84996032714844</v>
      </c>
      <c r="H258" s="2">
        <f>MONTH(Query1[[#This Row],[Date]])</f>
        <v>1</v>
      </c>
      <c r="I258" s="3">
        <f>Query1[[#This Row],[Shares]]*Query1[[#This Row],[Adj Close]]</f>
        <v>753843.79540097632</v>
      </c>
      <c r="J258" s="3">
        <f>IF(ROW()&lt;3, Dashboard!$E$7, IF(Query1[[#This Row],[Month]]&lt;&gt;H257,J257*(1+Dashboard!$E$4)+Dashboard!$E$5,J257))</f>
        <v>588777.52109237888</v>
      </c>
      <c r="K258">
        <f>IF(ROW()&lt;3, 0,IF(Query1[[#This Row],[Month]]&lt;&gt;H257,IF((J258-I258&gt;0),J258-I258,0),0))</f>
        <v>0</v>
      </c>
      <c r="L258" s="2">
        <f t="shared" ref="L258:L321" si="4">IF(ROW()&lt;3, J258/G258, L257+K257/G257)</f>
        <v>3592.2989655359538</v>
      </c>
      <c r="M258">
        <f>IF(ROW()&lt;3, 0, IF(Query1[[#This Row],[Month]]&lt;&gt;H257, Dashboard!$J$5,0))</f>
        <v>0</v>
      </c>
      <c r="N258" s="2">
        <f>IF(ROW()&lt;3, Query1[[#This Row],[Shares]], IF(Query1[[#This Row],[Month]]&lt;&gt;H257, N257+Query1[[#This Row],[Fix Top Up]]/Query1[[#This Row],[Adj Close]], N257))</f>
        <v>3322.6318644401263</v>
      </c>
      <c r="O258">
        <f>IF(AND(Query1[[#This Row],[avg]]&gt;0, Query1[[#This Row],[Month]]&lt;&gt;H257),
    IF(Query1[[#This Row],[Adj Close]]&gt;Query1[[#This Row],[avg]],
       Dashboard!$L$5-Dashboard!$E$6,
       Dashboard!$L$5+Dashboard!$E$6
    ), 0
)</f>
        <v>0</v>
      </c>
      <c r="P258" s="2">
        <f>IF(ROW()&lt;3, Query1[[#This Row],[Shares]], IF(Query1[[#This Row],[Month]]&lt;&gt;H257, P257+Query1[[#This Row],[Enhanced top up]]/Query1[[#This Row],[Adj Close]], P257))</f>
        <v>3313.7581185669119</v>
      </c>
      <c r="Q258" s="2">
        <f>IFERROR(AVERAGE(
  IF(ROW()&gt;20, INDEX(G:G, ROW()-20), 0) :
  INDEX(G:G, ROW())
),0)</f>
        <v>209.97630891345796</v>
      </c>
    </row>
    <row r="259" spans="1:17" x14ac:dyDescent="0.4">
      <c r="A259" s="1">
        <v>44204</v>
      </c>
      <c r="B259">
        <v>218.67999267578125</v>
      </c>
      <c r="C259">
        <v>220.58000183105469</v>
      </c>
      <c r="D259">
        <v>217.02999877929688</v>
      </c>
      <c r="E259">
        <v>219.6199951171875</v>
      </c>
      <c r="F259">
        <v>22956200</v>
      </c>
      <c r="G259">
        <v>211.1285400390625</v>
      </c>
      <c r="H259" s="2">
        <f>MONTH(Query1[[#This Row],[Date]])</f>
        <v>1</v>
      </c>
      <c r="I259" s="3">
        <f>Query1[[#This Row],[Shares]]*Query1[[#This Row],[Adj Close]]</f>
        <v>758436.83597744047</v>
      </c>
      <c r="J259" s="3">
        <f>IF(ROW()&lt;3, Dashboard!$E$7, IF(Query1[[#This Row],[Month]]&lt;&gt;H258,J258*(1+Dashboard!$E$4)+Dashboard!$E$5,J258))</f>
        <v>588777.52109237888</v>
      </c>
      <c r="K259">
        <f>IF(ROW()&lt;3, 0,IF(Query1[[#This Row],[Month]]&lt;&gt;H258,IF((J259-I259&gt;0),J259-I259,0),0))</f>
        <v>0</v>
      </c>
      <c r="L259" s="2">
        <f t="shared" si="4"/>
        <v>3592.2989655359538</v>
      </c>
      <c r="M259">
        <f>IF(ROW()&lt;3, 0, IF(Query1[[#This Row],[Month]]&lt;&gt;H258, Dashboard!$J$5,0))</f>
        <v>0</v>
      </c>
      <c r="N259" s="2">
        <f>IF(ROW()&lt;3, Query1[[#This Row],[Shares]], IF(Query1[[#This Row],[Month]]&lt;&gt;H258, N258+Query1[[#This Row],[Fix Top Up]]/Query1[[#This Row],[Adj Close]], N258))</f>
        <v>3322.6318644401263</v>
      </c>
      <c r="O259">
        <f>IF(AND(Query1[[#This Row],[avg]]&gt;0, Query1[[#This Row],[Month]]&lt;&gt;H258),
    IF(Query1[[#This Row],[Adj Close]]&gt;Query1[[#This Row],[avg]],
       Dashboard!$L$5-Dashboard!$E$6,
       Dashboard!$L$5+Dashboard!$E$6
    ), 0
)</f>
        <v>0</v>
      </c>
      <c r="P259" s="2">
        <f>IF(ROW()&lt;3, Query1[[#This Row],[Shares]], IF(Query1[[#This Row],[Month]]&lt;&gt;H258, P258+Query1[[#This Row],[Enhanced top up]]/Query1[[#This Row],[Adj Close]], P258))</f>
        <v>3313.7581185669119</v>
      </c>
      <c r="Q259" s="2">
        <f>IFERROR(AVERAGE(
  IF(ROW()&gt;20, INDEX(G:G, ROW()-20), 0) :
  INDEX(G:G, ROW())
),0)</f>
        <v>210.14156813848587</v>
      </c>
    </row>
    <row r="260" spans="1:17" x14ac:dyDescent="0.4">
      <c r="A260" s="1">
        <v>44207</v>
      </c>
      <c r="B260">
        <v>218.47000122070313</v>
      </c>
      <c r="C260">
        <v>218.91000366210938</v>
      </c>
      <c r="D260">
        <v>216.72999572753906</v>
      </c>
      <c r="E260">
        <v>217.49000549316406</v>
      </c>
      <c r="F260">
        <v>23031300</v>
      </c>
      <c r="G260">
        <v>209.08091735839844</v>
      </c>
      <c r="H260" s="2">
        <f>MONTH(Query1[[#This Row],[Date]])</f>
        <v>1</v>
      </c>
      <c r="I260" s="3">
        <f>Query1[[#This Row],[Shares]]*Query1[[#This Row],[Adj Close]]</f>
        <v>751081.16313988296</v>
      </c>
      <c r="J260" s="3">
        <f>IF(ROW()&lt;3, Dashboard!$E$7, IF(Query1[[#This Row],[Month]]&lt;&gt;H259,J259*(1+Dashboard!$E$4)+Dashboard!$E$5,J259))</f>
        <v>588777.52109237888</v>
      </c>
      <c r="K260">
        <f>IF(ROW()&lt;3, 0,IF(Query1[[#This Row],[Month]]&lt;&gt;H259,IF((J260-I260&gt;0),J260-I260,0),0))</f>
        <v>0</v>
      </c>
      <c r="L260" s="2">
        <f t="shared" si="4"/>
        <v>3592.2989655359538</v>
      </c>
      <c r="M260">
        <f>IF(ROW()&lt;3, 0, IF(Query1[[#This Row],[Month]]&lt;&gt;H259, Dashboard!$J$5,0))</f>
        <v>0</v>
      </c>
      <c r="N260" s="2">
        <f>IF(ROW()&lt;3, Query1[[#This Row],[Shares]], IF(Query1[[#This Row],[Month]]&lt;&gt;H259, N259+Query1[[#This Row],[Fix Top Up]]/Query1[[#This Row],[Adj Close]], N259))</f>
        <v>3322.6318644401263</v>
      </c>
      <c r="O260">
        <f>IF(AND(Query1[[#This Row],[avg]]&gt;0, Query1[[#This Row],[Month]]&lt;&gt;H259),
    IF(Query1[[#This Row],[Adj Close]]&gt;Query1[[#This Row],[avg]],
       Dashboard!$L$5-Dashboard!$E$6,
       Dashboard!$L$5+Dashboard!$E$6
    ), 0
)</f>
        <v>0</v>
      </c>
      <c r="P260" s="2">
        <f>IF(ROW()&lt;3, Query1[[#This Row],[Shares]], IF(Query1[[#This Row],[Month]]&lt;&gt;H259, P259+Query1[[#This Row],[Enhanced top up]]/Query1[[#This Row],[Adj Close]], P259))</f>
        <v>3313.7581185669119</v>
      </c>
      <c r="Q260" s="2">
        <f>IFERROR(AVERAGE(
  IF(ROW()&gt;20, INDEX(G:G, ROW()-20), 0) :
  INDEX(G:G, ROW())
),0)</f>
        <v>210.40204584030877</v>
      </c>
    </row>
    <row r="261" spans="1:17" x14ac:dyDescent="0.4">
      <c r="A261" s="1">
        <v>44208</v>
      </c>
      <c r="B261">
        <v>216.5</v>
      </c>
      <c r="C261">
        <v>217.10000610351563</v>
      </c>
      <c r="D261">
        <v>213.32000732421875</v>
      </c>
      <c r="E261">
        <v>214.92999267578125</v>
      </c>
      <c r="F261">
        <v>23249300</v>
      </c>
      <c r="G261">
        <v>206.619873046875</v>
      </c>
      <c r="H261" s="2">
        <f>MONTH(Query1[[#This Row],[Date]])</f>
        <v>1</v>
      </c>
      <c r="I261" s="3">
        <f>Query1[[#This Row],[Shares]]*Query1[[#This Row],[Adj Close]]</f>
        <v>742240.35620545922</v>
      </c>
      <c r="J261" s="3">
        <f>IF(ROW()&lt;3, Dashboard!$E$7, IF(Query1[[#This Row],[Month]]&lt;&gt;H260,J260*(1+Dashboard!$E$4)+Dashboard!$E$5,J260))</f>
        <v>588777.52109237888</v>
      </c>
      <c r="K261">
        <f>IF(ROW()&lt;3, 0,IF(Query1[[#This Row],[Month]]&lt;&gt;H260,IF((J261-I261&gt;0),J261-I261,0),0))</f>
        <v>0</v>
      </c>
      <c r="L261" s="2">
        <f t="shared" si="4"/>
        <v>3592.2989655359538</v>
      </c>
      <c r="M261">
        <f>IF(ROW()&lt;3, 0, IF(Query1[[#This Row],[Month]]&lt;&gt;H260, Dashboard!$J$5,0))</f>
        <v>0</v>
      </c>
      <c r="N261" s="2">
        <f>IF(ROW()&lt;3, Query1[[#This Row],[Shares]], IF(Query1[[#This Row],[Month]]&lt;&gt;H260, N260+Query1[[#This Row],[Fix Top Up]]/Query1[[#This Row],[Adj Close]], N260))</f>
        <v>3322.6318644401263</v>
      </c>
      <c r="O261">
        <f>IF(AND(Query1[[#This Row],[avg]]&gt;0, Query1[[#This Row],[Month]]&lt;&gt;H260),
    IF(Query1[[#This Row],[Adj Close]]&gt;Query1[[#This Row],[avg]],
       Dashboard!$L$5-Dashboard!$E$6,
       Dashboard!$L$5+Dashboard!$E$6
    ), 0
)</f>
        <v>0</v>
      </c>
      <c r="P261" s="2">
        <f>IF(ROW()&lt;3, Query1[[#This Row],[Shares]], IF(Query1[[#This Row],[Month]]&lt;&gt;H260, P260+Query1[[#This Row],[Enhanced top up]]/Query1[[#This Row],[Adj Close]], P260))</f>
        <v>3313.7581185669119</v>
      </c>
      <c r="Q261" s="2">
        <f>IFERROR(AVERAGE(
  IF(ROW()&gt;20, INDEX(G:G, ROW()-20), 0) :
  INDEX(G:G, ROW())
),0)</f>
        <v>210.60392615908668</v>
      </c>
    </row>
    <row r="262" spans="1:17" x14ac:dyDescent="0.4">
      <c r="A262" s="1">
        <v>44209</v>
      </c>
      <c r="B262">
        <v>214.02000427246094</v>
      </c>
      <c r="C262">
        <v>216.75999450683594</v>
      </c>
      <c r="D262">
        <v>213.92999267578125</v>
      </c>
      <c r="E262">
        <v>216.33999633789063</v>
      </c>
      <c r="F262">
        <v>20087100</v>
      </c>
      <c r="G262">
        <v>207.975341796875</v>
      </c>
      <c r="H262" s="2">
        <f>MONTH(Query1[[#This Row],[Date]])</f>
        <v>1</v>
      </c>
      <c r="I262" s="3">
        <f>Query1[[#This Row],[Shares]]*Query1[[#This Row],[Adj Close]]</f>
        <v>747109.60519390053</v>
      </c>
      <c r="J262" s="3">
        <f>IF(ROW()&lt;3, Dashboard!$E$7, IF(Query1[[#This Row],[Month]]&lt;&gt;H261,J261*(1+Dashboard!$E$4)+Dashboard!$E$5,J261))</f>
        <v>588777.52109237888</v>
      </c>
      <c r="K262">
        <f>IF(ROW()&lt;3, 0,IF(Query1[[#This Row],[Month]]&lt;&gt;H261,IF((J262-I262&gt;0),J262-I262,0),0))</f>
        <v>0</v>
      </c>
      <c r="L262" s="2">
        <f t="shared" si="4"/>
        <v>3592.2989655359538</v>
      </c>
      <c r="M262">
        <f>IF(ROW()&lt;3, 0, IF(Query1[[#This Row],[Month]]&lt;&gt;H261, Dashboard!$J$5,0))</f>
        <v>0</v>
      </c>
      <c r="N262" s="2">
        <f>IF(ROW()&lt;3, Query1[[#This Row],[Shares]], IF(Query1[[#This Row],[Month]]&lt;&gt;H261, N261+Query1[[#This Row],[Fix Top Up]]/Query1[[#This Row],[Adj Close]], N261))</f>
        <v>3322.6318644401263</v>
      </c>
      <c r="O262">
        <f>IF(AND(Query1[[#This Row],[avg]]&gt;0, Query1[[#This Row],[Month]]&lt;&gt;H261),
    IF(Query1[[#This Row],[Adj Close]]&gt;Query1[[#This Row],[avg]],
       Dashboard!$L$5-Dashboard!$E$6,
       Dashboard!$L$5+Dashboard!$E$6
    ), 0
)</f>
        <v>0</v>
      </c>
      <c r="P262" s="2">
        <f>IF(ROW()&lt;3, Query1[[#This Row],[Shares]], IF(Query1[[#This Row],[Month]]&lt;&gt;H261, P261+Query1[[#This Row],[Enhanced top up]]/Query1[[#This Row],[Adj Close]], P261))</f>
        <v>3313.7581185669119</v>
      </c>
      <c r="Q262" s="2">
        <f>IFERROR(AVERAGE(
  IF(ROW()&gt;20, INDEX(G:G, ROW()-20), 0) :
  INDEX(G:G, ROW())
),0)</f>
        <v>210.7449217296782</v>
      </c>
    </row>
    <row r="263" spans="1:17" x14ac:dyDescent="0.4">
      <c r="A263" s="1">
        <v>44210</v>
      </c>
      <c r="B263">
        <v>215.91000366210938</v>
      </c>
      <c r="C263">
        <v>217.46000671386719</v>
      </c>
      <c r="D263">
        <v>212.74000549316406</v>
      </c>
      <c r="E263">
        <v>213.02000427246094</v>
      </c>
      <c r="F263">
        <v>29480800</v>
      </c>
      <c r="G263">
        <v>204.78367614746094</v>
      </c>
      <c r="H263" s="2">
        <f>MONTH(Query1[[#This Row],[Date]])</f>
        <v>1</v>
      </c>
      <c r="I263" s="3">
        <f>Query1[[#This Row],[Shares]]*Query1[[#This Row],[Adj Close]]</f>
        <v>735644.18798317376</v>
      </c>
      <c r="J263" s="3">
        <f>IF(ROW()&lt;3, Dashboard!$E$7, IF(Query1[[#This Row],[Month]]&lt;&gt;H262,J262*(1+Dashboard!$E$4)+Dashboard!$E$5,J262))</f>
        <v>588777.52109237888</v>
      </c>
      <c r="K263">
        <f>IF(ROW()&lt;3, 0,IF(Query1[[#This Row],[Month]]&lt;&gt;H262,IF((J263-I263&gt;0),J263-I263,0),0))</f>
        <v>0</v>
      </c>
      <c r="L263" s="2">
        <f t="shared" si="4"/>
        <v>3592.2989655359538</v>
      </c>
      <c r="M263">
        <f>IF(ROW()&lt;3, 0, IF(Query1[[#This Row],[Month]]&lt;&gt;H262, Dashboard!$J$5,0))</f>
        <v>0</v>
      </c>
      <c r="N263" s="2">
        <f>IF(ROW()&lt;3, Query1[[#This Row],[Shares]], IF(Query1[[#This Row],[Month]]&lt;&gt;H262, N262+Query1[[#This Row],[Fix Top Up]]/Query1[[#This Row],[Adj Close]], N262))</f>
        <v>3322.6318644401263</v>
      </c>
      <c r="O263">
        <f>IF(AND(Query1[[#This Row],[avg]]&gt;0, Query1[[#This Row],[Month]]&lt;&gt;H262),
    IF(Query1[[#This Row],[Adj Close]]&gt;Query1[[#This Row],[avg]],
       Dashboard!$L$5-Dashboard!$E$6,
       Dashboard!$L$5+Dashboard!$E$6
    ), 0
)</f>
        <v>0</v>
      </c>
      <c r="P263" s="2">
        <f>IF(ROW()&lt;3, Query1[[#This Row],[Shares]], IF(Query1[[#This Row],[Month]]&lt;&gt;H262, P262+Query1[[#This Row],[Enhanced top up]]/Query1[[#This Row],[Adj Close]], P262))</f>
        <v>3313.7581185669119</v>
      </c>
      <c r="Q263" s="2">
        <f>IFERROR(AVERAGE(
  IF(ROW()&gt;20, INDEX(G:G, ROW()-20), 0) :
  INDEX(G:G, ROW())
),0)</f>
        <v>210.69090125674293</v>
      </c>
    </row>
    <row r="264" spans="1:17" x14ac:dyDescent="0.4">
      <c r="A264" s="1">
        <v>44211</v>
      </c>
      <c r="B264">
        <v>213.52000427246094</v>
      </c>
      <c r="C264">
        <v>214.50999450683594</v>
      </c>
      <c r="D264">
        <v>212.02999877929688</v>
      </c>
      <c r="E264">
        <v>212.64999389648438</v>
      </c>
      <c r="F264">
        <v>31746500</v>
      </c>
      <c r="G264">
        <v>204.42800903320313</v>
      </c>
      <c r="H264" s="2">
        <f>MONTH(Query1[[#This Row],[Date]])</f>
        <v>1</v>
      </c>
      <c r="I264" s="3">
        <f>Query1[[#This Row],[Shares]]*Query1[[#This Row],[Adj Close]]</f>
        <v>734366.52537655015</v>
      </c>
      <c r="J264" s="3">
        <f>IF(ROW()&lt;3, Dashboard!$E$7, IF(Query1[[#This Row],[Month]]&lt;&gt;H263,J263*(1+Dashboard!$E$4)+Dashboard!$E$5,J263))</f>
        <v>588777.52109237888</v>
      </c>
      <c r="K264">
        <f>IF(ROW()&lt;3, 0,IF(Query1[[#This Row],[Month]]&lt;&gt;H263,IF((J264-I264&gt;0),J264-I264,0),0))</f>
        <v>0</v>
      </c>
      <c r="L264" s="2">
        <f t="shared" si="4"/>
        <v>3592.2989655359538</v>
      </c>
      <c r="M264">
        <f>IF(ROW()&lt;3, 0, IF(Query1[[#This Row],[Month]]&lt;&gt;H263, Dashboard!$J$5,0))</f>
        <v>0</v>
      </c>
      <c r="N264" s="2">
        <f>IF(ROW()&lt;3, Query1[[#This Row],[Shares]], IF(Query1[[#This Row],[Month]]&lt;&gt;H263, N263+Query1[[#This Row],[Fix Top Up]]/Query1[[#This Row],[Adj Close]], N263))</f>
        <v>3322.6318644401263</v>
      </c>
      <c r="O264">
        <f>IF(AND(Query1[[#This Row],[avg]]&gt;0, Query1[[#This Row],[Month]]&lt;&gt;H263),
    IF(Query1[[#This Row],[Adj Close]]&gt;Query1[[#This Row],[avg]],
       Dashboard!$L$5-Dashboard!$E$6,
       Dashboard!$L$5+Dashboard!$E$6
    ), 0
)</f>
        <v>0</v>
      </c>
      <c r="P264" s="2">
        <f>IF(ROW()&lt;3, Query1[[#This Row],[Shares]], IF(Query1[[#This Row],[Month]]&lt;&gt;H263, P263+Query1[[#This Row],[Enhanced top up]]/Query1[[#This Row],[Adj Close]], P263))</f>
        <v>3313.7581185669119</v>
      </c>
      <c r="Q264" s="2">
        <f>IFERROR(AVERAGE(
  IF(ROW()&gt;20, INDEX(G:G, ROW()-20), 0) :
  INDEX(G:G, ROW())
),0)</f>
        <v>210.62314860026041</v>
      </c>
    </row>
    <row r="265" spans="1:17" x14ac:dyDescent="0.4">
      <c r="A265" s="1">
        <v>44215</v>
      </c>
      <c r="B265">
        <v>213.75</v>
      </c>
      <c r="C265">
        <v>216.97999572753906</v>
      </c>
      <c r="D265">
        <v>212.6300048828125</v>
      </c>
      <c r="E265">
        <v>216.44000244140625</v>
      </c>
      <c r="F265">
        <v>30480900</v>
      </c>
      <c r="G265">
        <v>208.07148742675781</v>
      </c>
      <c r="H265" s="2">
        <f>MONTH(Query1[[#This Row],[Date]])</f>
        <v>1</v>
      </c>
      <c r="I265" s="3">
        <f>Query1[[#This Row],[Shares]]*Query1[[#This Row],[Adj Close]]</f>
        <v>747454.98904066929</v>
      </c>
      <c r="J265" s="3">
        <f>IF(ROW()&lt;3, Dashboard!$E$7, IF(Query1[[#This Row],[Month]]&lt;&gt;H264,J264*(1+Dashboard!$E$4)+Dashboard!$E$5,J264))</f>
        <v>588777.52109237888</v>
      </c>
      <c r="K265">
        <f>IF(ROW()&lt;3, 0,IF(Query1[[#This Row],[Month]]&lt;&gt;H264,IF((J265-I265&gt;0),J265-I265,0),0))</f>
        <v>0</v>
      </c>
      <c r="L265" s="2">
        <f t="shared" si="4"/>
        <v>3592.2989655359538</v>
      </c>
      <c r="M265">
        <f>IF(ROW()&lt;3, 0, IF(Query1[[#This Row],[Month]]&lt;&gt;H264, Dashboard!$J$5,0))</f>
        <v>0</v>
      </c>
      <c r="N265" s="2">
        <f>IF(ROW()&lt;3, Query1[[#This Row],[Shares]], IF(Query1[[#This Row],[Month]]&lt;&gt;H264, N264+Query1[[#This Row],[Fix Top Up]]/Query1[[#This Row],[Adj Close]], N264))</f>
        <v>3322.6318644401263</v>
      </c>
      <c r="O265">
        <f>IF(AND(Query1[[#This Row],[avg]]&gt;0, Query1[[#This Row],[Month]]&lt;&gt;H264),
    IF(Query1[[#This Row],[Adj Close]]&gt;Query1[[#This Row],[avg]],
       Dashboard!$L$5-Dashboard!$E$6,
       Dashboard!$L$5+Dashboard!$E$6
    ), 0
)</f>
        <v>0</v>
      </c>
      <c r="P265" s="2">
        <f>IF(ROW()&lt;3, Query1[[#This Row],[Shares]], IF(Query1[[#This Row],[Month]]&lt;&gt;H264, P264+Query1[[#This Row],[Enhanced top up]]/Query1[[#This Row],[Adj Close]], P264))</f>
        <v>3313.7581185669119</v>
      </c>
      <c r="Q265" s="2">
        <f>IFERROR(AVERAGE(
  IF(ROW()&gt;20, INDEX(G:G, ROW()-20), 0) :
  INDEX(G:G, ROW())
),0)</f>
        <v>210.49313790457589</v>
      </c>
    </row>
    <row r="266" spans="1:17" x14ac:dyDescent="0.4">
      <c r="A266" s="1">
        <v>44216</v>
      </c>
      <c r="B266">
        <v>217.69999694824219</v>
      </c>
      <c r="C266">
        <v>225.78999328613281</v>
      </c>
      <c r="D266">
        <v>217.28999328613281</v>
      </c>
      <c r="E266">
        <v>224.33999633789063</v>
      </c>
      <c r="F266">
        <v>37777300</v>
      </c>
      <c r="G266">
        <v>215.66600036621094</v>
      </c>
      <c r="H266" s="2">
        <f>MONTH(Query1[[#This Row],[Date]])</f>
        <v>1</v>
      </c>
      <c r="I266" s="3">
        <f>Query1[[#This Row],[Shares]]*Query1[[#This Row],[Adj Close]]</f>
        <v>774736.75001681619</v>
      </c>
      <c r="J266" s="3">
        <f>IF(ROW()&lt;3, Dashboard!$E$7, IF(Query1[[#This Row],[Month]]&lt;&gt;H265,J265*(1+Dashboard!$E$4)+Dashboard!$E$5,J265))</f>
        <v>588777.52109237888</v>
      </c>
      <c r="K266">
        <f>IF(ROW()&lt;3, 0,IF(Query1[[#This Row],[Month]]&lt;&gt;H265,IF((J266-I266&gt;0),J266-I266,0),0))</f>
        <v>0</v>
      </c>
      <c r="L266" s="2">
        <f t="shared" si="4"/>
        <v>3592.2989655359538</v>
      </c>
      <c r="M266">
        <f>IF(ROW()&lt;3, 0, IF(Query1[[#This Row],[Month]]&lt;&gt;H265, Dashboard!$J$5,0))</f>
        <v>0</v>
      </c>
      <c r="N266" s="2">
        <f>IF(ROW()&lt;3, Query1[[#This Row],[Shares]], IF(Query1[[#This Row],[Month]]&lt;&gt;H265, N265+Query1[[#This Row],[Fix Top Up]]/Query1[[#This Row],[Adj Close]], N265))</f>
        <v>3322.6318644401263</v>
      </c>
      <c r="O266">
        <f>IF(AND(Query1[[#This Row],[avg]]&gt;0, Query1[[#This Row],[Month]]&lt;&gt;H265),
    IF(Query1[[#This Row],[Adj Close]]&gt;Query1[[#This Row],[avg]],
       Dashboard!$L$5-Dashboard!$E$6,
       Dashboard!$L$5+Dashboard!$E$6
    ), 0
)</f>
        <v>0</v>
      </c>
      <c r="P266" s="2">
        <f>IF(ROW()&lt;3, Query1[[#This Row],[Shares]], IF(Query1[[#This Row],[Month]]&lt;&gt;H265, P265+Query1[[#This Row],[Enhanced top up]]/Query1[[#This Row],[Adj Close]], P265))</f>
        <v>3313.7581185669119</v>
      </c>
      <c r="Q266" s="2">
        <f>IFERROR(AVERAGE(
  IF(ROW()&gt;20, INDEX(G:G, ROW()-20), 0) :
  INDEX(G:G, ROW())
),0)</f>
        <v>210.71836344401041</v>
      </c>
    </row>
    <row r="267" spans="1:17" x14ac:dyDescent="0.4">
      <c r="A267" s="1">
        <v>44217</v>
      </c>
      <c r="B267">
        <v>224.69999694824219</v>
      </c>
      <c r="C267">
        <v>226.30000305175781</v>
      </c>
      <c r="D267">
        <v>222.41999816894531</v>
      </c>
      <c r="E267">
        <v>224.97000122070313</v>
      </c>
      <c r="F267">
        <v>30709400</v>
      </c>
      <c r="G267">
        <v>216.27169799804688</v>
      </c>
      <c r="H267" s="2">
        <f>MONTH(Query1[[#This Row],[Date]])</f>
        <v>1</v>
      </c>
      <c r="I267" s="3">
        <f>Query1[[#This Row],[Shares]]*Query1[[#This Row],[Adj Close]]</f>
        <v>776912.59699308802</v>
      </c>
      <c r="J267" s="3">
        <f>IF(ROW()&lt;3, Dashboard!$E$7, IF(Query1[[#This Row],[Month]]&lt;&gt;H266,J266*(1+Dashboard!$E$4)+Dashboard!$E$5,J266))</f>
        <v>588777.52109237888</v>
      </c>
      <c r="K267">
        <f>IF(ROW()&lt;3, 0,IF(Query1[[#This Row],[Month]]&lt;&gt;H266,IF((J267-I267&gt;0),J267-I267,0),0))</f>
        <v>0</v>
      </c>
      <c r="L267" s="2">
        <f t="shared" si="4"/>
        <v>3592.2989655359538</v>
      </c>
      <c r="M267">
        <f>IF(ROW()&lt;3, 0, IF(Query1[[#This Row],[Month]]&lt;&gt;H266, Dashboard!$J$5,0))</f>
        <v>0</v>
      </c>
      <c r="N267" s="2">
        <f>IF(ROW()&lt;3, Query1[[#This Row],[Shares]], IF(Query1[[#This Row],[Month]]&lt;&gt;H266, N266+Query1[[#This Row],[Fix Top Up]]/Query1[[#This Row],[Adj Close]], N266))</f>
        <v>3322.6318644401263</v>
      </c>
      <c r="O267">
        <f>IF(AND(Query1[[#This Row],[avg]]&gt;0, Query1[[#This Row],[Month]]&lt;&gt;H266),
    IF(Query1[[#This Row],[Adj Close]]&gt;Query1[[#This Row],[avg]],
       Dashboard!$L$5-Dashboard!$E$6,
       Dashboard!$L$5+Dashboard!$E$6
    ), 0
)</f>
        <v>0</v>
      </c>
      <c r="P267" s="2">
        <f>IF(ROW()&lt;3, Query1[[#This Row],[Shares]], IF(Query1[[#This Row],[Month]]&lt;&gt;H266, P266+Query1[[#This Row],[Enhanced top up]]/Query1[[#This Row],[Adj Close]], P266))</f>
        <v>3313.7581185669119</v>
      </c>
      <c r="Q267" s="2">
        <f>IFERROR(AVERAGE(
  IF(ROW()&gt;20, INDEX(G:G, ROW()-20), 0) :
  INDEX(G:G, ROW())
),0)</f>
        <v>211.0104261125837</v>
      </c>
    </row>
    <row r="268" spans="1:17" x14ac:dyDescent="0.4">
      <c r="A268" s="1">
        <v>44218</v>
      </c>
      <c r="B268">
        <v>227.08000183105469</v>
      </c>
      <c r="C268">
        <v>230.07000732421875</v>
      </c>
      <c r="D268">
        <v>225.80000305175781</v>
      </c>
      <c r="E268">
        <v>225.94999694824219</v>
      </c>
      <c r="F268">
        <v>30172700</v>
      </c>
      <c r="G268">
        <v>217.21379089355469</v>
      </c>
      <c r="H268" s="2">
        <f>MONTH(Query1[[#This Row],[Date]])</f>
        <v>1</v>
      </c>
      <c r="I268" s="3">
        <f>Query1[[#This Row],[Shares]]*Query1[[#This Row],[Adj Close]]</f>
        <v>780296.87632705946</v>
      </c>
      <c r="J268" s="3">
        <f>IF(ROW()&lt;3, Dashboard!$E$7, IF(Query1[[#This Row],[Month]]&lt;&gt;H267,J267*(1+Dashboard!$E$4)+Dashboard!$E$5,J267))</f>
        <v>588777.52109237888</v>
      </c>
      <c r="K268">
        <f>IF(ROW()&lt;3, 0,IF(Query1[[#This Row],[Month]]&lt;&gt;H267,IF((J268-I268&gt;0),J268-I268,0),0))</f>
        <v>0</v>
      </c>
      <c r="L268" s="2">
        <f t="shared" si="4"/>
        <v>3592.2989655359538</v>
      </c>
      <c r="M268">
        <f>IF(ROW()&lt;3, 0, IF(Query1[[#This Row],[Month]]&lt;&gt;H267, Dashboard!$J$5,0))</f>
        <v>0</v>
      </c>
      <c r="N268" s="2">
        <f>IF(ROW()&lt;3, Query1[[#This Row],[Shares]], IF(Query1[[#This Row],[Month]]&lt;&gt;H267, N267+Query1[[#This Row],[Fix Top Up]]/Query1[[#This Row],[Adj Close]], N267))</f>
        <v>3322.6318644401263</v>
      </c>
      <c r="O268">
        <f>IF(AND(Query1[[#This Row],[avg]]&gt;0, Query1[[#This Row],[Month]]&lt;&gt;H267),
    IF(Query1[[#This Row],[Adj Close]]&gt;Query1[[#This Row],[avg]],
       Dashboard!$L$5-Dashboard!$E$6,
       Dashboard!$L$5+Dashboard!$E$6
    ), 0
)</f>
        <v>0</v>
      </c>
      <c r="P268" s="2">
        <f>IF(ROW()&lt;3, Query1[[#This Row],[Shares]], IF(Query1[[#This Row],[Month]]&lt;&gt;H267, P267+Query1[[#This Row],[Enhanced top up]]/Query1[[#This Row],[Adj Close]], P267))</f>
        <v>3313.7581185669119</v>
      </c>
      <c r="Q268" s="2">
        <f>IFERROR(AVERAGE(
  IF(ROW()&gt;20, INDEX(G:G, ROW()-20), 0) :
  INDEX(G:G, ROW())
),0)</f>
        <v>211.16424051920572</v>
      </c>
    </row>
    <row r="269" spans="1:17" x14ac:dyDescent="0.4">
      <c r="A269" s="1">
        <v>44221</v>
      </c>
      <c r="B269">
        <v>229.1199951171875</v>
      </c>
      <c r="C269">
        <v>229.77999877929688</v>
      </c>
      <c r="D269">
        <v>224.22000122070313</v>
      </c>
      <c r="E269">
        <v>229.52999877929688</v>
      </c>
      <c r="F269">
        <v>33152100</v>
      </c>
      <c r="G269">
        <v>220.65534973144531</v>
      </c>
      <c r="H269" s="2">
        <f>MONTH(Query1[[#This Row],[Date]])</f>
        <v>1</v>
      </c>
      <c r="I269" s="3">
        <f>Query1[[#This Row],[Shares]]*Query1[[#This Row],[Adj Close]]</f>
        <v>792659.9845802451</v>
      </c>
      <c r="J269" s="3">
        <f>IF(ROW()&lt;3, Dashboard!$E$7, IF(Query1[[#This Row],[Month]]&lt;&gt;H268,J268*(1+Dashboard!$E$4)+Dashboard!$E$5,J268))</f>
        <v>588777.52109237888</v>
      </c>
      <c r="K269">
        <f>IF(ROW()&lt;3, 0,IF(Query1[[#This Row],[Month]]&lt;&gt;H268,IF((J269-I269&gt;0),J269-I269,0),0))</f>
        <v>0</v>
      </c>
      <c r="L269" s="2">
        <f t="shared" si="4"/>
        <v>3592.2989655359538</v>
      </c>
      <c r="M269">
        <f>IF(ROW()&lt;3, 0, IF(Query1[[#This Row],[Month]]&lt;&gt;H268, Dashboard!$J$5,0))</f>
        <v>0</v>
      </c>
      <c r="N269" s="2">
        <f>IF(ROW()&lt;3, Query1[[#This Row],[Shares]], IF(Query1[[#This Row],[Month]]&lt;&gt;H268, N268+Query1[[#This Row],[Fix Top Up]]/Query1[[#This Row],[Adj Close]], N268))</f>
        <v>3322.6318644401263</v>
      </c>
      <c r="O269">
        <f>IF(AND(Query1[[#This Row],[avg]]&gt;0, Query1[[#This Row],[Month]]&lt;&gt;H268),
    IF(Query1[[#This Row],[Adj Close]]&gt;Query1[[#This Row],[avg]],
       Dashboard!$L$5-Dashboard!$E$6,
       Dashboard!$L$5+Dashboard!$E$6
    ), 0
)</f>
        <v>0</v>
      </c>
      <c r="P269" s="2">
        <f>IF(ROW()&lt;3, Query1[[#This Row],[Shares]], IF(Query1[[#This Row],[Month]]&lt;&gt;H268, P268+Query1[[#This Row],[Enhanced top up]]/Query1[[#This Row],[Adj Close]], P268))</f>
        <v>3313.7581185669119</v>
      </c>
      <c r="Q269" s="2">
        <f>IFERROR(AVERAGE(
  IF(ROW()&gt;20, INDEX(G:G, ROW()-20), 0) :
  INDEX(G:G, ROW())
),0)</f>
        <v>211.4201376778739</v>
      </c>
    </row>
    <row r="270" spans="1:17" x14ac:dyDescent="0.4">
      <c r="A270" s="1">
        <v>44222</v>
      </c>
      <c r="B270">
        <v>231.86000061035156</v>
      </c>
      <c r="C270">
        <v>234.17999267578125</v>
      </c>
      <c r="D270">
        <v>230.08000183105469</v>
      </c>
      <c r="E270">
        <v>232.33000183105469</v>
      </c>
      <c r="F270">
        <v>49169600</v>
      </c>
      <c r="G270">
        <v>223.34712219238281</v>
      </c>
      <c r="H270" s="2">
        <f>MONTH(Query1[[#This Row],[Date]])</f>
        <v>1</v>
      </c>
      <c r="I270" s="3">
        <f>Query1[[#This Row],[Shares]]*Query1[[#This Row],[Adj Close]]</f>
        <v>802329.6360071291</v>
      </c>
      <c r="J270" s="3">
        <f>IF(ROW()&lt;3, Dashboard!$E$7, IF(Query1[[#This Row],[Month]]&lt;&gt;H269,J269*(1+Dashboard!$E$4)+Dashboard!$E$5,J269))</f>
        <v>588777.52109237888</v>
      </c>
      <c r="K270">
        <f>IF(ROW()&lt;3, 0,IF(Query1[[#This Row],[Month]]&lt;&gt;H269,IF((J270-I270&gt;0),J270-I270,0),0))</f>
        <v>0</v>
      </c>
      <c r="L270" s="2">
        <f t="shared" si="4"/>
        <v>3592.2989655359538</v>
      </c>
      <c r="M270">
        <f>IF(ROW()&lt;3, 0, IF(Query1[[#This Row],[Month]]&lt;&gt;H269, Dashboard!$J$5,0))</f>
        <v>0</v>
      </c>
      <c r="N270" s="2">
        <f>IF(ROW()&lt;3, Query1[[#This Row],[Shares]], IF(Query1[[#This Row],[Month]]&lt;&gt;H269, N269+Query1[[#This Row],[Fix Top Up]]/Query1[[#This Row],[Adj Close]], N269))</f>
        <v>3322.6318644401263</v>
      </c>
      <c r="O270">
        <f>IF(AND(Query1[[#This Row],[avg]]&gt;0, Query1[[#This Row],[Month]]&lt;&gt;H269),
    IF(Query1[[#This Row],[Adj Close]]&gt;Query1[[#This Row],[avg]],
       Dashboard!$L$5-Dashboard!$E$6,
       Dashboard!$L$5+Dashboard!$E$6
    ), 0
)</f>
        <v>0</v>
      </c>
      <c r="P270" s="2">
        <f>IF(ROW()&lt;3, Query1[[#This Row],[Shares]], IF(Query1[[#This Row],[Month]]&lt;&gt;H269, P269+Query1[[#This Row],[Enhanced top up]]/Query1[[#This Row],[Adj Close]], P269))</f>
        <v>3313.7581185669119</v>
      </c>
      <c r="Q270" s="2">
        <f>IFERROR(AVERAGE(
  IF(ROW()&gt;20, INDEX(G:G, ROW()-20), 0) :
  INDEX(G:G, ROW())
),0)</f>
        <v>211.93788728259858</v>
      </c>
    </row>
    <row r="271" spans="1:17" x14ac:dyDescent="0.4">
      <c r="A271" s="1">
        <v>44223</v>
      </c>
      <c r="B271">
        <v>238</v>
      </c>
      <c r="C271">
        <v>240.44000244140625</v>
      </c>
      <c r="D271">
        <v>230.13999938964844</v>
      </c>
      <c r="E271">
        <v>232.89999389648438</v>
      </c>
      <c r="F271">
        <v>69870600</v>
      </c>
      <c r="G271">
        <v>223.89505004882813</v>
      </c>
      <c r="H271" s="2">
        <f>MONTH(Query1[[#This Row],[Date]])</f>
        <v>1</v>
      </c>
      <c r="I271" s="3">
        <f>Query1[[#This Row],[Shares]]*Query1[[#This Row],[Adj Close]]</f>
        <v>804297.9566790259</v>
      </c>
      <c r="J271" s="3">
        <f>IF(ROW()&lt;3, Dashboard!$E$7, IF(Query1[[#This Row],[Month]]&lt;&gt;H270,J270*(1+Dashboard!$E$4)+Dashboard!$E$5,J270))</f>
        <v>588777.52109237888</v>
      </c>
      <c r="K271">
        <f>IF(ROW()&lt;3, 0,IF(Query1[[#This Row],[Month]]&lt;&gt;H270,IF((J271-I271&gt;0),J271-I271,0),0))</f>
        <v>0</v>
      </c>
      <c r="L271" s="2">
        <f t="shared" si="4"/>
        <v>3592.2989655359538</v>
      </c>
      <c r="M271">
        <f>IF(ROW()&lt;3, 0, IF(Query1[[#This Row],[Month]]&lt;&gt;H270, Dashboard!$J$5,0))</f>
        <v>0</v>
      </c>
      <c r="N271" s="2">
        <f>IF(ROW()&lt;3, Query1[[#This Row],[Shares]], IF(Query1[[#This Row],[Month]]&lt;&gt;H270, N270+Query1[[#This Row],[Fix Top Up]]/Query1[[#This Row],[Adj Close]], N270))</f>
        <v>3322.6318644401263</v>
      </c>
      <c r="O271">
        <f>IF(AND(Query1[[#This Row],[avg]]&gt;0, Query1[[#This Row],[Month]]&lt;&gt;H270),
    IF(Query1[[#This Row],[Adj Close]]&gt;Query1[[#This Row],[avg]],
       Dashboard!$L$5-Dashboard!$E$6,
       Dashboard!$L$5+Dashboard!$E$6
    ), 0
)</f>
        <v>0</v>
      </c>
      <c r="P271" s="2">
        <f>IF(ROW()&lt;3, Query1[[#This Row],[Shares]], IF(Query1[[#This Row],[Month]]&lt;&gt;H270, P270+Query1[[#This Row],[Enhanced top up]]/Query1[[#This Row],[Adj Close]], P270))</f>
        <v>3313.7581185669119</v>
      </c>
      <c r="Q271" s="2">
        <f>IFERROR(AVERAGE(
  IF(ROW()&gt;20, INDEX(G:G, ROW()-20), 0) :
  INDEX(G:G, ROW())
),0)</f>
        <v>212.40253121512276</v>
      </c>
    </row>
    <row r="272" spans="1:17" x14ac:dyDescent="0.4">
      <c r="A272" s="1">
        <v>44224</v>
      </c>
      <c r="B272">
        <v>235.61000061035156</v>
      </c>
      <c r="C272">
        <v>242.63999938964844</v>
      </c>
      <c r="D272">
        <v>235.08999633789063</v>
      </c>
      <c r="E272">
        <v>238.92999267578125</v>
      </c>
      <c r="F272">
        <v>49111200</v>
      </c>
      <c r="G272">
        <v>229.69194030761719</v>
      </c>
      <c r="H272" s="2">
        <f>MONTH(Query1[[#This Row],[Date]])</f>
        <v>1</v>
      </c>
      <c r="I272" s="3">
        <f>Query1[[#This Row],[Shares]]*Query1[[#This Row],[Adj Close]]</f>
        <v>825122.11955899931</v>
      </c>
      <c r="J272" s="3">
        <f>IF(ROW()&lt;3, Dashboard!$E$7, IF(Query1[[#This Row],[Month]]&lt;&gt;H271,J271*(1+Dashboard!$E$4)+Dashboard!$E$5,J271))</f>
        <v>588777.52109237888</v>
      </c>
      <c r="K272">
        <f>IF(ROW()&lt;3, 0,IF(Query1[[#This Row],[Month]]&lt;&gt;H271,IF((J272-I272&gt;0),J272-I272,0),0))</f>
        <v>0</v>
      </c>
      <c r="L272" s="2">
        <f t="shared" si="4"/>
        <v>3592.2989655359538</v>
      </c>
      <c r="M272">
        <f>IF(ROW()&lt;3, 0, IF(Query1[[#This Row],[Month]]&lt;&gt;H271, Dashboard!$J$5,0))</f>
        <v>0</v>
      </c>
      <c r="N272" s="2">
        <f>IF(ROW()&lt;3, Query1[[#This Row],[Shares]], IF(Query1[[#This Row],[Month]]&lt;&gt;H271, N271+Query1[[#This Row],[Fix Top Up]]/Query1[[#This Row],[Adj Close]], N271))</f>
        <v>3322.6318644401263</v>
      </c>
      <c r="O272">
        <f>IF(AND(Query1[[#This Row],[avg]]&gt;0, Query1[[#This Row],[Month]]&lt;&gt;H271),
    IF(Query1[[#This Row],[Adj Close]]&gt;Query1[[#This Row],[avg]],
       Dashboard!$L$5-Dashboard!$E$6,
       Dashboard!$L$5+Dashboard!$E$6
    ), 0
)</f>
        <v>0</v>
      </c>
      <c r="P272" s="2">
        <f>IF(ROW()&lt;3, Query1[[#This Row],[Shares]], IF(Query1[[#This Row],[Month]]&lt;&gt;H271, P271+Query1[[#This Row],[Enhanced top up]]/Query1[[#This Row],[Adj Close]], P271))</f>
        <v>3313.7581185669119</v>
      </c>
      <c r="Q272" s="2">
        <f>IFERROR(AVERAGE(
  IF(ROW()&gt;20, INDEX(G:G, ROW()-20), 0) :
  INDEX(G:G, ROW())
),0)</f>
        <v>213.04205031622024</v>
      </c>
    </row>
    <row r="273" spans="1:17" x14ac:dyDescent="0.4">
      <c r="A273" s="1">
        <v>44225</v>
      </c>
      <c r="B273">
        <v>235.99000549316406</v>
      </c>
      <c r="C273">
        <v>238.02000427246094</v>
      </c>
      <c r="D273">
        <v>231.35000610351563</v>
      </c>
      <c r="E273">
        <v>231.96000671386719</v>
      </c>
      <c r="F273">
        <v>42503100</v>
      </c>
      <c r="G273">
        <v>222.99143981933594</v>
      </c>
      <c r="H273" s="2">
        <f>MONTH(Query1[[#This Row],[Date]])</f>
        <v>1</v>
      </c>
      <c r="I273" s="3">
        <f>Query1[[#This Row],[Shares]]*Query1[[#This Row],[Adj Close]]</f>
        <v>801051.91858637345</v>
      </c>
      <c r="J273" s="3">
        <f>IF(ROW()&lt;3, Dashboard!$E$7, IF(Query1[[#This Row],[Month]]&lt;&gt;H272,J272*(1+Dashboard!$E$4)+Dashboard!$E$5,J272))</f>
        <v>588777.52109237888</v>
      </c>
      <c r="K273">
        <f>IF(ROW()&lt;3, 0,IF(Query1[[#This Row],[Month]]&lt;&gt;H272,IF((J273-I273&gt;0),J273-I273,0),0))</f>
        <v>0</v>
      </c>
      <c r="L273" s="2">
        <f t="shared" si="4"/>
        <v>3592.2989655359538</v>
      </c>
      <c r="M273">
        <f>IF(ROW()&lt;3, 0, IF(Query1[[#This Row],[Month]]&lt;&gt;H272, Dashboard!$J$5,0))</f>
        <v>0</v>
      </c>
      <c r="N273" s="2">
        <f>IF(ROW()&lt;3, Query1[[#This Row],[Shares]], IF(Query1[[#This Row],[Month]]&lt;&gt;H272, N272+Query1[[#This Row],[Fix Top Up]]/Query1[[#This Row],[Adj Close]], N272))</f>
        <v>3322.6318644401263</v>
      </c>
      <c r="O273">
        <f>IF(AND(Query1[[#This Row],[avg]]&gt;0, Query1[[#This Row],[Month]]&lt;&gt;H272),
    IF(Query1[[#This Row],[Adj Close]]&gt;Query1[[#This Row],[avg]],
       Dashboard!$L$5-Dashboard!$E$6,
       Dashboard!$L$5+Dashboard!$E$6
    ), 0
)</f>
        <v>0</v>
      </c>
      <c r="P273" s="2">
        <f>IF(ROW()&lt;3, Query1[[#This Row],[Shares]], IF(Query1[[#This Row],[Month]]&lt;&gt;H272, P272+Query1[[#This Row],[Enhanced top up]]/Query1[[#This Row],[Adj Close]], P272))</f>
        <v>3313.7581185669119</v>
      </c>
      <c r="Q273" s="2">
        <f>IFERROR(AVERAGE(
  IF(ROW()&gt;20, INDEX(G:G, ROW()-20), 0) :
  INDEX(G:G, ROW())
),0)</f>
        <v>213.39957609630767</v>
      </c>
    </row>
    <row r="274" spans="1:17" x14ac:dyDescent="0.4">
      <c r="A274" s="1">
        <v>44228</v>
      </c>
      <c r="B274">
        <v>235.05999755859375</v>
      </c>
      <c r="C274">
        <v>242.5</v>
      </c>
      <c r="D274">
        <v>232.42999267578125</v>
      </c>
      <c r="E274">
        <v>239.64999389648438</v>
      </c>
      <c r="F274">
        <v>33314200</v>
      </c>
      <c r="G274">
        <v>230.38406372070313</v>
      </c>
      <c r="H274" s="2">
        <f>MONTH(Query1[[#This Row],[Date]])</f>
        <v>2</v>
      </c>
      <c r="I274" s="3">
        <f>Query1[[#This Row],[Shares]]*Query1[[#This Row],[Adj Close]]</f>
        <v>827608.43377985107</v>
      </c>
      <c r="J274" s="3">
        <f>IF(ROW()&lt;3, Dashboard!$E$7, IF(Query1[[#This Row],[Month]]&lt;&gt;H273,J273*(1+Dashboard!$E$4)+Dashboard!$E$5,J273))</f>
        <v>596665.29630330263</v>
      </c>
      <c r="K274">
        <f>IF(ROW()&lt;3, 0,IF(Query1[[#This Row],[Month]]&lt;&gt;H273,IF((J274-I274&gt;0),J274-I274,0),0))</f>
        <v>0</v>
      </c>
      <c r="L274" s="2">
        <f t="shared" si="4"/>
        <v>3592.2989655359538</v>
      </c>
      <c r="M274">
        <f>IF(ROW()&lt;3, 0, IF(Query1[[#This Row],[Month]]&lt;&gt;H273, Dashboard!$J$5,0))</f>
        <v>773.47399999999971</v>
      </c>
      <c r="N274" s="2">
        <f>IF(ROW()&lt;3, Query1[[#This Row],[Shares]], IF(Query1[[#This Row],[Month]]&lt;&gt;H273, N273+Query1[[#This Row],[Fix Top Up]]/Query1[[#This Row],[Adj Close]], N273))</f>
        <v>3325.9891886730111</v>
      </c>
      <c r="O274">
        <f>IF(AND(Query1[[#This Row],[avg]]&gt;0, Query1[[#This Row],[Month]]&lt;&gt;H273),
    IF(Query1[[#This Row],[Adj Close]]&gt;Query1[[#This Row],[avg]],
       Dashboard!$L$5-Dashboard!$E$6,
       Dashboard!$L$5+Dashboard!$E$6
    ), 0
)</f>
        <v>390.14066666666668</v>
      </c>
      <c r="P274" s="2">
        <f>IF(ROW()&lt;3, Query1[[#This Row],[Shares]], IF(Query1[[#This Row],[Month]]&lt;&gt;H273, P273+Query1[[#This Row],[Enhanced top up]]/Query1[[#This Row],[Adj Close]], P273))</f>
        <v>3315.4515545640288</v>
      </c>
      <c r="Q274" s="2">
        <f>IFERROR(AVERAGE(
  IF(ROW()&gt;20, INDEX(G:G, ROW()-20), 0) :
  INDEX(G:G, ROW())
),0)</f>
        <v>214.22220429920014</v>
      </c>
    </row>
    <row r="275" spans="1:17" x14ac:dyDescent="0.4">
      <c r="A275" s="1">
        <v>44229</v>
      </c>
      <c r="B275">
        <v>241.30000305175781</v>
      </c>
      <c r="C275">
        <v>242.30999755859375</v>
      </c>
      <c r="D275">
        <v>238.69000244140625</v>
      </c>
      <c r="E275">
        <v>239.50999450683594</v>
      </c>
      <c r="F275">
        <v>25916300</v>
      </c>
      <c r="G275">
        <v>230.24948120117188</v>
      </c>
      <c r="H275" s="2">
        <f>MONTH(Query1[[#This Row],[Date]])</f>
        <v>2</v>
      </c>
      <c r="I275" s="3">
        <f>Query1[[#This Row],[Shares]]*Query1[[#This Row],[Adj Close]]</f>
        <v>827124.97313415981</v>
      </c>
      <c r="J275" s="3">
        <f>IF(ROW()&lt;3, Dashboard!$E$7, IF(Query1[[#This Row],[Month]]&lt;&gt;H274,J274*(1+Dashboard!$E$4)+Dashboard!$E$5,J274))</f>
        <v>596665.29630330263</v>
      </c>
      <c r="K275">
        <f>IF(ROW()&lt;3, 0,IF(Query1[[#This Row],[Month]]&lt;&gt;H274,IF((J275-I275&gt;0),J275-I275,0),0))</f>
        <v>0</v>
      </c>
      <c r="L275" s="2">
        <f t="shared" si="4"/>
        <v>3592.2989655359538</v>
      </c>
      <c r="M275">
        <f>IF(ROW()&lt;3, 0, IF(Query1[[#This Row],[Month]]&lt;&gt;H274, Dashboard!$J$5,0))</f>
        <v>0</v>
      </c>
      <c r="N275" s="2">
        <f>IF(ROW()&lt;3, Query1[[#This Row],[Shares]], IF(Query1[[#This Row],[Month]]&lt;&gt;H274, N274+Query1[[#This Row],[Fix Top Up]]/Query1[[#This Row],[Adj Close]], N274))</f>
        <v>3325.9891886730111</v>
      </c>
      <c r="O275">
        <f>IF(AND(Query1[[#This Row],[avg]]&gt;0, Query1[[#This Row],[Month]]&lt;&gt;H274),
    IF(Query1[[#This Row],[Adj Close]]&gt;Query1[[#This Row],[avg]],
       Dashboard!$L$5-Dashboard!$E$6,
       Dashboard!$L$5+Dashboard!$E$6
    ), 0
)</f>
        <v>0</v>
      </c>
      <c r="P275" s="2">
        <f>IF(ROW()&lt;3, Query1[[#This Row],[Shares]], IF(Query1[[#This Row],[Month]]&lt;&gt;H274, P274+Query1[[#This Row],[Enhanced top up]]/Query1[[#This Row],[Adj Close]], P274))</f>
        <v>3315.4515545640288</v>
      </c>
      <c r="Q275" s="2">
        <f>IFERROR(AVERAGE(
  IF(ROW()&gt;20, INDEX(G:G, ROW()-20), 0) :
  INDEX(G:G, ROW())
),0)</f>
        <v>215.00454711914063</v>
      </c>
    </row>
    <row r="276" spans="1:17" x14ac:dyDescent="0.4">
      <c r="A276" s="1">
        <v>44230</v>
      </c>
      <c r="B276">
        <v>239.57000732421875</v>
      </c>
      <c r="C276">
        <v>245.08999633789063</v>
      </c>
      <c r="D276">
        <v>239.25999450683594</v>
      </c>
      <c r="E276">
        <v>243</v>
      </c>
      <c r="F276">
        <v>27158100</v>
      </c>
      <c r="G276">
        <v>233.60458374023438</v>
      </c>
      <c r="H276" s="2">
        <f>MONTH(Query1[[#This Row],[Date]])</f>
        <v>2</v>
      </c>
      <c r="I276" s="3">
        <f>Query1[[#This Row],[Shares]]*Query1[[#This Row],[Adj Close]]</f>
        <v>839177.50451450108</v>
      </c>
      <c r="J276" s="3">
        <f>IF(ROW()&lt;3, Dashboard!$E$7, IF(Query1[[#This Row],[Month]]&lt;&gt;H275,J275*(1+Dashboard!$E$4)+Dashboard!$E$5,J275))</f>
        <v>596665.29630330263</v>
      </c>
      <c r="K276">
        <f>IF(ROW()&lt;3, 0,IF(Query1[[#This Row],[Month]]&lt;&gt;H275,IF((J276-I276&gt;0),J276-I276,0),0))</f>
        <v>0</v>
      </c>
      <c r="L276" s="2">
        <f t="shared" si="4"/>
        <v>3592.2989655359538</v>
      </c>
      <c r="M276">
        <f>IF(ROW()&lt;3, 0, IF(Query1[[#This Row],[Month]]&lt;&gt;H275, Dashboard!$J$5,0))</f>
        <v>0</v>
      </c>
      <c r="N276" s="2">
        <f>IF(ROW()&lt;3, Query1[[#This Row],[Shares]], IF(Query1[[#This Row],[Month]]&lt;&gt;H275, N275+Query1[[#This Row],[Fix Top Up]]/Query1[[#This Row],[Adj Close]], N275))</f>
        <v>3325.9891886730111</v>
      </c>
      <c r="O276">
        <f>IF(AND(Query1[[#This Row],[avg]]&gt;0, Query1[[#This Row],[Month]]&lt;&gt;H275),
    IF(Query1[[#This Row],[Adj Close]]&gt;Query1[[#This Row],[avg]],
       Dashboard!$L$5-Dashboard!$E$6,
       Dashboard!$L$5+Dashboard!$E$6
    ), 0
)</f>
        <v>0</v>
      </c>
      <c r="P276" s="2">
        <f>IF(ROW()&lt;3, Query1[[#This Row],[Shares]], IF(Query1[[#This Row],[Month]]&lt;&gt;H275, P275+Query1[[#This Row],[Enhanced top up]]/Query1[[#This Row],[Adj Close]], P275))</f>
        <v>3315.4515545640288</v>
      </c>
      <c r="Q276" s="2">
        <f>IFERROR(AVERAGE(
  IF(ROW()&gt;20, INDEX(G:G, ROW()-20), 0) :
  INDEX(G:G, ROW())
),0)</f>
        <v>216.16318402971541</v>
      </c>
    </row>
    <row r="277" spans="1:17" x14ac:dyDescent="0.4">
      <c r="A277" s="1">
        <v>44231</v>
      </c>
      <c r="B277">
        <v>242.66000366210938</v>
      </c>
      <c r="C277">
        <v>243.24000549316406</v>
      </c>
      <c r="D277">
        <v>240.3699951171875</v>
      </c>
      <c r="E277">
        <v>242.00999450683594</v>
      </c>
      <c r="F277">
        <v>25296100</v>
      </c>
      <c r="G277">
        <v>232.65283203125</v>
      </c>
      <c r="H277" s="2">
        <f>MONTH(Query1[[#This Row],[Date]])</f>
        <v>2</v>
      </c>
      <c r="I277" s="3">
        <f>Query1[[#This Row],[Shares]]*Query1[[#This Row],[Adj Close]]</f>
        <v>835758.52783486934</v>
      </c>
      <c r="J277" s="3">
        <f>IF(ROW()&lt;3, Dashboard!$E$7, IF(Query1[[#This Row],[Month]]&lt;&gt;H276,J276*(1+Dashboard!$E$4)+Dashboard!$E$5,J276))</f>
        <v>596665.29630330263</v>
      </c>
      <c r="K277">
        <f>IF(ROW()&lt;3, 0,IF(Query1[[#This Row],[Month]]&lt;&gt;H276,IF((J277-I277&gt;0),J277-I277,0),0))</f>
        <v>0</v>
      </c>
      <c r="L277" s="2">
        <f t="shared" si="4"/>
        <v>3592.2989655359538</v>
      </c>
      <c r="M277">
        <f>IF(ROW()&lt;3, 0, IF(Query1[[#This Row],[Month]]&lt;&gt;H276, Dashboard!$J$5,0))</f>
        <v>0</v>
      </c>
      <c r="N277" s="2">
        <f>IF(ROW()&lt;3, Query1[[#This Row],[Shares]], IF(Query1[[#This Row],[Month]]&lt;&gt;H276, N276+Query1[[#This Row],[Fix Top Up]]/Query1[[#This Row],[Adj Close]], N276))</f>
        <v>3325.9891886730111</v>
      </c>
      <c r="O277">
        <f>IF(AND(Query1[[#This Row],[avg]]&gt;0, Query1[[#This Row],[Month]]&lt;&gt;H276),
    IF(Query1[[#This Row],[Adj Close]]&gt;Query1[[#This Row],[avg]],
       Dashboard!$L$5-Dashboard!$E$6,
       Dashboard!$L$5+Dashboard!$E$6
    ), 0
)</f>
        <v>0</v>
      </c>
      <c r="P277" s="2">
        <f>IF(ROW()&lt;3, Query1[[#This Row],[Shares]], IF(Query1[[#This Row],[Month]]&lt;&gt;H276, P276+Query1[[#This Row],[Enhanced top up]]/Query1[[#This Row],[Adj Close]], P276))</f>
        <v>3315.4515545640288</v>
      </c>
      <c r="Q277" s="2">
        <f>IFERROR(AVERAGE(
  IF(ROW()&gt;20, INDEX(G:G, ROW()-20), 0) :
  INDEX(G:G, ROW())
),0)</f>
        <v>217.26688929966517</v>
      </c>
    </row>
    <row r="278" spans="1:17" x14ac:dyDescent="0.4">
      <c r="A278" s="1">
        <v>44232</v>
      </c>
      <c r="B278">
        <v>242.22999572753906</v>
      </c>
      <c r="C278">
        <v>243.27999877929688</v>
      </c>
      <c r="D278">
        <v>240.41999816894531</v>
      </c>
      <c r="E278">
        <v>242.19999694824219</v>
      </c>
      <c r="F278">
        <v>18054800</v>
      </c>
      <c r="G278">
        <v>232.83552551269531</v>
      </c>
      <c r="H278" s="2">
        <f>MONTH(Query1[[#This Row],[Date]])</f>
        <v>2</v>
      </c>
      <c r="I278" s="3">
        <f>Query1[[#This Row],[Shares]]*Query1[[#This Row],[Adj Close]]</f>
        <v>836414.81743927556</v>
      </c>
      <c r="J278" s="3">
        <f>IF(ROW()&lt;3, Dashboard!$E$7, IF(Query1[[#This Row],[Month]]&lt;&gt;H277,J277*(1+Dashboard!$E$4)+Dashboard!$E$5,J277))</f>
        <v>596665.29630330263</v>
      </c>
      <c r="K278">
        <f>IF(ROW()&lt;3, 0,IF(Query1[[#This Row],[Month]]&lt;&gt;H277,IF((J278-I278&gt;0),J278-I278,0),0))</f>
        <v>0</v>
      </c>
      <c r="L278" s="2">
        <f t="shared" si="4"/>
        <v>3592.2989655359538</v>
      </c>
      <c r="M278">
        <f>IF(ROW()&lt;3, 0, IF(Query1[[#This Row],[Month]]&lt;&gt;H277, Dashboard!$J$5,0))</f>
        <v>0</v>
      </c>
      <c r="N278" s="2">
        <f>IF(ROW()&lt;3, Query1[[#This Row],[Shares]], IF(Query1[[#This Row],[Month]]&lt;&gt;H277, N277+Query1[[#This Row],[Fix Top Up]]/Query1[[#This Row],[Adj Close]], N277))</f>
        <v>3325.9891886730111</v>
      </c>
      <c r="O278">
        <f>IF(AND(Query1[[#This Row],[avg]]&gt;0, Query1[[#This Row],[Month]]&lt;&gt;H277),
    IF(Query1[[#This Row],[Adj Close]]&gt;Query1[[#This Row],[avg]],
       Dashboard!$L$5-Dashboard!$E$6,
       Dashboard!$L$5+Dashboard!$E$6
    ), 0
)</f>
        <v>0</v>
      </c>
      <c r="P278" s="2">
        <f>IF(ROW()&lt;3, Query1[[#This Row],[Shares]], IF(Query1[[#This Row],[Month]]&lt;&gt;H277, P277+Query1[[#This Row],[Enhanced top up]]/Query1[[#This Row],[Adj Close]], P277))</f>
        <v>3315.4515545640288</v>
      </c>
      <c r="Q278" s="2">
        <f>IFERROR(AVERAGE(
  IF(ROW()&gt;20, INDEX(G:G, ROW()-20), 0) :
  INDEX(G:G, ROW())
),0)</f>
        <v>218.63793727329798</v>
      </c>
    </row>
    <row r="279" spans="1:17" x14ac:dyDescent="0.4">
      <c r="A279" s="1">
        <v>44235</v>
      </c>
      <c r="B279">
        <v>243.14999389648438</v>
      </c>
      <c r="C279">
        <v>243.67999267578125</v>
      </c>
      <c r="D279">
        <v>240.80999755859375</v>
      </c>
      <c r="E279">
        <v>242.47000122070313</v>
      </c>
      <c r="F279">
        <v>22211900</v>
      </c>
      <c r="G279">
        <v>233.09503173828125</v>
      </c>
      <c r="H279" s="2">
        <f>MONTH(Query1[[#This Row],[Date]])</f>
        <v>2</v>
      </c>
      <c r="I279" s="3">
        <f>Query1[[#This Row],[Shares]]*Query1[[#This Row],[Adj Close]]</f>
        <v>837347.04138499801</v>
      </c>
      <c r="J279" s="3">
        <f>IF(ROW()&lt;3, Dashboard!$E$7, IF(Query1[[#This Row],[Month]]&lt;&gt;H278,J278*(1+Dashboard!$E$4)+Dashboard!$E$5,J278))</f>
        <v>596665.29630330263</v>
      </c>
      <c r="K279">
        <f>IF(ROW()&lt;3, 0,IF(Query1[[#This Row],[Month]]&lt;&gt;H278,IF((J279-I279&gt;0),J279-I279,0),0))</f>
        <v>0</v>
      </c>
      <c r="L279" s="2">
        <f t="shared" si="4"/>
        <v>3592.2989655359538</v>
      </c>
      <c r="M279">
        <f>IF(ROW()&lt;3, 0, IF(Query1[[#This Row],[Month]]&lt;&gt;H278, Dashboard!$J$5,0))</f>
        <v>0</v>
      </c>
      <c r="N279" s="2">
        <f>IF(ROW()&lt;3, Query1[[#This Row],[Shares]], IF(Query1[[#This Row],[Month]]&lt;&gt;H278, N278+Query1[[#This Row],[Fix Top Up]]/Query1[[#This Row],[Adj Close]], N278))</f>
        <v>3325.9891886730111</v>
      </c>
      <c r="O279">
        <f>IF(AND(Query1[[#This Row],[avg]]&gt;0, Query1[[#This Row],[Month]]&lt;&gt;H278),
    IF(Query1[[#This Row],[Adj Close]]&gt;Query1[[#This Row],[avg]],
       Dashboard!$L$5-Dashboard!$E$6,
       Dashboard!$L$5+Dashboard!$E$6
    ), 0
)</f>
        <v>0</v>
      </c>
      <c r="P279" s="2">
        <f>IF(ROW()&lt;3, Query1[[#This Row],[Shares]], IF(Query1[[#This Row],[Month]]&lt;&gt;H278, P278+Query1[[#This Row],[Enhanced top up]]/Query1[[#This Row],[Adj Close]], P278))</f>
        <v>3315.4515545640288</v>
      </c>
      <c r="Q279" s="2">
        <f>IFERROR(AVERAGE(
  IF(ROW()&gt;20, INDEX(G:G, ROW()-20), 0) :
  INDEX(G:G, ROW())
),0)</f>
        <v>219.74484543573288</v>
      </c>
    </row>
    <row r="280" spans="1:17" x14ac:dyDescent="0.4">
      <c r="A280" s="1">
        <v>44236</v>
      </c>
      <c r="B280">
        <v>241.8699951171875</v>
      </c>
      <c r="C280">
        <v>244.75999450683594</v>
      </c>
      <c r="D280">
        <v>241.3800048828125</v>
      </c>
      <c r="E280">
        <v>243.77000427246094</v>
      </c>
      <c r="F280">
        <v>23565000</v>
      </c>
      <c r="G280">
        <v>234.34480285644531</v>
      </c>
      <c r="H280" s="2">
        <f>MONTH(Query1[[#This Row],[Date]])</f>
        <v>2</v>
      </c>
      <c r="I280" s="3">
        <f>Query1[[#This Row],[Shares]]*Query1[[#This Row],[Adj Close]]</f>
        <v>841836.59287993552</v>
      </c>
      <c r="J280" s="3">
        <f>IF(ROW()&lt;3, Dashboard!$E$7, IF(Query1[[#This Row],[Month]]&lt;&gt;H279,J279*(1+Dashboard!$E$4)+Dashboard!$E$5,J279))</f>
        <v>596665.29630330263</v>
      </c>
      <c r="K280">
        <f>IF(ROW()&lt;3, 0,IF(Query1[[#This Row],[Month]]&lt;&gt;H279,IF((J280-I280&gt;0),J280-I280,0),0))</f>
        <v>0</v>
      </c>
      <c r="L280" s="2">
        <f t="shared" si="4"/>
        <v>3592.2989655359538</v>
      </c>
      <c r="M280">
        <f>IF(ROW()&lt;3, 0, IF(Query1[[#This Row],[Month]]&lt;&gt;H279, Dashboard!$J$5,0))</f>
        <v>0</v>
      </c>
      <c r="N280" s="2">
        <f>IF(ROW()&lt;3, Query1[[#This Row],[Shares]], IF(Query1[[#This Row],[Month]]&lt;&gt;H279, N279+Query1[[#This Row],[Fix Top Up]]/Query1[[#This Row],[Adj Close]], N279))</f>
        <v>3325.9891886730111</v>
      </c>
      <c r="O280">
        <f>IF(AND(Query1[[#This Row],[avg]]&gt;0, Query1[[#This Row],[Month]]&lt;&gt;H279),
    IF(Query1[[#This Row],[Adj Close]]&gt;Query1[[#This Row],[avg]],
       Dashboard!$L$5-Dashboard!$E$6,
       Dashboard!$L$5+Dashboard!$E$6
    ), 0
)</f>
        <v>0</v>
      </c>
      <c r="P280" s="2">
        <f>IF(ROW()&lt;3, Query1[[#This Row],[Shares]], IF(Query1[[#This Row],[Month]]&lt;&gt;H279, P279+Query1[[#This Row],[Enhanced top up]]/Query1[[#This Row],[Adj Close]], P279))</f>
        <v>3315.4515545640288</v>
      </c>
      <c r="Q280" s="2">
        <f>IFERROR(AVERAGE(
  IF(ROW()&gt;20, INDEX(G:G, ROW()-20), 0) :
  INDEX(G:G, ROW())
),0)</f>
        <v>220.85038176037017</v>
      </c>
    </row>
    <row r="281" spans="1:17" x14ac:dyDescent="0.4">
      <c r="A281" s="1">
        <v>44237</v>
      </c>
      <c r="B281">
        <v>245</v>
      </c>
      <c r="C281">
        <v>245.91999816894531</v>
      </c>
      <c r="D281">
        <v>240.88999938964844</v>
      </c>
      <c r="E281">
        <v>242.82000732421875</v>
      </c>
      <c r="F281">
        <v>22186700</v>
      </c>
      <c r="G281">
        <v>233.43154907226563</v>
      </c>
      <c r="H281" s="2">
        <f>MONTH(Query1[[#This Row],[Date]])</f>
        <v>2</v>
      </c>
      <c r="I281" s="3">
        <f>Query1[[#This Row],[Shares]]*Query1[[#This Row],[Adj Close]]</f>
        <v>838555.91225575504</v>
      </c>
      <c r="J281" s="3">
        <f>IF(ROW()&lt;3, Dashboard!$E$7, IF(Query1[[#This Row],[Month]]&lt;&gt;H280,J280*(1+Dashboard!$E$4)+Dashboard!$E$5,J280))</f>
        <v>596665.29630330263</v>
      </c>
      <c r="K281">
        <f>IF(ROW()&lt;3, 0,IF(Query1[[#This Row],[Month]]&lt;&gt;H280,IF((J281-I281&gt;0),J281-I281,0),0))</f>
        <v>0</v>
      </c>
      <c r="L281" s="2">
        <f t="shared" si="4"/>
        <v>3592.2989655359538</v>
      </c>
      <c r="M281">
        <f>IF(ROW()&lt;3, 0, IF(Query1[[#This Row],[Month]]&lt;&gt;H280, Dashboard!$J$5,0))</f>
        <v>0</v>
      </c>
      <c r="N281" s="2">
        <f>IF(ROW()&lt;3, Query1[[#This Row],[Shares]], IF(Query1[[#This Row],[Month]]&lt;&gt;H280, N280+Query1[[#This Row],[Fix Top Up]]/Query1[[#This Row],[Adj Close]], N280))</f>
        <v>3325.9891886730111</v>
      </c>
      <c r="O281">
        <f>IF(AND(Query1[[#This Row],[avg]]&gt;0, Query1[[#This Row],[Month]]&lt;&gt;H280),
    IF(Query1[[#This Row],[Adj Close]]&gt;Query1[[#This Row],[avg]],
       Dashboard!$L$5-Dashboard!$E$6,
       Dashboard!$L$5+Dashboard!$E$6
    ), 0
)</f>
        <v>0</v>
      </c>
      <c r="P281" s="2">
        <f>IF(ROW()&lt;3, Query1[[#This Row],[Shares]], IF(Query1[[#This Row],[Month]]&lt;&gt;H280, P280+Query1[[#This Row],[Enhanced top up]]/Query1[[#This Row],[Adj Close]], P280))</f>
        <v>3315.4515545640288</v>
      </c>
      <c r="Q281" s="2">
        <f>IFERROR(AVERAGE(
  IF(ROW()&gt;20, INDEX(G:G, ROW()-20), 0) :
  INDEX(G:G, ROW())
),0)</f>
        <v>222.00993565150671</v>
      </c>
    </row>
    <row r="282" spans="1:17" x14ac:dyDescent="0.4">
      <c r="A282" s="1">
        <v>44238</v>
      </c>
      <c r="B282">
        <v>244.77999877929688</v>
      </c>
      <c r="C282">
        <v>245.14999389648438</v>
      </c>
      <c r="D282">
        <v>242.14999389648438</v>
      </c>
      <c r="E282">
        <v>244.49000549316406</v>
      </c>
      <c r="F282">
        <v>15751100</v>
      </c>
      <c r="G282">
        <v>235.0369873046875</v>
      </c>
      <c r="H282" s="2">
        <f>MONTH(Query1[[#This Row],[Date]])</f>
        <v>2</v>
      </c>
      <c r="I282" s="3">
        <f>Query1[[#This Row],[Shares]]*Query1[[#This Row],[Adj Close]]</f>
        <v>844323.12635731604</v>
      </c>
      <c r="J282" s="3">
        <f>IF(ROW()&lt;3, Dashboard!$E$7, IF(Query1[[#This Row],[Month]]&lt;&gt;H281,J281*(1+Dashboard!$E$4)+Dashboard!$E$5,J281))</f>
        <v>596665.29630330263</v>
      </c>
      <c r="K282">
        <f>IF(ROW()&lt;3, 0,IF(Query1[[#This Row],[Month]]&lt;&gt;H281,IF((J282-I282&gt;0),J282-I282,0),0))</f>
        <v>0</v>
      </c>
      <c r="L282" s="2">
        <f t="shared" si="4"/>
        <v>3592.2989655359538</v>
      </c>
      <c r="M282">
        <f>IF(ROW()&lt;3, 0, IF(Query1[[#This Row],[Month]]&lt;&gt;H281, Dashboard!$J$5,0))</f>
        <v>0</v>
      </c>
      <c r="N282" s="2">
        <f>IF(ROW()&lt;3, Query1[[#This Row],[Shares]], IF(Query1[[#This Row],[Month]]&lt;&gt;H281, N281+Query1[[#This Row],[Fix Top Up]]/Query1[[#This Row],[Adj Close]], N281))</f>
        <v>3325.9891886730111</v>
      </c>
      <c r="O282">
        <f>IF(AND(Query1[[#This Row],[avg]]&gt;0, Query1[[#This Row],[Month]]&lt;&gt;H281),
    IF(Query1[[#This Row],[Adj Close]]&gt;Query1[[#This Row],[avg]],
       Dashboard!$L$5-Dashboard!$E$6,
       Dashboard!$L$5+Dashboard!$E$6
    ), 0
)</f>
        <v>0</v>
      </c>
      <c r="P282" s="2">
        <f>IF(ROW()&lt;3, Query1[[#This Row],[Shares]], IF(Query1[[#This Row],[Month]]&lt;&gt;H281, P281+Query1[[#This Row],[Enhanced top up]]/Query1[[#This Row],[Adj Close]], P281))</f>
        <v>3315.4515545640288</v>
      </c>
      <c r="Q282" s="2">
        <f>IFERROR(AVERAGE(
  IF(ROW()&gt;20, INDEX(G:G, ROW()-20), 0) :
  INDEX(G:G, ROW())
),0)</f>
        <v>223.36313156854538</v>
      </c>
    </row>
    <row r="283" spans="1:17" x14ac:dyDescent="0.4">
      <c r="A283" s="1">
        <v>44239</v>
      </c>
      <c r="B283">
        <v>243.92999267578125</v>
      </c>
      <c r="C283">
        <v>245.30000305175781</v>
      </c>
      <c r="D283">
        <v>242.72999572753906</v>
      </c>
      <c r="E283">
        <v>244.99000549316406</v>
      </c>
      <c r="F283">
        <v>16561100</v>
      </c>
      <c r="G283">
        <v>235.51759338378906</v>
      </c>
      <c r="H283" s="2">
        <f>MONTH(Query1[[#This Row],[Date]])</f>
        <v>2</v>
      </c>
      <c r="I283" s="3">
        <f>Query1[[#This Row],[Shares]]*Query1[[#This Row],[Adj Close]]</f>
        <v>846049.60707810288</v>
      </c>
      <c r="J283" s="3">
        <f>IF(ROW()&lt;3, Dashboard!$E$7, IF(Query1[[#This Row],[Month]]&lt;&gt;H282,J282*(1+Dashboard!$E$4)+Dashboard!$E$5,J282))</f>
        <v>596665.29630330263</v>
      </c>
      <c r="K283">
        <f>IF(ROW()&lt;3, 0,IF(Query1[[#This Row],[Month]]&lt;&gt;H282,IF((J283-I283&gt;0),J283-I283,0),0))</f>
        <v>0</v>
      </c>
      <c r="L283" s="2">
        <f t="shared" si="4"/>
        <v>3592.2989655359538</v>
      </c>
      <c r="M283">
        <f>IF(ROW()&lt;3, 0, IF(Query1[[#This Row],[Month]]&lt;&gt;H282, Dashboard!$J$5,0))</f>
        <v>0</v>
      </c>
      <c r="N283" s="2">
        <f>IF(ROW()&lt;3, Query1[[#This Row],[Shares]], IF(Query1[[#This Row],[Month]]&lt;&gt;H282, N282+Query1[[#This Row],[Fix Top Up]]/Query1[[#This Row],[Adj Close]], N282))</f>
        <v>3325.9891886730111</v>
      </c>
      <c r="O283">
        <f>IF(AND(Query1[[#This Row],[avg]]&gt;0, Query1[[#This Row],[Month]]&lt;&gt;H282),
    IF(Query1[[#This Row],[Adj Close]]&gt;Query1[[#This Row],[avg]],
       Dashboard!$L$5-Dashboard!$E$6,
       Dashboard!$L$5+Dashboard!$E$6
    ), 0
)</f>
        <v>0</v>
      </c>
      <c r="P283" s="2">
        <f>IF(ROW()&lt;3, Query1[[#This Row],[Shares]], IF(Query1[[#This Row],[Month]]&lt;&gt;H282, P282+Query1[[#This Row],[Enhanced top up]]/Query1[[#This Row],[Adj Close]], P282))</f>
        <v>3315.4515545640288</v>
      </c>
      <c r="Q283" s="2">
        <f>IFERROR(AVERAGE(
  IF(ROW()&gt;20, INDEX(G:G, ROW()-20), 0) :
  INDEX(G:G, ROW())
),0)</f>
        <v>224.67466735839844</v>
      </c>
    </row>
    <row r="284" spans="1:17" x14ac:dyDescent="0.4">
      <c r="A284" s="1">
        <v>44243</v>
      </c>
      <c r="B284">
        <v>245.02999877929688</v>
      </c>
      <c r="C284">
        <v>246.1300048828125</v>
      </c>
      <c r="D284">
        <v>242.91999816894531</v>
      </c>
      <c r="E284">
        <v>243.69999694824219</v>
      </c>
      <c r="F284">
        <v>26728500</v>
      </c>
      <c r="G284">
        <v>234.27749633789063</v>
      </c>
      <c r="H284" s="2">
        <f>MONTH(Query1[[#This Row],[Date]])</f>
        <v>2</v>
      </c>
      <c r="I284" s="3">
        <f>Query1[[#This Row],[Shares]]*Query1[[#This Row],[Adj Close]]</f>
        <v>841594.80774295772</v>
      </c>
      <c r="J284" s="3">
        <f>IF(ROW()&lt;3, Dashboard!$E$7, IF(Query1[[#This Row],[Month]]&lt;&gt;H283,J283*(1+Dashboard!$E$4)+Dashboard!$E$5,J283))</f>
        <v>596665.29630330263</v>
      </c>
      <c r="K284">
        <f>IF(ROW()&lt;3, 0,IF(Query1[[#This Row],[Month]]&lt;&gt;H283,IF((J284-I284&gt;0),J284-I284,0),0))</f>
        <v>0</v>
      </c>
      <c r="L284" s="2">
        <f t="shared" si="4"/>
        <v>3592.2989655359538</v>
      </c>
      <c r="M284">
        <f>IF(ROW()&lt;3, 0, IF(Query1[[#This Row],[Month]]&lt;&gt;H283, Dashboard!$J$5,0))</f>
        <v>0</v>
      </c>
      <c r="N284" s="2">
        <f>IF(ROW()&lt;3, Query1[[#This Row],[Shares]], IF(Query1[[#This Row],[Month]]&lt;&gt;H283, N283+Query1[[#This Row],[Fix Top Up]]/Query1[[#This Row],[Adj Close]], N283))</f>
        <v>3325.9891886730111</v>
      </c>
      <c r="O284">
        <f>IF(AND(Query1[[#This Row],[avg]]&gt;0, Query1[[#This Row],[Month]]&lt;&gt;H283),
    IF(Query1[[#This Row],[Adj Close]]&gt;Query1[[#This Row],[avg]],
       Dashboard!$L$5-Dashboard!$E$6,
       Dashboard!$L$5+Dashboard!$E$6
    ), 0
)</f>
        <v>0</v>
      </c>
      <c r="P284" s="2">
        <f>IF(ROW()&lt;3, Query1[[#This Row],[Shares]], IF(Query1[[#This Row],[Month]]&lt;&gt;H283, P283+Query1[[#This Row],[Enhanced top up]]/Query1[[#This Row],[Adj Close]], P283))</f>
        <v>3315.4515545640288</v>
      </c>
      <c r="Q284" s="2">
        <f>IFERROR(AVERAGE(
  IF(ROW()&gt;20, INDEX(G:G, ROW()-20), 0) :
  INDEX(G:G, ROW())
),0)</f>
        <v>226.07913498651413</v>
      </c>
    </row>
    <row r="285" spans="1:17" x14ac:dyDescent="0.4">
      <c r="A285" s="1">
        <v>44244</v>
      </c>
      <c r="B285">
        <v>241.32000732421875</v>
      </c>
      <c r="C285">
        <v>244.30999755859375</v>
      </c>
      <c r="D285">
        <v>240.94000244140625</v>
      </c>
      <c r="E285">
        <v>244.19999694824219</v>
      </c>
      <c r="F285">
        <v>21653500</v>
      </c>
      <c r="G285">
        <v>235.298828125</v>
      </c>
      <c r="H285" s="2">
        <f>MONTH(Query1[[#This Row],[Date]])</f>
        <v>2</v>
      </c>
      <c r="I285" s="3">
        <f>Query1[[#This Row],[Shares]]*Query1[[#This Row],[Adj Close]]</f>
        <v>845263.73686525971</v>
      </c>
      <c r="J285" s="3">
        <f>IF(ROW()&lt;3, Dashboard!$E$7, IF(Query1[[#This Row],[Month]]&lt;&gt;H284,J284*(1+Dashboard!$E$4)+Dashboard!$E$5,J284))</f>
        <v>596665.29630330263</v>
      </c>
      <c r="K285">
        <f>IF(ROW()&lt;3, 0,IF(Query1[[#This Row],[Month]]&lt;&gt;H284,IF((J285-I285&gt;0),J285-I285,0),0))</f>
        <v>0</v>
      </c>
      <c r="L285" s="2">
        <f t="shared" si="4"/>
        <v>3592.2989655359538</v>
      </c>
      <c r="M285">
        <f>IF(ROW()&lt;3, 0, IF(Query1[[#This Row],[Month]]&lt;&gt;H284, Dashboard!$J$5,0))</f>
        <v>0</v>
      </c>
      <c r="N285" s="2">
        <f>IF(ROW()&lt;3, Query1[[#This Row],[Shares]], IF(Query1[[#This Row],[Month]]&lt;&gt;H284, N284+Query1[[#This Row],[Fix Top Up]]/Query1[[#This Row],[Adj Close]], N284))</f>
        <v>3325.9891886730111</v>
      </c>
      <c r="O285">
        <f>IF(AND(Query1[[#This Row],[avg]]&gt;0, Query1[[#This Row],[Month]]&lt;&gt;H284),
    IF(Query1[[#This Row],[Adj Close]]&gt;Query1[[#This Row],[avg]],
       Dashboard!$L$5-Dashboard!$E$6,
       Dashboard!$L$5+Dashboard!$E$6
    ), 0
)</f>
        <v>0</v>
      </c>
      <c r="P285" s="2">
        <f>IF(ROW()&lt;3, Query1[[#This Row],[Shares]], IF(Query1[[#This Row],[Month]]&lt;&gt;H284, P284+Query1[[#This Row],[Enhanced top up]]/Query1[[#This Row],[Adj Close]], P284))</f>
        <v>3315.4515545640288</v>
      </c>
      <c r="Q285" s="2">
        <f>IFERROR(AVERAGE(
  IF(ROW()&gt;20, INDEX(G:G, ROW()-20), 0) :
  INDEX(G:G, ROW())
),0)</f>
        <v>227.54917399088541</v>
      </c>
    </row>
    <row r="286" spans="1:17" x14ac:dyDescent="0.4">
      <c r="A286" s="1">
        <v>44245</v>
      </c>
      <c r="B286">
        <v>241.80000305175781</v>
      </c>
      <c r="C286">
        <v>243.92999267578125</v>
      </c>
      <c r="D286">
        <v>240.86000061035156</v>
      </c>
      <c r="E286">
        <v>243.78999328613281</v>
      </c>
      <c r="F286">
        <v>16925600</v>
      </c>
      <c r="G286">
        <v>234.90379333496094</v>
      </c>
      <c r="H286" s="2">
        <f>MONTH(Query1[[#This Row],[Date]])</f>
        <v>2</v>
      </c>
      <c r="I286" s="3">
        <f>Query1[[#This Row],[Shares]]*Query1[[#This Row],[Adj Close]]</f>
        <v>843844.65379765164</v>
      </c>
      <c r="J286" s="3">
        <f>IF(ROW()&lt;3, Dashboard!$E$7, IF(Query1[[#This Row],[Month]]&lt;&gt;H285,J285*(1+Dashboard!$E$4)+Dashboard!$E$5,J285))</f>
        <v>596665.29630330263</v>
      </c>
      <c r="K286">
        <f>IF(ROW()&lt;3, 0,IF(Query1[[#This Row],[Month]]&lt;&gt;H285,IF((J286-I286&gt;0),J286-I286,0),0))</f>
        <v>0</v>
      </c>
      <c r="L286" s="2">
        <f t="shared" si="4"/>
        <v>3592.2989655359538</v>
      </c>
      <c r="M286">
        <f>IF(ROW()&lt;3, 0, IF(Query1[[#This Row],[Month]]&lt;&gt;H285, Dashboard!$J$5,0))</f>
        <v>0</v>
      </c>
      <c r="N286" s="2">
        <f>IF(ROW()&lt;3, Query1[[#This Row],[Shares]], IF(Query1[[#This Row],[Month]]&lt;&gt;H285, N285+Query1[[#This Row],[Fix Top Up]]/Query1[[#This Row],[Adj Close]], N285))</f>
        <v>3325.9891886730111</v>
      </c>
      <c r="O286">
        <f>IF(AND(Query1[[#This Row],[avg]]&gt;0, Query1[[#This Row],[Month]]&lt;&gt;H285),
    IF(Query1[[#This Row],[Adj Close]]&gt;Query1[[#This Row],[avg]],
       Dashboard!$L$5-Dashboard!$E$6,
       Dashboard!$L$5+Dashboard!$E$6
    ), 0
)</f>
        <v>0</v>
      </c>
      <c r="P286" s="2">
        <f>IF(ROW()&lt;3, Query1[[#This Row],[Shares]], IF(Query1[[#This Row],[Month]]&lt;&gt;H285, P285+Query1[[#This Row],[Enhanced top up]]/Query1[[#This Row],[Adj Close]], P285))</f>
        <v>3315.4515545640288</v>
      </c>
      <c r="Q286" s="2">
        <f>IFERROR(AVERAGE(
  IF(ROW()&gt;20, INDEX(G:G, ROW()-20), 0) :
  INDEX(G:G, ROW())
),0)</f>
        <v>228.826902843657</v>
      </c>
    </row>
    <row r="287" spans="1:17" x14ac:dyDescent="0.4">
      <c r="A287" s="1">
        <v>44246</v>
      </c>
      <c r="B287">
        <v>243.75</v>
      </c>
      <c r="C287">
        <v>243.86000061035156</v>
      </c>
      <c r="D287">
        <v>240.17999267578125</v>
      </c>
      <c r="E287">
        <v>240.97000122070313</v>
      </c>
      <c r="F287">
        <v>25262600</v>
      </c>
      <c r="G287">
        <v>232.18658447265625</v>
      </c>
      <c r="H287" s="2">
        <f>MONTH(Query1[[#This Row],[Date]])</f>
        <v>2</v>
      </c>
      <c r="I287" s="3">
        <f>Query1[[#This Row],[Shares]]*Query1[[#This Row],[Adj Close]]</f>
        <v>834083.62721244944</v>
      </c>
      <c r="J287" s="3">
        <f>IF(ROW()&lt;3, Dashboard!$E$7, IF(Query1[[#This Row],[Month]]&lt;&gt;H286,J286*(1+Dashboard!$E$4)+Dashboard!$E$5,J286))</f>
        <v>596665.29630330263</v>
      </c>
      <c r="K287">
        <f>IF(ROW()&lt;3, 0,IF(Query1[[#This Row],[Month]]&lt;&gt;H286,IF((J287-I287&gt;0),J287-I287,0),0))</f>
        <v>0</v>
      </c>
      <c r="L287" s="2">
        <f t="shared" si="4"/>
        <v>3592.2989655359538</v>
      </c>
      <c r="M287">
        <f>IF(ROW()&lt;3, 0, IF(Query1[[#This Row],[Month]]&lt;&gt;H286, Dashboard!$J$5,0))</f>
        <v>0</v>
      </c>
      <c r="N287" s="2">
        <f>IF(ROW()&lt;3, Query1[[#This Row],[Shares]], IF(Query1[[#This Row],[Month]]&lt;&gt;H286, N286+Query1[[#This Row],[Fix Top Up]]/Query1[[#This Row],[Adj Close]], N286))</f>
        <v>3325.9891886730111</v>
      </c>
      <c r="O287">
        <f>IF(AND(Query1[[#This Row],[avg]]&gt;0, Query1[[#This Row],[Month]]&lt;&gt;H286),
    IF(Query1[[#This Row],[Adj Close]]&gt;Query1[[#This Row],[avg]],
       Dashboard!$L$5-Dashboard!$E$6,
       Dashboard!$L$5+Dashboard!$E$6
    ), 0
)</f>
        <v>0</v>
      </c>
      <c r="P287" s="2">
        <f>IF(ROW()&lt;3, Query1[[#This Row],[Shares]], IF(Query1[[#This Row],[Month]]&lt;&gt;H286, P286+Query1[[#This Row],[Enhanced top up]]/Query1[[#This Row],[Adj Close]], P286))</f>
        <v>3315.4515545640288</v>
      </c>
      <c r="Q287" s="2">
        <f>IFERROR(AVERAGE(
  IF(ROW()&gt;20, INDEX(G:G, ROW()-20), 0) :
  INDEX(G:G, ROW())
),0)</f>
        <v>229.6135973249163</v>
      </c>
    </row>
    <row r="288" spans="1:17" x14ac:dyDescent="0.4">
      <c r="A288" s="1">
        <v>44249</v>
      </c>
      <c r="B288">
        <v>237.41999816894531</v>
      </c>
      <c r="C288">
        <v>237.92999267578125</v>
      </c>
      <c r="D288">
        <v>232.39999389648438</v>
      </c>
      <c r="E288">
        <v>234.50999450683594</v>
      </c>
      <c r="F288">
        <v>36446900</v>
      </c>
      <c r="G288">
        <v>225.9620361328125</v>
      </c>
      <c r="H288" s="2">
        <f>MONTH(Query1[[#This Row],[Date]])</f>
        <v>2</v>
      </c>
      <c r="I288" s="3">
        <f>Query1[[#This Row],[Shares]]*Query1[[#This Row],[Adj Close]]</f>
        <v>811723.18865030014</v>
      </c>
      <c r="J288" s="3">
        <f>IF(ROW()&lt;3, Dashboard!$E$7, IF(Query1[[#This Row],[Month]]&lt;&gt;H287,J287*(1+Dashboard!$E$4)+Dashboard!$E$5,J287))</f>
        <v>596665.29630330263</v>
      </c>
      <c r="K288">
        <f>IF(ROW()&lt;3, 0,IF(Query1[[#This Row],[Month]]&lt;&gt;H287,IF((J288-I288&gt;0),J288-I288,0),0))</f>
        <v>0</v>
      </c>
      <c r="L288" s="2">
        <f t="shared" si="4"/>
        <v>3592.2989655359538</v>
      </c>
      <c r="M288">
        <f>IF(ROW()&lt;3, 0, IF(Query1[[#This Row],[Month]]&lt;&gt;H287, Dashboard!$J$5,0))</f>
        <v>0</v>
      </c>
      <c r="N288" s="2">
        <f>IF(ROW()&lt;3, Query1[[#This Row],[Shares]], IF(Query1[[#This Row],[Month]]&lt;&gt;H287, N287+Query1[[#This Row],[Fix Top Up]]/Query1[[#This Row],[Adj Close]], N287))</f>
        <v>3325.9891886730111</v>
      </c>
      <c r="O288">
        <f>IF(AND(Query1[[#This Row],[avg]]&gt;0, Query1[[#This Row],[Month]]&lt;&gt;H287),
    IF(Query1[[#This Row],[Adj Close]]&gt;Query1[[#This Row],[avg]],
       Dashboard!$L$5-Dashboard!$E$6,
       Dashboard!$L$5+Dashboard!$E$6
    ), 0
)</f>
        <v>0</v>
      </c>
      <c r="P288" s="2">
        <f>IF(ROW()&lt;3, Query1[[#This Row],[Shares]], IF(Query1[[#This Row],[Month]]&lt;&gt;H287, P287+Query1[[#This Row],[Enhanced top up]]/Query1[[#This Row],[Adj Close]], P287))</f>
        <v>3315.4515545640288</v>
      </c>
      <c r="Q288" s="2">
        <f>IFERROR(AVERAGE(
  IF(ROW()&gt;20, INDEX(G:G, ROW()-20), 0) :
  INDEX(G:G, ROW())
),0)</f>
        <v>230.07504199800036</v>
      </c>
    </row>
    <row r="289" spans="1:17" x14ac:dyDescent="0.4">
      <c r="A289" s="1">
        <v>44250</v>
      </c>
      <c r="B289">
        <v>230.33000183105469</v>
      </c>
      <c r="C289">
        <v>234.83000183105469</v>
      </c>
      <c r="D289">
        <v>228.72999572753906</v>
      </c>
      <c r="E289">
        <v>233.27000427246094</v>
      </c>
      <c r="F289">
        <v>30228700</v>
      </c>
      <c r="G289">
        <v>224.76730346679688</v>
      </c>
      <c r="H289" s="2">
        <f>MONTH(Query1[[#This Row],[Date]])</f>
        <v>2</v>
      </c>
      <c r="I289" s="3">
        <f>Query1[[#This Row],[Shares]]*Query1[[#This Row],[Adj Close]]</f>
        <v>807431.35173008021</v>
      </c>
      <c r="J289" s="3">
        <f>IF(ROW()&lt;3, Dashboard!$E$7, IF(Query1[[#This Row],[Month]]&lt;&gt;H288,J288*(1+Dashboard!$E$4)+Dashboard!$E$5,J288))</f>
        <v>596665.29630330263</v>
      </c>
      <c r="K289">
        <f>IF(ROW()&lt;3, 0,IF(Query1[[#This Row],[Month]]&lt;&gt;H288,IF((J289-I289&gt;0),J289-I289,0),0))</f>
        <v>0</v>
      </c>
      <c r="L289" s="2">
        <f t="shared" si="4"/>
        <v>3592.2989655359538</v>
      </c>
      <c r="M289">
        <f>IF(ROW()&lt;3, 0, IF(Query1[[#This Row],[Month]]&lt;&gt;H288, Dashboard!$J$5,0))</f>
        <v>0</v>
      </c>
      <c r="N289" s="2">
        <f>IF(ROW()&lt;3, Query1[[#This Row],[Shares]], IF(Query1[[#This Row],[Month]]&lt;&gt;H288, N288+Query1[[#This Row],[Fix Top Up]]/Query1[[#This Row],[Adj Close]], N288))</f>
        <v>3325.9891886730111</v>
      </c>
      <c r="O289">
        <f>IF(AND(Query1[[#This Row],[avg]]&gt;0, Query1[[#This Row],[Month]]&lt;&gt;H288),
    IF(Query1[[#This Row],[Adj Close]]&gt;Query1[[#This Row],[avg]],
       Dashboard!$L$5-Dashboard!$E$6,
       Dashboard!$L$5+Dashboard!$E$6
    ), 0
)</f>
        <v>0</v>
      </c>
      <c r="P289" s="2">
        <f>IF(ROW()&lt;3, Query1[[#This Row],[Shares]], IF(Query1[[#This Row],[Month]]&lt;&gt;H288, P288+Query1[[#This Row],[Enhanced top up]]/Query1[[#This Row],[Adj Close]], P288))</f>
        <v>3315.4515545640288</v>
      </c>
      <c r="Q289" s="2">
        <f>IFERROR(AVERAGE(
  IF(ROW()&gt;20, INDEX(G:G, ROW()-20), 0) :
  INDEX(G:G, ROW())
),0)</f>
        <v>230.43473307291666</v>
      </c>
    </row>
    <row r="290" spans="1:17" x14ac:dyDescent="0.4">
      <c r="A290" s="1">
        <v>44251</v>
      </c>
      <c r="B290">
        <v>230.00999450683594</v>
      </c>
      <c r="C290">
        <v>235.19999694824219</v>
      </c>
      <c r="D290">
        <v>229</v>
      </c>
      <c r="E290">
        <v>234.55000305175781</v>
      </c>
      <c r="F290">
        <v>26339700</v>
      </c>
      <c r="G290">
        <v>226.00064086914063</v>
      </c>
      <c r="H290" s="2">
        <f>MONTH(Query1[[#This Row],[Date]])</f>
        <v>2</v>
      </c>
      <c r="I290" s="3">
        <f>Query1[[#This Row],[Shares]]*Query1[[#This Row],[Adj Close]]</f>
        <v>811861.86840467644</v>
      </c>
      <c r="J290" s="3">
        <f>IF(ROW()&lt;3, Dashboard!$E$7, IF(Query1[[#This Row],[Month]]&lt;&gt;H289,J289*(1+Dashboard!$E$4)+Dashboard!$E$5,J289))</f>
        <v>596665.29630330263</v>
      </c>
      <c r="K290">
        <f>IF(ROW()&lt;3, 0,IF(Query1[[#This Row],[Month]]&lt;&gt;H289,IF((J290-I290&gt;0),J290-I290,0),0))</f>
        <v>0</v>
      </c>
      <c r="L290" s="2">
        <f t="shared" si="4"/>
        <v>3592.2989655359538</v>
      </c>
      <c r="M290">
        <f>IF(ROW()&lt;3, 0, IF(Query1[[#This Row],[Month]]&lt;&gt;H289, Dashboard!$J$5,0))</f>
        <v>0</v>
      </c>
      <c r="N290" s="2">
        <f>IF(ROW()&lt;3, Query1[[#This Row],[Shares]], IF(Query1[[#This Row],[Month]]&lt;&gt;H289, N289+Query1[[#This Row],[Fix Top Up]]/Query1[[#This Row],[Adj Close]], N289))</f>
        <v>3325.9891886730111</v>
      </c>
      <c r="O290">
        <f>IF(AND(Query1[[#This Row],[avg]]&gt;0, Query1[[#This Row],[Month]]&lt;&gt;H289),
    IF(Query1[[#This Row],[Adj Close]]&gt;Query1[[#This Row],[avg]],
       Dashboard!$L$5-Dashboard!$E$6,
       Dashboard!$L$5+Dashboard!$E$6
    ), 0
)</f>
        <v>0</v>
      </c>
      <c r="P290" s="2">
        <f>IF(ROW()&lt;3, Query1[[#This Row],[Shares]], IF(Query1[[#This Row],[Month]]&lt;&gt;H289, P289+Query1[[#This Row],[Enhanced top up]]/Query1[[#This Row],[Adj Close]], P289))</f>
        <v>3315.4515545640288</v>
      </c>
      <c r="Q290" s="2">
        <f>IFERROR(AVERAGE(
  IF(ROW()&gt;20, INDEX(G:G, ROW()-20), 0) :
  INDEX(G:G, ROW())
),0)</f>
        <v>230.68927074614027</v>
      </c>
    </row>
    <row r="291" spans="1:17" x14ac:dyDescent="0.4">
      <c r="A291" s="1">
        <v>44252</v>
      </c>
      <c r="B291">
        <v>232.08000183105469</v>
      </c>
      <c r="C291">
        <v>234.58999633789063</v>
      </c>
      <c r="D291">
        <v>227.8800048828125</v>
      </c>
      <c r="E291">
        <v>228.99000549316406</v>
      </c>
      <c r="F291">
        <v>39542200</v>
      </c>
      <c r="G291">
        <v>220.64328002929688</v>
      </c>
      <c r="H291" s="2">
        <f>MONTH(Query1[[#This Row],[Date]])</f>
        <v>2</v>
      </c>
      <c r="I291" s="3">
        <f>Query1[[#This Row],[Shares]]*Query1[[#This Row],[Adj Close]]</f>
        <v>792616.62660170288</v>
      </c>
      <c r="J291" s="3">
        <f>IF(ROW()&lt;3, Dashboard!$E$7, IF(Query1[[#This Row],[Month]]&lt;&gt;H290,J290*(1+Dashboard!$E$4)+Dashboard!$E$5,J290))</f>
        <v>596665.29630330263</v>
      </c>
      <c r="K291">
        <f>IF(ROW()&lt;3, 0,IF(Query1[[#This Row],[Month]]&lt;&gt;H290,IF((J291-I291&gt;0),J291-I291,0),0))</f>
        <v>0</v>
      </c>
      <c r="L291" s="2">
        <f t="shared" si="4"/>
        <v>3592.2989655359538</v>
      </c>
      <c r="M291">
        <f>IF(ROW()&lt;3, 0, IF(Query1[[#This Row],[Month]]&lt;&gt;H290, Dashboard!$J$5,0))</f>
        <v>0</v>
      </c>
      <c r="N291" s="2">
        <f>IF(ROW()&lt;3, Query1[[#This Row],[Shares]], IF(Query1[[#This Row],[Month]]&lt;&gt;H290, N290+Query1[[#This Row],[Fix Top Up]]/Query1[[#This Row],[Adj Close]], N290))</f>
        <v>3325.9891886730111</v>
      </c>
      <c r="O291">
        <f>IF(AND(Query1[[#This Row],[avg]]&gt;0, Query1[[#This Row],[Month]]&lt;&gt;H290),
    IF(Query1[[#This Row],[Adj Close]]&gt;Query1[[#This Row],[avg]],
       Dashboard!$L$5-Dashboard!$E$6,
       Dashboard!$L$5+Dashboard!$E$6
    ), 0
)</f>
        <v>0</v>
      </c>
      <c r="P291" s="2">
        <f>IF(ROW()&lt;3, Query1[[#This Row],[Shares]], IF(Query1[[#This Row],[Month]]&lt;&gt;H290, P290+Query1[[#This Row],[Enhanced top up]]/Query1[[#This Row],[Adj Close]], P290))</f>
        <v>3315.4515545640288</v>
      </c>
      <c r="Q291" s="2">
        <f>IFERROR(AVERAGE(
  IF(ROW()&gt;20, INDEX(G:G, ROW()-20), 0) :
  INDEX(G:G, ROW())
),0)</f>
        <v>230.56051635742188</v>
      </c>
    </row>
    <row r="292" spans="1:17" x14ac:dyDescent="0.4">
      <c r="A292" s="1">
        <v>44253</v>
      </c>
      <c r="B292">
        <v>231.52999877929688</v>
      </c>
      <c r="C292">
        <v>235.3699951171875</v>
      </c>
      <c r="D292">
        <v>229.53999328613281</v>
      </c>
      <c r="E292">
        <v>232.3800048828125</v>
      </c>
      <c r="F292">
        <v>37819200</v>
      </c>
      <c r="G292">
        <v>223.90971374511719</v>
      </c>
      <c r="H292" s="2">
        <f>MONTH(Query1[[#This Row],[Date]])</f>
        <v>2</v>
      </c>
      <c r="I292" s="3">
        <f>Query1[[#This Row],[Shares]]*Query1[[#This Row],[Adj Close]]</f>
        <v>804350.63306003599</v>
      </c>
      <c r="J292" s="3">
        <f>IF(ROW()&lt;3, Dashboard!$E$7, IF(Query1[[#This Row],[Month]]&lt;&gt;H291,J291*(1+Dashboard!$E$4)+Dashboard!$E$5,J291))</f>
        <v>596665.29630330263</v>
      </c>
      <c r="K292">
        <f>IF(ROW()&lt;3, 0,IF(Query1[[#This Row],[Month]]&lt;&gt;H291,IF((J292-I292&gt;0),J292-I292,0),0))</f>
        <v>0</v>
      </c>
      <c r="L292" s="2">
        <f t="shared" si="4"/>
        <v>3592.2989655359538</v>
      </c>
      <c r="M292">
        <f>IF(ROW()&lt;3, 0, IF(Query1[[#This Row],[Month]]&lt;&gt;H291, Dashboard!$J$5,0))</f>
        <v>0</v>
      </c>
      <c r="N292" s="2">
        <f>IF(ROW()&lt;3, Query1[[#This Row],[Shares]], IF(Query1[[#This Row],[Month]]&lt;&gt;H291, N291+Query1[[#This Row],[Fix Top Up]]/Query1[[#This Row],[Adj Close]], N291))</f>
        <v>3325.9891886730111</v>
      </c>
      <c r="O292">
        <f>IF(AND(Query1[[#This Row],[avg]]&gt;0, Query1[[#This Row],[Month]]&lt;&gt;H291),
    IF(Query1[[#This Row],[Adj Close]]&gt;Query1[[#This Row],[avg]],
       Dashboard!$L$5-Dashboard!$E$6,
       Dashboard!$L$5+Dashboard!$E$6
    ), 0
)</f>
        <v>0</v>
      </c>
      <c r="P292" s="2">
        <f>IF(ROW()&lt;3, Query1[[#This Row],[Shares]], IF(Query1[[#This Row],[Month]]&lt;&gt;H291, P291+Query1[[#This Row],[Enhanced top up]]/Query1[[#This Row],[Adj Close]], P291))</f>
        <v>3315.4515545640288</v>
      </c>
      <c r="Q292" s="2">
        <f>IFERROR(AVERAGE(
  IF(ROW()&gt;20, INDEX(G:G, ROW()-20), 0) :
  INDEX(G:G, ROW())
),0)</f>
        <v>230.56121462867372</v>
      </c>
    </row>
    <row r="293" spans="1:17" x14ac:dyDescent="0.4">
      <c r="A293" s="1">
        <v>44256</v>
      </c>
      <c r="B293">
        <v>235.89999389648438</v>
      </c>
      <c r="C293">
        <v>237.47000122070313</v>
      </c>
      <c r="D293">
        <v>233.14999389648438</v>
      </c>
      <c r="E293">
        <v>236.94000244140625</v>
      </c>
      <c r="F293">
        <v>25324000</v>
      </c>
      <c r="G293">
        <v>228.30349731445313</v>
      </c>
      <c r="H293" s="2">
        <f>MONTH(Query1[[#This Row],[Date]])</f>
        <v>3</v>
      </c>
      <c r="I293" s="3">
        <f>Query1[[#This Row],[Shares]]*Query1[[#This Row],[Adj Close]]</f>
        <v>820134.41723095032</v>
      </c>
      <c r="J293" s="3">
        <f>IF(ROW()&lt;3, Dashboard!$E$7, IF(Query1[[#This Row],[Month]]&lt;&gt;H292,J292*(1+Dashboard!$E$4)+Dashboard!$E$5,J292))</f>
        <v>604631.94926633569</v>
      </c>
      <c r="K293">
        <f>IF(ROW()&lt;3, 0,IF(Query1[[#This Row],[Month]]&lt;&gt;H292,IF((J293-I293&gt;0),J293-I293,0),0))</f>
        <v>0</v>
      </c>
      <c r="L293" s="2">
        <f t="shared" si="4"/>
        <v>3592.2989655359538</v>
      </c>
      <c r="M293">
        <f>IF(ROW()&lt;3, 0, IF(Query1[[#This Row],[Month]]&lt;&gt;H292, Dashboard!$J$5,0))</f>
        <v>773.47399999999971</v>
      </c>
      <c r="N293" s="2">
        <f>IF(ROW()&lt;3, Query1[[#This Row],[Shares]], IF(Query1[[#This Row],[Month]]&lt;&gt;H292, N292+Query1[[#This Row],[Fix Top Up]]/Query1[[#This Row],[Adj Close]], N292))</f>
        <v>3329.3771087403707</v>
      </c>
      <c r="O293">
        <f>IF(AND(Query1[[#This Row],[avg]]&gt;0, Query1[[#This Row],[Month]]&lt;&gt;H292),
    IF(Query1[[#This Row],[Adj Close]]&gt;Query1[[#This Row],[avg]],
       Dashboard!$L$5-Dashboard!$E$6,
       Dashboard!$L$5+Dashboard!$E$6
    ), 0
)</f>
        <v>1390.1406666666667</v>
      </c>
      <c r="P293" s="2">
        <f>IF(ROW()&lt;3, Query1[[#This Row],[Shares]], IF(Query1[[#This Row],[Month]]&lt;&gt;H292, P292+Query1[[#This Row],[Enhanced top up]]/Query1[[#This Row],[Adj Close]], P292))</f>
        <v>3321.5405575053719</v>
      </c>
      <c r="Q293" s="2">
        <f>IFERROR(AVERAGE(
  IF(ROW()&gt;20, INDEX(G:G, ROW()-20), 0) :
  INDEX(G:G, ROW())
),0)</f>
        <v>230.49509829566591</v>
      </c>
    </row>
    <row r="294" spans="1:17" x14ac:dyDescent="0.4">
      <c r="A294" s="1">
        <v>44257</v>
      </c>
      <c r="B294">
        <v>237.00999450683594</v>
      </c>
      <c r="C294">
        <v>237.30000305175781</v>
      </c>
      <c r="D294">
        <v>233.44999694824219</v>
      </c>
      <c r="E294">
        <v>233.8699951171875</v>
      </c>
      <c r="F294">
        <v>22812500</v>
      </c>
      <c r="G294">
        <v>225.34538269042969</v>
      </c>
      <c r="H294" s="2">
        <f>MONTH(Query1[[#This Row],[Date]])</f>
        <v>3</v>
      </c>
      <c r="I294" s="3">
        <f>Query1[[#This Row],[Shares]]*Query1[[#This Row],[Adj Close]]</f>
        <v>809507.98512713425</v>
      </c>
      <c r="J294" s="3">
        <f>IF(ROW()&lt;3, Dashboard!$E$7, IF(Query1[[#This Row],[Month]]&lt;&gt;H293,J293*(1+Dashboard!$E$4)+Dashboard!$E$5,J293))</f>
        <v>604631.94926633569</v>
      </c>
      <c r="K294">
        <f>IF(ROW()&lt;3, 0,IF(Query1[[#This Row],[Month]]&lt;&gt;H293,IF((J294-I294&gt;0),J294-I294,0),0))</f>
        <v>0</v>
      </c>
      <c r="L294" s="2">
        <f t="shared" si="4"/>
        <v>3592.2989655359538</v>
      </c>
      <c r="M294">
        <f>IF(ROW()&lt;3, 0, IF(Query1[[#This Row],[Month]]&lt;&gt;H293, Dashboard!$J$5,0))</f>
        <v>0</v>
      </c>
      <c r="N294" s="2">
        <f>IF(ROW()&lt;3, Query1[[#This Row],[Shares]], IF(Query1[[#This Row],[Month]]&lt;&gt;H293, N293+Query1[[#This Row],[Fix Top Up]]/Query1[[#This Row],[Adj Close]], N293))</f>
        <v>3329.3771087403707</v>
      </c>
      <c r="O294">
        <f>IF(AND(Query1[[#This Row],[avg]]&gt;0, Query1[[#This Row],[Month]]&lt;&gt;H293),
    IF(Query1[[#This Row],[Adj Close]]&gt;Query1[[#This Row],[avg]],
       Dashboard!$L$5-Dashboard!$E$6,
       Dashboard!$L$5+Dashboard!$E$6
    ), 0
)</f>
        <v>0</v>
      </c>
      <c r="P294" s="2">
        <f>IF(ROW()&lt;3, Query1[[#This Row],[Shares]], IF(Query1[[#This Row],[Month]]&lt;&gt;H293, P293+Query1[[#This Row],[Enhanced top up]]/Query1[[#This Row],[Adj Close]], P293))</f>
        <v>3321.5405575053719</v>
      </c>
      <c r="Q294" s="2">
        <f>IFERROR(AVERAGE(
  IF(ROW()&gt;20, INDEX(G:G, ROW()-20), 0) :
  INDEX(G:G, ROW())
),0)</f>
        <v>230.60719081333704</v>
      </c>
    </row>
    <row r="295" spans="1:17" x14ac:dyDescent="0.4">
      <c r="A295" s="1">
        <v>44258</v>
      </c>
      <c r="B295">
        <v>232.16000366210938</v>
      </c>
      <c r="C295">
        <v>233.58000183105469</v>
      </c>
      <c r="D295">
        <v>227.25999450683594</v>
      </c>
      <c r="E295">
        <v>227.55999755859375</v>
      </c>
      <c r="F295">
        <v>34029500</v>
      </c>
      <c r="G295">
        <v>219.265380859375</v>
      </c>
      <c r="H295" s="2">
        <f>MONTH(Query1[[#This Row],[Date]])</f>
        <v>3</v>
      </c>
      <c r="I295" s="3">
        <f>Query1[[#This Row],[Shares]]*Query1[[#This Row],[Adj Close]]</f>
        <v>787666.80083897978</v>
      </c>
      <c r="J295" s="3">
        <f>IF(ROW()&lt;3, Dashboard!$E$7, IF(Query1[[#This Row],[Month]]&lt;&gt;H294,J294*(1+Dashboard!$E$4)+Dashboard!$E$5,J294))</f>
        <v>604631.94926633569</v>
      </c>
      <c r="K295">
        <f>IF(ROW()&lt;3, 0,IF(Query1[[#This Row],[Month]]&lt;&gt;H294,IF((J295-I295&gt;0),J295-I295,0),0))</f>
        <v>0</v>
      </c>
      <c r="L295" s="2">
        <f t="shared" si="4"/>
        <v>3592.2989655359538</v>
      </c>
      <c r="M295">
        <f>IF(ROW()&lt;3, 0, IF(Query1[[#This Row],[Month]]&lt;&gt;H294, Dashboard!$J$5,0))</f>
        <v>0</v>
      </c>
      <c r="N295" s="2">
        <f>IF(ROW()&lt;3, Query1[[#This Row],[Shares]], IF(Query1[[#This Row],[Month]]&lt;&gt;H294, N294+Query1[[#This Row],[Fix Top Up]]/Query1[[#This Row],[Adj Close]], N294))</f>
        <v>3329.3771087403707</v>
      </c>
      <c r="O295">
        <f>IF(AND(Query1[[#This Row],[avg]]&gt;0, Query1[[#This Row],[Month]]&lt;&gt;H294),
    IF(Query1[[#This Row],[Adj Close]]&gt;Query1[[#This Row],[avg]],
       Dashboard!$L$5-Dashboard!$E$6,
       Dashboard!$L$5+Dashboard!$E$6
    ), 0
)</f>
        <v>0</v>
      </c>
      <c r="P295" s="2">
        <f>IF(ROW()&lt;3, Query1[[#This Row],[Shares]], IF(Query1[[#This Row],[Month]]&lt;&gt;H294, P294+Query1[[#This Row],[Enhanced top up]]/Query1[[#This Row],[Adj Close]], P294))</f>
        <v>3321.5405575053719</v>
      </c>
      <c r="Q295" s="2">
        <f>IFERROR(AVERAGE(
  IF(ROW()&gt;20, INDEX(G:G, ROW()-20), 0) :
  INDEX(G:G, ROW())
),0)</f>
        <v>230.07772972470238</v>
      </c>
    </row>
    <row r="296" spans="1:17" x14ac:dyDescent="0.4">
      <c r="A296" s="1">
        <v>44259</v>
      </c>
      <c r="B296">
        <v>226.74000549316406</v>
      </c>
      <c r="C296">
        <v>232.49000549316406</v>
      </c>
      <c r="D296">
        <v>224.25999450683594</v>
      </c>
      <c r="E296">
        <v>226.72999572753906</v>
      </c>
      <c r="F296">
        <v>44727800</v>
      </c>
      <c r="G296">
        <v>218.46563720703125</v>
      </c>
      <c r="H296" s="2">
        <f>MONTH(Query1[[#This Row],[Date]])</f>
        <v>3</v>
      </c>
      <c r="I296" s="3">
        <f>Query1[[#This Row],[Shares]]*Query1[[#This Row],[Adj Close]]</f>
        <v>784793.8825439713</v>
      </c>
      <c r="J296" s="3">
        <f>IF(ROW()&lt;3, Dashboard!$E$7, IF(Query1[[#This Row],[Month]]&lt;&gt;H295,J295*(1+Dashboard!$E$4)+Dashboard!$E$5,J295))</f>
        <v>604631.94926633569</v>
      </c>
      <c r="K296">
        <f>IF(ROW()&lt;3, 0,IF(Query1[[#This Row],[Month]]&lt;&gt;H295,IF((J296-I296&gt;0),J296-I296,0),0))</f>
        <v>0</v>
      </c>
      <c r="L296" s="2">
        <f t="shared" si="4"/>
        <v>3592.2989655359538</v>
      </c>
      <c r="M296">
        <f>IF(ROW()&lt;3, 0, IF(Query1[[#This Row],[Month]]&lt;&gt;H295, Dashboard!$J$5,0))</f>
        <v>0</v>
      </c>
      <c r="N296" s="2">
        <f>IF(ROW()&lt;3, Query1[[#This Row],[Shares]], IF(Query1[[#This Row],[Month]]&lt;&gt;H295, N295+Query1[[#This Row],[Fix Top Up]]/Query1[[#This Row],[Adj Close]], N295))</f>
        <v>3329.3771087403707</v>
      </c>
      <c r="O296">
        <f>IF(AND(Query1[[#This Row],[avg]]&gt;0, Query1[[#This Row],[Month]]&lt;&gt;H295),
    IF(Query1[[#This Row],[Adj Close]]&gt;Query1[[#This Row],[avg]],
       Dashboard!$L$5-Dashboard!$E$6,
       Dashboard!$L$5+Dashboard!$E$6
    ), 0
)</f>
        <v>0</v>
      </c>
      <c r="P296" s="2">
        <f>IF(ROW()&lt;3, Query1[[#This Row],[Shares]], IF(Query1[[#This Row],[Month]]&lt;&gt;H295, P295+Query1[[#This Row],[Enhanced top up]]/Query1[[#This Row],[Adj Close]], P295))</f>
        <v>3321.5405575053719</v>
      </c>
      <c r="Q296" s="2">
        <f>IFERROR(AVERAGE(
  IF(ROW()&gt;20, INDEX(G:G, ROW()-20), 0) :
  INDEX(G:G, ROW())
),0)</f>
        <v>229.51659429640998</v>
      </c>
    </row>
    <row r="297" spans="1:17" x14ac:dyDescent="0.4">
      <c r="A297" s="1">
        <v>44260</v>
      </c>
      <c r="B297">
        <v>229.52000427246094</v>
      </c>
      <c r="C297">
        <v>233.27000427246094</v>
      </c>
      <c r="D297">
        <v>226.46000671386719</v>
      </c>
      <c r="E297">
        <v>231.60000610351563</v>
      </c>
      <c r="F297">
        <v>41872800</v>
      </c>
      <c r="G297">
        <v>223.15811157226563</v>
      </c>
      <c r="H297" s="2">
        <f>MONTH(Query1[[#This Row],[Date]])</f>
        <v>3</v>
      </c>
      <c r="I297" s="3">
        <f>Query1[[#This Row],[Shares]]*Query1[[#This Row],[Adj Close]]</f>
        <v>801650.6533520068</v>
      </c>
      <c r="J297" s="3">
        <f>IF(ROW()&lt;3, Dashboard!$E$7, IF(Query1[[#This Row],[Month]]&lt;&gt;H296,J296*(1+Dashboard!$E$4)+Dashboard!$E$5,J296))</f>
        <v>604631.94926633569</v>
      </c>
      <c r="K297">
        <f>IF(ROW()&lt;3, 0,IF(Query1[[#This Row],[Month]]&lt;&gt;H296,IF((J297-I297&gt;0),J297-I297,0),0))</f>
        <v>0</v>
      </c>
      <c r="L297" s="2">
        <f t="shared" si="4"/>
        <v>3592.2989655359538</v>
      </c>
      <c r="M297">
        <f>IF(ROW()&lt;3, 0, IF(Query1[[#This Row],[Month]]&lt;&gt;H296, Dashboard!$J$5,0))</f>
        <v>0</v>
      </c>
      <c r="N297" s="2">
        <f>IF(ROW()&lt;3, Query1[[#This Row],[Shares]], IF(Query1[[#This Row],[Month]]&lt;&gt;H296, N296+Query1[[#This Row],[Fix Top Up]]/Query1[[#This Row],[Adj Close]], N296))</f>
        <v>3329.3771087403707</v>
      </c>
      <c r="O297">
        <f>IF(AND(Query1[[#This Row],[avg]]&gt;0, Query1[[#This Row],[Month]]&lt;&gt;H296),
    IF(Query1[[#This Row],[Adj Close]]&gt;Query1[[#This Row],[avg]],
       Dashboard!$L$5-Dashboard!$E$6,
       Dashboard!$L$5+Dashboard!$E$6
    ), 0
)</f>
        <v>0</v>
      </c>
      <c r="P297" s="2">
        <f>IF(ROW()&lt;3, Query1[[#This Row],[Shares]], IF(Query1[[#This Row],[Month]]&lt;&gt;H296, P296+Query1[[#This Row],[Enhanced top up]]/Query1[[#This Row],[Adj Close]], P296))</f>
        <v>3321.5405575053719</v>
      </c>
      <c r="Q297" s="2">
        <f>IFERROR(AVERAGE(
  IF(ROW()&gt;20, INDEX(G:G, ROW()-20), 0) :
  INDEX(G:G, ROW())
),0)</f>
        <v>229.0191432407924</v>
      </c>
    </row>
    <row r="298" spans="1:17" x14ac:dyDescent="0.4">
      <c r="A298" s="1">
        <v>44263</v>
      </c>
      <c r="B298">
        <v>231.3699951171875</v>
      </c>
      <c r="C298">
        <v>233.3699951171875</v>
      </c>
      <c r="D298">
        <v>227.1300048828125</v>
      </c>
      <c r="E298">
        <v>227.38999938964844</v>
      </c>
      <c r="F298">
        <v>35267400</v>
      </c>
      <c r="G298">
        <v>219.1015625</v>
      </c>
      <c r="H298" s="2">
        <f>MONTH(Query1[[#This Row],[Date]])</f>
        <v>3</v>
      </c>
      <c r="I298" s="3">
        <f>Query1[[#This Row],[Shares]]*Query1[[#This Row],[Adj Close]]</f>
        <v>787078.31631606119</v>
      </c>
      <c r="J298" s="3">
        <f>IF(ROW()&lt;3, Dashboard!$E$7, IF(Query1[[#This Row],[Month]]&lt;&gt;H297,J297*(1+Dashboard!$E$4)+Dashboard!$E$5,J297))</f>
        <v>604631.94926633569</v>
      </c>
      <c r="K298">
        <f>IF(ROW()&lt;3, 0,IF(Query1[[#This Row],[Month]]&lt;&gt;H297,IF((J298-I298&gt;0),J298-I298,0),0))</f>
        <v>0</v>
      </c>
      <c r="L298" s="2">
        <f t="shared" si="4"/>
        <v>3592.2989655359538</v>
      </c>
      <c r="M298">
        <f>IF(ROW()&lt;3, 0, IF(Query1[[#This Row],[Month]]&lt;&gt;H297, Dashboard!$J$5,0))</f>
        <v>0</v>
      </c>
      <c r="N298" s="2">
        <f>IF(ROW()&lt;3, Query1[[#This Row],[Shares]], IF(Query1[[#This Row],[Month]]&lt;&gt;H297, N297+Query1[[#This Row],[Fix Top Up]]/Query1[[#This Row],[Adj Close]], N297))</f>
        <v>3329.3771087403707</v>
      </c>
      <c r="O298">
        <f>IF(AND(Query1[[#This Row],[avg]]&gt;0, Query1[[#This Row],[Month]]&lt;&gt;H297),
    IF(Query1[[#This Row],[Adj Close]]&gt;Query1[[#This Row],[avg]],
       Dashboard!$L$5-Dashboard!$E$6,
       Dashboard!$L$5+Dashboard!$E$6
    ), 0
)</f>
        <v>0</v>
      </c>
      <c r="P298" s="2">
        <f>IF(ROW()&lt;3, Query1[[#This Row],[Shares]], IF(Query1[[#This Row],[Month]]&lt;&gt;H297, P297+Query1[[#This Row],[Enhanced top up]]/Query1[[#This Row],[Adj Close]], P297))</f>
        <v>3321.5405575053719</v>
      </c>
      <c r="Q298" s="2">
        <f>IFERROR(AVERAGE(
  IF(ROW()&gt;20, INDEX(G:G, ROW()-20), 0) :
  INDEX(G:G, ROW())
),0)</f>
        <v>228.37384469168526</v>
      </c>
    </row>
    <row r="299" spans="1:17" x14ac:dyDescent="0.4">
      <c r="A299" s="1">
        <v>44264</v>
      </c>
      <c r="B299">
        <v>232.8800048828125</v>
      </c>
      <c r="C299">
        <v>235.3800048828125</v>
      </c>
      <c r="D299">
        <v>231.66999816894531</v>
      </c>
      <c r="E299">
        <v>233.77999877929688</v>
      </c>
      <c r="F299">
        <v>33080500</v>
      </c>
      <c r="G299">
        <v>225.25865173339844</v>
      </c>
      <c r="H299" s="2">
        <f>MONTH(Query1[[#This Row],[Date]])</f>
        <v>3</v>
      </c>
      <c r="I299" s="3">
        <f>Query1[[#This Row],[Shares]]*Query1[[#This Row],[Adj Close]]</f>
        <v>809196.42159991094</v>
      </c>
      <c r="J299" s="3">
        <f>IF(ROW()&lt;3, Dashboard!$E$7, IF(Query1[[#This Row],[Month]]&lt;&gt;H298,J298*(1+Dashboard!$E$4)+Dashboard!$E$5,J298))</f>
        <v>604631.94926633569</v>
      </c>
      <c r="K299">
        <f>IF(ROW()&lt;3, 0,IF(Query1[[#This Row],[Month]]&lt;&gt;H298,IF((J299-I299&gt;0),J299-I299,0),0))</f>
        <v>0</v>
      </c>
      <c r="L299" s="2">
        <f t="shared" si="4"/>
        <v>3592.2989655359538</v>
      </c>
      <c r="M299">
        <f>IF(ROW()&lt;3, 0, IF(Query1[[#This Row],[Month]]&lt;&gt;H298, Dashboard!$J$5,0))</f>
        <v>0</v>
      </c>
      <c r="N299" s="2">
        <f>IF(ROW()&lt;3, Query1[[#This Row],[Shares]], IF(Query1[[#This Row],[Month]]&lt;&gt;H298, N298+Query1[[#This Row],[Fix Top Up]]/Query1[[#This Row],[Adj Close]], N298))</f>
        <v>3329.3771087403707</v>
      </c>
      <c r="O299">
        <f>IF(AND(Query1[[#This Row],[avg]]&gt;0, Query1[[#This Row],[Month]]&lt;&gt;H298),
    IF(Query1[[#This Row],[Adj Close]]&gt;Query1[[#This Row],[avg]],
       Dashboard!$L$5-Dashboard!$E$6,
       Dashboard!$L$5+Dashboard!$E$6
    ), 0
)</f>
        <v>0</v>
      </c>
      <c r="P299" s="2">
        <f>IF(ROW()&lt;3, Query1[[#This Row],[Shares]], IF(Query1[[#This Row],[Month]]&lt;&gt;H298, P298+Query1[[#This Row],[Enhanced top up]]/Query1[[#This Row],[Adj Close]], P298))</f>
        <v>3321.5405575053719</v>
      </c>
      <c r="Q299" s="2">
        <f>IFERROR(AVERAGE(
  IF(ROW()&gt;20, INDEX(G:G, ROW()-20), 0) :
  INDEX(G:G, ROW())
),0)</f>
        <v>228.01304117838541</v>
      </c>
    </row>
    <row r="300" spans="1:17" x14ac:dyDescent="0.4">
      <c r="A300" s="1">
        <v>44265</v>
      </c>
      <c r="B300">
        <v>237</v>
      </c>
      <c r="C300">
        <v>237</v>
      </c>
      <c r="D300">
        <v>232.03999328613281</v>
      </c>
      <c r="E300">
        <v>232.41999816894531</v>
      </c>
      <c r="F300">
        <v>29746800</v>
      </c>
      <c r="G300">
        <v>223.94821166992188</v>
      </c>
      <c r="H300" s="2">
        <f>MONTH(Query1[[#This Row],[Date]])</f>
        <v>3</v>
      </c>
      <c r="I300" s="3">
        <f>Query1[[#This Row],[Shares]]*Query1[[#This Row],[Adj Close]]</f>
        <v>804488.92911548715</v>
      </c>
      <c r="J300" s="3">
        <f>IF(ROW()&lt;3, Dashboard!$E$7, IF(Query1[[#This Row],[Month]]&lt;&gt;H299,J299*(1+Dashboard!$E$4)+Dashboard!$E$5,J299))</f>
        <v>604631.94926633569</v>
      </c>
      <c r="K300">
        <f>IF(ROW()&lt;3, 0,IF(Query1[[#This Row],[Month]]&lt;&gt;H299,IF((J300-I300&gt;0),J300-I300,0),0))</f>
        <v>0</v>
      </c>
      <c r="L300" s="2">
        <f t="shared" si="4"/>
        <v>3592.2989655359538</v>
      </c>
      <c r="M300">
        <f>IF(ROW()&lt;3, 0, IF(Query1[[#This Row],[Month]]&lt;&gt;H299, Dashboard!$J$5,0))</f>
        <v>0</v>
      </c>
      <c r="N300" s="2">
        <f>IF(ROW()&lt;3, Query1[[#This Row],[Shares]], IF(Query1[[#This Row],[Month]]&lt;&gt;H299, N299+Query1[[#This Row],[Fix Top Up]]/Query1[[#This Row],[Adj Close]], N299))</f>
        <v>3329.3771087403707</v>
      </c>
      <c r="O300">
        <f>IF(AND(Query1[[#This Row],[avg]]&gt;0, Query1[[#This Row],[Month]]&lt;&gt;H299),
    IF(Query1[[#This Row],[Adj Close]]&gt;Query1[[#This Row],[avg]],
       Dashboard!$L$5-Dashboard!$E$6,
       Dashboard!$L$5+Dashboard!$E$6
    ), 0
)</f>
        <v>0</v>
      </c>
      <c r="P300" s="2">
        <f>IF(ROW()&lt;3, Query1[[#This Row],[Shares]], IF(Query1[[#This Row],[Month]]&lt;&gt;H299, P299+Query1[[#This Row],[Enhanced top up]]/Query1[[#This Row],[Adj Close]], P299))</f>
        <v>3321.5405575053719</v>
      </c>
      <c r="Q300" s="2">
        <f>IFERROR(AVERAGE(
  IF(ROW()&gt;20, INDEX(G:G, ROW()-20), 0) :
  INDEX(G:G, ROW())
),0)</f>
        <v>227.57747831798736</v>
      </c>
    </row>
    <row r="301" spans="1:17" x14ac:dyDescent="0.4">
      <c r="A301" s="1">
        <v>44266</v>
      </c>
      <c r="B301">
        <v>234.96000671386719</v>
      </c>
      <c r="C301">
        <v>239.16999816894531</v>
      </c>
      <c r="D301">
        <v>234.30999755859375</v>
      </c>
      <c r="E301">
        <v>237.1300048828125</v>
      </c>
      <c r="F301">
        <v>29907600</v>
      </c>
      <c r="G301">
        <v>228.48652648925781</v>
      </c>
      <c r="H301" s="2">
        <f>MONTH(Query1[[#This Row],[Date]])</f>
        <v>3</v>
      </c>
      <c r="I301" s="3">
        <f>Query1[[#This Row],[Shares]]*Query1[[#This Row],[Adj Close]]</f>
        <v>820791.91274626413</v>
      </c>
      <c r="J301" s="3">
        <f>IF(ROW()&lt;3, Dashboard!$E$7, IF(Query1[[#This Row],[Month]]&lt;&gt;H300,J300*(1+Dashboard!$E$4)+Dashboard!$E$5,J300))</f>
        <v>604631.94926633569</v>
      </c>
      <c r="K301">
        <f>IF(ROW()&lt;3, 0,IF(Query1[[#This Row],[Month]]&lt;&gt;H300,IF((J301-I301&gt;0),J301-I301,0),0))</f>
        <v>0</v>
      </c>
      <c r="L301" s="2">
        <f t="shared" si="4"/>
        <v>3592.2989655359538</v>
      </c>
      <c r="M301">
        <f>IF(ROW()&lt;3, 0, IF(Query1[[#This Row],[Month]]&lt;&gt;H300, Dashboard!$J$5,0))</f>
        <v>0</v>
      </c>
      <c r="N301" s="2">
        <f>IF(ROW()&lt;3, Query1[[#This Row],[Shares]], IF(Query1[[#This Row],[Month]]&lt;&gt;H300, N300+Query1[[#This Row],[Fix Top Up]]/Query1[[#This Row],[Adj Close]], N300))</f>
        <v>3329.3771087403707</v>
      </c>
      <c r="O301">
        <f>IF(AND(Query1[[#This Row],[avg]]&gt;0, Query1[[#This Row],[Month]]&lt;&gt;H300),
    IF(Query1[[#This Row],[Adj Close]]&gt;Query1[[#This Row],[avg]],
       Dashboard!$L$5-Dashboard!$E$6,
       Dashboard!$L$5+Dashboard!$E$6
    ), 0
)</f>
        <v>0</v>
      </c>
      <c r="P301" s="2">
        <f>IF(ROW()&lt;3, Query1[[#This Row],[Shares]], IF(Query1[[#This Row],[Month]]&lt;&gt;H300, P300+Query1[[#This Row],[Enhanced top up]]/Query1[[#This Row],[Adj Close]], P300))</f>
        <v>3321.5405575053719</v>
      </c>
      <c r="Q301" s="2">
        <f>IFERROR(AVERAGE(
  IF(ROW()&gt;20, INDEX(G:G, ROW()-20), 0) :
  INDEX(G:G, ROW())
),0)</f>
        <v>227.29851277669272</v>
      </c>
    </row>
    <row r="302" spans="1:17" x14ac:dyDescent="0.4">
      <c r="A302" s="1">
        <v>44267</v>
      </c>
      <c r="B302">
        <v>234.00999450683594</v>
      </c>
      <c r="C302">
        <v>235.82000732421875</v>
      </c>
      <c r="D302">
        <v>233.22999572753906</v>
      </c>
      <c r="E302">
        <v>235.75</v>
      </c>
      <c r="F302">
        <v>22653700</v>
      </c>
      <c r="G302">
        <v>227.1568603515625</v>
      </c>
      <c r="H302" s="2">
        <f>MONTH(Query1[[#This Row],[Date]])</f>
        <v>3</v>
      </c>
      <c r="I302" s="3">
        <f>Query1[[#This Row],[Shares]]*Query1[[#This Row],[Adj Close]]</f>
        <v>816015.35445531306</v>
      </c>
      <c r="J302" s="3">
        <f>IF(ROW()&lt;3, Dashboard!$E$7, IF(Query1[[#This Row],[Month]]&lt;&gt;H301,J301*(1+Dashboard!$E$4)+Dashboard!$E$5,J301))</f>
        <v>604631.94926633569</v>
      </c>
      <c r="K302">
        <f>IF(ROW()&lt;3, 0,IF(Query1[[#This Row],[Month]]&lt;&gt;H301,IF((J302-I302&gt;0),J302-I302,0),0))</f>
        <v>0</v>
      </c>
      <c r="L302" s="2">
        <f t="shared" si="4"/>
        <v>3592.2989655359538</v>
      </c>
      <c r="M302">
        <f>IF(ROW()&lt;3, 0, IF(Query1[[#This Row],[Month]]&lt;&gt;H301, Dashboard!$J$5,0))</f>
        <v>0</v>
      </c>
      <c r="N302" s="2">
        <f>IF(ROW()&lt;3, Query1[[#This Row],[Shares]], IF(Query1[[#This Row],[Month]]&lt;&gt;H301, N301+Query1[[#This Row],[Fix Top Up]]/Query1[[#This Row],[Adj Close]], N301))</f>
        <v>3329.3771087403707</v>
      </c>
      <c r="O302">
        <f>IF(AND(Query1[[#This Row],[avg]]&gt;0, Query1[[#This Row],[Month]]&lt;&gt;H301),
    IF(Query1[[#This Row],[Adj Close]]&gt;Query1[[#This Row],[avg]],
       Dashboard!$L$5-Dashboard!$E$6,
       Dashboard!$L$5+Dashboard!$E$6
    ), 0
)</f>
        <v>0</v>
      </c>
      <c r="P302" s="2">
        <f>IF(ROW()&lt;3, Query1[[#This Row],[Shares]], IF(Query1[[#This Row],[Month]]&lt;&gt;H301, P301+Query1[[#This Row],[Enhanced top up]]/Query1[[#This Row],[Adj Close]], P301))</f>
        <v>3321.5405575053719</v>
      </c>
      <c r="Q302" s="2">
        <f>IFERROR(AVERAGE(
  IF(ROW()&gt;20, INDEX(G:G, ROW()-20), 0) :
  INDEX(G:G, ROW())
),0)</f>
        <v>226.99971807570685</v>
      </c>
    </row>
    <row r="303" spans="1:17" x14ac:dyDescent="0.4">
      <c r="A303" s="1">
        <v>44270</v>
      </c>
      <c r="B303">
        <v>234.96000671386719</v>
      </c>
      <c r="C303">
        <v>235.19000244140625</v>
      </c>
      <c r="D303">
        <v>231.80999755859375</v>
      </c>
      <c r="E303">
        <v>234.80999755859375</v>
      </c>
      <c r="F303">
        <v>26034900</v>
      </c>
      <c r="G303">
        <v>226.25117492675781</v>
      </c>
      <c r="H303" s="2">
        <f>MONTH(Query1[[#This Row],[Date]])</f>
        <v>3</v>
      </c>
      <c r="I303" s="3">
        <f>Query1[[#This Row],[Shares]]*Query1[[#This Row],[Adj Close]]</f>
        <v>812761.86164068617</v>
      </c>
      <c r="J303" s="3">
        <f>IF(ROW()&lt;3, Dashboard!$E$7, IF(Query1[[#This Row],[Month]]&lt;&gt;H302,J302*(1+Dashboard!$E$4)+Dashboard!$E$5,J302))</f>
        <v>604631.94926633569</v>
      </c>
      <c r="K303">
        <f>IF(ROW()&lt;3, 0,IF(Query1[[#This Row],[Month]]&lt;&gt;H302,IF((J303-I303&gt;0),J303-I303,0),0))</f>
        <v>0</v>
      </c>
      <c r="L303" s="2">
        <f t="shared" si="4"/>
        <v>3592.2989655359538</v>
      </c>
      <c r="M303">
        <f>IF(ROW()&lt;3, 0, IF(Query1[[#This Row],[Month]]&lt;&gt;H302, Dashboard!$J$5,0))</f>
        <v>0</v>
      </c>
      <c r="N303" s="2">
        <f>IF(ROW()&lt;3, Query1[[#This Row],[Shares]], IF(Query1[[#This Row],[Month]]&lt;&gt;H302, N302+Query1[[#This Row],[Fix Top Up]]/Query1[[#This Row],[Adj Close]], N302))</f>
        <v>3329.3771087403707</v>
      </c>
      <c r="O303">
        <f>IF(AND(Query1[[#This Row],[avg]]&gt;0, Query1[[#This Row],[Month]]&lt;&gt;H302),
    IF(Query1[[#This Row],[Adj Close]]&gt;Query1[[#This Row],[avg]],
       Dashboard!$L$5-Dashboard!$E$6,
       Dashboard!$L$5+Dashboard!$E$6
    ), 0
)</f>
        <v>0</v>
      </c>
      <c r="P303" s="2">
        <f>IF(ROW()&lt;3, Query1[[#This Row],[Shares]], IF(Query1[[#This Row],[Month]]&lt;&gt;H302, P302+Query1[[#This Row],[Enhanced top up]]/Query1[[#This Row],[Adj Close]], P302))</f>
        <v>3321.5405575053719</v>
      </c>
      <c r="Q303" s="2">
        <f>IFERROR(AVERAGE(
  IF(ROW()&gt;20, INDEX(G:G, ROW()-20), 0) :
  INDEX(G:G, ROW())
),0)</f>
        <v>226.58134605771019</v>
      </c>
    </row>
    <row r="304" spans="1:17" x14ac:dyDescent="0.4">
      <c r="A304" s="1">
        <v>44271</v>
      </c>
      <c r="B304">
        <v>236.27999877929688</v>
      </c>
      <c r="C304">
        <v>240.05999755859375</v>
      </c>
      <c r="D304">
        <v>235.94000244140625</v>
      </c>
      <c r="E304">
        <v>237.71000671386719</v>
      </c>
      <c r="F304">
        <v>28092200</v>
      </c>
      <c r="G304">
        <v>229.04541015625</v>
      </c>
      <c r="H304" s="2">
        <f>MONTH(Query1[[#This Row],[Date]])</f>
        <v>3</v>
      </c>
      <c r="I304" s="3">
        <f>Query1[[#This Row],[Shares]]*Query1[[#This Row],[Adj Close]]</f>
        <v>822799.58996505511</v>
      </c>
      <c r="J304" s="3">
        <f>IF(ROW()&lt;3, Dashboard!$E$7, IF(Query1[[#This Row],[Month]]&lt;&gt;H303,J303*(1+Dashboard!$E$4)+Dashboard!$E$5,J303))</f>
        <v>604631.94926633569</v>
      </c>
      <c r="K304">
        <f>IF(ROW()&lt;3, 0,IF(Query1[[#This Row],[Month]]&lt;&gt;H303,IF((J304-I304&gt;0),J304-I304,0),0))</f>
        <v>0</v>
      </c>
      <c r="L304" s="2">
        <f t="shared" si="4"/>
        <v>3592.2989655359538</v>
      </c>
      <c r="M304">
        <f>IF(ROW()&lt;3, 0, IF(Query1[[#This Row],[Month]]&lt;&gt;H303, Dashboard!$J$5,0))</f>
        <v>0</v>
      </c>
      <c r="N304" s="2">
        <f>IF(ROW()&lt;3, Query1[[#This Row],[Shares]], IF(Query1[[#This Row],[Month]]&lt;&gt;H303, N303+Query1[[#This Row],[Fix Top Up]]/Query1[[#This Row],[Adj Close]], N303))</f>
        <v>3329.3771087403707</v>
      </c>
      <c r="O304">
        <f>IF(AND(Query1[[#This Row],[avg]]&gt;0, Query1[[#This Row],[Month]]&lt;&gt;H303),
    IF(Query1[[#This Row],[Adj Close]]&gt;Query1[[#This Row],[avg]],
       Dashboard!$L$5-Dashboard!$E$6,
       Dashboard!$L$5+Dashboard!$E$6
    ), 0
)</f>
        <v>0</v>
      </c>
      <c r="P304" s="2">
        <f>IF(ROW()&lt;3, Query1[[#This Row],[Shares]], IF(Query1[[#This Row],[Month]]&lt;&gt;H303, P303+Query1[[#This Row],[Enhanced top up]]/Query1[[#This Row],[Adj Close]], P303))</f>
        <v>3321.5405575053719</v>
      </c>
      <c r="Q304" s="2">
        <f>IFERROR(AVERAGE(
  IF(ROW()&gt;20, INDEX(G:G, ROW()-20), 0) :
  INDEX(G:G, ROW())
),0)</f>
        <v>226.2731468563988</v>
      </c>
    </row>
    <row r="305" spans="1:17" x14ac:dyDescent="0.4">
      <c r="A305" s="1">
        <v>44272</v>
      </c>
      <c r="B305">
        <v>236.14999389648438</v>
      </c>
      <c r="C305">
        <v>238.55000305175781</v>
      </c>
      <c r="D305">
        <v>233.22999572753906</v>
      </c>
      <c r="E305">
        <v>237.03999328613281</v>
      </c>
      <c r="F305">
        <v>29562100</v>
      </c>
      <c r="G305">
        <v>228.39985656738281</v>
      </c>
      <c r="H305" s="2">
        <f>MONTH(Query1[[#This Row],[Date]])</f>
        <v>3</v>
      </c>
      <c r="I305" s="3">
        <f>Query1[[#This Row],[Shares]]*Query1[[#This Row],[Adj Close]]</f>
        <v>820480.56847556948</v>
      </c>
      <c r="J305" s="3">
        <f>IF(ROW()&lt;3, Dashboard!$E$7, IF(Query1[[#This Row],[Month]]&lt;&gt;H304,J304*(1+Dashboard!$E$4)+Dashboard!$E$5,J304))</f>
        <v>604631.94926633569</v>
      </c>
      <c r="K305">
        <f>IF(ROW()&lt;3, 0,IF(Query1[[#This Row],[Month]]&lt;&gt;H304,IF((J305-I305&gt;0),J305-I305,0),0))</f>
        <v>0</v>
      </c>
      <c r="L305" s="2">
        <f t="shared" si="4"/>
        <v>3592.2989655359538</v>
      </c>
      <c r="M305">
        <f>IF(ROW()&lt;3, 0, IF(Query1[[#This Row],[Month]]&lt;&gt;H304, Dashboard!$J$5,0))</f>
        <v>0</v>
      </c>
      <c r="N305" s="2">
        <f>IF(ROW()&lt;3, Query1[[#This Row],[Shares]], IF(Query1[[#This Row],[Month]]&lt;&gt;H304, N304+Query1[[#This Row],[Fix Top Up]]/Query1[[#This Row],[Adj Close]], N304))</f>
        <v>3329.3771087403707</v>
      </c>
      <c r="O305">
        <f>IF(AND(Query1[[#This Row],[avg]]&gt;0, Query1[[#This Row],[Month]]&lt;&gt;H304),
    IF(Query1[[#This Row],[Adj Close]]&gt;Query1[[#This Row],[avg]],
       Dashboard!$L$5-Dashboard!$E$6,
       Dashboard!$L$5+Dashboard!$E$6
    ), 0
)</f>
        <v>0</v>
      </c>
      <c r="P305" s="2">
        <f>IF(ROW()&lt;3, Query1[[#This Row],[Shares]], IF(Query1[[#This Row],[Month]]&lt;&gt;H304, P304+Query1[[#This Row],[Enhanced top up]]/Query1[[#This Row],[Adj Close]], P304))</f>
        <v>3321.5405575053719</v>
      </c>
      <c r="Q305" s="2">
        <f>IFERROR(AVERAGE(
  IF(ROW()&gt;20, INDEX(G:G, ROW()-20), 0) :
  INDEX(G:G, ROW())
),0)</f>
        <v>225.9932592482794</v>
      </c>
    </row>
    <row r="306" spans="1:17" x14ac:dyDescent="0.4">
      <c r="A306" s="1">
        <v>44273</v>
      </c>
      <c r="B306">
        <v>232.55999755859375</v>
      </c>
      <c r="C306">
        <v>234.19000244140625</v>
      </c>
      <c r="D306">
        <v>230.33000183105469</v>
      </c>
      <c r="E306">
        <v>230.72000122070313</v>
      </c>
      <c r="F306">
        <v>34833000</v>
      </c>
      <c r="G306">
        <v>222.31019592285156</v>
      </c>
      <c r="H306" s="2">
        <f>MONTH(Query1[[#This Row],[Date]])</f>
        <v>3</v>
      </c>
      <c r="I306" s="3">
        <f>Query1[[#This Row],[Shares]]*Query1[[#This Row],[Adj Close]]</f>
        <v>798604.68684175494</v>
      </c>
      <c r="J306" s="3">
        <f>IF(ROW()&lt;3, Dashboard!$E$7, IF(Query1[[#This Row],[Month]]&lt;&gt;H305,J305*(1+Dashboard!$E$4)+Dashboard!$E$5,J305))</f>
        <v>604631.94926633569</v>
      </c>
      <c r="K306">
        <f>IF(ROW()&lt;3, 0,IF(Query1[[#This Row],[Month]]&lt;&gt;H305,IF((J306-I306&gt;0),J306-I306,0),0))</f>
        <v>0</v>
      </c>
      <c r="L306" s="2">
        <f t="shared" si="4"/>
        <v>3592.2989655359538</v>
      </c>
      <c r="M306">
        <f>IF(ROW()&lt;3, 0, IF(Query1[[#This Row],[Month]]&lt;&gt;H305, Dashboard!$J$5,0))</f>
        <v>0</v>
      </c>
      <c r="N306" s="2">
        <f>IF(ROW()&lt;3, Query1[[#This Row],[Shares]], IF(Query1[[#This Row],[Month]]&lt;&gt;H305, N305+Query1[[#This Row],[Fix Top Up]]/Query1[[#This Row],[Adj Close]], N305))</f>
        <v>3329.3771087403707</v>
      </c>
      <c r="O306">
        <f>IF(AND(Query1[[#This Row],[avg]]&gt;0, Query1[[#This Row],[Month]]&lt;&gt;H305),
    IF(Query1[[#This Row],[Adj Close]]&gt;Query1[[#This Row],[avg]],
       Dashboard!$L$5-Dashboard!$E$6,
       Dashboard!$L$5+Dashboard!$E$6
    ), 0
)</f>
        <v>0</v>
      </c>
      <c r="P306" s="2">
        <f>IF(ROW()&lt;3, Query1[[#This Row],[Shares]], IF(Query1[[#This Row],[Month]]&lt;&gt;H305, P305+Query1[[#This Row],[Enhanced top up]]/Query1[[#This Row],[Adj Close]], P305))</f>
        <v>3321.5405575053719</v>
      </c>
      <c r="Q306" s="2">
        <f>IFERROR(AVERAGE(
  IF(ROW()&gt;20, INDEX(G:G, ROW()-20), 0) :
  INDEX(G:G, ROW())
),0)</f>
        <v>225.37475295293899</v>
      </c>
    </row>
    <row r="307" spans="1:17" x14ac:dyDescent="0.4">
      <c r="A307" s="1">
        <v>44274</v>
      </c>
      <c r="B307">
        <v>231.02000427246094</v>
      </c>
      <c r="C307">
        <v>232.47000122070313</v>
      </c>
      <c r="D307">
        <v>229.35000610351563</v>
      </c>
      <c r="E307">
        <v>230.35000610351563</v>
      </c>
      <c r="F307">
        <v>46430700</v>
      </c>
      <c r="G307">
        <v>221.95367431640625</v>
      </c>
      <c r="H307" s="2">
        <f>MONTH(Query1[[#This Row],[Date]])</f>
        <v>3</v>
      </c>
      <c r="I307" s="3">
        <f>Query1[[#This Row],[Shares]]*Query1[[#This Row],[Adj Close]]</f>
        <v>797323.95464373019</v>
      </c>
      <c r="J307" s="3">
        <f>IF(ROW()&lt;3, Dashboard!$E$7, IF(Query1[[#This Row],[Month]]&lt;&gt;H306,J306*(1+Dashboard!$E$4)+Dashboard!$E$5,J306))</f>
        <v>604631.94926633569</v>
      </c>
      <c r="K307">
        <f>IF(ROW()&lt;3, 0,IF(Query1[[#This Row],[Month]]&lt;&gt;H306,IF((J307-I307&gt;0),J307-I307,0),0))</f>
        <v>0</v>
      </c>
      <c r="L307" s="2">
        <f t="shared" si="4"/>
        <v>3592.2989655359538</v>
      </c>
      <c r="M307">
        <f>IF(ROW()&lt;3, 0, IF(Query1[[#This Row],[Month]]&lt;&gt;H306, Dashboard!$J$5,0))</f>
        <v>0</v>
      </c>
      <c r="N307" s="2">
        <f>IF(ROW()&lt;3, Query1[[#This Row],[Shares]], IF(Query1[[#This Row],[Month]]&lt;&gt;H306, N306+Query1[[#This Row],[Fix Top Up]]/Query1[[#This Row],[Adj Close]], N306))</f>
        <v>3329.3771087403707</v>
      </c>
      <c r="O307">
        <f>IF(AND(Query1[[#This Row],[avg]]&gt;0, Query1[[#This Row],[Month]]&lt;&gt;H306),
    IF(Query1[[#This Row],[Adj Close]]&gt;Query1[[#This Row],[avg]],
       Dashboard!$L$5-Dashboard!$E$6,
       Dashboard!$L$5+Dashboard!$E$6
    ), 0
)</f>
        <v>0</v>
      </c>
      <c r="P307" s="2">
        <f>IF(ROW()&lt;3, Query1[[#This Row],[Shares]], IF(Query1[[#This Row],[Month]]&lt;&gt;H306, P306+Query1[[#This Row],[Enhanced top up]]/Query1[[#This Row],[Adj Close]], P306))</f>
        <v>3321.5405575053719</v>
      </c>
      <c r="Q307" s="2">
        <f>IFERROR(AVERAGE(
  IF(ROW()&gt;20, INDEX(G:G, ROW()-20), 0) :
  INDEX(G:G, ROW())
),0)</f>
        <v>224.75808061872209</v>
      </c>
    </row>
    <row r="308" spans="1:17" x14ac:dyDescent="0.4">
      <c r="A308" s="1">
        <v>44277</v>
      </c>
      <c r="B308">
        <v>230.27000427246094</v>
      </c>
      <c r="C308">
        <v>236.89999389648438</v>
      </c>
      <c r="D308">
        <v>230.13999938964844</v>
      </c>
      <c r="E308">
        <v>235.99000549316406</v>
      </c>
      <c r="F308">
        <v>30127000</v>
      </c>
      <c r="G308">
        <v>227.38810729980469</v>
      </c>
      <c r="H308" s="2">
        <f>MONTH(Query1[[#This Row],[Date]])</f>
        <v>3</v>
      </c>
      <c r="I308" s="3">
        <f>Query1[[#This Row],[Shares]]*Query1[[#This Row],[Adj Close]]</f>
        <v>816846.06262826687</v>
      </c>
      <c r="J308" s="3">
        <f>IF(ROW()&lt;3, Dashboard!$E$7, IF(Query1[[#This Row],[Month]]&lt;&gt;H307,J307*(1+Dashboard!$E$4)+Dashboard!$E$5,J307))</f>
        <v>604631.94926633569</v>
      </c>
      <c r="K308">
        <f>IF(ROW()&lt;3, 0,IF(Query1[[#This Row],[Month]]&lt;&gt;H307,IF((J308-I308&gt;0),J308-I308,0),0))</f>
        <v>0</v>
      </c>
      <c r="L308" s="2">
        <f t="shared" si="4"/>
        <v>3592.2989655359538</v>
      </c>
      <c r="M308">
        <f>IF(ROW()&lt;3, 0, IF(Query1[[#This Row],[Month]]&lt;&gt;H307, Dashboard!$J$5,0))</f>
        <v>0</v>
      </c>
      <c r="N308" s="2">
        <f>IF(ROW()&lt;3, Query1[[#This Row],[Shares]], IF(Query1[[#This Row],[Month]]&lt;&gt;H307, N307+Query1[[#This Row],[Fix Top Up]]/Query1[[#This Row],[Adj Close]], N307))</f>
        <v>3329.3771087403707</v>
      </c>
      <c r="O308">
        <f>IF(AND(Query1[[#This Row],[avg]]&gt;0, Query1[[#This Row],[Month]]&lt;&gt;H307),
    IF(Query1[[#This Row],[Adj Close]]&gt;Query1[[#This Row],[avg]],
       Dashboard!$L$5-Dashboard!$E$6,
       Dashboard!$L$5+Dashboard!$E$6
    ), 0
)</f>
        <v>0</v>
      </c>
      <c r="P308" s="2">
        <f>IF(ROW()&lt;3, Query1[[#This Row],[Shares]], IF(Query1[[#This Row],[Month]]&lt;&gt;H307, P307+Query1[[#This Row],[Enhanced top up]]/Query1[[#This Row],[Adj Close]], P307))</f>
        <v>3321.5405575053719</v>
      </c>
      <c r="Q308" s="2">
        <f>IFERROR(AVERAGE(
  IF(ROW()&gt;20, INDEX(G:G, ROW()-20), 0) :
  INDEX(G:G, ROW())
),0)</f>
        <v>224.52958170572916</v>
      </c>
    </row>
    <row r="309" spans="1:17" x14ac:dyDescent="0.4">
      <c r="A309" s="1">
        <v>44278</v>
      </c>
      <c r="B309">
        <v>237.49000549316406</v>
      </c>
      <c r="C309">
        <v>241.05000305175781</v>
      </c>
      <c r="D309">
        <v>237.07000732421875</v>
      </c>
      <c r="E309">
        <v>237.58000183105469</v>
      </c>
      <c r="F309">
        <v>31638400</v>
      </c>
      <c r="G309">
        <v>228.92019653320313</v>
      </c>
      <c r="H309" s="2">
        <f>MONTH(Query1[[#This Row],[Date]])</f>
        <v>3</v>
      </c>
      <c r="I309" s="3">
        <f>Query1[[#This Row],[Shares]]*Query1[[#This Row],[Adj Close]]</f>
        <v>822349.78519651282</v>
      </c>
      <c r="J309" s="3">
        <f>IF(ROW()&lt;3, Dashboard!$E$7, IF(Query1[[#This Row],[Month]]&lt;&gt;H308,J308*(1+Dashboard!$E$4)+Dashboard!$E$5,J308))</f>
        <v>604631.94926633569</v>
      </c>
      <c r="K309">
        <f>IF(ROW()&lt;3, 0,IF(Query1[[#This Row],[Month]]&lt;&gt;H308,IF((J309-I309&gt;0),J309-I309,0),0))</f>
        <v>0</v>
      </c>
      <c r="L309" s="2">
        <f t="shared" si="4"/>
        <v>3592.2989655359538</v>
      </c>
      <c r="M309">
        <f>IF(ROW()&lt;3, 0, IF(Query1[[#This Row],[Month]]&lt;&gt;H308, Dashboard!$J$5,0))</f>
        <v>0</v>
      </c>
      <c r="N309" s="2">
        <f>IF(ROW()&lt;3, Query1[[#This Row],[Shares]], IF(Query1[[#This Row],[Month]]&lt;&gt;H308, N308+Query1[[#This Row],[Fix Top Up]]/Query1[[#This Row],[Adj Close]], N308))</f>
        <v>3329.3771087403707</v>
      </c>
      <c r="O309">
        <f>IF(AND(Query1[[#This Row],[avg]]&gt;0, Query1[[#This Row],[Month]]&lt;&gt;H308),
    IF(Query1[[#This Row],[Adj Close]]&gt;Query1[[#This Row],[avg]],
       Dashboard!$L$5-Dashboard!$E$6,
       Dashboard!$L$5+Dashboard!$E$6
    ), 0
)</f>
        <v>0</v>
      </c>
      <c r="P309" s="2">
        <f>IF(ROW()&lt;3, Query1[[#This Row],[Shares]], IF(Query1[[#This Row],[Month]]&lt;&gt;H308, P308+Query1[[#This Row],[Enhanced top up]]/Query1[[#This Row],[Adj Close]], P308))</f>
        <v>3321.5405575053719</v>
      </c>
      <c r="Q309" s="2">
        <f>IFERROR(AVERAGE(
  IF(ROW()&gt;20, INDEX(G:G, ROW()-20), 0) :
  INDEX(G:G, ROW())
),0)</f>
        <v>224.67044648670014</v>
      </c>
    </row>
    <row r="310" spans="1:17" x14ac:dyDescent="0.4">
      <c r="A310" s="1">
        <v>44279</v>
      </c>
      <c r="B310">
        <v>237.85000610351563</v>
      </c>
      <c r="C310">
        <v>238</v>
      </c>
      <c r="D310">
        <v>235.32000732421875</v>
      </c>
      <c r="E310">
        <v>235.46000671386719</v>
      </c>
      <c r="F310">
        <v>25620100</v>
      </c>
      <c r="G310">
        <v>226.87745666503906</v>
      </c>
      <c r="H310" s="2">
        <f>MONTH(Query1[[#This Row],[Date]])</f>
        <v>3</v>
      </c>
      <c r="I310" s="3">
        <f>Query1[[#This Row],[Shares]]*Query1[[#This Row],[Adj Close]]</f>
        <v>815011.65288124804</v>
      </c>
      <c r="J310" s="3">
        <f>IF(ROW()&lt;3, Dashboard!$E$7, IF(Query1[[#This Row],[Month]]&lt;&gt;H309,J309*(1+Dashboard!$E$4)+Dashboard!$E$5,J309))</f>
        <v>604631.94926633569</v>
      </c>
      <c r="K310">
        <f>IF(ROW()&lt;3, 0,IF(Query1[[#This Row],[Month]]&lt;&gt;H309,IF((J310-I310&gt;0),J310-I310,0),0))</f>
        <v>0</v>
      </c>
      <c r="L310" s="2">
        <f t="shared" si="4"/>
        <v>3592.2989655359538</v>
      </c>
      <c r="M310">
        <f>IF(ROW()&lt;3, 0, IF(Query1[[#This Row],[Month]]&lt;&gt;H309, Dashboard!$J$5,0))</f>
        <v>0</v>
      </c>
      <c r="N310" s="2">
        <f>IF(ROW()&lt;3, Query1[[#This Row],[Shares]], IF(Query1[[#This Row],[Month]]&lt;&gt;H309, N309+Query1[[#This Row],[Fix Top Up]]/Query1[[#This Row],[Adj Close]], N309))</f>
        <v>3329.3771087403707</v>
      </c>
      <c r="O310">
        <f>IF(AND(Query1[[#This Row],[avg]]&gt;0, Query1[[#This Row],[Month]]&lt;&gt;H309),
    IF(Query1[[#This Row],[Adj Close]]&gt;Query1[[#This Row],[avg]],
       Dashboard!$L$5-Dashboard!$E$6,
       Dashboard!$L$5+Dashboard!$E$6
    ), 0
)</f>
        <v>0</v>
      </c>
      <c r="P310" s="2">
        <f>IF(ROW()&lt;3, Query1[[#This Row],[Shares]], IF(Query1[[#This Row],[Month]]&lt;&gt;H309, P309+Query1[[#This Row],[Enhanced top up]]/Query1[[#This Row],[Adj Close]], P309))</f>
        <v>3321.5405575053719</v>
      </c>
      <c r="Q310" s="2">
        <f>IFERROR(AVERAGE(
  IF(ROW()&gt;20, INDEX(G:G, ROW()-20), 0) :
  INDEX(G:G, ROW())
),0)</f>
        <v>224.77092997233072</v>
      </c>
    </row>
    <row r="311" spans="1:17" x14ac:dyDescent="0.4">
      <c r="A311" s="1">
        <v>44280</v>
      </c>
      <c r="B311">
        <v>235.30000305175781</v>
      </c>
      <c r="C311">
        <v>236.94000244140625</v>
      </c>
      <c r="D311">
        <v>231.57000732421875</v>
      </c>
      <c r="E311">
        <v>232.33999633789063</v>
      </c>
      <c r="F311">
        <v>34061900</v>
      </c>
      <c r="G311">
        <v>223.87117004394531</v>
      </c>
      <c r="H311" s="2">
        <f>MONTH(Query1[[#This Row],[Date]])</f>
        <v>3</v>
      </c>
      <c r="I311" s="3">
        <f>Query1[[#This Row],[Shares]]*Query1[[#This Row],[Adj Close]]</f>
        <v>804212.17256218835</v>
      </c>
      <c r="J311" s="3">
        <f>IF(ROW()&lt;3, Dashboard!$E$7, IF(Query1[[#This Row],[Month]]&lt;&gt;H310,J310*(1+Dashboard!$E$4)+Dashboard!$E$5,J310))</f>
        <v>604631.94926633569</v>
      </c>
      <c r="K311">
        <f>IF(ROW()&lt;3, 0,IF(Query1[[#This Row],[Month]]&lt;&gt;H310,IF((J311-I311&gt;0),J311-I311,0),0))</f>
        <v>0</v>
      </c>
      <c r="L311" s="2">
        <f t="shared" si="4"/>
        <v>3592.2989655359538</v>
      </c>
      <c r="M311">
        <f>IF(ROW()&lt;3, 0, IF(Query1[[#This Row],[Month]]&lt;&gt;H310, Dashboard!$J$5,0))</f>
        <v>0</v>
      </c>
      <c r="N311" s="2">
        <f>IF(ROW()&lt;3, Query1[[#This Row],[Shares]], IF(Query1[[#This Row],[Month]]&lt;&gt;H310, N310+Query1[[#This Row],[Fix Top Up]]/Query1[[#This Row],[Adj Close]], N310))</f>
        <v>3329.3771087403707</v>
      </c>
      <c r="O311">
        <f>IF(AND(Query1[[#This Row],[avg]]&gt;0, Query1[[#This Row],[Month]]&lt;&gt;H310),
    IF(Query1[[#This Row],[Adj Close]]&gt;Query1[[#This Row],[avg]],
       Dashboard!$L$5-Dashboard!$E$6,
       Dashboard!$L$5+Dashboard!$E$6
    ), 0
)</f>
        <v>0</v>
      </c>
      <c r="P311" s="2">
        <f>IF(ROW()&lt;3, Query1[[#This Row],[Shares]], IF(Query1[[#This Row],[Month]]&lt;&gt;H310, P310+Query1[[#This Row],[Enhanced top up]]/Query1[[#This Row],[Adj Close]], P310))</f>
        <v>3321.5405575053719</v>
      </c>
      <c r="Q311" s="2">
        <f>IFERROR(AVERAGE(
  IF(ROW()&gt;20, INDEX(G:G, ROW()-20), 0) :
  INDEX(G:G, ROW())
),0)</f>
        <v>224.66952659970238</v>
      </c>
    </row>
    <row r="312" spans="1:17" x14ac:dyDescent="0.4">
      <c r="A312" s="1">
        <v>44281</v>
      </c>
      <c r="B312">
        <v>231.55000305175781</v>
      </c>
      <c r="C312">
        <v>236.71000671386719</v>
      </c>
      <c r="D312">
        <v>231.55000305175781</v>
      </c>
      <c r="E312">
        <v>236.47999572753906</v>
      </c>
      <c r="F312">
        <v>25479900</v>
      </c>
      <c r="G312">
        <v>227.86026000976563</v>
      </c>
      <c r="H312" s="2">
        <f>MONTH(Query1[[#This Row],[Date]])</f>
        <v>3</v>
      </c>
      <c r="I312" s="3">
        <f>Query1[[#This Row],[Shares]]*Query1[[#This Row],[Adj Close]]</f>
        <v>818542.17631983454</v>
      </c>
      <c r="J312" s="3">
        <f>IF(ROW()&lt;3, Dashboard!$E$7, IF(Query1[[#This Row],[Month]]&lt;&gt;H311,J311*(1+Dashboard!$E$4)+Dashboard!$E$5,J311))</f>
        <v>604631.94926633569</v>
      </c>
      <c r="K312">
        <f>IF(ROW()&lt;3, 0,IF(Query1[[#This Row],[Month]]&lt;&gt;H311,IF((J312-I312&gt;0),J312-I312,0),0))</f>
        <v>0</v>
      </c>
      <c r="L312" s="2">
        <f t="shared" si="4"/>
        <v>3592.2989655359538</v>
      </c>
      <c r="M312">
        <f>IF(ROW()&lt;3, 0, IF(Query1[[#This Row],[Month]]&lt;&gt;H311, Dashboard!$J$5,0))</f>
        <v>0</v>
      </c>
      <c r="N312" s="2">
        <f>IF(ROW()&lt;3, Query1[[#This Row],[Shares]], IF(Query1[[#This Row],[Month]]&lt;&gt;H311, N311+Query1[[#This Row],[Fix Top Up]]/Query1[[#This Row],[Adj Close]], N311))</f>
        <v>3329.3771087403707</v>
      </c>
      <c r="O312">
        <f>IF(AND(Query1[[#This Row],[avg]]&gt;0, Query1[[#This Row],[Month]]&lt;&gt;H311),
    IF(Query1[[#This Row],[Adj Close]]&gt;Query1[[#This Row],[avg]],
       Dashboard!$L$5-Dashboard!$E$6,
       Dashboard!$L$5+Dashboard!$E$6
    ), 0
)</f>
        <v>0</v>
      </c>
      <c r="P312" s="2">
        <f>IF(ROW()&lt;3, Query1[[#This Row],[Shares]], IF(Query1[[#This Row],[Month]]&lt;&gt;H311, P311+Query1[[#This Row],[Enhanced top up]]/Query1[[#This Row],[Adj Close]], P311))</f>
        <v>3321.5405575053719</v>
      </c>
      <c r="Q312" s="2">
        <f>IFERROR(AVERAGE(
  IF(ROW()&gt;20, INDEX(G:G, ROW()-20), 0) :
  INDEX(G:G, ROW())
),0)</f>
        <v>225.01319231305803</v>
      </c>
    </row>
    <row r="313" spans="1:17" x14ac:dyDescent="0.4">
      <c r="A313" s="1">
        <v>44284</v>
      </c>
      <c r="B313">
        <v>236.58999633789063</v>
      </c>
      <c r="C313">
        <v>236.80000305175781</v>
      </c>
      <c r="D313">
        <v>231.8800048828125</v>
      </c>
      <c r="E313">
        <v>235.24000549316406</v>
      </c>
      <c r="F313">
        <v>25227500</v>
      </c>
      <c r="G313">
        <v>226.66548156738281</v>
      </c>
      <c r="H313" s="2">
        <f>MONTH(Query1[[#This Row],[Date]])</f>
        <v>3</v>
      </c>
      <c r="I313" s="3">
        <f>Query1[[#This Row],[Shares]]*Query1[[#This Row],[Adj Close]]</f>
        <v>814250.17495721811</v>
      </c>
      <c r="J313" s="3">
        <f>IF(ROW()&lt;3, Dashboard!$E$7, IF(Query1[[#This Row],[Month]]&lt;&gt;H312,J312*(1+Dashboard!$E$4)+Dashboard!$E$5,J312))</f>
        <v>604631.94926633569</v>
      </c>
      <c r="K313">
        <f>IF(ROW()&lt;3, 0,IF(Query1[[#This Row],[Month]]&lt;&gt;H312,IF((J313-I313&gt;0),J313-I313,0),0))</f>
        <v>0</v>
      </c>
      <c r="L313" s="2">
        <f t="shared" si="4"/>
        <v>3592.2989655359538</v>
      </c>
      <c r="M313">
        <f>IF(ROW()&lt;3, 0, IF(Query1[[#This Row],[Month]]&lt;&gt;H312, Dashboard!$J$5,0))</f>
        <v>0</v>
      </c>
      <c r="N313" s="2">
        <f>IF(ROW()&lt;3, Query1[[#This Row],[Shares]], IF(Query1[[#This Row],[Month]]&lt;&gt;H312, N312+Query1[[#This Row],[Fix Top Up]]/Query1[[#This Row],[Adj Close]], N312))</f>
        <v>3329.3771087403707</v>
      </c>
      <c r="O313">
        <f>IF(AND(Query1[[#This Row],[avg]]&gt;0, Query1[[#This Row],[Month]]&lt;&gt;H312),
    IF(Query1[[#This Row],[Adj Close]]&gt;Query1[[#This Row],[avg]],
       Dashboard!$L$5-Dashboard!$E$6,
       Dashboard!$L$5+Dashboard!$E$6
    ), 0
)</f>
        <v>0</v>
      </c>
      <c r="P313" s="2">
        <f>IF(ROW()&lt;3, Query1[[#This Row],[Shares]], IF(Query1[[#This Row],[Month]]&lt;&gt;H312, P312+Query1[[#This Row],[Enhanced top up]]/Query1[[#This Row],[Adj Close]], P312))</f>
        <v>3321.5405575053719</v>
      </c>
      <c r="Q313" s="2">
        <f>IFERROR(AVERAGE(
  IF(ROW()&gt;20, INDEX(G:G, ROW()-20), 0) :
  INDEX(G:G, ROW())
),0)</f>
        <v>225.14441935221353</v>
      </c>
    </row>
    <row r="314" spans="1:17" x14ac:dyDescent="0.4">
      <c r="A314" s="1">
        <v>44285</v>
      </c>
      <c r="B314">
        <v>233.52999877929688</v>
      </c>
      <c r="C314">
        <v>233.85000610351563</v>
      </c>
      <c r="D314">
        <v>231.10000610351563</v>
      </c>
      <c r="E314">
        <v>231.85000610351563</v>
      </c>
      <c r="F314">
        <v>24792000</v>
      </c>
      <c r="G314">
        <v>223.39900207519531</v>
      </c>
      <c r="H314" s="2">
        <f>MONTH(Query1[[#This Row],[Date]])</f>
        <v>3</v>
      </c>
      <c r="I314" s="3">
        <f>Query1[[#This Row],[Shares]]*Query1[[#This Row],[Adj Close]]</f>
        <v>802516.00405648851</v>
      </c>
      <c r="J314" s="3">
        <f>IF(ROW()&lt;3, Dashboard!$E$7, IF(Query1[[#This Row],[Month]]&lt;&gt;H313,J313*(1+Dashboard!$E$4)+Dashboard!$E$5,J313))</f>
        <v>604631.94926633569</v>
      </c>
      <c r="K314">
        <f>IF(ROW()&lt;3, 0,IF(Query1[[#This Row],[Month]]&lt;&gt;H313,IF((J314-I314&gt;0),J314-I314,0),0))</f>
        <v>0</v>
      </c>
      <c r="L314" s="2">
        <f t="shared" si="4"/>
        <v>3592.2989655359538</v>
      </c>
      <c r="M314">
        <f>IF(ROW()&lt;3, 0, IF(Query1[[#This Row],[Month]]&lt;&gt;H313, Dashboard!$J$5,0))</f>
        <v>0</v>
      </c>
      <c r="N314" s="2">
        <f>IF(ROW()&lt;3, Query1[[#This Row],[Shares]], IF(Query1[[#This Row],[Month]]&lt;&gt;H313, N313+Query1[[#This Row],[Fix Top Up]]/Query1[[#This Row],[Adj Close]], N313))</f>
        <v>3329.3771087403707</v>
      </c>
      <c r="O314">
        <f>IF(AND(Query1[[#This Row],[avg]]&gt;0, Query1[[#This Row],[Month]]&lt;&gt;H313),
    IF(Query1[[#This Row],[Adj Close]]&gt;Query1[[#This Row],[avg]],
       Dashboard!$L$5-Dashboard!$E$6,
       Dashboard!$L$5+Dashboard!$E$6
    ), 0
)</f>
        <v>0</v>
      </c>
      <c r="P314" s="2">
        <f>IF(ROW()&lt;3, Query1[[#This Row],[Shares]], IF(Query1[[#This Row],[Month]]&lt;&gt;H313, P313+Query1[[#This Row],[Enhanced top up]]/Query1[[#This Row],[Adj Close]], P313))</f>
        <v>3321.5405575053719</v>
      </c>
      <c r="Q314" s="2">
        <f>IFERROR(AVERAGE(
  IF(ROW()&gt;20, INDEX(G:G, ROW()-20), 0) :
  INDEX(G:G, ROW())
),0)</f>
        <v>224.91087195986793</v>
      </c>
    </row>
    <row r="315" spans="1:17" x14ac:dyDescent="0.4">
      <c r="A315" s="1">
        <v>44286</v>
      </c>
      <c r="B315">
        <v>232.91000366210938</v>
      </c>
      <c r="C315">
        <v>239.10000610351563</v>
      </c>
      <c r="D315">
        <v>232.38999938964844</v>
      </c>
      <c r="E315">
        <v>235.77000427246094</v>
      </c>
      <c r="F315">
        <v>43623500</v>
      </c>
      <c r="G315">
        <v>227.17613220214844</v>
      </c>
      <c r="H315" s="2">
        <f>MONTH(Query1[[#This Row],[Date]])</f>
        <v>3</v>
      </c>
      <c r="I315" s="3">
        <f>Query1[[#This Row],[Shares]]*Query1[[#This Row],[Adj Close]]</f>
        <v>816084.58470423694</v>
      </c>
      <c r="J315" s="3">
        <f>IF(ROW()&lt;3, Dashboard!$E$7, IF(Query1[[#This Row],[Month]]&lt;&gt;H314,J314*(1+Dashboard!$E$4)+Dashboard!$E$5,J314))</f>
        <v>604631.94926633569</v>
      </c>
      <c r="K315">
        <f>IF(ROW()&lt;3, 0,IF(Query1[[#This Row],[Month]]&lt;&gt;H314,IF((J315-I315&gt;0),J315-I315,0),0))</f>
        <v>0</v>
      </c>
      <c r="L315" s="2">
        <f t="shared" si="4"/>
        <v>3592.2989655359538</v>
      </c>
      <c r="M315">
        <f>IF(ROW()&lt;3, 0, IF(Query1[[#This Row],[Month]]&lt;&gt;H314, Dashboard!$J$5,0))</f>
        <v>0</v>
      </c>
      <c r="N315" s="2">
        <f>IF(ROW()&lt;3, Query1[[#This Row],[Shares]], IF(Query1[[#This Row],[Month]]&lt;&gt;H314, N314+Query1[[#This Row],[Fix Top Up]]/Query1[[#This Row],[Adj Close]], N314))</f>
        <v>3329.3771087403707</v>
      </c>
      <c r="O315">
        <f>IF(AND(Query1[[#This Row],[avg]]&gt;0, Query1[[#This Row],[Month]]&lt;&gt;H314),
    IF(Query1[[#This Row],[Adj Close]]&gt;Query1[[#This Row],[avg]],
       Dashboard!$L$5-Dashboard!$E$6,
       Dashboard!$L$5+Dashboard!$E$6
    ), 0
)</f>
        <v>0</v>
      </c>
      <c r="P315" s="2">
        <f>IF(ROW()&lt;3, Query1[[#This Row],[Shares]], IF(Query1[[#This Row],[Month]]&lt;&gt;H314, P314+Query1[[#This Row],[Enhanced top up]]/Query1[[#This Row],[Adj Close]], P314))</f>
        <v>3321.5405575053719</v>
      </c>
      <c r="Q315" s="2">
        <f>IFERROR(AVERAGE(
  IF(ROW()&gt;20, INDEX(G:G, ROW()-20), 0) :
  INDEX(G:G, ROW())
),0)</f>
        <v>224.99805050804503</v>
      </c>
    </row>
    <row r="316" spans="1:17" x14ac:dyDescent="0.4">
      <c r="A316" s="1">
        <v>44287</v>
      </c>
      <c r="B316">
        <v>238.47000122070313</v>
      </c>
      <c r="C316">
        <v>242.83999633789063</v>
      </c>
      <c r="D316">
        <v>238.05000305175781</v>
      </c>
      <c r="E316">
        <v>242.35000610351563</v>
      </c>
      <c r="F316">
        <v>30338000</v>
      </c>
      <c r="G316">
        <v>233.51628112792969</v>
      </c>
      <c r="H316" s="2">
        <f>MONTH(Query1[[#This Row],[Date]])</f>
        <v>4</v>
      </c>
      <c r="I316" s="3">
        <f>Query1[[#This Row],[Shares]]*Query1[[#This Row],[Adj Close]]</f>
        <v>838860.29513166484</v>
      </c>
      <c r="J316" s="3">
        <f>IF(ROW()&lt;3, Dashboard!$E$7, IF(Query1[[#This Row],[Month]]&lt;&gt;H315,J315*(1+Dashboard!$E$4)+Dashboard!$E$5,J315))</f>
        <v>612678.26875899907</v>
      </c>
      <c r="K316">
        <f>IF(ROW()&lt;3, 0,IF(Query1[[#This Row],[Month]]&lt;&gt;H315,IF((J316-I316&gt;0),J316-I316,0),0))</f>
        <v>0</v>
      </c>
      <c r="L316" s="2">
        <f t="shared" si="4"/>
        <v>3592.2989655359538</v>
      </c>
      <c r="M316">
        <f>IF(ROW()&lt;3, 0, IF(Query1[[#This Row],[Month]]&lt;&gt;H315, Dashboard!$J$5,0))</f>
        <v>773.47399999999971</v>
      </c>
      <c r="N316" s="2">
        <f>IF(ROW()&lt;3, Query1[[#This Row],[Shares]], IF(Query1[[#This Row],[Month]]&lt;&gt;H315, N315+Query1[[#This Row],[Fix Top Up]]/Query1[[#This Row],[Adj Close]], N315))</f>
        <v>3332.6894002699546</v>
      </c>
      <c r="O316">
        <f>IF(AND(Query1[[#This Row],[avg]]&gt;0, Query1[[#This Row],[Month]]&lt;&gt;H315),
    IF(Query1[[#This Row],[Adj Close]]&gt;Query1[[#This Row],[avg]],
       Dashboard!$L$5-Dashboard!$E$6,
       Dashboard!$L$5+Dashboard!$E$6
    ), 0
)</f>
        <v>390.14066666666668</v>
      </c>
      <c r="P316" s="2">
        <f>IF(ROW()&lt;3, Query1[[#This Row],[Shares]], IF(Query1[[#This Row],[Month]]&lt;&gt;H315, P315+Query1[[#This Row],[Enhanced top up]]/Query1[[#This Row],[Adj Close]], P315))</f>
        <v>3323.2112789847574</v>
      </c>
      <c r="Q316" s="2">
        <f>IFERROR(AVERAGE(
  IF(ROW()&gt;20, INDEX(G:G, ROW()-20), 0) :
  INDEX(G:G, ROW())
),0)</f>
        <v>225.67666480654762</v>
      </c>
    </row>
    <row r="317" spans="1:17" x14ac:dyDescent="0.4">
      <c r="A317" s="1">
        <v>44291</v>
      </c>
      <c r="B317">
        <v>242.75999450683594</v>
      </c>
      <c r="C317">
        <v>249.96000671386719</v>
      </c>
      <c r="D317">
        <v>242.69999694824219</v>
      </c>
      <c r="E317">
        <v>249.07000732421875</v>
      </c>
      <c r="F317">
        <v>36910600</v>
      </c>
      <c r="G317">
        <v>239.9913330078125</v>
      </c>
      <c r="H317" s="2">
        <f>MONTH(Query1[[#This Row],[Date]])</f>
        <v>4</v>
      </c>
      <c r="I317" s="3">
        <f>Query1[[#This Row],[Shares]]*Query1[[#This Row],[Adj Close]]</f>
        <v>862120.61730155942</v>
      </c>
      <c r="J317" s="3">
        <f>IF(ROW()&lt;3, Dashboard!$E$7, IF(Query1[[#This Row],[Month]]&lt;&gt;H316,J316*(1+Dashboard!$E$4)+Dashboard!$E$5,J316))</f>
        <v>612678.26875899907</v>
      </c>
      <c r="K317">
        <f>IF(ROW()&lt;3, 0,IF(Query1[[#This Row],[Month]]&lt;&gt;H316,IF((J317-I317&gt;0),J317-I317,0),0))</f>
        <v>0</v>
      </c>
      <c r="L317" s="2">
        <f t="shared" si="4"/>
        <v>3592.2989655359538</v>
      </c>
      <c r="M317">
        <f>IF(ROW()&lt;3, 0, IF(Query1[[#This Row],[Month]]&lt;&gt;H316, Dashboard!$J$5,0))</f>
        <v>0</v>
      </c>
      <c r="N317" s="2">
        <f>IF(ROW()&lt;3, Query1[[#This Row],[Shares]], IF(Query1[[#This Row],[Month]]&lt;&gt;H316, N316+Query1[[#This Row],[Fix Top Up]]/Query1[[#This Row],[Adj Close]], N316))</f>
        <v>3332.6894002699546</v>
      </c>
      <c r="O317">
        <f>IF(AND(Query1[[#This Row],[avg]]&gt;0, Query1[[#This Row],[Month]]&lt;&gt;H316),
    IF(Query1[[#This Row],[Adj Close]]&gt;Query1[[#This Row],[avg]],
       Dashboard!$L$5-Dashboard!$E$6,
       Dashboard!$L$5+Dashboard!$E$6
    ), 0
)</f>
        <v>0</v>
      </c>
      <c r="P317" s="2">
        <f>IF(ROW()&lt;3, Query1[[#This Row],[Shares]], IF(Query1[[#This Row],[Month]]&lt;&gt;H316, P316+Query1[[#This Row],[Enhanced top up]]/Query1[[#This Row],[Adj Close]], P316))</f>
        <v>3323.2112789847574</v>
      </c>
      <c r="Q317" s="2">
        <f>IFERROR(AVERAGE(
  IF(ROW()&gt;20, INDEX(G:G, ROW()-20), 0) :
  INDEX(G:G, ROW())
),0)</f>
        <v>226.70169793991815</v>
      </c>
    </row>
    <row r="318" spans="1:17" x14ac:dyDescent="0.4">
      <c r="A318" s="1">
        <v>44292</v>
      </c>
      <c r="B318">
        <v>247.61000061035156</v>
      </c>
      <c r="C318">
        <v>249.39999389648438</v>
      </c>
      <c r="D318">
        <v>246.8800048828125</v>
      </c>
      <c r="E318">
        <v>247.86000061035156</v>
      </c>
      <c r="F318">
        <v>22931900</v>
      </c>
      <c r="G318">
        <v>238.82545471191406</v>
      </c>
      <c r="H318" s="2">
        <f>MONTH(Query1[[#This Row],[Date]])</f>
        <v>4</v>
      </c>
      <c r="I318" s="3">
        <f>Query1[[#This Row],[Shares]]*Query1[[#This Row],[Adj Close]]</f>
        <v>857932.43390526262</v>
      </c>
      <c r="J318" s="3">
        <f>IF(ROW()&lt;3, Dashboard!$E$7, IF(Query1[[#This Row],[Month]]&lt;&gt;H317,J317*(1+Dashboard!$E$4)+Dashboard!$E$5,J317))</f>
        <v>612678.26875899907</v>
      </c>
      <c r="K318">
        <f>IF(ROW()&lt;3, 0,IF(Query1[[#This Row],[Month]]&lt;&gt;H317,IF((J318-I318&gt;0),J318-I318,0),0))</f>
        <v>0</v>
      </c>
      <c r="L318" s="2">
        <f t="shared" si="4"/>
        <v>3592.2989655359538</v>
      </c>
      <c r="M318">
        <f>IF(ROW()&lt;3, 0, IF(Query1[[#This Row],[Month]]&lt;&gt;H317, Dashboard!$J$5,0))</f>
        <v>0</v>
      </c>
      <c r="N318" s="2">
        <f>IF(ROW()&lt;3, Query1[[#This Row],[Shares]], IF(Query1[[#This Row],[Month]]&lt;&gt;H317, N317+Query1[[#This Row],[Fix Top Up]]/Query1[[#This Row],[Adj Close]], N317))</f>
        <v>3332.6894002699546</v>
      </c>
      <c r="O318">
        <f>IF(AND(Query1[[#This Row],[avg]]&gt;0, Query1[[#This Row],[Month]]&lt;&gt;H317),
    IF(Query1[[#This Row],[Adj Close]]&gt;Query1[[#This Row],[avg]],
       Dashboard!$L$5-Dashboard!$E$6,
       Dashboard!$L$5+Dashboard!$E$6
    ), 0
)</f>
        <v>0</v>
      </c>
      <c r="P318" s="2">
        <f>IF(ROW()&lt;3, Query1[[#This Row],[Shares]], IF(Query1[[#This Row],[Month]]&lt;&gt;H317, P317+Query1[[#This Row],[Enhanced top up]]/Query1[[#This Row],[Adj Close]], P317))</f>
        <v>3323.2112789847574</v>
      </c>
      <c r="Q318" s="2">
        <f>IFERROR(AVERAGE(
  IF(ROW()&gt;20, INDEX(G:G, ROW()-20), 0) :
  INDEX(G:G, ROW())
),0)</f>
        <v>227.44776189894904</v>
      </c>
    </row>
    <row r="319" spans="1:17" x14ac:dyDescent="0.4">
      <c r="A319" s="1">
        <v>44293</v>
      </c>
      <c r="B319">
        <v>247.80999755859375</v>
      </c>
      <c r="C319">
        <v>250.92999267578125</v>
      </c>
      <c r="D319">
        <v>247.19000244140625</v>
      </c>
      <c r="E319">
        <v>249.89999389648438</v>
      </c>
      <c r="F319">
        <v>22719800</v>
      </c>
      <c r="G319">
        <v>240.79106140136719</v>
      </c>
      <c r="H319" s="2">
        <f>MONTH(Query1[[#This Row],[Date]])</f>
        <v>4</v>
      </c>
      <c r="I319" s="3">
        <f>Query1[[#This Row],[Shares]]*Query1[[#This Row],[Adj Close]]</f>
        <v>864993.48078243574</v>
      </c>
      <c r="J319" s="3">
        <f>IF(ROW()&lt;3, Dashboard!$E$7, IF(Query1[[#This Row],[Month]]&lt;&gt;H318,J318*(1+Dashboard!$E$4)+Dashboard!$E$5,J318))</f>
        <v>612678.26875899907</v>
      </c>
      <c r="K319">
        <f>IF(ROW()&lt;3, 0,IF(Query1[[#This Row],[Month]]&lt;&gt;H318,IF((J319-I319&gt;0),J319-I319,0),0))</f>
        <v>0</v>
      </c>
      <c r="L319" s="2">
        <f t="shared" si="4"/>
        <v>3592.2989655359538</v>
      </c>
      <c r="M319">
        <f>IF(ROW()&lt;3, 0, IF(Query1[[#This Row],[Month]]&lt;&gt;H318, Dashboard!$J$5,0))</f>
        <v>0</v>
      </c>
      <c r="N319" s="2">
        <f>IF(ROW()&lt;3, Query1[[#This Row],[Shares]], IF(Query1[[#This Row],[Month]]&lt;&gt;H318, N318+Query1[[#This Row],[Fix Top Up]]/Query1[[#This Row],[Adj Close]], N318))</f>
        <v>3332.6894002699546</v>
      </c>
      <c r="O319">
        <f>IF(AND(Query1[[#This Row],[avg]]&gt;0, Query1[[#This Row],[Month]]&lt;&gt;H318),
    IF(Query1[[#This Row],[Adj Close]]&gt;Query1[[#This Row],[avg]],
       Dashboard!$L$5-Dashboard!$E$6,
       Dashboard!$L$5+Dashboard!$E$6
    ), 0
)</f>
        <v>0</v>
      </c>
      <c r="P319" s="2">
        <f>IF(ROW()&lt;3, Query1[[#This Row],[Shares]], IF(Query1[[#This Row],[Month]]&lt;&gt;H318, P318+Query1[[#This Row],[Enhanced top up]]/Query1[[#This Row],[Adj Close]], P318))</f>
        <v>3323.2112789847574</v>
      </c>
      <c r="Q319" s="2">
        <f>IFERROR(AVERAGE(
  IF(ROW()&gt;20, INDEX(G:G, ROW()-20), 0) :
  INDEX(G:G, ROW())
),0)</f>
        <v>228.48059517996651</v>
      </c>
    </row>
    <row r="320" spans="1:17" x14ac:dyDescent="0.4">
      <c r="A320" s="1">
        <v>44294</v>
      </c>
      <c r="B320">
        <v>252.77000427246094</v>
      </c>
      <c r="C320">
        <v>254.13999938964844</v>
      </c>
      <c r="D320">
        <v>252</v>
      </c>
      <c r="E320">
        <v>253.25</v>
      </c>
      <c r="F320">
        <v>23625200</v>
      </c>
      <c r="G320">
        <v>244.01899719238281</v>
      </c>
      <c r="H320" s="2">
        <f>MONTH(Query1[[#This Row],[Date]])</f>
        <v>4</v>
      </c>
      <c r="I320" s="3">
        <f>Query1[[#This Row],[Shares]]*Query1[[#This Row],[Adj Close]]</f>
        <v>876589.19118531758</v>
      </c>
      <c r="J320" s="3">
        <f>IF(ROW()&lt;3, Dashboard!$E$7, IF(Query1[[#This Row],[Month]]&lt;&gt;H319,J319*(1+Dashboard!$E$4)+Dashboard!$E$5,J319))</f>
        <v>612678.26875899907</v>
      </c>
      <c r="K320">
        <f>IF(ROW()&lt;3, 0,IF(Query1[[#This Row],[Month]]&lt;&gt;H319,IF((J320-I320&gt;0),J320-I320,0),0))</f>
        <v>0</v>
      </c>
      <c r="L320" s="2">
        <f t="shared" si="4"/>
        <v>3592.2989655359538</v>
      </c>
      <c r="M320">
        <f>IF(ROW()&lt;3, 0, IF(Query1[[#This Row],[Month]]&lt;&gt;H319, Dashboard!$J$5,0))</f>
        <v>0</v>
      </c>
      <c r="N320" s="2">
        <f>IF(ROW()&lt;3, Query1[[#This Row],[Shares]], IF(Query1[[#This Row],[Month]]&lt;&gt;H319, N319+Query1[[#This Row],[Fix Top Up]]/Query1[[#This Row],[Adj Close]], N319))</f>
        <v>3332.6894002699546</v>
      </c>
      <c r="O320">
        <f>IF(AND(Query1[[#This Row],[avg]]&gt;0, Query1[[#This Row],[Month]]&lt;&gt;H319),
    IF(Query1[[#This Row],[Adj Close]]&gt;Query1[[#This Row],[avg]],
       Dashboard!$L$5-Dashboard!$E$6,
       Dashboard!$L$5+Dashboard!$E$6
    ), 0
)</f>
        <v>0</v>
      </c>
      <c r="P320" s="2">
        <f>IF(ROW()&lt;3, Query1[[#This Row],[Shares]], IF(Query1[[#This Row],[Month]]&lt;&gt;H319, P319+Query1[[#This Row],[Enhanced top up]]/Query1[[#This Row],[Adj Close]], P319))</f>
        <v>3323.2112789847574</v>
      </c>
      <c r="Q320" s="2">
        <f>IFERROR(AVERAGE(
  IF(ROW()&gt;20, INDEX(G:G, ROW()-20), 0) :
  INDEX(G:G, ROW())
),0)</f>
        <v>229.37394496372767</v>
      </c>
    </row>
    <row r="321" spans="1:17" x14ac:dyDescent="0.4">
      <c r="A321" s="1">
        <v>44295</v>
      </c>
      <c r="B321">
        <v>252.8699951171875</v>
      </c>
      <c r="C321">
        <v>255.99000549316406</v>
      </c>
      <c r="D321">
        <v>252.44000244140625</v>
      </c>
      <c r="E321">
        <v>255.85000610351563</v>
      </c>
      <c r="F321">
        <v>24326800</v>
      </c>
      <c r="G321">
        <v>246.52423095703125</v>
      </c>
      <c r="H321" s="2">
        <f>MONTH(Query1[[#This Row],[Date]])</f>
        <v>4</v>
      </c>
      <c r="I321" s="3">
        <f>Query1[[#This Row],[Shares]]*Query1[[#This Row],[Adj Close]]</f>
        <v>885588.73984648997</v>
      </c>
      <c r="J321" s="3">
        <f>IF(ROW()&lt;3, Dashboard!$E$7, IF(Query1[[#This Row],[Month]]&lt;&gt;H320,J320*(1+Dashboard!$E$4)+Dashboard!$E$5,J320))</f>
        <v>612678.26875899907</v>
      </c>
      <c r="K321">
        <f>IF(ROW()&lt;3, 0,IF(Query1[[#This Row],[Month]]&lt;&gt;H320,IF((J321-I321&gt;0),J321-I321,0),0))</f>
        <v>0</v>
      </c>
      <c r="L321" s="2">
        <f t="shared" si="4"/>
        <v>3592.2989655359538</v>
      </c>
      <c r="M321">
        <f>IF(ROW()&lt;3, 0, IF(Query1[[#This Row],[Month]]&lt;&gt;H320, Dashboard!$J$5,0))</f>
        <v>0</v>
      </c>
      <c r="N321" s="2">
        <f>IF(ROW()&lt;3, Query1[[#This Row],[Shares]], IF(Query1[[#This Row],[Month]]&lt;&gt;H320, N320+Query1[[#This Row],[Fix Top Up]]/Query1[[#This Row],[Adj Close]], N320))</f>
        <v>3332.6894002699546</v>
      </c>
      <c r="O321">
        <f>IF(AND(Query1[[#This Row],[avg]]&gt;0, Query1[[#This Row],[Month]]&lt;&gt;H320),
    IF(Query1[[#This Row],[Adj Close]]&gt;Query1[[#This Row],[avg]],
       Dashboard!$L$5-Dashboard!$E$6,
       Dashboard!$L$5+Dashboard!$E$6
    ), 0
)</f>
        <v>0</v>
      </c>
      <c r="P321" s="2">
        <f>IF(ROW()&lt;3, Query1[[#This Row],[Shares]], IF(Query1[[#This Row],[Month]]&lt;&gt;H320, P320+Query1[[#This Row],[Enhanced top up]]/Query1[[#This Row],[Adj Close]], P320))</f>
        <v>3323.2112789847574</v>
      </c>
      <c r="Q321" s="2">
        <f>IFERROR(AVERAGE(
  IF(ROW()&gt;20, INDEX(G:G, ROW()-20), 0) :
  INDEX(G:G, ROW())
),0)</f>
        <v>230.44899350120909</v>
      </c>
    </row>
    <row r="322" spans="1:17" x14ac:dyDescent="0.4">
      <c r="A322" s="1">
        <v>44298</v>
      </c>
      <c r="B322">
        <v>254.71000671386719</v>
      </c>
      <c r="C322">
        <v>257.67001342773438</v>
      </c>
      <c r="D322">
        <v>254.6199951171875</v>
      </c>
      <c r="E322">
        <v>255.91000366210938</v>
      </c>
      <c r="F322">
        <v>27148700</v>
      </c>
      <c r="G322">
        <v>246.58204650878906</v>
      </c>
      <c r="H322" s="2">
        <f>MONTH(Query1[[#This Row],[Date]])</f>
        <v>4</v>
      </c>
      <c r="I322" s="3">
        <f>Query1[[#This Row],[Shares]]*Query1[[#This Row],[Adj Close]]</f>
        <v>885796.43059326138</v>
      </c>
      <c r="J322" s="3">
        <f>IF(ROW()&lt;3, Dashboard!$E$7, IF(Query1[[#This Row],[Month]]&lt;&gt;H321,J321*(1+Dashboard!$E$4)+Dashboard!$E$5,J321))</f>
        <v>612678.26875899907</v>
      </c>
      <c r="K322">
        <f>IF(ROW()&lt;3, 0,IF(Query1[[#This Row],[Month]]&lt;&gt;H321,IF((J322-I322&gt;0),J322-I322,0),0))</f>
        <v>0</v>
      </c>
      <c r="L322" s="2">
        <f t="shared" ref="L322:L385" si="5">IF(ROW()&lt;3, J322/G322, L321+K321/G321)</f>
        <v>3592.2989655359538</v>
      </c>
      <c r="M322">
        <f>IF(ROW()&lt;3, 0, IF(Query1[[#This Row],[Month]]&lt;&gt;H321, Dashboard!$J$5,0))</f>
        <v>0</v>
      </c>
      <c r="N322" s="2">
        <f>IF(ROW()&lt;3, Query1[[#This Row],[Shares]], IF(Query1[[#This Row],[Month]]&lt;&gt;H321, N321+Query1[[#This Row],[Fix Top Up]]/Query1[[#This Row],[Adj Close]], N321))</f>
        <v>3332.6894002699546</v>
      </c>
      <c r="O322">
        <f>IF(AND(Query1[[#This Row],[avg]]&gt;0, Query1[[#This Row],[Month]]&lt;&gt;H321),
    IF(Query1[[#This Row],[Adj Close]]&gt;Query1[[#This Row],[avg]],
       Dashboard!$L$5-Dashboard!$E$6,
       Dashboard!$L$5+Dashboard!$E$6
    ), 0
)</f>
        <v>0</v>
      </c>
      <c r="P322" s="2">
        <f>IF(ROW()&lt;3, Query1[[#This Row],[Shares]], IF(Query1[[#This Row],[Month]]&lt;&gt;H321, P321+Query1[[#This Row],[Enhanced top up]]/Query1[[#This Row],[Adj Close]], P321))</f>
        <v>3323.2112789847574</v>
      </c>
      <c r="Q322" s="2">
        <f>IFERROR(AVERAGE(
  IF(ROW()&gt;20, INDEX(G:G, ROW()-20), 0) :
  INDEX(G:G, ROW())
),0)</f>
        <v>231.31068493071058</v>
      </c>
    </row>
    <row r="323" spans="1:17" x14ac:dyDescent="0.4">
      <c r="A323" s="1">
        <v>44299</v>
      </c>
      <c r="B323">
        <v>257.260009765625</v>
      </c>
      <c r="C323">
        <v>259.19000244140625</v>
      </c>
      <c r="D323">
        <v>256.82998657226563</v>
      </c>
      <c r="E323">
        <v>258.489990234375</v>
      </c>
      <c r="F323">
        <v>23837500</v>
      </c>
      <c r="G323">
        <v>249.06803894042969</v>
      </c>
      <c r="H323" s="2">
        <f>MONTH(Query1[[#This Row],[Date]])</f>
        <v>4</v>
      </c>
      <c r="I323" s="3">
        <f>Query1[[#This Row],[Shares]]*Query1[[#This Row],[Adj Close]]</f>
        <v>894726.85863377422</v>
      </c>
      <c r="J323" s="3">
        <f>IF(ROW()&lt;3, Dashboard!$E$7, IF(Query1[[#This Row],[Month]]&lt;&gt;H322,J322*(1+Dashboard!$E$4)+Dashboard!$E$5,J322))</f>
        <v>612678.26875899907</v>
      </c>
      <c r="K323">
        <f>IF(ROW()&lt;3, 0,IF(Query1[[#This Row],[Month]]&lt;&gt;H322,IF((J323-I323&gt;0),J323-I323,0),0))</f>
        <v>0</v>
      </c>
      <c r="L323" s="2">
        <f t="shared" si="5"/>
        <v>3592.2989655359538</v>
      </c>
      <c r="M323">
        <f>IF(ROW()&lt;3, 0, IF(Query1[[#This Row],[Month]]&lt;&gt;H322, Dashboard!$J$5,0))</f>
        <v>0</v>
      </c>
      <c r="N323" s="2">
        <f>IF(ROW()&lt;3, Query1[[#This Row],[Shares]], IF(Query1[[#This Row],[Month]]&lt;&gt;H322, N322+Query1[[#This Row],[Fix Top Up]]/Query1[[#This Row],[Adj Close]], N322))</f>
        <v>3332.6894002699546</v>
      </c>
      <c r="O323">
        <f>IF(AND(Query1[[#This Row],[avg]]&gt;0, Query1[[#This Row],[Month]]&lt;&gt;H322),
    IF(Query1[[#This Row],[Adj Close]]&gt;Query1[[#This Row],[avg]],
       Dashboard!$L$5-Dashboard!$E$6,
       Dashboard!$L$5+Dashboard!$E$6
    ), 0
)</f>
        <v>0</v>
      </c>
      <c r="P323" s="2">
        <f>IF(ROW()&lt;3, Query1[[#This Row],[Shares]], IF(Query1[[#This Row],[Month]]&lt;&gt;H322, P322+Query1[[#This Row],[Enhanced top up]]/Query1[[#This Row],[Adj Close]], P322))</f>
        <v>3323.2112789847574</v>
      </c>
      <c r="Q323" s="2">
        <f>IFERROR(AVERAGE(
  IF(ROW()&gt;20, INDEX(G:G, ROW()-20), 0) :
  INDEX(G:G, ROW())
),0)</f>
        <v>232.35407438732329</v>
      </c>
    </row>
    <row r="324" spans="1:17" x14ac:dyDescent="0.4">
      <c r="A324" s="1">
        <v>44300</v>
      </c>
      <c r="B324">
        <v>257.48001098632813</v>
      </c>
      <c r="C324">
        <v>258.82998657226563</v>
      </c>
      <c r="D324">
        <v>255.16000366210938</v>
      </c>
      <c r="E324">
        <v>255.58999633789063</v>
      </c>
      <c r="F324">
        <v>23070900</v>
      </c>
      <c r="G324">
        <v>246.27371215820313</v>
      </c>
      <c r="H324" s="2">
        <f>MONTH(Query1[[#This Row],[Date]])</f>
        <v>4</v>
      </c>
      <c r="I324" s="3">
        <f>Query1[[#This Row],[Shares]]*Query1[[#This Row],[Adj Close]]</f>
        <v>884688.80142461229</v>
      </c>
      <c r="J324" s="3">
        <f>IF(ROW()&lt;3, Dashboard!$E$7, IF(Query1[[#This Row],[Month]]&lt;&gt;H323,J323*(1+Dashboard!$E$4)+Dashboard!$E$5,J323))</f>
        <v>612678.26875899907</v>
      </c>
      <c r="K324">
        <f>IF(ROW()&lt;3, 0,IF(Query1[[#This Row],[Month]]&lt;&gt;H323,IF((J324-I324&gt;0),J324-I324,0),0))</f>
        <v>0</v>
      </c>
      <c r="L324" s="2">
        <f t="shared" si="5"/>
        <v>3592.2989655359538</v>
      </c>
      <c r="M324">
        <f>IF(ROW()&lt;3, 0, IF(Query1[[#This Row],[Month]]&lt;&gt;H323, Dashboard!$J$5,0))</f>
        <v>0</v>
      </c>
      <c r="N324" s="2">
        <f>IF(ROW()&lt;3, Query1[[#This Row],[Shares]], IF(Query1[[#This Row],[Month]]&lt;&gt;H323, N323+Query1[[#This Row],[Fix Top Up]]/Query1[[#This Row],[Adj Close]], N323))</f>
        <v>3332.6894002699546</v>
      </c>
      <c r="O324">
        <f>IF(AND(Query1[[#This Row],[avg]]&gt;0, Query1[[#This Row],[Month]]&lt;&gt;H323),
    IF(Query1[[#This Row],[Adj Close]]&gt;Query1[[#This Row],[avg]],
       Dashboard!$L$5-Dashboard!$E$6,
       Dashboard!$L$5+Dashboard!$E$6
    ), 0
)</f>
        <v>0</v>
      </c>
      <c r="P324" s="2">
        <f>IF(ROW()&lt;3, Query1[[#This Row],[Shares]], IF(Query1[[#This Row],[Month]]&lt;&gt;H323, P323+Query1[[#This Row],[Enhanced top up]]/Query1[[#This Row],[Adj Close]], P323))</f>
        <v>3323.2112789847574</v>
      </c>
      <c r="Q324" s="2">
        <f>IFERROR(AVERAGE(
  IF(ROW()&gt;20, INDEX(G:G, ROW()-20), 0) :
  INDEX(G:G, ROW())
),0)</f>
        <v>233.30752854120163</v>
      </c>
    </row>
    <row r="325" spans="1:17" x14ac:dyDescent="0.4">
      <c r="A325" s="1">
        <v>44301</v>
      </c>
      <c r="B325">
        <v>257.92999267578125</v>
      </c>
      <c r="C325">
        <v>259.92999267578125</v>
      </c>
      <c r="D325">
        <v>257.73001098632813</v>
      </c>
      <c r="E325">
        <v>259.5</v>
      </c>
      <c r="F325">
        <v>25627500</v>
      </c>
      <c r="G325">
        <v>250.04116821289063</v>
      </c>
      <c r="H325" s="2">
        <f>MONTH(Query1[[#This Row],[Date]])</f>
        <v>4</v>
      </c>
      <c r="I325" s="3">
        <f>Query1[[#This Row],[Shares]]*Query1[[#This Row],[Adj Close]]</f>
        <v>898222.62991256837</v>
      </c>
      <c r="J325" s="3">
        <f>IF(ROW()&lt;3, Dashboard!$E$7, IF(Query1[[#This Row],[Month]]&lt;&gt;H324,J324*(1+Dashboard!$E$4)+Dashboard!$E$5,J324))</f>
        <v>612678.26875899907</v>
      </c>
      <c r="K325">
        <f>IF(ROW()&lt;3, 0,IF(Query1[[#This Row],[Month]]&lt;&gt;H324,IF((J325-I325&gt;0),J325-I325,0),0))</f>
        <v>0</v>
      </c>
      <c r="L325" s="2">
        <f t="shared" si="5"/>
        <v>3592.2989655359538</v>
      </c>
      <c r="M325">
        <f>IF(ROW()&lt;3, 0, IF(Query1[[#This Row],[Month]]&lt;&gt;H324, Dashboard!$J$5,0))</f>
        <v>0</v>
      </c>
      <c r="N325" s="2">
        <f>IF(ROW()&lt;3, Query1[[#This Row],[Shares]], IF(Query1[[#This Row],[Month]]&lt;&gt;H324, N324+Query1[[#This Row],[Fix Top Up]]/Query1[[#This Row],[Adj Close]], N324))</f>
        <v>3332.6894002699546</v>
      </c>
      <c r="O325">
        <f>IF(AND(Query1[[#This Row],[avg]]&gt;0, Query1[[#This Row],[Month]]&lt;&gt;H324),
    IF(Query1[[#This Row],[Adj Close]]&gt;Query1[[#This Row],[avg]],
       Dashboard!$L$5-Dashboard!$E$6,
       Dashboard!$L$5+Dashboard!$E$6
    ), 0
)</f>
        <v>0</v>
      </c>
      <c r="P325" s="2">
        <f>IF(ROW()&lt;3, Query1[[#This Row],[Shares]], IF(Query1[[#This Row],[Month]]&lt;&gt;H324, P324+Query1[[#This Row],[Enhanced top up]]/Query1[[#This Row],[Adj Close]], P324))</f>
        <v>3323.2112789847574</v>
      </c>
      <c r="Q325" s="2">
        <f>IFERROR(AVERAGE(
  IF(ROW()&gt;20, INDEX(G:G, ROW()-20), 0) :
  INDEX(G:G, ROW())
),0)</f>
        <v>234.3073265438988</v>
      </c>
    </row>
    <row r="326" spans="1:17" x14ac:dyDescent="0.4">
      <c r="A326" s="1">
        <v>44302</v>
      </c>
      <c r="B326">
        <v>259.47000122070313</v>
      </c>
      <c r="C326">
        <v>261</v>
      </c>
      <c r="D326">
        <v>257.60000610351563</v>
      </c>
      <c r="E326">
        <v>260.739990234375</v>
      </c>
      <c r="F326">
        <v>24878600</v>
      </c>
      <c r="G326">
        <v>251.23594665527344</v>
      </c>
      <c r="H326" s="2">
        <f>MONTH(Query1[[#This Row],[Date]])</f>
        <v>4</v>
      </c>
      <c r="I326" s="3">
        <f>Query1[[#This Row],[Shares]]*Query1[[#This Row],[Adj Close]]</f>
        <v>902514.6312751848</v>
      </c>
      <c r="J326" s="3">
        <f>IF(ROW()&lt;3, Dashboard!$E$7, IF(Query1[[#This Row],[Month]]&lt;&gt;H325,J325*(1+Dashboard!$E$4)+Dashboard!$E$5,J325))</f>
        <v>612678.26875899907</v>
      </c>
      <c r="K326">
        <f>IF(ROW()&lt;3, 0,IF(Query1[[#This Row],[Month]]&lt;&gt;H325,IF((J326-I326&gt;0),J326-I326,0),0))</f>
        <v>0</v>
      </c>
      <c r="L326" s="2">
        <f t="shared" si="5"/>
        <v>3592.2989655359538</v>
      </c>
      <c r="M326">
        <f>IF(ROW()&lt;3, 0, IF(Query1[[#This Row],[Month]]&lt;&gt;H325, Dashboard!$J$5,0))</f>
        <v>0</v>
      </c>
      <c r="N326" s="2">
        <f>IF(ROW()&lt;3, Query1[[#This Row],[Shares]], IF(Query1[[#This Row],[Month]]&lt;&gt;H325, N325+Query1[[#This Row],[Fix Top Up]]/Query1[[#This Row],[Adj Close]], N325))</f>
        <v>3332.6894002699546</v>
      </c>
      <c r="O326">
        <f>IF(AND(Query1[[#This Row],[avg]]&gt;0, Query1[[#This Row],[Month]]&lt;&gt;H325),
    IF(Query1[[#This Row],[Adj Close]]&gt;Query1[[#This Row],[avg]],
       Dashboard!$L$5-Dashboard!$E$6,
       Dashboard!$L$5+Dashboard!$E$6
    ), 0
)</f>
        <v>0</v>
      </c>
      <c r="P326" s="2">
        <f>IF(ROW()&lt;3, Query1[[#This Row],[Shares]], IF(Query1[[#This Row],[Month]]&lt;&gt;H325, P325+Query1[[#This Row],[Enhanced top up]]/Query1[[#This Row],[Adj Close]], P325))</f>
        <v>3323.2112789847574</v>
      </c>
      <c r="Q326" s="2">
        <f>IFERROR(AVERAGE(
  IF(ROW()&gt;20, INDEX(G:G, ROW()-20), 0) :
  INDEX(G:G, ROW())
),0)</f>
        <v>235.39475940522692</v>
      </c>
    </row>
    <row r="327" spans="1:17" x14ac:dyDescent="0.4">
      <c r="A327" s="1">
        <v>44305</v>
      </c>
      <c r="B327">
        <v>260.19000244140625</v>
      </c>
      <c r="C327">
        <v>261.48001098632813</v>
      </c>
      <c r="D327">
        <v>257.82000732421875</v>
      </c>
      <c r="E327">
        <v>258.739990234375</v>
      </c>
      <c r="F327">
        <v>23209300</v>
      </c>
      <c r="G327">
        <v>249.30886840820313</v>
      </c>
      <c r="H327" s="2">
        <f>MONTH(Query1[[#This Row],[Date]])</f>
        <v>4</v>
      </c>
      <c r="I327" s="3">
        <f>Query1[[#This Row],[Shares]]*Query1[[#This Row],[Adj Close]]</f>
        <v>895591.99008172727</v>
      </c>
      <c r="J327" s="3">
        <f>IF(ROW()&lt;3, Dashboard!$E$7, IF(Query1[[#This Row],[Month]]&lt;&gt;H326,J326*(1+Dashboard!$E$4)+Dashboard!$E$5,J326))</f>
        <v>612678.26875899907</v>
      </c>
      <c r="K327">
        <f>IF(ROW()&lt;3, 0,IF(Query1[[#This Row],[Month]]&lt;&gt;H326,IF((J327-I327&gt;0),J327-I327,0),0))</f>
        <v>0</v>
      </c>
      <c r="L327" s="2">
        <f t="shared" si="5"/>
        <v>3592.2989655359538</v>
      </c>
      <c r="M327">
        <f>IF(ROW()&lt;3, 0, IF(Query1[[#This Row],[Month]]&lt;&gt;H326, Dashboard!$J$5,0))</f>
        <v>0</v>
      </c>
      <c r="N327" s="2">
        <f>IF(ROW()&lt;3, Query1[[#This Row],[Shares]], IF(Query1[[#This Row],[Month]]&lt;&gt;H326, N326+Query1[[#This Row],[Fix Top Up]]/Query1[[#This Row],[Adj Close]], N326))</f>
        <v>3332.6894002699546</v>
      </c>
      <c r="O327">
        <f>IF(AND(Query1[[#This Row],[avg]]&gt;0, Query1[[#This Row],[Month]]&lt;&gt;H326),
    IF(Query1[[#This Row],[Adj Close]]&gt;Query1[[#This Row],[avg]],
       Dashboard!$L$5-Dashboard!$E$6,
       Dashboard!$L$5+Dashboard!$E$6
    ), 0
)</f>
        <v>0</v>
      </c>
      <c r="P327" s="2">
        <f>IF(ROW()&lt;3, Query1[[#This Row],[Shares]], IF(Query1[[#This Row],[Month]]&lt;&gt;H326, P326+Query1[[#This Row],[Enhanced top up]]/Query1[[#This Row],[Adj Close]], P326))</f>
        <v>3323.2112789847574</v>
      </c>
      <c r="Q327" s="2">
        <f>IFERROR(AVERAGE(
  IF(ROW()&gt;20, INDEX(G:G, ROW()-20), 0) :
  INDEX(G:G, ROW())
),0)</f>
        <v>236.68041047595796</v>
      </c>
    </row>
    <row r="328" spans="1:17" x14ac:dyDescent="0.4">
      <c r="A328" s="1">
        <v>44306</v>
      </c>
      <c r="B328">
        <v>257.82000732421875</v>
      </c>
      <c r="C328">
        <v>260.20001220703125</v>
      </c>
      <c r="D328">
        <v>256.83999633789063</v>
      </c>
      <c r="E328">
        <v>258.260009765625</v>
      </c>
      <c r="F328">
        <v>19722900</v>
      </c>
      <c r="G328">
        <v>248.84634399414063</v>
      </c>
      <c r="H328" s="2">
        <f>MONTH(Query1[[#This Row],[Date]])</f>
        <v>4</v>
      </c>
      <c r="I328" s="3">
        <f>Query1[[#This Row],[Shares]]*Query1[[#This Row],[Adj Close]]</f>
        <v>893930.46410755545</v>
      </c>
      <c r="J328" s="3">
        <f>IF(ROW()&lt;3, Dashboard!$E$7, IF(Query1[[#This Row],[Month]]&lt;&gt;H327,J327*(1+Dashboard!$E$4)+Dashboard!$E$5,J327))</f>
        <v>612678.26875899907</v>
      </c>
      <c r="K328">
        <f>IF(ROW()&lt;3, 0,IF(Query1[[#This Row],[Month]]&lt;&gt;H327,IF((J328-I328&gt;0),J328-I328,0),0))</f>
        <v>0</v>
      </c>
      <c r="L328" s="2">
        <f t="shared" si="5"/>
        <v>3592.2989655359538</v>
      </c>
      <c r="M328">
        <f>IF(ROW()&lt;3, 0, IF(Query1[[#This Row],[Month]]&lt;&gt;H327, Dashboard!$J$5,0))</f>
        <v>0</v>
      </c>
      <c r="N328" s="2">
        <f>IF(ROW()&lt;3, Query1[[#This Row],[Shares]], IF(Query1[[#This Row],[Month]]&lt;&gt;H327, N327+Query1[[#This Row],[Fix Top Up]]/Query1[[#This Row],[Adj Close]], N327))</f>
        <v>3332.6894002699546</v>
      </c>
      <c r="O328">
        <f>IF(AND(Query1[[#This Row],[avg]]&gt;0, Query1[[#This Row],[Month]]&lt;&gt;H327),
    IF(Query1[[#This Row],[Adj Close]]&gt;Query1[[#This Row],[avg]],
       Dashboard!$L$5-Dashboard!$E$6,
       Dashboard!$L$5+Dashboard!$E$6
    ), 0
)</f>
        <v>0</v>
      </c>
      <c r="P328" s="2">
        <f>IF(ROW()&lt;3, Query1[[#This Row],[Shares]], IF(Query1[[#This Row],[Month]]&lt;&gt;H327, P327+Query1[[#This Row],[Enhanced top up]]/Query1[[#This Row],[Adj Close]], P327))</f>
        <v>3323.2112789847574</v>
      </c>
      <c r="Q328" s="2">
        <f>IFERROR(AVERAGE(
  IF(ROW()&gt;20, INDEX(G:G, ROW()-20), 0) :
  INDEX(G:G, ROW())
),0)</f>
        <v>237.96101379394531</v>
      </c>
    </row>
    <row r="329" spans="1:17" x14ac:dyDescent="0.4">
      <c r="A329" s="1">
        <v>44307</v>
      </c>
      <c r="B329">
        <v>258.94000244140625</v>
      </c>
      <c r="C329">
        <v>260.67999267578125</v>
      </c>
      <c r="D329">
        <v>257.25</v>
      </c>
      <c r="E329">
        <v>260.57998657226563</v>
      </c>
      <c r="F329">
        <v>24030400</v>
      </c>
      <c r="G329">
        <v>251.08183288574219</v>
      </c>
      <c r="H329" s="2">
        <f>MONTH(Query1[[#This Row],[Date]])</f>
        <v>4</v>
      </c>
      <c r="I329" s="3">
        <f>Query1[[#This Row],[Shares]]*Query1[[#This Row],[Adj Close]]</f>
        <v>901961.00854032289</v>
      </c>
      <c r="J329" s="3">
        <f>IF(ROW()&lt;3, Dashboard!$E$7, IF(Query1[[#This Row],[Month]]&lt;&gt;H328,J328*(1+Dashboard!$E$4)+Dashboard!$E$5,J328))</f>
        <v>612678.26875899907</v>
      </c>
      <c r="K329">
        <f>IF(ROW()&lt;3, 0,IF(Query1[[#This Row],[Month]]&lt;&gt;H328,IF((J329-I329&gt;0),J329-I329,0),0))</f>
        <v>0</v>
      </c>
      <c r="L329" s="2">
        <f t="shared" si="5"/>
        <v>3592.2989655359538</v>
      </c>
      <c r="M329">
        <f>IF(ROW()&lt;3, 0, IF(Query1[[#This Row],[Month]]&lt;&gt;H328, Dashboard!$J$5,0))</f>
        <v>0</v>
      </c>
      <c r="N329" s="2">
        <f>IF(ROW()&lt;3, Query1[[#This Row],[Shares]], IF(Query1[[#This Row],[Month]]&lt;&gt;H328, N328+Query1[[#This Row],[Fix Top Up]]/Query1[[#This Row],[Adj Close]], N328))</f>
        <v>3332.6894002699546</v>
      </c>
      <c r="O329">
        <f>IF(AND(Query1[[#This Row],[avg]]&gt;0, Query1[[#This Row],[Month]]&lt;&gt;H328),
    IF(Query1[[#This Row],[Adj Close]]&gt;Query1[[#This Row],[avg]],
       Dashboard!$L$5-Dashboard!$E$6,
       Dashboard!$L$5+Dashboard!$E$6
    ), 0
)</f>
        <v>0</v>
      </c>
      <c r="P329" s="2">
        <f>IF(ROW()&lt;3, Query1[[#This Row],[Shares]], IF(Query1[[#This Row],[Month]]&lt;&gt;H328, P328+Query1[[#This Row],[Enhanced top up]]/Query1[[#This Row],[Adj Close]], P328))</f>
        <v>3323.2112789847574</v>
      </c>
      <c r="Q329" s="2">
        <f>IFERROR(AVERAGE(
  IF(ROW()&gt;20, INDEX(G:G, ROW()-20), 0) :
  INDEX(G:G, ROW())
),0)</f>
        <v>239.08928644089471</v>
      </c>
    </row>
    <row r="330" spans="1:17" x14ac:dyDescent="0.4">
      <c r="A330" s="1">
        <v>44308</v>
      </c>
      <c r="B330">
        <v>260.20999145507813</v>
      </c>
      <c r="C330">
        <v>261.77999877929688</v>
      </c>
      <c r="D330">
        <v>255.63999938964844</v>
      </c>
      <c r="E330">
        <v>257.17001342773438</v>
      </c>
      <c r="F330">
        <v>25606200</v>
      </c>
      <c r="G330">
        <v>247.796142578125</v>
      </c>
      <c r="H330" s="2">
        <f>MONTH(Query1[[#This Row],[Date]])</f>
        <v>4</v>
      </c>
      <c r="I330" s="3">
        <f>Query1[[#This Row],[Shares]]*Query1[[#This Row],[Adj Close]]</f>
        <v>890157.82664719818</v>
      </c>
      <c r="J330" s="3">
        <f>IF(ROW()&lt;3, Dashboard!$E$7, IF(Query1[[#This Row],[Month]]&lt;&gt;H329,J329*(1+Dashboard!$E$4)+Dashboard!$E$5,J329))</f>
        <v>612678.26875899907</v>
      </c>
      <c r="K330">
        <f>IF(ROW()&lt;3, 0,IF(Query1[[#This Row],[Month]]&lt;&gt;H329,IF((J330-I330&gt;0),J330-I330,0),0))</f>
        <v>0</v>
      </c>
      <c r="L330" s="2">
        <f t="shared" si="5"/>
        <v>3592.2989655359538</v>
      </c>
      <c r="M330">
        <f>IF(ROW()&lt;3, 0, IF(Query1[[#This Row],[Month]]&lt;&gt;H329, Dashboard!$J$5,0))</f>
        <v>0</v>
      </c>
      <c r="N330" s="2">
        <f>IF(ROW()&lt;3, Query1[[#This Row],[Shares]], IF(Query1[[#This Row],[Month]]&lt;&gt;H329, N329+Query1[[#This Row],[Fix Top Up]]/Query1[[#This Row],[Adj Close]], N329))</f>
        <v>3332.6894002699546</v>
      </c>
      <c r="O330">
        <f>IF(AND(Query1[[#This Row],[avg]]&gt;0, Query1[[#This Row],[Month]]&lt;&gt;H329),
    IF(Query1[[#This Row],[Adj Close]]&gt;Query1[[#This Row],[avg]],
       Dashboard!$L$5-Dashboard!$E$6,
       Dashboard!$L$5+Dashboard!$E$6
    ), 0
)</f>
        <v>0</v>
      </c>
      <c r="P330" s="2">
        <f>IF(ROW()&lt;3, Query1[[#This Row],[Shares]], IF(Query1[[#This Row],[Month]]&lt;&gt;H329, P329+Query1[[#This Row],[Enhanced top up]]/Query1[[#This Row],[Adj Close]], P329))</f>
        <v>3323.2112789847574</v>
      </c>
      <c r="Q330" s="2">
        <f>IFERROR(AVERAGE(
  IF(ROW()&gt;20, INDEX(G:G, ROW()-20), 0) :
  INDEX(G:G, ROW())
),0)</f>
        <v>239.98814101446243</v>
      </c>
    </row>
    <row r="331" spans="1:17" x14ac:dyDescent="0.4">
      <c r="A331" s="1">
        <v>44309</v>
      </c>
      <c r="B331">
        <v>257.8800048828125</v>
      </c>
      <c r="C331">
        <v>261.510009765625</v>
      </c>
      <c r="D331">
        <v>257.26998901367188</v>
      </c>
      <c r="E331">
        <v>261.14999389648438</v>
      </c>
      <c r="F331">
        <v>21462600</v>
      </c>
      <c r="G331">
        <v>251.63104248046875</v>
      </c>
      <c r="H331" s="2">
        <f>MONTH(Query1[[#This Row],[Date]])</f>
        <v>4</v>
      </c>
      <c r="I331" s="3">
        <f>Query1[[#This Row],[Shares]]*Query1[[#This Row],[Adj Close]]</f>
        <v>903933.93359932152</v>
      </c>
      <c r="J331" s="3">
        <f>IF(ROW()&lt;3, Dashboard!$E$7, IF(Query1[[#This Row],[Month]]&lt;&gt;H330,J330*(1+Dashboard!$E$4)+Dashboard!$E$5,J330))</f>
        <v>612678.26875899907</v>
      </c>
      <c r="K331">
        <f>IF(ROW()&lt;3, 0,IF(Query1[[#This Row],[Month]]&lt;&gt;H330,IF((J331-I331&gt;0),J331-I331,0),0))</f>
        <v>0</v>
      </c>
      <c r="L331" s="2">
        <f t="shared" si="5"/>
        <v>3592.2989655359538</v>
      </c>
      <c r="M331">
        <f>IF(ROW()&lt;3, 0, IF(Query1[[#This Row],[Month]]&lt;&gt;H330, Dashboard!$J$5,0))</f>
        <v>0</v>
      </c>
      <c r="N331" s="2">
        <f>IF(ROW()&lt;3, Query1[[#This Row],[Shares]], IF(Query1[[#This Row],[Month]]&lt;&gt;H330, N330+Query1[[#This Row],[Fix Top Up]]/Query1[[#This Row],[Adj Close]], N330))</f>
        <v>3332.6894002699546</v>
      </c>
      <c r="O331">
        <f>IF(AND(Query1[[#This Row],[avg]]&gt;0, Query1[[#This Row],[Month]]&lt;&gt;H330),
    IF(Query1[[#This Row],[Adj Close]]&gt;Query1[[#This Row],[avg]],
       Dashboard!$L$5-Dashboard!$E$6,
       Dashboard!$L$5+Dashboard!$E$6
    ), 0
)</f>
        <v>0</v>
      </c>
      <c r="P331" s="2">
        <f>IF(ROW()&lt;3, Query1[[#This Row],[Shares]], IF(Query1[[#This Row],[Month]]&lt;&gt;H330, P330+Query1[[#This Row],[Enhanced top up]]/Query1[[#This Row],[Adj Close]], P330))</f>
        <v>3323.2112789847574</v>
      </c>
      <c r="Q331" s="2">
        <f>IFERROR(AVERAGE(
  IF(ROW()&gt;20, INDEX(G:G, ROW()-20), 0) :
  INDEX(G:G, ROW())
),0)</f>
        <v>241.16688319614954</v>
      </c>
    </row>
    <row r="332" spans="1:17" x14ac:dyDescent="0.4">
      <c r="A332" s="1">
        <v>44312</v>
      </c>
      <c r="B332">
        <v>261.66000366210938</v>
      </c>
      <c r="C332">
        <v>262.44000244140625</v>
      </c>
      <c r="D332">
        <v>260.17001342773438</v>
      </c>
      <c r="E332">
        <v>261.54998779296875</v>
      </c>
      <c r="F332">
        <v>19763300</v>
      </c>
      <c r="G332">
        <v>252.01643371582031</v>
      </c>
      <c r="H332" s="2">
        <f>MONTH(Query1[[#This Row],[Date]])</f>
        <v>4</v>
      </c>
      <c r="I332" s="3">
        <f>Query1[[#This Row],[Shares]]*Query1[[#This Row],[Adj Close]]</f>
        <v>905318.37413540157</v>
      </c>
      <c r="J332" s="3">
        <f>IF(ROW()&lt;3, Dashboard!$E$7, IF(Query1[[#This Row],[Month]]&lt;&gt;H331,J331*(1+Dashboard!$E$4)+Dashboard!$E$5,J331))</f>
        <v>612678.26875899907</v>
      </c>
      <c r="K332">
        <f>IF(ROW()&lt;3, 0,IF(Query1[[#This Row],[Month]]&lt;&gt;H331,IF((J332-I332&gt;0),J332-I332,0),0))</f>
        <v>0</v>
      </c>
      <c r="L332" s="2">
        <f t="shared" si="5"/>
        <v>3592.2989655359538</v>
      </c>
      <c r="M332">
        <f>IF(ROW()&lt;3, 0, IF(Query1[[#This Row],[Month]]&lt;&gt;H331, Dashboard!$J$5,0))</f>
        <v>0</v>
      </c>
      <c r="N332" s="2">
        <f>IF(ROW()&lt;3, Query1[[#This Row],[Shares]], IF(Query1[[#This Row],[Month]]&lt;&gt;H331, N331+Query1[[#This Row],[Fix Top Up]]/Query1[[#This Row],[Adj Close]], N331))</f>
        <v>3332.6894002699546</v>
      </c>
      <c r="O332">
        <f>IF(AND(Query1[[#This Row],[avg]]&gt;0, Query1[[#This Row],[Month]]&lt;&gt;H331),
    IF(Query1[[#This Row],[Adj Close]]&gt;Query1[[#This Row],[avg]],
       Dashboard!$L$5-Dashboard!$E$6,
       Dashboard!$L$5+Dashboard!$E$6
    ), 0
)</f>
        <v>0</v>
      </c>
      <c r="P332" s="2">
        <f>IF(ROW()&lt;3, Query1[[#This Row],[Shares]], IF(Query1[[#This Row],[Month]]&lt;&gt;H331, P331+Query1[[#This Row],[Enhanced top up]]/Query1[[#This Row],[Adj Close]], P331))</f>
        <v>3323.2112789847574</v>
      </c>
      <c r="Q332" s="2">
        <f>IFERROR(AVERAGE(
  IF(ROW()&gt;20, INDEX(G:G, ROW()-20), 0) :
  INDEX(G:G, ROW())
),0)</f>
        <v>242.50713384719123</v>
      </c>
    </row>
    <row r="333" spans="1:17" x14ac:dyDescent="0.4">
      <c r="A333" s="1">
        <v>44313</v>
      </c>
      <c r="B333">
        <v>261.57998657226563</v>
      </c>
      <c r="C333">
        <v>263.19000244140625</v>
      </c>
      <c r="D333">
        <v>260.1199951171875</v>
      </c>
      <c r="E333">
        <v>261.97000122070313</v>
      </c>
      <c r="F333">
        <v>31014200</v>
      </c>
      <c r="G333">
        <v>252.421142578125</v>
      </c>
      <c r="H333" s="2">
        <f>MONTH(Query1[[#This Row],[Date]])</f>
        <v>4</v>
      </c>
      <c r="I333" s="3">
        <f>Query1[[#This Row],[Shares]]*Query1[[#This Row],[Adj Close]]</f>
        <v>906772.20936280198</v>
      </c>
      <c r="J333" s="3">
        <f>IF(ROW()&lt;3, Dashboard!$E$7, IF(Query1[[#This Row],[Month]]&lt;&gt;H332,J332*(1+Dashboard!$E$4)+Dashboard!$E$5,J332))</f>
        <v>612678.26875899907</v>
      </c>
      <c r="K333">
        <f>IF(ROW()&lt;3, 0,IF(Query1[[#This Row],[Month]]&lt;&gt;H332,IF((J333-I333&gt;0),J333-I333,0),0))</f>
        <v>0</v>
      </c>
      <c r="L333" s="2">
        <f t="shared" si="5"/>
        <v>3592.2989655359538</v>
      </c>
      <c r="M333">
        <f>IF(ROW()&lt;3, 0, IF(Query1[[#This Row],[Month]]&lt;&gt;H332, Dashboard!$J$5,0))</f>
        <v>0</v>
      </c>
      <c r="N333" s="2">
        <f>IF(ROW()&lt;3, Query1[[#This Row],[Shares]], IF(Query1[[#This Row],[Month]]&lt;&gt;H332, N332+Query1[[#This Row],[Fix Top Up]]/Query1[[#This Row],[Adj Close]], N332))</f>
        <v>3332.6894002699546</v>
      </c>
      <c r="O333">
        <f>IF(AND(Query1[[#This Row],[avg]]&gt;0, Query1[[#This Row],[Month]]&lt;&gt;H332),
    IF(Query1[[#This Row],[Adj Close]]&gt;Query1[[#This Row],[avg]],
       Dashboard!$L$5-Dashboard!$E$6,
       Dashboard!$L$5+Dashboard!$E$6
    ), 0
)</f>
        <v>0</v>
      </c>
      <c r="P333" s="2">
        <f>IF(ROW()&lt;3, Query1[[#This Row],[Shares]], IF(Query1[[#This Row],[Month]]&lt;&gt;H332, P332+Query1[[#This Row],[Enhanced top up]]/Query1[[#This Row],[Adj Close]], P332))</f>
        <v>3323.2112789847574</v>
      </c>
      <c r="Q333" s="2">
        <f>IFERROR(AVERAGE(
  IF(ROW()&gt;20, INDEX(G:G, ROW()-20), 0) :
  INDEX(G:G, ROW())
),0)</f>
        <v>243.67669968377976</v>
      </c>
    </row>
    <row r="334" spans="1:17" x14ac:dyDescent="0.4">
      <c r="A334" s="1">
        <v>44314</v>
      </c>
      <c r="B334">
        <v>256.07998657226563</v>
      </c>
      <c r="C334">
        <v>256.54000854492188</v>
      </c>
      <c r="D334">
        <v>252.94999694824219</v>
      </c>
      <c r="E334">
        <v>254.55999755859375</v>
      </c>
      <c r="F334">
        <v>46903100</v>
      </c>
      <c r="G334">
        <v>245.28120422363281</v>
      </c>
      <c r="H334" s="2">
        <f>MONTH(Query1[[#This Row],[Date]])</f>
        <v>4</v>
      </c>
      <c r="I334" s="3">
        <f>Query1[[#This Row],[Shares]]*Query1[[#This Row],[Adj Close]]</f>
        <v>881123.41619796923</v>
      </c>
      <c r="J334" s="3">
        <f>IF(ROW()&lt;3, Dashboard!$E$7, IF(Query1[[#This Row],[Month]]&lt;&gt;H333,J333*(1+Dashboard!$E$4)+Dashboard!$E$5,J333))</f>
        <v>612678.26875899907</v>
      </c>
      <c r="K334">
        <f>IF(ROW()&lt;3, 0,IF(Query1[[#This Row],[Month]]&lt;&gt;H333,IF((J334-I334&gt;0),J334-I334,0),0))</f>
        <v>0</v>
      </c>
      <c r="L334" s="2">
        <f t="shared" si="5"/>
        <v>3592.2989655359538</v>
      </c>
      <c r="M334">
        <f>IF(ROW()&lt;3, 0, IF(Query1[[#This Row],[Month]]&lt;&gt;H333, Dashboard!$J$5,0))</f>
        <v>0</v>
      </c>
      <c r="N334" s="2">
        <f>IF(ROW()&lt;3, Query1[[#This Row],[Shares]], IF(Query1[[#This Row],[Month]]&lt;&gt;H333, N333+Query1[[#This Row],[Fix Top Up]]/Query1[[#This Row],[Adj Close]], N333))</f>
        <v>3332.6894002699546</v>
      </c>
      <c r="O334">
        <f>IF(AND(Query1[[#This Row],[avg]]&gt;0, Query1[[#This Row],[Month]]&lt;&gt;H333),
    IF(Query1[[#This Row],[Adj Close]]&gt;Query1[[#This Row],[avg]],
       Dashboard!$L$5-Dashboard!$E$6,
       Dashboard!$L$5+Dashboard!$E$6
    ), 0
)</f>
        <v>0</v>
      </c>
      <c r="P334" s="2">
        <f>IF(ROW()&lt;3, Query1[[#This Row],[Shares]], IF(Query1[[#This Row],[Month]]&lt;&gt;H333, P333+Query1[[#This Row],[Enhanced top up]]/Query1[[#This Row],[Adj Close]], P333))</f>
        <v>3323.2112789847574</v>
      </c>
      <c r="Q334" s="2">
        <f>IFERROR(AVERAGE(
  IF(ROW()&gt;20, INDEX(G:G, ROW()-20), 0) :
  INDEX(G:G, ROW())
),0)</f>
        <v>244.56316266741072</v>
      </c>
    </row>
    <row r="335" spans="1:17" x14ac:dyDescent="0.4">
      <c r="A335" s="1">
        <v>44315</v>
      </c>
      <c r="B335">
        <v>255.46000671386719</v>
      </c>
      <c r="C335">
        <v>256.10000610351563</v>
      </c>
      <c r="D335">
        <v>249</v>
      </c>
      <c r="E335">
        <v>252.50999450683594</v>
      </c>
      <c r="F335">
        <v>40589000</v>
      </c>
      <c r="G335">
        <v>243.30595397949219</v>
      </c>
      <c r="H335" s="2">
        <f>MONTH(Query1[[#This Row],[Date]])</f>
        <v>4</v>
      </c>
      <c r="I335" s="3">
        <f>Query1[[#This Row],[Shares]]*Query1[[#This Row],[Adj Close]]</f>
        <v>874027.7267892682</v>
      </c>
      <c r="J335" s="3">
        <f>IF(ROW()&lt;3, Dashboard!$E$7, IF(Query1[[#This Row],[Month]]&lt;&gt;H334,J334*(1+Dashboard!$E$4)+Dashboard!$E$5,J334))</f>
        <v>612678.26875899907</v>
      </c>
      <c r="K335">
        <f>IF(ROW()&lt;3, 0,IF(Query1[[#This Row],[Month]]&lt;&gt;H334,IF((J335-I335&gt;0),J335-I335,0),0))</f>
        <v>0</v>
      </c>
      <c r="L335" s="2">
        <f t="shared" si="5"/>
        <v>3592.2989655359538</v>
      </c>
      <c r="M335">
        <f>IF(ROW()&lt;3, 0, IF(Query1[[#This Row],[Month]]&lt;&gt;H334, Dashboard!$J$5,0))</f>
        <v>0</v>
      </c>
      <c r="N335" s="2">
        <f>IF(ROW()&lt;3, Query1[[#This Row],[Shares]], IF(Query1[[#This Row],[Month]]&lt;&gt;H334, N334+Query1[[#This Row],[Fix Top Up]]/Query1[[#This Row],[Adj Close]], N334))</f>
        <v>3332.6894002699546</v>
      </c>
      <c r="O335">
        <f>IF(AND(Query1[[#This Row],[avg]]&gt;0, Query1[[#This Row],[Month]]&lt;&gt;H334),
    IF(Query1[[#This Row],[Adj Close]]&gt;Query1[[#This Row],[avg]],
       Dashboard!$L$5-Dashboard!$E$6,
       Dashboard!$L$5+Dashboard!$E$6
    ), 0
)</f>
        <v>0</v>
      </c>
      <c r="P335" s="2">
        <f>IF(ROW()&lt;3, Query1[[#This Row],[Shares]], IF(Query1[[#This Row],[Month]]&lt;&gt;H334, P334+Query1[[#This Row],[Enhanced top up]]/Query1[[#This Row],[Adj Close]], P334))</f>
        <v>3323.2112789847574</v>
      </c>
      <c r="Q335" s="2">
        <f>IFERROR(AVERAGE(
  IF(ROW()&gt;20, INDEX(G:G, ROW()-20), 0) :
  INDEX(G:G, ROW())
),0)</f>
        <v>245.51111275809151</v>
      </c>
    </row>
    <row r="336" spans="1:17" x14ac:dyDescent="0.4">
      <c r="A336" s="1">
        <v>44316</v>
      </c>
      <c r="B336">
        <v>249.74000549316406</v>
      </c>
      <c r="C336">
        <v>253.08000183105469</v>
      </c>
      <c r="D336">
        <v>249.60000610351563</v>
      </c>
      <c r="E336">
        <v>252.17999267578125</v>
      </c>
      <c r="F336">
        <v>30945100</v>
      </c>
      <c r="G336">
        <v>242.98799133300781</v>
      </c>
      <c r="H336" s="2">
        <f>MONTH(Query1[[#This Row],[Date]])</f>
        <v>4</v>
      </c>
      <c r="I336" s="3">
        <f>Query1[[#This Row],[Shares]]*Query1[[#This Row],[Adj Close]]</f>
        <v>872885.50990322325</v>
      </c>
      <c r="J336" s="3">
        <f>IF(ROW()&lt;3, Dashboard!$E$7, IF(Query1[[#This Row],[Month]]&lt;&gt;H335,J335*(1+Dashboard!$E$4)+Dashboard!$E$5,J335))</f>
        <v>612678.26875899907</v>
      </c>
      <c r="K336">
        <f>IF(ROW()&lt;3, 0,IF(Query1[[#This Row],[Month]]&lt;&gt;H335,IF((J336-I336&gt;0),J336-I336,0),0))</f>
        <v>0</v>
      </c>
      <c r="L336" s="2">
        <f t="shared" si="5"/>
        <v>3592.2989655359538</v>
      </c>
      <c r="M336">
        <f>IF(ROW()&lt;3, 0, IF(Query1[[#This Row],[Month]]&lt;&gt;H335, Dashboard!$J$5,0))</f>
        <v>0</v>
      </c>
      <c r="N336" s="2">
        <f>IF(ROW()&lt;3, Query1[[#This Row],[Shares]], IF(Query1[[#This Row],[Month]]&lt;&gt;H335, N335+Query1[[#This Row],[Fix Top Up]]/Query1[[#This Row],[Adj Close]], N335))</f>
        <v>3332.6894002699546</v>
      </c>
      <c r="O336">
        <f>IF(AND(Query1[[#This Row],[avg]]&gt;0, Query1[[#This Row],[Month]]&lt;&gt;H335),
    IF(Query1[[#This Row],[Adj Close]]&gt;Query1[[#This Row],[avg]],
       Dashboard!$L$5-Dashboard!$E$6,
       Dashboard!$L$5+Dashboard!$E$6
    ), 0
)</f>
        <v>0</v>
      </c>
      <c r="P336" s="2">
        <f>IF(ROW()&lt;3, Query1[[#This Row],[Shares]], IF(Query1[[#This Row],[Month]]&lt;&gt;H335, P335+Query1[[#This Row],[Enhanced top up]]/Query1[[#This Row],[Adj Close]], P335))</f>
        <v>3323.2112789847574</v>
      </c>
      <c r="Q336" s="2">
        <f>IFERROR(AVERAGE(
  IF(ROW()&gt;20, INDEX(G:G, ROW()-20), 0) :
  INDEX(G:G, ROW())
),0)</f>
        <v>246.26405843098959</v>
      </c>
    </row>
    <row r="337" spans="1:17" x14ac:dyDescent="0.4">
      <c r="A337" s="1">
        <v>44319</v>
      </c>
      <c r="B337">
        <v>253.39999389648438</v>
      </c>
      <c r="C337">
        <v>254.35000610351563</v>
      </c>
      <c r="D337">
        <v>251.1199951171875</v>
      </c>
      <c r="E337">
        <v>251.86000061035156</v>
      </c>
      <c r="F337">
        <v>19626600</v>
      </c>
      <c r="G337">
        <v>242.67964172363281</v>
      </c>
      <c r="H337" s="2">
        <f>MONTH(Query1[[#This Row],[Date]])</f>
        <v>5</v>
      </c>
      <c r="I337" s="3">
        <f>Query1[[#This Row],[Shares]]*Query1[[#This Row],[Adj Close]]</f>
        <v>871777.825920442</v>
      </c>
      <c r="J337" s="3">
        <f>IF(ROW()&lt;3, Dashboard!$E$7, IF(Query1[[#This Row],[Month]]&lt;&gt;H336,J336*(1+Dashboard!$E$4)+Dashboard!$E$5,J336))</f>
        <v>620805.05144658906</v>
      </c>
      <c r="K337">
        <f>IF(ROW()&lt;3, 0,IF(Query1[[#This Row],[Month]]&lt;&gt;H336,IF((J337-I337&gt;0),J337-I337,0),0))</f>
        <v>0</v>
      </c>
      <c r="L337" s="2">
        <f t="shared" si="5"/>
        <v>3592.2989655359538</v>
      </c>
      <c r="M337">
        <f>IF(ROW()&lt;3, 0, IF(Query1[[#This Row],[Month]]&lt;&gt;H336, Dashboard!$J$5,0))</f>
        <v>773.47399999999971</v>
      </c>
      <c r="N337" s="2">
        <f>IF(ROW()&lt;3, Query1[[#This Row],[Shares]], IF(Query1[[#This Row],[Month]]&lt;&gt;H336, N336+Query1[[#This Row],[Fix Top Up]]/Query1[[#This Row],[Adj Close]], N336))</f>
        <v>3335.8766227106439</v>
      </c>
      <c r="O337">
        <f>IF(AND(Query1[[#This Row],[avg]]&gt;0, Query1[[#This Row],[Month]]&lt;&gt;H336),
    IF(Query1[[#This Row],[Adj Close]]&gt;Query1[[#This Row],[avg]],
       Dashboard!$L$5-Dashboard!$E$6,
       Dashboard!$L$5+Dashboard!$E$6
    ), 0
)</f>
        <v>1390.1406666666667</v>
      </c>
      <c r="P337" s="2">
        <f>IF(ROW()&lt;3, Query1[[#This Row],[Shares]], IF(Query1[[#This Row],[Month]]&lt;&gt;H336, P336+Query1[[#This Row],[Enhanced top up]]/Query1[[#This Row],[Adj Close]], P336))</f>
        <v>3328.9395743489385</v>
      </c>
      <c r="Q337" s="2">
        <f>IFERROR(AVERAGE(
  IF(ROW()&gt;20, INDEX(G:G, ROW()-20), 0) :
  INDEX(G:G, ROW())
),0)</f>
        <v>246.70040893554688</v>
      </c>
    </row>
    <row r="338" spans="1:17" x14ac:dyDescent="0.4">
      <c r="A338" s="1">
        <v>44320</v>
      </c>
      <c r="B338">
        <v>250.97000122070313</v>
      </c>
      <c r="C338">
        <v>251.21000671386719</v>
      </c>
      <c r="D338">
        <v>245.75999450683594</v>
      </c>
      <c r="E338">
        <v>247.78999328613281</v>
      </c>
      <c r="F338">
        <v>32756100</v>
      </c>
      <c r="G338">
        <v>238.75799560546875</v>
      </c>
      <c r="H338" s="2">
        <f>MONTH(Query1[[#This Row],[Date]])</f>
        <v>5</v>
      </c>
      <c r="I338" s="3">
        <f>Query1[[#This Row],[Shares]]*Query1[[#This Row],[Adj Close]]</f>
        <v>857690.10062696319</v>
      </c>
      <c r="J338" s="3">
        <f>IF(ROW()&lt;3, Dashboard!$E$7, IF(Query1[[#This Row],[Month]]&lt;&gt;H337,J337*(1+Dashboard!$E$4)+Dashboard!$E$5,J337))</f>
        <v>620805.05144658906</v>
      </c>
      <c r="K338">
        <f>IF(ROW()&lt;3, 0,IF(Query1[[#This Row],[Month]]&lt;&gt;H337,IF((J338-I338&gt;0),J338-I338,0),0))</f>
        <v>0</v>
      </c>
      <c r="L338" s="2">
        <f t="shared" si="5"/>
        <v>3592.2989655359538</v>
      </c>
      <c r="M338">
        <f>IF(ROW()&lt;3, 0, IF(Query1[[#This Row],[Month]]&lt;&gt;H337, Dashboard!$J$5,0))</f>
        <v>0</v>
      </c>
      <c r="N338" s="2">
        <f>IF(ROW()&lt;3, Query1[[#This Row],[Shares]], IF(Query1[[#This Row],[Month]]&lt;&gt;H337, N337+Query1[[#This Row],[Fix Top Up]]/Query1[[#This Row],[Adj Close]], N337))</f>
        <v>3335.8766227106439</v>
      </c>
      <c r="O338">
        <f>IF(AND(Query1[[#This Row],[avg]]&gt;0, Query1[[#This Row],[Month]]&lt;&gt;H337),
    IF(Query1[[#This Row],[Adj Close]]&gt;Query1[[#This Row],[avg]],
       Dashboard!$L$5-Dashboard!$E$6,
       Dashboard!$L$5+Dashboard!$E$6
    ), 0
)</f>
        <v>0</v>
      </c>
      <c r="P338" s="2">
        <f>IF(ROW()&lt;3, Query1[[#This Row],[Shares]], IF(Query1[[#This Row],[Month]]&lt;&gt;H337, P337+Query1[[#This Row],[Enhanced top up]]/Query1[[#This Row],[Adj Close]], P337))</f>
        <v>3328.9395743489385</v>
      </c>
      <c r="Q338" s="2">
        <f>IFERROR(AVERAGE(
  IF(ROW()&gt;20, INDEX(G:G, ROW()-20), 0) :
  INDEX(G:G, ROW())
),0)</f>
        <v>246.64167858305433</v>
      </c>
    </row>
    <row r="339" spans="1:17" x14ac:dyDescent="0.4">
      <c r="A339" s="1">
        <v>44321</v>
      </c>
      <c r="B339">
        <v>249.05999755859375</v>
      </c>
      <c r="C339">
        <v>249.5</v>
      </c>
      <c r="D339">
        <v>245.82000732421875</v>
      </c>
      <c r="E339">
        <v>246.47000122070313</v>
      </c>
      <c r="F339">
        <v>21901300</v>
      </c>
      <c r="G339">
        <v>237.48609924316406</v>
      </c>
      <c r="H339" s="2">
        <f>MONTH(Query1[[#This Row],[Date]])</f>
        <v>5</v>
      </c>
      <c r="I339" s="3">
        <f>Query1[[#This Row],[Shares]]*Query1[[#This Row],[Adj Close]]</f>
        <v>853121.06864038715</v>
      </c>
      <c r="J339" s="3">
        <f>IF(ROW()&lt;3, Dashboard!$E$7, IF(Query1[[#This Row],[Month]]&lt;&gt;H338,J338*(1+Dashboard!$E$4)+Dashboard!$E$5,J338))</f>
        <v>620805.05144658906</v>
      </c>
      <c r="K339">
        <f>IF(ROW()&lt;3, 0,IF(Query1[[#This Row],[Month]]&lt;&gt;H338,IF((J339-I339&gt;0),J339-I339,0),0))</f>
        <v>0</v>
      </c>
      <c r="L339" s="2">
        <f t="shared" si="5"/>
        <v>3592.2989655359538</v>
      </c>
      <c r="M339">
        <f>IF(ROW()&lt;3, 0, IF(Query1[[#This Row],[Month]]&lt;&gt;H338, Dashboard!$J$5,0))</f>
        <v>0</v>
      </c>
      <c r="N339" s="2">
        <f>IF(ROW()&lt;3, Query1[[#This Row],[Shares]], IF(Query1[[#This Row],[Month]]&lt;&gt;H338, N338+Query1[[#This Row],[Fix Top Up]]/Query1[[#This Row],[Adj Close]], N338))</f>
        <v>3335.8766227106439</v>
      </c>
      <c r="O339">
        <f>IF(AND(Query1[[#This Row],[avg]]&gt;0, Query1[[#This Row],[Month]]&lt;&gt;H338),
    IF(Query1[[#This Row],[Adj Close]]&gt;Query1[[#This Row],[avg]],
       Dashboard!$L$5-Dashboard!$E$6,
       Dashboard!$L$5+Dashboard!$E$6
    ), 0
)</f>
        <v>0</v>
      </c>
      <c r="P339" s="2">
        <f>IF(ROW()&lt;3, Query1[[#This Row],[Shares]], IF(Query1[[#This Row],[Month]]&lt;&gt;H338, P338+Query1[[#This Row],[Enhanced top up]]/Query1[[#This Row],[Adj Close]], P338))</f>
        <v>3328.9395743489385</v>
      </c>
      <c r="Q339" s="2">
        <f>IFERROR(AVERAGE(
  IF(ROW()&gt;20, INDEX(G:G, ROW()-20), 0) :
  INDEX(G:G, ROW())
),0)</f>
        <v>246.57789975120909</v>
      </c>
    </row>
    <row r="340" spans="1:17" x14ac:dyDescent="0.4">
      <c r="A340" s="1">
        <v>44322</v>
      </c>
      <c r="B340">
        <v>246.44999694824219</v>
      </c>
      <c r="C340">
        <v>249.86000061035156</v>
      </c>
      <c r="D340">
        <v>244.69000244140625</v>
      </c>
      <c r="E340">
        <v>249.72999572753906</v>
      </c>
      <c r="F340">
        <v>26491100</v>
      </c>
      <c r="G340">
        <v>240.62727355957031</v>
      </c>
      <c r="H340" s="2">
        <f>MONTH(Query1[[#This Row],[Date]])</f>
        <v>5</v>
      </c>
      <c r="I340" s="3">
        <f>Query1[[#This Row],[Shares]]*Query1[[#This Row],[Adj Close]]</f>
        <v>864405.10588778136</v>
      </c>
      <c r="J340" s="3">
        <f>IF(ROW()&lt;3, Dashboard!$E$7, IF(Query1[[#This Row],[Month]]&lt;&gt;H339,J339*(1+Dashboard!$E$4)+Dashboard!$E$5,J339))</f>
        <v>620805.05144658906</v>
      </c>
      <c r="K340">
        <f>IF(ROW()&lt;3, 0,IF(Query1[[#This Row],[Month]]&lt;&gt;H339,IF((J340-I340&gt;0),J340-I340,0),0))</f>
        <v>0</v>
      </c>
      <c r="L340" s="2">
        <f t="shared" si="5"/>
        <v>3592.2989655359538</v>
      </c>
      <c r="M340">
        <f>IF(ROW()&lt;3, 0, IF(Query1[[#This Row],[Month]]&lt;&gt;H339, Dashboard!$J$5,0))</f>
        <v>0</v>
      </c>
      <c r="N340" s="2">
        <f>IF(ROW()&lt;3, Query1[[#This Row],[Shares]], IF(Query1[[#This Row],[Month]]&lt;&gt;H339, N339+Query1[[#This Row],[Fix Top Up]]/Query1[[#This Row],[Adj Close]], N339))</f>
        <v>3335.8766227106439</v>
      </c>
      <c r="O340">
        <f>IF(AND(Query1[[#This Row],[avg]]&gt;0, Query1[[#This Row],[Month]]&lt;&gt;H339),
    IF(Query1[[#This Row],[Adj Close]]&gt;Query1[[#This Row],[avg]],
       Dashboard!$L$5-Dashboard!$E$6,
       Dashboard!$L$5+Dashboard!$E$6
    ), 0
)</f>
        <v>0</v>
      </c>
      <c r="P340" s="2">
        <f>IF(ROW()&lt;3, Query1[[#This Row],[Shares]], IF(Query1[[#This Row],[Month]]&lt;&gt;H339, P339+Query1[[#This Row],[Enhanced top up]]/Query1[[#This Row],[Adj Close]], P339))</f>
        <v>3328.9395743489385</v>
      </c>
      <c r="Q340" s="2">
        <f>IFERROR(AVERAGE(
  IF(ROW()&gt;20, INDEX(G:G, ROW()-20), 0) :
  INDEX(G:G, ROW())
),0)</f>
        <v>246.57010033017113</v>
      </c>
    </row>
    <row r="341" spans="1:17" x14ac:dyDescent="0.4">
      <c r="A341" s="1">
        <v>44323</v>
      </c>
      <c r="B341">
        <v>252.14999389648438</v>
      </c>
      <c r="C341">
        <v>254.30000305175781</v>
      </c>
      <c r="D341">
        <v>251.16999816894531</v>
      </c>
      <c r="E341">
        <v>252.46000671386719</v>
      </c>
      <c r="F341">
        <v>27032900</v>
      </c>
      <c r="G341">
        <v>243.25776672363281</v>
      </c>
      <c r="H341" s="2">
        <f>MONTH(Query1[[#This Row],[Date]])</f>
        <v>5</v>
      </c>
      <c r="I341" s="3">
        <f>Query1[[#This Row],[Shares]]*Query1[[#This Row],[Adj Close]]</f>
        <v>873854.62375989254</v>
      </c>
      <c r="J341" s="3">
        <f>IF(ROW()&lt;3, Dashboard!$E$7, IF(Query1[[#This Row],[Month]]&lt;&gt;H340,J340*(1+Dashboard!$E$4)+Dashboard!$E$5,J340))</f>
        <v>620805.05144658906</v>
      </c>
      <c r="K341">
        <f>IF(ROW()&lt;3, 0,IF(Query1[[#This Row],[Month]]&lt;&gt;H340,IF((J341-I341&gt;0),J341-I341,0),0))</f>
        <v>0</v>
      </c>
      <c r="L341" s="2">
        <f t="shared" si="5"/>
        <v>3592.2989655359538</v>
      </c>
      <c r="M341">
        <f>IF(ROW()&lt;3, 0, IF(Query1[[#This Row],[Month]]&lt;&gt;H340, Dashboard!$J$5,0))</f>
        <v>0</v>
      </c>
      <c r="N341" s="2">
        <f>IF(ROW()&lt;3, Query1[[#This Row],[Shares]], IF(Query1[[#This Row],[Month]]&lt;&gt;H340, N340+Query1[[#This Row],[Fix Top Up]]/Query1[[#This Row],[Adj Close]], N340))</f>
        <v>3335.8766227106439</v>
      </c>
      <c r="O341">
        <f>IF(AND(Query1[[#This Row],[avg]]&gt;0, Query1[[#This Row],[Month]]&lt;&gt;H340),
    IF(Query1[[#This Row],[Adj Close]]&gt;Query1[[#This Row],[avg]],
       Dashboard!$L$5-Dashboard!$E$6,
       Dashboard!$L$5+Dashboard!$E$6
    ), 0
)</f>
        <v>0</v>
      </c>
      <c r="P341" s="2">
        <f>IF(ROW()&lt;3, Query1[[#This Row],[Shares]], IF(Query1[[#This Row],[Month]]&lt;&gt;H340, P340+Query1[[#This Row],[Enhanced top up]]/Query1[[#This Row],[Adj Close]], P340))</f>
        <v>3328.9395743489385</v>
      </c>
      <c r="Q341" s="2">
        <f>IFERROR(AVERAGE(
  IF(ROW()&gt;20, INDEX(G:G, ROW()-20), 0) :
  INDEX(G:G, ROW())
),0)</f>
        <v>246.53385126023065</v>
      </c>
    </row>
    <row r="342" spans="1:17" x14ac:dyDescent="0.4">
      <c r="A342" s="1">
        <v>44326</v>
      </c>
      <c r="B342">
        <v>250.8699951171875</v>
      </c>
      <c r="C342">
        <v>251.72999572753906</v>
      </c>
      <c r="D342">
        <v>247.1199951171875</v>
      </c>
      <c r="E342">
        <v>247.17999267578125</v>
      </c>
      <c r="F342">
        <v>29299900</v>
      </c>
      <c r="G342">
        <v>238.17024230957031</v>
      </c>
      <c r="H342" s="2">
        <f>MONTH(Query1[[#This Row],[Date]])</f>
        <v>5</v>
      </c>
      <c r="I342" s="3">
        <f>Query1[[#This Row],[Shares]]*Query1[[#This Row],[Adj Close]]</f>
        <v>855578.71507011692</v>
      </c>
      <c r="J342" s="3">
        <f>IF(ROW()&lt;3, Dashboard!$E$7, IF(Query1[[#This Row],[Month]]&lt;&gt;H341,J341*(1+Dashboard!$E$4)+Dashboard!$E$5,J341))</f>
        <v>620805.05144658906</v>
      </c>
      <c r="K342">
        <f>IF(ROW()&lt;3, 0,IF(Query1[[#This Row],[Month]]&lt;&gt;H341,IF((J342-I342&gt;0),J342-I342,0),0))</f>
        <v>0</v>
      </c>
      <c r="L342" s="2">
        <f t="shared" si="5"/>
        <v>3592.2989655359538</v>
      </c>
      <c r="M342">
        <f>IF(ROW()&lt;3, 0, IF(Query1[[#This Row],[Month]]&lt;&gt;H341, Dashboard!$J$5,0))</f>
        <v>0</v>
      </c>
      <c r="N342" s="2">
        <f>IF(ROW()&lt;3, Query1[[#This Row],[Shares]], IF(Query1[[#This Row],[Month]]&lt;&gt;H341, N341+Query1[[#This Row],[Fix Top Up]]/Query1[[#This Row],[Adj Close]], N341))</f>
        <v>3335.8766227106439</v>
      </c>
      <c r="O342">
        <f>IF(AND(Query1[[#This Row],[avg]]&gt;0, Query1[[#This Row],[Month]]&lt;&gt;H341),
    IF(Query1[[#This Row],[Adj Close]]&gt;Query1[[#This Row],[avg]],
       Dashboard!$L$5-Dashboard!$E$6,
       Dashboard!$L$5+Dashboard!$E$6
    ), 0
)</f>
        <v>0</v>
      </c>
      <c r="P342" s="2">
        <f>IF(ROW()&lt;3, Query1[[#This Row],[Shares]], IF(Query1[[#This Row],[Month]]&lt;&gt;H341, P341+Query1[[#This Row],[Enhanced top up]]/Query1[[#This Row],[Adj Close]], P341))</f>
        <v>3328.9395743489385</v>
      </c>
      <c r="Q342" s="2">
        <f>IFERROR(AVERAGE(
  IF(ROW()&gt;20, INDEX(G:G, ROW()-20), 0) :
  INDEX(G:G, ROW())
),0)</f>
        <v>246.13604227701822</v>
      </c>
    </row>
    <row r="343" spans="1:17" x14ac:dyDescent="0.4">
      <c r="A343" s="1">
        <v>44327</v>
      </c>
      <c r="B343">
        <v>244.55000305175781</v>
      </c>
      <c r="C343">
        <v>246.60000610351563</v>
      </c>
      <c r="D343">
        <v>242.57000732421875</v>
      </c>
      <c r="E343">
        <v>246.22999572753906</v>
      </c>
      <c r="F343">
        <v>33641600</v>
      </c>
      <c r="G343">
        <v>237.25483703613281</v>
      </c>
      <c r="H343" s="2">
        <f>MONTH(Query1[[#This Row],[Date]])</f>
        <v>5</v>
      </c>
      <c r="I343" s="3">
        <f>Query1[[#This Row],[Shares]]*Query1[[#This Row],[Adj Close]]</f>
        <v>852290.30565330118</v>
      </c>
      <c r="J343" s="3">
        <f>IF(ROW()&lt;3, Dashboard!$E$7, IF(Query1[[#This Row],[Month]]&lt;&gt;H342,J342*(1+Dashboard!$E$4)+Dashboard!$E$5,J342))</f>
        <v>620805.05144658906</v>
      </c>
      <c r="K343">
        <f>IF(ROW()&lt;3, 0,IF(Query1[[#This Row],[Month]]&lt;&gt;H342,IF((J343-I343&gt;0),J343-I343,0),0))</f>
        <v>0</v>
      </c>
      <c r="L343" s="2">
        <f t="shared" si="5"/>
        <v>3592.2989655359538</v>
      </c>
      <c r="M343">
        <f>IF(ROW()&lt;3, 0, IF(Query1[[#This Row],[Month]]&lt;&gt;H342, Dashboard!$J$5,0))</f>
        <v>0</v>
      </c>
      <c r="N343" s="2">
        <f>IF(ROW()&lt;3, Query1[[#This Row],[Shares]], IF(Query1[[#This Row],[Month]]&lt;&gt;H342, N342+Query1[[#This Row],[Fix Top Up]]/Query1[[#This Row],[Adj Close]], N342))</f>
        <v>3335.8766227106439</v>
      </c>
      <c r="O343">
        <f>IF(AND(Query1[[#This Row],[avg]]&gt;0, Query1[[#This Row],[Month]]&lt;&gt;H342),
    IF(Query1[[#This Row],[Adj Close]]&gt;Query1[[#This Row],[avg]],
       Dashboard!$L$5-Dashboard!$E$6,
       Dashboard!$L$5+Dashboard!$E$6
    ), 0
)</f>
        <v>0</v>
      </c>
      <c r="P343" s="2">
        <f>IF(ROW()&lt;3, Query1[[#This Row],[Shares]], IF(Query1[[#This Row],[Month]]&lt;&gt;H342, P342+Query1[[#This Row],[Enhanced top up]]/Query1[[#This Row],[Adj Close]], P342))</f>
        <v>3328.9395743489385</v>
      </c>
      <c r="Q343" s="2">
        <f>IFERROR(AVERAGE(
  IF(ROW()&gt;20, INDEX(G:G, ROW()-20), 0) :
  INDEX(G:G, ROW())
),0)</f>
        <v>245.69188944498697</v>
      </c>
    </row>
    <row r="344" spans="1:17" x14ac:dyDescent="0.4">
      <c r="A344" s="1">
        <v>44328</v>
      </c>
      <c r="B344">
        <v>242.16999816894531</v>
      </c>
      <c r="C344">
        <v>244.3800048828125</v>
      </c>
      <c r="D344">
        <v>238.07000732421875</v>
      </c>
      <c r="E344">
        <v>239</v>
      </c>
      <c r="F344">
        <v>36684400</v>
      </c>
      <c r="G344">
        <v>230.28839111328125</v>
      </c>
      <c r="H344" s="2">
        <f>MONTH(Query1[[#This Row],[Date]])</f>
        <v>5</v>
      </c>
      <c r="I344" s="3">
        <f>Query1[[#This Row],[Shares]]*Query1[[#This Row],[Adj Close]]</f>
        <v>827264.74917117937</v>
      </c>
      <c r="J344" s="3">
        <f>IF(ROW()&lt;3, Dashboard!$E$7, IF(Query1[[#This Row],[Month]]&lt;&gt;H343,J343*(1+Dashboard!$E$4)+Dashboard!$E$5,J343))</f>
        <v>620805.05144658906</v>
      </c>
      <c r="K344">
        <f>IF(ROW()&lt;3, 0,IF(Query1[[#This Row],[Month]]&lt;&gt;H343,IF((J344-I344&gt;0),J344-I344,0),0))</f>
        <v>0</v>
      </c>
      <c r="L344" s="2">
        <f t="shared" si="5"/>
        <v>3592.2989655359538</v>
      </c>
      <c r="M344">
        <f>IF(ROW()&lt;3, 0, IF(Query1[[#This Row],[Month]]&lt;&gt;H343, Dashboard!$J$5,0))</f>
        <v>0</v>
      </c>
      <c r="N344" s="2">
        <f>IF(ROW()&lt;3, Query1[[#This Row],[Shares]], IF(Query1[[#This Row],[Month]]&lt;&gt;H343, N343+Query1[[#This Row],[Fix Top Up]]/Query1[[#This Row],[Adj Close]], N343))</f>
        <v>3335.8766227106439</v>
      </c>
      <c r="O344">
        <f>IF(AND(Query1[[#This Row],[avg]]&gt;0, Query1[[#This Row],[Month]]&lt;&gt;H343),
    IF(Query1[[#This Row],[Adj Close]]&gt;Query1[[#This Row],[avg]],
       Dashboard!$L$5-Dashboard!$E$6,
       Dashboard!$L$5+Dashboard!$E$6
    ), 0
)</f>
        <v>0</v>
      </c>
      <c r="P344" s="2">
        <f>IF(ROW()&lt;3, Query1[[#This Row],[Shares]], IF(Query1[[#This Row],[Month]]&lt;&gt;H343, P343+Query1[[#This Row],[Enhanced top up]]/Query1[[#This Row],[Adj Close]], P343))</f>
        <v>3328.9395743489385</v>
      </c>
      <c r="Q344" s="2">
        <f>IFERROR(AVERAGE(
  IF(ROW()&gt;20, INDEX(G:G, ROW()-20), 0) :
  INDEX(G:G, ROW())
),0)</f>
        <v>244.79762050083704</v>
      </c>
    </row>
    <row r="345" spans="1:17" x14ac:dyDescent="0.4">
      <c r="A345" s="1">
        <v>44329</v>
      </c>
      <c r="B345">
        <v>241.80000305175781</v>
      </c>
      <c r="C345">
        <v>245.60000610351563</v>
      </c>
      <c r="D345">
        <v>241.41999816894531</v>
      </c>
      <c r="E345">
        <v>243.02999877929688</v>
      </c>
      <c r="F345">
        <v>29624300</v>
      </c>
      <c r="G345">
        <v>234.17147827148438</v>
      </c>
      <c r="H345" s="2">
        <f>MONTH(Query1[[#This Row],[Date]])</f>
        <v>5</v>
      </c>
      <c r="I345" s="3">
        <f>Query1[[#This Row],[Shares]]*Query1[[#This Row],[Adj Close]]</f>
        <v>841213.95915267838</v>
      </c>
      <c r="J345" s="3">
        <f>IF(ROW()&lt;3, Dashboard!$E$7, IF(Query1[[#This Row],[Month]]&lt;&gt;H344,J344*(1+Dashboard!$E$4)+Dashboard!$E$5,J344))</f>
        <v>620805.05144658906</v>
      </c>
      <c r="K345">
        <f>IF(ROW()&lt;3, 0,IF(Query1[[#This Row],[Month]]&lt;&gt;H344,IF((J345-I345&gt;0),J345-I345,0),0))</f>
        <v>0</v>
      </c>
      <c r="L345" s="2">
        <f t="shared" si="5"/>
        <v>3592.2989655359538</v>
      </c>
      <c r="M345">
        <f>IF(ROW()&lt;3, 0, IF(Query1[[#This Row],[Month]]&lt;&gt;H344, Dashboard!$J$5,0))</f>
        <v>0</v>
      </c>
      <c r="N345" s="2">
        <f>IF(ROW()&lt;3, Query1[[#This Row],[Shares]], IF(Query1[[#This Row],[Month]]&lt;&gt;H344, N344+Query1[[#This Row],[Fix Top Up]]/Query1[[#This Row],[Adj Close]], N344))</f>
        <v>3335.8766227106439</v>
      </c>
      <c r="O345">
        <f>IF(AND(Query1[[#This Row],[avg]]&gt;0, Query1[[#This Row],[Month]]&lt;&gt;H344),
    IF(Query1[[#This Row],[Adj Close]]&gt;Query1[[#This Row],[avg]],
       Dashboard!$L$5-Dashboard!$E$6,
       Dashboard!$L$5+Dashboard!$E$6
    ), 0
)</f>
        <v>0</v>
      </c>
      <c r="P345" s="2">
        <f>IF(ROW()&lt;3, Query1[[#This Row],[Shares]], IF(Query1[[#This Row],[Month]]&lt;&gt;H344, P344+Query1[[#This Row],[Enhanced top up]]/Query1[[#This Row],[Adj Close]], P344))</f>
        <v>3328.9395743489385</v>
      </c>
      <c r="Q345" s="2">
        <f>IFERROR(AVERAGE(
  IF(ROW()&gt;20, INDEX(G:G, ROW()-20), 0) :
  INDEX(G:G, ROW())
),0)</f>
        <v>244.22132364908853</v>
      </c>
    </row>
    <row r="346" spans="1:17" x14ac:dyDescent="0.4">
      <c r="A346" s="1">
        <v>44330</v>
      </c>
      <c r="B346">
        <v>245.58000183105469</v>
      </c>
      <c r="C346">
        <v>249.17999267578125</v>
      </c>
      <c r="D346">
        <v>245.49000549316406</v>
      </c>
      <c r="E346">
        <v>248.14999389648438</v>
      </c>
      <c r="F346">
        <v>23901100</v>
      </c>
      <c r="G346">
        <v>239.1048583984375</v>
      </c>
      <c r="H346" s="2">
        <f>MONTH(Query1[[#This Row],[Date]])</f>
        <v>5</v>
      </c>
      <c r="I346" s="3">
        <f>Query1[[#This Row],[Shares]]*Query1[[#This Row],[Adj Close]]</f>
        <v>858936.13547932776</v>
      </c>
      <c r="J346" s="3">
        <f>IF(ROW()&lt;3, Dashboard!$E$7, IF(Query1[[#This Row],[Month]]&lt;&gt;H345,J345*(1+Dashboard!$E$4)+Dashboard!$E$5,J345))</f>
        <v>620805.05144658906</v>
      </c>
      <c r="K346">
        <f>IF(ROW()&lt;3, 0,IF(Query1[[#This Row],[Month]]&lt;&gt;H345,IF((J346-I346&gt;0),J346-I346,0),0))</f>
        <v>0</v>
      </c>
      <c r="L346" s="2">
        <f t="shared" si="5"/>
        <v>3592.2989655359538</v>
      </c>
      <c r="M346">
        <f>IF(ROW()&lt;3, 0, IF(Query1[[#This Row],[Month]]&lt;&gt;H345, Dashboard!$J$5,0))</f>
        <v>0</v>
      </c>
      <c r="N346" s="2">
        <f>IF(ROW()&lt;3, Query1[[#This Row],[Shares]], IF(Query1[[#This Row],[Month]]&lt;&gt;H345, N345+Query1[[#This Row],[Fix Top Up]]/Query1[[#This Row],[Adj Close]], N345))</f>
        <v>3335.8766227106439</v>
      </c>
      <c r="O346">
        <f>IF(AND(Query1[[#This Row],[avg]]&gt;0, Query1[[#This Row],[Month]]&lt;&gt;H345),
    IF(Query1[[#This Row],[Adj Close]]&gt;Query1[[#This Row],[avg]],
       Dashboard!$L$5-Dashboard!$E$6,
       Dashboard!$L$5+Dashboard!$E$6
    ), 0
)</f>
        <v>0</v>
      </c>
      <c r="P346" s="2">
        <f>IF(ROW()&lt;3, Query1[[#This Row],[Shares]], IF(Query1[[#This Row],[Month]]&lt;&gt;H345, P345+Query1[[#This Row],[Enhanced top up]]/Query1[[#This Row],[Adj Close]], P345))</f>
        <v>3328.9395743489385</v>
      </c>
      <c r="Q346" s="2">
        <f>IFERROR(AVERAGE(
  IF(ROW()&gt;20, INDEX(G:G, ROW()-20), 0) :
  INDEX(G:G, ROW())
),0)</f>
        <v>243.70054699125745</v>
      </c>
    </row>
    <row r="347" spans="1:17" x14ac:dyDescent="0.4">
      <c r="A347" s="1">
        <v>44333</v>
      </c>
      <c r="B347">
        <v>246.55000305175781</v>
      </c>
      <c r="C347">
        <v>246.58999633789063</v>
      </c>
      <c r="D347">
        <v>243.52000427246094</v>
      </c>
      <c r="E347">
        <v>245.17999267578125</v>
      </c>
      <c r="F347">
        <v>24970200</v>
      </c>
      <c r="G347">
        <v>236.24313354492188</v>
      </c>
      <c r="H347" s="2">
        <f>MONTH(Query1[[#This Row],[Date]])</f>
        <v>5</v>
      </c>
      <c r="I347" s="3">
        <f>Query1[[#This Row],[Shares]]*Query1[[#This Row],[Adj Close]]</f>
        <v>848655.96424839506</v>
      </c>
      <c r="J347" s="3">
        <f>IF(ROW()&lt;3, Dashboard!$E$7, IF(Query1[[#This Row],[Month]]&lt;&gt;H346,J346*(1+Dashboard!$E$4)+Dashboard!$E$5,J346))</f>
        <v>620805.05144658906</v>
      </c>
      <c r="K347">
        <f>IF(ROW()&lt;3, 0,IF(Query1[[#This Row],[Month]]&lt;&gt;H346,IF((J347-I347&gt;0),J347-I347,0),0))</f>
        <v>0</v>
      </c>
      <c r="L347" s="2">
        <f t="shared" si="5"/>
        <v>3592.2989655359538</v>
      </c>
      <c r="M347">
        <f>IF(ROW()&lt;3, 0, IF(Query1[[#This Row],[Month]]&lt;&gt;H346, Dashboard!$J$5,0))</f>
        <v>0</v>
      </c>
      <c r="N347" s="2">
        <f>IF(ROW()&lt;3, Query1[[#This Row],[Shares]], IF(Query1[[#This Row],[Month]]&lt;&gt;H346, N346+Query1[[#This Row],[Fix Top Up]]/Query1[[#This Row],[Adj Close]], N346))</f>
        <v>3335.8766227106439</v>
      </c>
      <c r="O347">
        <f>IF(AND(Query1[[#This Row],[avg]]&gt;0, Query1[[#This Row],[Month]]&lt;&gt;H346),
    IF(Query1[[#This Row],[Adj Close]]&gt;Query1[[#This Row],[avg]],
       Dashboard!$L$5-Dashboard!$E$6,
       Dashboard!$L$5+Dashboard!$E$6
    ), 0
)</f>
        <v>0</v>
      </c>
      <c r="P347" s="2">
        <f>IF(ROW()&lt;3, Query1[[#This Row],[Shares]], IF(Query1[[#This Row],[Month]]&lt;&gt;H346, P346+Query1[[#This Row],[Enhanced top up]]/Query1[[#This Row],[Adj Close]], P346))</f>
        <v>3328.9395743489385</v>
      </c>
      <c r="Q347" s="2">
        <f>IFERROR(AVERAGE(
  IF(ROW()&gt;20, INDEX(G:G, ROW()-20), 0) :
  INDEX(G:G, ROW())
),0)</f>
        <v>242.98660350981214</v>
      </c>
    </row>
    <row r="348" spans="1:17" x14ac:dyDescent="0.4">
      <c r="A348" s="1">
        <v>44334</v>
      </c>
      <c r="B348">
        <v>246.27000427246094</v>
      </c>
      <c r="C348">
        <v>246.41000366210938</v>
      </c>
      <c r="D348">
        <v>242.89999389648438</v>
      </c>
      <c r="E348">
        <v>243.08000183105469</v>
      </c>
      <c r="F348">
        <v>20168000</v>
      </c>
      <c r="G348">
        <v>234.21966552734375</v>
      </c>
      <c r="H348" s="2">
        <f>MONTH(Query1[[#This Row],[Date]])</f>
        <v>5</v>
      </c>
      <c r="I348" s="3">
        <f>Query1[[#This Row],[Shares]]*Query1[[#This Row],[Adj Close]]</f>
        <v>841387.06218205404</v>
      </c>
      <c r="J348" s="3">
        <f>IF(ROW()&lt;3, Dashboard!$E$7, IF(Query1[[#This Row],[Month]]&lt;&gt;H347,J347*(1+Dashboard!$E$4)+Dashboard!$E$5,J347))</f>
        <v>620805.05144658906</v>
      </c>
      <c r="K348">
        <f>IF(ROW()&lt;3, 0,IF(Query1[[#This Row],[Month]]&lt;&gt;H347,IF((J348-I348&gt;0),J348-I348,0),0))</f>
        <v>0</v>
      </c>
      <c r="L348" s="2">
        <f t="shared" si="5"/>
        <v>3592.2989655359538</v>
      </c>
      <c r="M348">
        <f>IF(ROW()&lt;3, 0, IF(Query1[[#This Row],[Month]]&lt;&gt;H347, Dashboard!$J$5,0))</f>
        <v>0</v>
      </c>
      <c r="N348" s="2">
        <f>IF(ROW()&lt;3, Query1[[#This Row],[Shares]], IF(Query1[[#This Row],[Month]]&lt;&gt;H347, N347+Query1[[#This Row],[Fix Top Up]]/Query1[[#This Row],[Adj Close]], N347))</f>
        <v>3335.8766227106439</v>
      </c>
      <c r="O348">
        <f>IF(AND(Query1[[#This Row],[avg]]&gt;0, Query1[[#This Row],[Month]]&lt;&gt;H347),
    IF(Query1[[#This Row],[Adj Close]]&gt;Query1[[#This Row],[avg]],
       Dashboard!$L$5-Dashboard!$E$6,
       Dashboard!$L$5+Dashboard!$E$6
    ), 0
)</f>
        <v>0</v>
      </c>
      <c r="P348" s="2">
        <f>IF(ROW()&lt;3, Query1[[#This Row],[Shares]], IF(Query1[[#This Row],[Month]]&lt;&gt;H347, P347+Query1[[#This Row],[Enhanced top up]]/Query1[[#This Row],[Adj Close]], P347))</f>
        <v>3328.9395743489385</v>
      </c>
      <c r="Q348" s="2">
        <f>IFERROR(AVERAGE(
  IF(ROW()&gt;20, INDEX(G:G, ROW()-20), 0) :
  INDEX(G:G, ROW())
),0)</f>
        <v>242.26807003929503</v>
      </c>
    </row>
    <row r="349" spans="1:17" x14ac:dyDescent="0.4">
      <c r="A349" s="1">
        <v>44335</v>
      </c>
      <c r="B349">
        <v>239.30999755859375</v>
      </c>
      <c r="C349">
        <v>243.22999572753906</v>
      </c>
      <c r="D349">
        <v>238.60000610351563</v>
      </c>
      <c r="E349">
        <v>243.1199951171875</v>
      </c>
      <c r="F349">
        <v>25739800</v>
      </c>
      <c r="G349">
        <v>234.79916381835938</v>
      </c>
      <c r="H349" s="2">
        <f>MONTH(Query1[[#This Row],[Date]])</f>
        <v>5</v>
      </c>
      <c r="I349" s="3">
        <f>Query1[[#This Row],[Shares]]*Query1[[#This Row],[Adj Close]]</f>
        <v>843468.79329339939</v>
      </c>
      <c r="J349" s="3">
        <f>IF(ROW()&lt;3, Dashboard!$E$7, IF(Query1[[#This Row],[Month]]&lt;&gt;H348,J348*(1+Dashboard!$E$4)+Dashboard!$E$5,J348))</f>
        <v>620805.05144658906</v>
      </c>
      <c r="K349">
        <f>IF(ROW()&lt;3, 0,IF(Query1[[#This Row],[Month]]&lt;&gt;H348,IF((J349-I349&gt;0),J349-I349,0),0))</f>
        <v>0</v>
      </c>
      <c r="L349" s="2">
        <f t="shared" si="5"/>
        <v>3592.2989655359538</v>
      </c>
      <c r="M349">
        <f>IF(ROW()&lt;3, 0, IF(Query1[[#This Row],[Month]]&lt;&gt;H348, Dashboard!$J$5,0))</f>
        <v>0</v>
      </c>
      <c r="N349" s="2">
        <f>IF(ROW()&lt;3, Query1[[#This Row],[Shares]], IF(Query1[[#This Row],[Month]]&lt;&gt;H348, N348+Query1[[#This Row],[Fix Top Up]]/Query1[[#This Row],[Adj Close]], N348))</f>
        <v>3335.8766227106439</v>
      </c>
      <c r="O349">
        <f>IF(AND(Query1[[#This Row],[avg]]&gt;0, Query1[[#This Row],[Month]]&lt;&gt;H348),
    IF(Query1[[#This Row],[Adj Close]]&gt;Query1[[#This Row],[avg]],
       Dashboard!$L$5-Dashboard!$E$6,
       Dashboard!$L$5+Dashboard!$E$6
    ), 0
)</f>
        <v>0</v>
      </c>
      <c r="P349" s="2">
        <f>IF(ROW()&lt;3, Query1[[#This Row],[Shares]], IF(Query1[[#This Row],[Month]]&lt;&gt;H348, P348+Query1[[#This Row],[Enhanced top up]]/Query1[[#This Row],[Adj Close]], P348))</f>
        <v>3328.9395743489385</v>
      </c>
      <c r="Q349" s="2">
        <f>IFERROR(AVERAGE(
  IF(ROW()&gt;20, INDEX(G:G, ROW()-20), 0) :
  INDEX(G:G, ROW())
),0)</f>
        <v>241.59915669759116</v>
      </c>
    </row>
    <row r="350" spans="1:17" x14ac:dyDescent="0.4">
      <c r="A350" s="1">
        <v>44336</v>
      </c>
      <c r="B350">
        <v>243.96000671386719</v>
      </c>
      <c r="C350">
        <v>247.94999694824219</v>
      </c>
      <c r="D350">
        <v>243.86000061035156</v>
      </c>
      <c r="E350">
        <v>246.47999572753906</v>
      </c>
      <c r="F350">
        <v>21800700</v>
      </c>
      <c r="G350">
        <v>238.04412841796875</v>
      </c>
      <c r="H350" s="2">
        <f>MONTH(Query1[[#This Row],[Date]])</f>
        <v>5</v>
      </c>
      <c r="I350" s="3">
        <f>Query1[[#This Row],[Shares]]*Query1[[#This Row],[Adj Close]]</f>
        <v>855125.67626777687</v>
      </c>
      <c r="J350" s="3">
        <f>IF(ROW()&lt;3, Dashboard!$E$7, IF(Query1[[#This Row],[Month]]&lt;&gt;H349,J349*(1+Dashboard!$E$4)+Dashboard!$E$5,J349))</f>
        <v>620805.05144658906</v>
      </c>
      <c r="K350">
        <f>IF(ROW()&lt;3, 0,IF(Query1[[#This Row],[Month]]&lt;&gt;H349,IF((J350-I350&gt;0),J350-I350,0),0))</f>
        <v>0</v>
      </c>
      <c r="L350" s="2">
        <f t="shared" si="5"/>
        <v>3592.2989655359538</v>
      </c>
      <c r="M350">
        <f>IF(ROW()&lt;3, 0, IF(Query1[[#This Row],[Month]]&lt;&gt;H349, Dashboard!$J$5,0))</f>
        <v>0</v>
      </c>
      <c r="N350" s="2">
        <f>IF(ROW()&lt;3, Query1[[#This Row],[Shares]], IF(Query1[[#This Row],[Month]]&lt;&gt;H349, N349+Query1[[#This Row],[Fix Top Up]]/Query1[[#This Row],[Adj Close]], N349))</f>
        <v>3335.8766227106439</v>
      </c>
      <c r="O350">
        <f>IF(AND(Query1[[#This Row],[avg]]&gt;0, Query1[[#This Row],[Month]]&lt;&gt;H349),
    IF(Query1[[#This Row],[Adj Close]]&gt;Query1[[#This Row],[avg]],
       Dashboard!$L$5-Dashboard!$E$6,
       Dashboard!$L$5+Dashboard!$E$6
    ), 0
)</f>
        <v>0</v>
      </c>
      <c r="P350" s="2">
        <f>IF(ROW()&lt;3, Query1[[#This Row],[Shares]], IF(Query1[[#This Row],[Month]]&lt;&gt;H349, P349+Query1[[#This Row],[Enhanced top up]]/Query1[[#This Row],[Adj Close]], P349))</f>
        <v>3328.9395743489385</v>
      </c>
      <c r="Q350" s="2">
        <f>IFERROR(AVERAGE(
  IF(ROW()&gt;20, INDEX(G:G, ROW()-20), 0) :
  INDEX(G:G, ROW())
),0)</f>
        <v>240.97831362769716</v>
      </c>
    </row>
    <row r="351" spans="1:17" x14ac:dyDescent="0.4">
      <c r="A351" s="1">
        <v>44337</v>
      </c>
      <c r="B351">
        <v>247.57000732421875</v>
      </c>
      <c r="C351">
        <v>248.33000183105469</v>
      </c>
      <c r="D351">
        <v>244.74000549316406</v>
      </c>
      <c r="E351">
        <v>245.16999816894531</v>
      </c>
      <c r="F351">
        <v>21863100</v>
      </c>
      <c r="G351">
        <v>236.77899169921875</v>
      </c>
      <c r="H351" s="2">
        <f>MONTH(Query1[[#This Row],[Date]])</f>
        <v>5</v>
      </c>
      <c r="I351" s="3">
        <f>Query1[[#This Row],[Shares]]*Query1[[#This Row],[Adj Close]]</f>
        <v>850580.92694174976</v>
      </c>
      <c r="J351" s="3">
        <f>IF(ROW()&lt;3, Dashboard!$E$7, IF(Query1[[#This Row],[Month]]&lt;&gt;H350,J350*(1+Dashboard!$E$4)+Dashboard!$E$5,J350))</f>
        <v>620805.05144658906</v>
      </c>
      <c r="K351">
        <f>IF(ROW()&lt;3, 0,IF(Query1[[#This Row],[Month]]&lt;&gt;H350,IF((J351-I351&gt;0),J351-I351,0),0))</f>
        <v>0</v>
      </c>
      <c r="L351" s="2">
        <f t="shared" si="5"/>
        <v>3592.2989655359538</v>
      </c>
      <c r="M351">
        <f>IF(ROW()&lt;3, 0, IF(Query1[[#This Row],[Month]]&lt;&gt;H350, Dashboard!$J$5,0))</f>
        <v>0</v>
      </c>
      <c r="N351" s="2">
        <f>IF(ROW()&lt;3, Query1[[#This Row],[Shares]], IF(Query1[[#This Row],[Month]]&lt;&gt;H350, N350+Query1[[#This Row],[Fix Top Up]]/Query1[[#This Row],[Adj Close]], N350))</f>
        <v>3335.8766227106439</v>
      </c>
      <c r="O351">
        <f>IF(AND(Query1[[#This Row],[avg]]&gt;0, Query1[[#This Row],[Month]]&lt;&gt;H350),
    IF(Query1[[#This Row],[Adj Close]]&gt;Query1[[#This Row],[avg]],
       Dashboard!$L$5-Dashboard!$E$6,
       Dashboard!$L$5+Dashboard!$E$6
    ), 0
)</f>
        <v>0</v>
      </c>
      <c r="P351" s="2">
        <f>IF(ROW()&lt;3, Query1[[#This Row],[Shares]], IF(Query1[[#This Row],[Month]]&lt;&gt;H350, P350+Query1[[#This Row],[Enhanced top up]]/Query1[[#This Row],[Adj Close]], P350))</f>
        <v>3328.9395743489385</v>
      </c>
      <c r="Q351" s="2">
        <f>IFERROR(AVERAGE(
  IF(ROW()&gt;20, INDEX(G:G, ROW()-20), 0) :
  INDEX(G:G, ROW())
),0)</f>
        <v>240.45368739536829</v>
      </c>
    </row>
    <row r="352" spans="1:17" x14ac:dyDescent="0.4">
      <c r="A352" s="1">
        <v>44340</v>
      </c>
      <c r="B352">
        <v>247.78999328613281</v>
      </c>
      <c r="C352">
        <v>251.16000366210938</v>
      </c>
      <c r="D352">
        <v>247.50999450683594</v>
      </c>
      <c r="E352">
        <v>250.77999877929688</v>
      </c>
      <c r="F352">
        <v>21411500</v>
      </c>
      <c r="G352">
        <v>242.19699096679688</v>
      </c>
      <c r="H352" s="2">
        <f>MONTH(Query1[[#This Row],[Date]])</f>
        <v>5</v>
      </c>
      <c r="I352" s="3">
        <f>Query1[[#This Row],[Shares]]*Query1[[#This Row],[Adj Close]]</f>
        <v>870044.00010594516</v>
      </c>
      <c r="J352" s="3">
        <f>IF(ROW()&lt;3, Dashboard!$E$7, IF(Query1[[#This Row],[Month]]&lt;&gt;H351,J351*(1+Dashboard!$E$4)+Dashboard!$E$5,J351))</f>
        <v>620805.05144658906</v>
      </c>
      <c r="K352">
        <f>IF(ROW()&lt;3, 0,IF(Query1[[#This Row],[Month]]&lt;&gt;H351,IF((J352-I352&gt;0),J352-I352,0),0))</f>
        <v>0</v>
      </c>
      <c r="L352" s="2">
        <f t="shared" si="5"/>
        <v>3592.2989655359538</v>
      </c>
      <c r="M352">
        <f>IF(ROW()&lt;3, 0, IF(Query1[[#This Row],[Month]]&lt;&gt;H351, Dashboard!$J$5,0))</f>
        <v>0</v>
      </c>
      <c r="N352" s="2">
        <f>IF(ROW()&lt;3, Query1[[#This Row],[Shares]], IF(Query1[[#This Row],[Month]]&lt;&gt;H351, N351+Query1[[#This Row],[Fix Top Up]]/Query1[[#This Row],[Adj Close]], N351))</f>
        <v>3335.8766227106439</v>
      </c>
      <c r="O352">
        <f>IF(AND(Query1[[#This Row],[avg]]&gt;0, Query1[[#This Row],[Month]]&lt;&gt;H351),
    IF(Query1[[#This Row],[Adj Close]]&gt;Query1[[#This Row],[avg]],
       Dashboard!$L$5-Dashboard!$E$6,
       Dashboard!$L$5+Dashboard!$E$6
    ), 0
)</f>
        <v>0</v>
      </c>
      <c r="P352" s="2">
        <f>IF(ROW()&lt;3, Query1[[#This Row],[Shares]], IF(Query1[[#This Row],[Month]]&lt;&gt;H351, P351+Query1[[#This Row],[Enhanced top up]]/Query1[[#This Row],[Adj Close]], P351))</f>
        <v>3328.9395743489385</v>
      </c>
      <c r="Q352" s="2">
        <f>IFERROR(AVERAGE(
  IF(ROW()&gt;20, INDEX(G:G, ROW()-20), 0) :
  INDEX(G:G, ROW())
),0)</f>
        <v>240.00444684709822</v>
      </c>
    </row>
    <row r="353" spans="1:17" x14ac:dyDescent="0.4">
      <c r="A353" s="1">
        <v>44341</v>
      </c>
      <c r="B353">
        <v>251.77000427246094</v>
      </c>
      <c r="C353">
        <v>252.75</v>
      </c>
      <c r="D353">
        <v>250.82000732421875</v>
      </c>
      <c r="E353">
        <v>251.72000122070313</v>
      </c>
      <c r="F353">
        <v>17704300</v>
      </c>
      <c r="G353">
        <v>243.10482788085938</v>
      </c>
      <c r="H353" s="2">
        <f>MONTH(Query1[[#This Row],[Date]])</f>
        <v>5</v>
      </c>
      <c r="I353" s="3">
        <f>Query1[[#This Row],[Shares]]*Query1[[#This Row],[Adj Close]]</f>
        <v>873305.2217132072</v>
      </c>
      <c r="J353" s="3">
        <f>IF(ROW()&lt;3, Dashboard!$E$7, IF(Query1[[#This Row],[Month]]&lt;&gt;H352,J352*(1+Dashboard!$E$4)+Dashboard!$E$5,J352))</f>
        <v>620805.05144658906</v>
      </c>
      <c r="K353">
        <f>IF(ROW()&lt;3, 0,IF(Query1[[#This Row],[Month]]&lt;&gt;H352,IF((J353-I353&gt;0),J353-I353,0),0))</f>
        <v>0</v>
      </c>
      <c r="L353" s="2">
        <f t="shared" si="5"/>
        <v>3592.2989655359538</v>
      </c>
      <c r="M353">
        <f>IF(ROW()&lt;3, 0, IF(Query1[[#This Row],[Month]]&lt;&gt;H352, Dashboard!$J$5,0))</f>
        <v>0</v>
      </c>
      <c r="N353" s="2">
        <f>IF(ROW()&lt;3, Query1[[#This Row],[Shares]], IF(Query1[[#This Row],[Month]]&lt;&gt;H352, N352+Query1[[#This Row],[Fix Top Up]]/Query1[[#This Row],[Adj Close]], N352))</f>
        <v>3335.8766227106439</v>
      </c>
      <c r="O353">
        <f>IF(AND(Query1[[#This Row],[avg]]&gt;0, Query1[[#This Row],[Month]]&lt;&gt;H352),
    IF(Query1[[#This Row],[Adj Close]]&gt;Query1[[#This Row],[avg]],
       Dashboard!$L$5-Dashboard!$E$6,
       Dashboard!$L$5+Dashboard!$E$6
    ), 0
)</f>
        <v>0</v>
      </c>
      <c r="P353" s="2">
        <f>IF(ROW()&lt;3, Query1[[#This Row],[Shares]], IF(Query1[[#This Row],[Month]]&lt;&gt;H352, P352+Query1[[#This Row],[Enhanced top up]]/Query1[[#This Row],[Adj Close]], P352))</f>
        <v>3328.9395743489385</v>
      </c>
      <c r="Q353" s="2">
        <f>IFERROR(AVERAGE(
  IF(ROW()&gt;20, INDEX(G:G, ROW()-20), 0) :
  INDEX(G:G, ROW())
),0)</f>
        <v>239.58008466448103</v>
      </c>
    </row>
    <row r="354" spans="1:17" x14ac:dyDescent="0.4">
      <c r="A354" s="1">
        <v>44342</v>
      </c>
      <c r="B354">
        <v>251.42999267578125</v>
      </c>
      <c r="C354">
        <v>252.94000244140625</v>
      </c>
      <c r="D354">
        <v>250.75</v>
      </c>
      <c r="E354">
        <v>251.49000549316406</v>
      </c>
      <c r="F354">
        <v>17771600</v>
      </c>
      <c r="G354">
        <v>242.88267517089844</v>
      </c>
      <c r="H354" s="2">
        <f>MONTH(Query1[[#This Row],[Date]])</f>
        <v>5</v>
      </c>
      <c r="I354" s="3">
        <f>Query1[[#This Row],[Shares]]*Query1[[#This Row],[Adj Close]]</f>
        <v>872507.18276302353</v>
      </c>
      <c r="J354" s="3">
        <f>IF(ROW()&lt;3, Dashboard!$E$7, IF(Query1[[#This Row],[Month]]&lt;&gt;H353,J353*(1+Dashboard!$E$4)+Dashboard!$E$5,J353))</f>
        <v>620805.05144658906</v>
      </c>
      <c r="K354">
        <f>IF(ROW()&lt;3, 0,IF(Query1[[#This Row],[Month]]&lt;&gt;H353,IF((J354-I354&gt;0),J354-I354,0),0))</f>
        <v>0</v>
      </c>
      <c r="L354" s="2">
        <f t="shared" si="5"/>
        <v>3592.2989655359538</v>
      </c>
      <c r="M354">
        <f>IF(ROW()&lt;3, 0, IF(Query1[[#This Row],[Month]]&lt;&gt;H353, Dashboard!$J$5,0))</f>
        <v>0</v>
      </c>
      <c r="N354" s="2">
        <f>IF(ROW()&lt;3, Query1[[#This Row],[Shares]], IF(Query1[[#This Row],[Month]]&lt;&gt;H353, N353+Query1[[#This Row],[Fix Top Up]]/Query1[[#This Row],[Adj Close]], N353))</f>
        <v>3335.8766227106439</v>
      </c>
      <c r="O354">
        <f>IF(AND(Query1[[#This Row],[avg]]&gt;0, Query1[[#This Row],[Month]]&lt;&gt;H353),
    IF(Query1[[#This Row],[Adj Close]]&gt;Query1[[#This Row],[avg]],
       Dashboard!$L$5-Dashboard!$E$6,
       Dashboard!$L$5+Dashboard!$E$6
    ), 0
)</f>
        <v>0</v>
      </c>
      <c r="P354" s="2">
        <f>IF(ROW()&lt;3, Query1[[#This Row],[Shares]], IF(Query1[[#This Row],[Month]]&lt;&gt;H353, P353+Query1[[#This Row],[Enhanced top up]]/Query1[[#This Row],[Adj Close]], P353))</f>
        <v>3328.9395743489385</v>
      </c>
      <c r="Q354" s="2">
        <f>IFERROR(AVERAGE(
  IF(ROW()&gt;20, INDEX(G:G, ROW()-20), 0) :
  INDEX(G:G, ROW())
),0)</f>
        <v>239.12587193080358</v>
      </c>
    </row>
    <row r="355" spans="1:17" x14ac:dyDescent="0.4">
      <c r="A355" s="1">
        <v>44343</v>
      </c>
      <c r="B355">
        <v>251.16999816894531</v>
      </c>
      <c r="C355">
        <v>251.47999572753906</v>
      </c>
      <c r="D355">
        <v>249.25</v>
      </c>
      <c r="E355">
        <v>249.30999755859375</v>
      </c>
      <c r="F355">
        <v>24426200</v>
      </c>
      <c r="G355">
        <v>240.77731323242188</v>
      </c>
      <c r="H355" s="2">
        <f>MONTH(Query1[[#This Row],[Date]])</f>
        <v>5</v>
      </c>
      <c r="I355" s="3">
        <f>Query1[[#This Row],[Shares]]*Query1[[#This Row],[Adj Close]]</f>
        <v>864944.09324935544</v>
      </c>
      <c r="J355" s="3">
        <f>IF(ROW()&lt;3, Dashboard!$E$7, IF(Query1[[#This Row],[Month]]&lt;&gt;H354,J354*(1+Dashboard!$E$4)+Dashboard!$E$5,J354))</f>
        <v>620805.05144658906</v>
      </c>
      <c r="K355">
        <f>IF(ROW()&lt;3, 0,IF(Query1[[#This Row],[Month]]&lt;&gt;H354,IF((J355-I355&gt;0),J355-I355,0),0))</f>
        <v>0</v>
      </c>
      <c r="L355" s="2">
        <f t="shared" si="5"/>
        <v>3592.2989655359538</v>
      </c>
      <c r="M355">
        <f>IF(ROW()&lt;3, 0, IF(Query1[[#This Row],[Month]]&lt;&gt;H354, Dashboard!$J$5,0))</f>
        <v>0</v>
      </c>
      <c r="N355" s="2">
        <f>IF(ROW()&lt;3, Query1[[#This Row],[Shares]], IF(Query1[[#This Row],[Month]]&lt;&gt;H354, N354+Query1[[#This Row],[Fix Top Up]]/Query1[[#This Row],[Adj Close]], N354))</f>
        <v>3335.8766227106439</v>
      </c>
      <c r="O355">
        <f>IF(AND(Query1[[#This Row],[avg]]&gt;0, Query1[[#This Row],[Month]]&lt;&gt;H354),
    IF(Query1[[#This Row],[Adj Close]]&gt;Query1[[#This Row],[avg]],
       Dashboard!$L$5-Dashboard!$E$6,
       Dashboard!$L$5+Dashboard!$E$6
    ), 0
)</f>
        <v>0</v>
      </c>
      <c r="P355" s="2">
        <f>IF(ROW()&lt;3, Query1[[#This Row],[Shares]], IF(Query1[[#This Row],[Month]]&lt;&gt;H354, P354+Query1[[#This Row],[Enhanced top up]]/Query1[[#This Row],[Adj Close]], P354))</f>
        <v>3328.9395743489385</v>
      </c>
      <c r="Q355" s="2">
        <f>IFERROR(AVERAGE(
  IF(ROW()&gt;20, INDEX(G:G, ROW()-20), 0) :
  INDEX(G:G, ROW())
),0)</f>
        <v>238.91140093122209</v>
      </c>
    </row>
    <row r="356" spans="1:17" x14ac:dyDescent="0.4">
      <c r="A356" s="1">
        <v>44344</v>
      </c>
      <c r="B356">
        <v>251</v>
      </c>
      <c r="C356">
        <v>252.08000183105469</v>
      </c>
      <c r="D356">
        <v>249.55999755859375</v>
      </c>
      <c r="E356">
        <v>249.67999267578125</v>
      </c>
      <c r="F356">
        <v>18270200</v>
      </c>
      <c r="G356">
        <v>241.13462829589844</v>
      </c>
      <c r="H356" s="2">
        <f>MONTH(Query1[[#This Row],[Date]])</f>
        <v>5</v>
      </c>
      <c r="I356" s="3">
        <f>Query1[[#This Row],[Shares]]*Query1[[#This Row],[Adj Close]]</f>
        <v>866227.67578225269</v>
      </c>
      <c r="J356" s="3">
        <f>IF(ROW()&lt;3, Dashboard!$E$7, IF(Query1[[#This Row],[Month]]&lt;&gt;H355,J355*(1+Dashboard!$E$4)+Dashboard!$E$5,J355))</f>
        <v>620805.05144658906</v>
      </c>
      <c r="K356">
        <f>IF(ROW()&lt;3, 0,IF(Query1[[#This Row],[Month]]&lt;&gt;H355,IF((J356-I356&gt;0),J356-I356,0),0))</f>
        <v>0</v>
      </c>
      <c r="L356" s="2">
        <f t="shared" si="5"/>
        <v>3592.2989655359538</v>
      </c>
      <c r="M356">
        <f>IF(ROW()&lt;3, 0, IF(Query1[[#This Row],[Month]]&lt;&gt;H355, Dashboard!$J$5,0))</f>
        <v>0</v>
      </c>
      <c r="N356" s="2">
        <f>IF(ROW()&lt;3, Query1[[#This Row],[Shares]], IF(Query1[[#This Row],[Month]]&lt;&gt;H355, N355+Query1[[#This Row],[Fix Top Up]]/Query1[[#This Row],[Adj Close]], N355))</f>
        <v>3335.8766227106439</v>
      </c>
      <c r="O356">
        <f>IF(AND(Query1[[#This Row],[avg]]&gt;0, Query1[[#This Row],[Month]]&lt;&gt;H355),
    IF(Query1[[#This Row],[Adj Close]]&gt;Query1[[#This Row],[avg]],
       Dashboard!$L$5-Dashboard!$E$6,
       Dashboard!$L$5+Dashboard!$E$6
    ), 0
)</f>
        <v>0</v>
      </c>
      <c r="P356" s="2">
        <f>IF(ROW()&lt;3, Query1[[#This Row],[Shares]], IF(Query1[[#This Row],[Month]]&lt;&gt;H355, P355+Query1[[#This Row],[Enhanced top up]]/Query1[[#This Row],[Adj Close]], P355))</f>
        <v>3328.9395743489385</v>
      </c>
      <c r="Q356" s="2">
        <f>IFERROR(AVERAGE(
  IF(ROW()&gt;20, INDEX(G:G, ROW()-20), 0) :
  INDEX(G:G, ROW())
),0)</f>
        <v>238.80800447009858</v>
      </c>
    </row>
    <row r="357" spans="1:17" x14ac:dyDescent="0.4">
      <c r="A357" s="1">
        <v>44348</v>
      </c>
      <c r="B357">
        <v>251.22999572753906</v>
      </c>
      <c r="C357">
        <v>251.28999328613281</v>
      </c>
      <c r="D357">
        <v>246.96000671386719</v>
      </c>
      <c r="E357">
        <v>247.39999389648438</v>
      </c>
      <c r="F357">
        <v>23213300</v>
      </c>
      <c r="G357">
        <v>238.93267822265625</v>
      </c>
      <c r="H357" s="2">
        <f>MONTH(Query1[[#This Row],[Date]])</f>
        <v>6</v>
      </c>
      <c r="I357" s="3">
        <f>Query1[[#This Row],[Shares]]*Query1[[#This Row],[Adj Close]]</f>
        <v>858317.61281198298</v>
      </c>
      <c r="J357" s="3">
        <f>IF(ROW()&lt;3, Dashboard!$E$7, IF(Query1[[#This Row],[Month]]&lt;&gt;H356,J356*(1+Dashboard!$E$4)+Dashboard!$E$5,J356))</f>
        <v>629013.10196105496</v>
      </c>
      <c r="K357">
        <f>IF(ROW()&lt;3, 0,IF(Query1[[#This Row],[Month]]&lt;&gt;H356,IF((J357-I357&gt;0),J357-I357,0),0))</f>
        <v>0</v>
      </c>
      <c r="L357" s="2">
        <f t="shared" si="5"/>
        <v>3592.2989655359538</v>
      </c>
      <c r="M357">
        <f>IF(ROW()&lt;3, 0, IF(Query1[[#This Row],[Month]]&lt;&gt;H356, Dashboard!$J$5,0))</f>
        <v>773.47399999999971</v>
      </c>
      <c r="N357" s="2">
        <f>IF(ROW()&lt;3, Query1[[#This Row],[Shares]], IF(Query1[[#This Row],[Month]]&lt;&gt;H356, N356+Query1[[#This Row],[Fix Top Up]]/Query1[[#This Row],[Adj Close]], N356))</f>
        <v>3339.1138274569917</v>
      </c>
      <c r="O357">
        <f>IF(AND(Query1[[#This Row],[avg]]&gt;0, Query1[[#This Row],[Month]]&lt;&gt;H356),
    IF(Query1[[#This Row],[Adj Close]]&gt;Query1[[#This Row],[avg]],
       Dashboard!$L$5-Dashboard!$E$6,
       Dashboard!$L$5+Dashboard!$E$6
    ), 0
)</f>
        <v>390.14066666666668</v>
      </c>
      <c r="P357" s="2">
        <f>IF(ROW()&lt;3, Query1[[#This Row],[Shares]], IF(Query1[[#This Row],[Month]]&lt;&gt;H356, P356+Query1[[#This Row],[Enhanced top up]]/Query1[[#This Row],[Adj Close]], P356))</f>
        <v>3330.5724220178668</v>
      </c>
      <c r="Q357" s="2">
        <f>IFERROR(AVERAGE(
  IF(ROW()&gt;20, INDEX(G:G, ROW()-20), 0) :
  INDEX(G:G, ROW())
),0)</f>
        <v>238.61489432198661</v>
      </c>
    </row>
    <row r="358" spans="1:17" x14ac:dyDescent="0.4">
      <c r="A358" s="1">
        <v>44349</v>
      </c>
      <c r="B358">
        <v>248.1300048828125</v>
      </c>
      <c r="C358">
        <v>249.27000427246094</v>
      </c>
      <c r="D358">
        <v>245.83999633789063</v>
      </c>
      <c r="E358">
        <v>247.30000305175781</v>
      </c>
      <c r="F358">
        <v>19406700</v>
      </c>
      <c r="G358">
        <v>238.83610534667969</v>
      </c>
      <c r="H358" s="2">
        <f>MONTH(Query1[[#This Row],[Date]])</f>
        <v>6</v>
      </c>
      <c r="I358" s="3">
        <f>Query1[[#This Row],[Shares]]*Query1[[#This Row],[Adj Close]]</f>
        <v>857970.69416951353</v>
      </c>
      <c r="J358" s="3">
        <f>IF(ROW()&lt;3, Dashboard!$E$7, IF(Query1[[#This Row],[Month]]&lt;&gt;H357,J357*(1+Dashboard!$E$4)+Dashboard!$E$5,J357))</f>
        <v>629013.10196105496</v>
      </c>
      <c r="K358">
        <f>IF(ROW()&lt;3, 0,IF(Query1[[#This Row],[Month]]&lt;&gt;H357,IF((J358-I358&gt;0),J358-I358,0),0))</f>
        <v>0</v>
      </c>
      <c r="L358" s="2">
        <f t="shared" si="5"/>
        <v>3592.2989655359538</v>
      </c>
      <c r="M358">
        <f>IF(ROW()&lt;3, 0, IF(Query1[[#This Row],[Month]]&lt;&gt;H357, Dashboard!$J$5,0))</f>
        <v>0</v>
      </c>
      <c r="N358" s="2">
        <f>IF(ROW()&lt;3, Query1[[#This Row],[Shares]], IF(Query1[[#This Row],[Month]]&lt;&gt;H357, N357+Query1[[#This Row],[Fix Top Up]]/Query1[[#This Row],[Adj Close]], N357))</f>
        <v>3339.1138274569917</v>
      </c>
      <c r="O358">
        <f>IF(AND(Query1[[#This Row],[avg]]&gt;0, Query1[[#This Row],[Month]]&lt;&gt;H357),
    IF(Query1[[#This Row],[Adj Close]]&gt;Query1[[#This Row],[avg]],
       Dashboard!$L$5-Dashboard!$E$6,
       Dashboard!$L$5+Dashboard!$E$6
    ), 0
)</f>
        <v>0</v>
      </c>
      <c r="P358" s="2">
        <f>IF(ROW()&lt;3, Query1[[#This Row],[Shares]], IF(Query1[[#This Row],[Month]]&lt;&gt;H357, P357+Query1[[#This Row],[Enhanced top up]]/Query1[[#This Row],[Adj Close]], P357))</f>
        <v>3330.5724220178668</v>
      </c>
      <c r="Q358" s="2">
        <f>IFERROR(AVERAGE(
  IF(ROW()&gt;20, INDEX(G:G, ROW()-20), 0) :
  INDEX(G:G, ROW())
),0)</f>
        <v>238.43186878022692</v>
      </c>
    </row>
    <row r="359" spans="1:17" x14ac:dyDescent="0.4">
      <c r="A359" s="1">
        <v>44350</v>
      </c>
      <c r="B359">
        <v>245.22000122070313</v>
      </c>
      <c r="C359">
        <v>246.33999633789063</v>
      </c>
      <c r="D359">
        <v>243</v>
      </c>
      <c r="E359">
        <v>245.71000671386719</v>
      </c>
      <c r="F359">
        <v>25307700</v>
      </c>
      <c r="G359">
        <v>237.30052185058594</v>
      </c>
      <c r="H359" s="2">
        <f>MONTH(Query1[[#This Row],[Date]])</f>
        <v>6</v>
      </c>
      <c r="I359" s="3">
        <f>Query1[[#This Row],[Shares]]*Query1[[#This Row],[Adj Close]]</f>
        <v>852454.41916500183</v>
      </c>
      <c r="J359" s="3">
        <f>IF(ROW()&lt;3, Dashboard!$E$7, IF(Query1[[#This Row],[Month]]&lt;&gt;H358,J358*(1+Dashboard!$E$4)+Dashboard!$E$5,J358))</f>
        <v>629013.10196105496</v>
      </c>
      <c r="K359">
        <f>IF(ROW()&lt;3, 0,IF(Query1[[#This Row],[Month]]&lt;&gt;H358,IF((J359-I359&gt;0),J359-I359,0),0))</f>
        <v>0</v>
      </c>
      <c r="L359" s="2">
        <f t="shared" si="5"/>
        <v>3592.2989655359538</v>
      </c>
      <c r="M359">
        <f>IF(ROW()&lt;3, 0, IF(Query1[[#This Row],[Month]]&lt;&gt;H358, Dashboard!$J$5,0))</f>
        <v>0</v>
      </c>
      <c r="N359" s="2">
        <f>IF(ROW()&lt;3, Query1[[#This Row],[Shares]], IF(Query1[[#This Row],[Month]]&lt;&gt;H358, N358+Query1[[#This Row],[Fix Top Up]]/Query1[[#This Row],[Adj Close]], N358))</f>
        <v>3339.1138274569917</v>
      </c>
      <c r="O359">
        <f>IF(AND(Query1[[#This Row],[avg]]&gt;0, Query1[[#This Row],[Month]]&lt;&gt;H358),
    IF(Query1[[#This Row],[Adj Close]]&gt;Query1[[#This Row],[avg]],
       Dashboard!$L$5-Dashboard!$E$6,
       Dashboard!$L$5+Dashboard!$E$6
    ), 0
)</f>
        <v>0</v>
      </c>
      <c r="P359" s="2">
        <f>IF(ROW()&lt;3, Query1[[#This Row],[Shares]], IF(Query1[[#This Row],[Month]]&lt;&gt;H358, P358+Query1[[#This Row],[Enhanced top up]]/Query1[[#This Row],[Adj Close]], P358))</f>
        <v>3330.5724220178668</v>
      </c>
      <c r="Q359" s="2">
        <f>IFERROR(AVERAGE(
  IF(ROW()&gt;20, INDEX(G:G, ROW()-20), 0) :
  INDEX(G:G, ROW())
),0)</f>
        <v>238.36246526808966</v>
      </c>
    </row>
    <row r="360" spans="1:17" x14ac:dyDescent="0.4">
      <c r="A360" s="1">
        <v>44351</v>
      </c>
      <c r="B360">
        <v>247.75999450683594</v>
      </c>
      <c r="C360">
        <v>251.64999389648438</v>
      </c>
      <c r="D360">
        <v>247.50999450683594</v>
      </c>
      <c r="E360">
        <v>250.78999328613281</v>
      </c>
      <c r="F360">
        <v>25281100</v>
      </c>
      <c r="G360">
        <v>242.20661926269531</v>
      </c>
      <c r="H360" s="2">
        <f>MONTH(Query1[[#This Row],[Date]])</f>
        <v>6</v>
      </c>
      <c r="I360" s="3">
        <f>Query1[[#This Row],[Shares]]*Query1[[#This Row],[Adj Close]]</f>
        <v>870078.58782334102</v>
      </c>
      <c r="J360" s="3">
        <f>IF(ROW()&lt;3, Dashboard!$E$7, IF(Query1[[#This Row],[Month]]&lt;&gt;H359,J359*(1+Dashboard!$E$4)+Dashboard!$E$5,J359))</f>
        <v>629013.10196105496</v>
      </c>
      <c r="K360">
        <f>IF(ROW()&lt;3, 0,IF(Query1[[#This Row],[Month]]&lt;&gt;H359,IF((J360-I360&gt;0),J360-I360,0),0))</f>
        <v>0</v>
      </c>
      <c r="L360" s="2">
        <f t="shared" si="5"/>
        <v>3592.2989655359538</v>
      </c>
      <c r="M360">
        <f>IF(ROW()&lt;3, 0, IF(Query1[[#This Row],[Month]]&lt;&gt;H359, Dashboard!$J$5,0))</f>
        <v>0</v>
      </c>
      <c r="N360" s="2">
        <f>IF(ROW()&lt;3, Query1[[#This Row],[Shares]], IF(Query1[[#This Row],[Month]]&lt;&gt;H359, N359+Query1[[#This Row],[Fix Top Up]]/Query1[[#This Row],[Adj Close]], N359))</f>
        <v>3339.1138274569917</v>
      </c>
      <c r="O360">
        <f>IF(AND(Query1[[#This Row],[avg]]&gt;0, Query1[[#This Row],[Month]]&lt;&gt;H359),
    IF(Query1[[#This Row],[Adj Close]]&gt;Query1[[#This Row],[avg]],
       Dashboard!$L$5-Dashboard!$E$6,
       Dashboard!$L$5+Dashboard!$E$6
    ), 0
)</f>
        <v>0</v>
      </c>
      <c r="P360" s="2">
        <f>IF(ROW()&lt;3, Query1[[#This Row],[Shares]], IF(Query1[[#This Row],[Month]]&lt;&gt;H359, P359+Query1[[#This Row],[Enhanced top up]]/Query1[[#This Row],[Adj Close]], P359))</f>
        <v>3330.5724220178668</v>
      </c>
      <c r="Q360" s="2">
        <f>IFERROR(AVERAGE(
  IF(ROW()&gt;20, INDEX(G:G, ROW()-20), 0) :
  INDEX(G:G, ROW())
),0)</f>
        <v>238.5872519356864</v>
      </c>
    </row>
    <row r="361" spans="1:17" x14ac:dyDescent="0.4">
      <c r="A361" s="1">
        <v>44354</v>
      </c>
      <c r="B361">
        <v>249.97999572753906</v>
      </c>
      <c r="C361">
        <v>254.08999633789063</v>
      </c>
      <c r="D361">
        <v>249.80999755859375</v>
      </c>
      <c r="E361">
        <v>253.80999755859375</v>
      </c>
      <c r="F361">
        <v>23079200</v>
      </c>
      <c r="G361">
        <v>245.12327575683594</v>
      </c>
      <c r="H361" s="2">
        <f>MONTH(Query1[[#This Row],[Date]])</f>
        <v>6</v>
      </c>
      <c r="I361" s="3">
        <f>Query1[[#This Row],[Shares]]*Query1[[#This Row],[Adj Close]]</f>
        <v>880556.08993006614</v>
      </c>
      <c r="J361" s="3">
        <f>IF(ROW()&lt;3, Dashboard!$E$7, IF(Query1[[#This Row],[Month]]&lt;&gt;H360,J360*(1+Dashboard!$E$4)+Dashboard!$E$5,J360))</f>
        <v>629013.10196105496</v>
      </c>
      <c r="K361">
        <f>IF(ROW()&lt;3, 0,IF(Query1[[#This Row],[Month]]&lt;&gt;H360,IF((J361-I361&gt;0),J361-I361,0),0))</f>
        <v>0</v>
      </c>
      <c r="L361" s="2">
        <f t="shared" si="5"/>
        <v>3592.2989655359538</v>
      </c>
      <c r="M361">
        <f>IF(ROW()&lt;3, 0, IF(Query1[[#This Row],[Month]]&lt;&gt;H360, Dashboard!$J$5,0))</f>
        <v>0</v>
      </c>
      <c r="N361" s="2">
        <f>IF(ROW()&lt;3, Query1[[#This Row],[Shares]], IF(Query1[[#This Row],[Month]]&lt;&gt;H360, N360+Query1[[#This Row],[Fix Top Up]]/Query1[[#This Row],[Adj Close]], N360))</f>
        <v>3339.1138274569917</v>
      </c>
      <c r="O361">
        <f>IF(AND(Query1[[#This Row],[avg]]&gt;0, Query1[[#This Row],[Month]]&lt;&gt;H360),
    IF(Query1[[#This Row],[Adj Close]]&gt;Query1[[#This Row],[avg]],
       Dashboard!$L$5-Dashboard!$E$6,
       Dashboard!$L$5+Dashboard!$E$6
    ), 0
)</f>
        <v>0</v>
      </c>
      <c r="P361" s="2">
        <f>IF(ROW()&lt;3, Query1[[#This Row],[Shares]], IF(Query1[[#This Row],[Month]]&lt;&gt;H360, P360+Query1[[#This Row],[Enhanced top up]]/Query1[[#This Row],[Adj Close]], P360))</f>
        <v>3330.5724220178668</v>
      </c>
      <c r="Q361" s="2">
        <f>IFERROR(AVERAGE(
  IF(ROW()&gt;20, INDEX(G:G, ROW()-20), 0) :
  INDEX(G:G, ROW())
),0)</f>
        <v>238.80134727841332</v>
      </c>
    </row>
    <row r="362" spans="1:17" x14ac:dyDescent="0.4">
      <c r="A362" s="1">
        <v>44355</v>
      </c>
      <c r="B362">
        <v>255.16000366210938</v>
      </c>
      <c r="C362">
        <v>256.010009765625</v>
      </c>
      <c r="D362">
        <v>252.50999450683594</v>
      </c>
      <c r="E362">
        <v>252.57000732421875</v>
      </c>
      <c r="F362">
        <v>22455000</v>
      </c>
      <c r="G362">
        <v>243.92570495605469</v>
      </c>
      <c r="H362" s="2">
        <f>MONTH(Query1[[#This Row],[Date]])</f>
        <v>6</v>
      </c>
      <c r="I362" s="3">
        <f>Query1[[#This Row],[Shares]]*Query1[[#This Row],[Adj Close]]</f>
        <v>876254.05758126348</v>
      </c>
      <c r="J362" s="3">
        <f>IF(ROW()&lt;3, Dashboard!$E$7, IF(Query1[[#This Row],[Month]]&lt;&gt;H361,J361*(1+Dashboard!$E$4)+Dashboard!$E$5,J361))</f>
        <v>629013.10196105496</v>
      </c>
      <c r="K362">
        <f>IF(ROW()&lt;3, 0,IF(Query1[[#This Row],[Month]]&lt;&gt;H361,IF((J362-I362&gt;0),J362-I362,0),0))</f>
        <v>0</v>
      </c>
      <c r="L362" s="2">
        <f t="shared" si="5"/>
        <v>3592.2989655359538</v>
      </c>
      <c r="M362">
        <f>IF(ROW()&lt;3, 0, IF(Query1[[#This Row],[Month]]&lt;&gt;H361, Dashboard!$J$5,0))</f>
        <v>0</v>
      </c>
      <c r="N362" s="2">
        <f>IF(ROW()&lt;3, Query1[[#This Row],[Shares]], IF(Query1[[#This Row],[Month]]&lt;&gt;H361, N361+Query1[[#This Row],[Fix Top Up]]/Query1[[#This Row],[Adj Close]], N361))</f>
        <v>3339.1138274569917</v>
      </c>
      <c r="O362">
        <f>IF(AND(Query1[[#This Row],[avg]]&gt;0, Query1[[#This Row],[Month]]&lt;&gt;H361),
    IF(Query1[[#This Row],[Adj Close]]&gt;Query1[[#This Row],[avg]],
       Dashboard!$L$5-Dashboard!$E$6,
       Dashboard!$L$5+Dashboard!$E$6
    ), 0
)</f>
        <v>0</v>
      </c>
      <c r="P362" s="2">
        <f>IF(ROW()&lt;3, Query1[[#This Row],[Shares]], IF(Query1[[#This Row],[Month]]&lt;&gt;H361, P361+Query1[[#This Row],[Enhanced top up]]/Query1[[#This Row],[Adj Close]], P361))</f>
        <v>3330.5724220178668</v>
      </c>
      <c r="Q362" s="2">
        <f>IFERROR(AVERAGE(
  IF(ROW()&gt;20, INDEX(G:G, ROW()-20), 0) :
  INDEX(G:G, ROW())
),0)</f>
        <v>238.83315386090959</v>
      </c>
    </row>
    <row r="363" spans="1:17" x14ac:dyDescent="0.4">
      <c r="A363" s="1">
        <v>44356</v>
      </c>
      <c r="B363">
        <v>253.80999755859375</v>
      </c>
      <c r="C363">
        <v>255.52999877929688</v>
      </c>
      <c r="D363">
        <v>253.21000671386719</v>
      </c>
      <c r="E363">
        <v>253.58999633789063</v>
      </c>
      <c r="F363">
        <v>17937600</v>
      </c>
      <c r="G363">
        <v>244.91082763671875</v>
      </c>
      <c r="H363" s="2">
        <f>MONTH(Query1[[#This Row],[Date]])</f>
        <v>6</v>
      </c>
      <c r="I363" s="3">
        <f>Query1[[#This Row],[Shares]]*Query1[[#This Row],[Adj Close]]</f>
        <v>879792.91276793904</v>
      </c>
      <c r="J363" s="3">
        <f>IF(ROW()&lt;3, Dashboard!$E$7, IF(Query1[[#This Row],[Month]]&lt;&gt;H362,J362*(1+Dashboard!$E$4)+Dashboard!$E$5,J362))</f>
        <v>629013.10196105496</v>
      </c>
      <c r="K363">
        <f>IF(ROW()&lt;3, 0,IF(Query1[[#This Row],[Month]]&lt;&gt;H362,IF((J363-I363&gt;0),J363-I363,0),0))</f>
        <v>0</v>
      </c>
      <c r="L363" s="2">
        <f t="shared" si="5"/>
        <v>3592.2989655359538</v>
      </c>
      <c r="M363">
        <f>IF(ROW()&lt;3, 0, IF(Query1[[#This Row],[Month]]&lt;&gt;H362, Dashboard!$J$5,0))</f>
        <v>0</v>
      </c>
      <c r="N363" s="2">
        <f>IF(ROW()&lt;3, Query1[[#This Row],[Shares]], IF(Query1[[#This Row],[Month]]&lt;&gt;H362, N362+Query1[[#This Row],[Fix Top Up]]/Query1[[#This Row],[Adj Close]], N362))</f>
        <v>3339.1138274569917</v>
      </c>
      <c r="O363">
        <f>IF(AND(Query1[[#This Row],[avg]]&gt;0, Query1[[#This Row],[Month]]&lt;&gt;H362),
    IF(Query1[[#This Row],[Adj Close]]&gt;Query1[[#This Row],[avg]],
       Dashboard!$L$5-Dashboard!$E$6,
       Dashboard!$L$5+Dashboard!$E$6
    ), 0
)</f>
        <v>0</v>
      </c>
      <c r="P363" s="2">
        <f>IF(ROW()&lt;3, Query1[[#This Row],[Shares]], IF(Query1[[#This Row],[Month]]&lt;&gt;H362, P362+Query1[[#This Row],[Enhanced top up]]/Query1[[#This Row],[Adj Close]], P362))</f>
        <v>3330.5724220178668</v>
      </c>
      <c r="Q363" s="2">
        <f>IFERROR(AVERAGE(
  IF(ROW()&gt;20, INDEX(G:G, ROW()-20), 0) :
  INDEX(G:G, ROW())
),0)</f>
        <v>239.15413411458334</v>
      </c>
    </row>
    <row r="364" spans="1:17" x14ac:dyDescent="0.4">
      <c r="A364" s="1">
        <v>44357</v>
      </c>
      <c r="B364">
        <v>254.28999328613281</v>
      </c>
      <c r="C364">
        <v>257.45999145507813</v>
      </c>
      <c r="D364">
        <v>253.66999816894531</v>
      </c>
      <c r="E364">
        <v>257.239990234375</v>
      </c>
      <c r="F364">
        <v>24563600</v>
      </c>
      <c r="G364">
        <v>248.43586730957031</v>
      </c>
      <c r="H364" s="2">
        <f>MONTH(Query1[[#This Row],[Date]])</f>
        <v>6</v>
      </c>
      <c r="I364" s="3">
        <f>Query1[[#This Row],[Shares]]*Query1[[#This Row],[Adj Close]]</f>
        <v>892455.90913819696</v>
      </c>
      <c r="J364" s="3">
        <f>IF(ROW()&lt;3, Dashboard!$E$7, IF(Query1[[#This Row],[Month]]&lt;&gt;H363,J363*(1+Dashboard!$E$4)+Dashboard!$E$5,J363))</f>
        <v>629013.10196105496</v>
      </c>
      <c r="K364">
        <f>IF(ROW()&lt;3, 0,IF(Query1[[#This Row],[Month]]&lt;&gt;H363,IF((J364-I364&gt;0),J364-I364,0),0))</f>
        <v>0</v>
      </c>
      <c r="L364" s="2">
        <f t="shared" si="5"/>
        <v>3592.2989655359538</v>
      </c>
      <c r="M364">
        <f>IF(ROW()&lt;3, 0, IF(Query1[[#This Row],[Month]]&lt;&gt;H363, Dashboard!$J$5,0))</f>
        <v>0</v>
      </c>
      <c r="N364" s="2">
        <f>IF(ROW()&lt;3, Query1[[#This Row],[Shares]], IF(Query1[[#This Row],[Month]]&lt;&gt;H363, N363+Query1[[#This Row],[Fix Top Up]]/Query1[[#This Row],[Adj Close]], N363))</f>
        <v>3339.1138274569917</v>
      </c>
      <c r="O364">
        <f>IF(AND(Query1[[#This Row],[avg]]&gt;0, Query1[[#This Row],[Month]]&lt;&gt;H363),
    IF(Query1[[#This Row],[Adj Close]]&gt;Query1[[#This Row],[avg]],
       Dashboard!$L$5-Dashboard!$E$6,
       Dashboard!$L$5+Dashboard!$E$6
    ), 0
)</f>
        <v>0</v>
      </c>
      <c r="P364" s="2">
        <f>IF(ROW()&lt;3, Query1[[#This Row],[Shares]], IF(Query1[[#This Row],[Month]]&lt;&gt;H363, P363+Query1[[#This Row],[Enhanced top up]]/Query1[[#This Row],[Adj Close]], P363))</f>
        <v>3330.5724220178668</v>
      </c>
      <c r="Q364" s="2">
        <f>IFERROR(AVERAGE(
  IF(ROW()&gt;20, INDEX(G:G, ROW()-20), 0) :
  INDEX(G:G, ROW())
),0)</f>
        <v>239.68656412760416</v>
      </c>
    </row>
    <row r="365" spans="1:17" x14ac:dyDescent="0.4">
      <c r="A365" s="1">
        <v>44358</v>
      </c>
      <c r="B365">
        <v>257.989990234375</v>
      </c>
      <c r="C365">
        <v>258.489990234375</v>
      </c>
      <c r="D365">
        <v>256.6099853515625</v>
      </c>
      <c r="E365">
        <v>257.8900146484375</v>
      </c>
      <c r="F365">
        <v>18999700</v>
      </c>
      <c r="G365">
        <v>249.06365966796875</v>
      </c>
      <c r="H365" s="2">
        <f>MONTH(Query1[[#This Row],[Date]])</f>
        <v>6</v>
      </c>
      <c r="I365" s="3">
        <f>Query1[[#This Row],[Shares]]*Query1[[#This Row],[Adj Close]]</f>
        <v>894711.126977843</v>
      </c>
      <c r="J365" s="3">
        <f>IF(ROW()&lt;3, Dashboard!$E$7, IF(Query1[[#This Row],[Month]]&lt;&gt;H364,J364*(1+Dashboard!$E$4)+Dashboard!$E$5,J364))</f>
        <v>629013.10196105496</v>
      </c>
      <c r="K365">
        <f>IF(ROW()&lt;3, 0,IF(Query1[[#This Row],[Month]]&lt;&gt;H364,IF((J365-I365&gt;0),J365-I365,0),0))</f>
        <v>0</v>
      </c>
      <c r="L365" s="2">
        <f t="shared" si="5"/>
        <v>3592.2989655359538</v>
      </c>
      <c r="M365">
        <f>IF(ROW()&lt;3, 0, IF(Query1[[#This Row],[Month]]&lt;&gt;H364, Dashboard!$J$5,0))</f>
        <v>0</v>
      </c>
      <c r="N365" s="2">
        <f>IF(ROW()&lt;3, Query1[[#This Row],[Shares]], IF(Query1[[#This Row],[Month]]&lt;&gt;H364, N364+Query1[[#This Row],[Fix Top Up]]/Query1[[#This Row],[Adj Close]], N364))</f>
        <v>3339.1138274569917</v>
      </c>
      <c r="O365">
        <f>IF(AND(Query1[[#This Row],[avg]]&gt;0, Query1[[#This Row],[Month]]&lt;&gt;H364),
    IF(Query1[[#This Row],[Adj Close]]&gt;Query1[[#This Row],[avg]],
       Dashboard!$L$5-Dashboard!$E$6,
       Dashboard!$L$5+Dashboard!$E$6
    ), 0
)</f>
        <v>0</v>
      </c>
      <c r="P365" s="2">
        <f>IF(ROW()&lt;3, Query1[[#This Row],[Shares]], IF(Query1[[#This Row],[Month]]&lt;&gt;H364, P364+Query1[[#This Row],[Enhanced top up]]/Query1[[#This Row],[Adj Close]], P364))</f>
        <v>3330.5724220178668</v>
      </c>
      <c r="Q365" s="2">
        <f>IFERROR(AVERAGE(
  IF(ROW()&gt;20, INDEX(G:G, ROW()-20), 0) :
  INDEX(G:G, ROW())
),0)</f>
        <v>240.58062453497024</v>
      </c>
    </row>
    <row r="366" spans="1:17" x14ac:dyDescent="0.4">
      <c r="A366" s="1">
        <v>44361</v>
      </c>
      <c r="B366">
        <v>257.89999389648438</v>
      </c>
      <c r="C366">
        <v>259.95001220703125</v>
      </c>
      <c r="D366">
        <v>256.79998779296875</v>
      </c>
      <c r="E366">
        <v>259.8900146484375</v>
      </c>
      <c r="F366">
        <v>19150500</v>
      </c>
      <c r="G366">
        <v>250.99522399902344</v>
      </c>
      <c r="H366" s="2">
        <f>MONTH(Query1[[#This Row],[Date]])</f>
        <v>6</v>
      </c>
      <c r="I366" s="3">
        <f>Query1[[#This Row],[Shares]]*Query1[[#This Row],[Adj Close]]</f>
        <v>901649.88352615689</v>
      </c>
      <c r="J366" s="3">
        <f>IF(ROW()&lt;3, Dashboard!$E$7, IF(Query1[[#This Row],[Month]]&lt;&gt;H365,J365*(1+Dashboard!$E$4)+Dashboard!$E$5,J365))</f>
        <v>629013.10196105496</v>
      </c>
      <c r="K366">
        <f>IF(ROW()&lt;3, 0,IF(Query1[[#This Row],[Month]]&lt;&gt;H365,IF((J366-I366&gt;0),J366-I366,0),0))</f>
        <v>0</v>
      </c>
      <c r="L366" s="2">
        <f t="shared" si="5"/>
        <v>3592.2989655359538</v>
      </c>
      <c r="M366">
        <f>IF(ROW()&lt;3, 0, IF(Query1[[#This Row],[Month]]&lt;&gt;H365, Dashboard!$J$5,0))</f>
        <v>0</v>
      </c>
      <c r="N366" s="2">
        <f>IF(ROW()&lt;3, Query1[[#This Row],[Shares]], IF(Query1[[#This Row],[Month]]&lt;&gt;H365, N365+Query1[[#This Row],[Fix Top Up]]/Query1[[#This Row],[Adj Close]], N365))</f>
        <v>3339.1138274569917</v>
      </c>
      <c r="O366">
        <f>IF(AND(Query1[[#This Row],[avg]]&gt;0, Query1[[#This Row],[Month]]&lt;&gt;H365),
    IF(Query1[[#This Row],[Adj Close]]&gt;Query1[[#This Row],[avg]],
       Dashboard!$L$5-Dashboard!$E$6,
       Dashboard!$L$5+Dashboard!$E$6
    ), 0
)</f>
        <v>0</v>
      </c>
      <c r="P366" s="2">
        <f>IF(ROW()&lt;3, Query1[[#This Row],[Shares]], IF(Query1[[#This Row],[Month]]&lt;&gt;H365, P365+Query1[[#This Row],[Enhanced top up]]/Query1[[#This Row],[Adj Close]], P365))</f>
        <v>3330.5724220178668</v>
      </c>
      <c r="Q366" s="2">
        <f>IFERROR(AVERAGE(
  IF(ROW()&gt;20, INDEX(G:G, ROW()-20), 0) :
  INDEX(G:G, ROW())
),0)</f>
        <v>241.38175528390067</v>
      </c>
    </row>
    <row r="367" spans="1:17" x14ac:dyDescent="0.4">
      <c r="A367" s="1">
        <v>44362</v>
      </c>
      <c r="B367">
        <v>259.76998901367188</v>
      </c>
      <c r="C367">
        <v>259.989990234375</v>
      </c>
      <c r="D367">
        <v>257.67999267578125</v>
      </c>
      <c r="E367">
        <v>258.3599853515625</v>
      </c>
      <c r="F367">
        <v>18038900</v>
      </c>
      <c r="G367">
        <v>249.51751708984375</v>
      </c>
      <c r="H367" s="2">
        <f>MONTH(Query1[[#This Row],[Date]])</f>
        <v>6</v>
      </c>
      <c r="I367" s="3">
        <f>Query1[[#This Row],[Shares]]*Query1[[#This Row],[Adj Close]]</f>
        <v>896341.51852494536</v>
      </c>
      <c r="J367" s="3">
        <f>IF(ROW()&lt;3, Dashboard!$E$7, IF(Query1[[#This Row],[Month]]&lt;&gt;H366,J366*(1+Dashboard!$E$4)+Dashboard!$E$5,J366))</f>
        <v>629013.10196105496</v>
      </c>
      <c r="K367">
        <f>IF(ROW()&lt;3, 0,IF(Query1[[#This Row],[Month]]&lt;&gt;H366,IF((J367-I367&gt;0),J367-I367,0),0))</f>
        <v>0</v>
      </c>
      <c r="L367" s="2">
        <f t="shared" si="5"/>
        <v>3592.2989655359538</v>
      </c>
      <c r="M367">
        <f>IF(ROW()&lt;3, 0, IF(Query1[[#This Row],[Month]]&lt;&gt;H366, Dashboard!$J$5,0))</f>
        <v>0</v>
      </c>
      <c r="N367" s="2">
        <f>IF(ROW()&lt;3, Query1[[#This Row],[Shares]], IF(Query1[[#This Row],[Month]]&lt;&gt;H366, N366+Query1[[#This Row],[Fix Top Up]]/Query1[[#This Row],[Adj Close]], N366))</f>
        <v>3339.1138274569917</v>
      </c>
      <c r="O367">
        <f>IF(AND(Query1[[#This Row],[avg]]&gt;0, Query1[[#This Row],[Month]]&lt;&gt;H366),
    IF(Query1[[#This Row],[Adj Close]]&gt;Query1[[#This Row],[avg]],
       Dashboard!$L$5-Dashboard!$E$6,
       Dashboard!$L$5+Dashboard!$E$6
    ), 0
)</f>
        <v>0</v>
      </c>
      <c r="P367" s="2">
        <f>IF(ROW()&lt;3, Query1[[#This Row],[Shares]], IF(Query1[[#This Row],[Month]]&lt;&gt;H366, P366+Query1[[#This Row],[Enhanced top up]]/Query1[[#This Row],[Adj Close]], P366))</f>
        <v>3330.5724220178668</v>
      </c>
      <c r="Q367" s="2">
        <f>IFERROR(AVERAGE(
  IF(ROW()&gt;20, INDEX(G:G, ROW()-20), 0) :
  INDEX(G:G, ROW())
),0)</f>
        <v>241.87759617396765</v>
      </c>
    </row>
    <row r="368" spans="1:17" x14ac:dyDescent="0.4">
      <c r="A368" s="1">
        <v>44363</v>
      </c>
      <c r="B368">
        <v>259.39999389648438</v>
      </c>
      <c r="C368">
        <v>260.57998657226563</v>
      </c>
      <c r="D368">
        <v>254.41999816894531</v>
      </c>
      <c r="E368">
        <v>257.3800048828125</v>
      </c>
      <c r="F368">
        <v>27220000</v>
      </c>
      <c r="G368">
        <v>248.57110595703125</v>
      </c>
      <c r="H368" s="2">
        <f>MONTH(Query1[[#This Row],[Date]])</f>
        <v>6</v>
      </c>
      <c r="I368" s="3">
        <f>Query1[[#This Row],[Shares]]*Query1[[#This Row],[Adj Close]]</f>
        <v>892941.72679157136</v>
      </c>
      <c r="J368" s="3">
        <f>IF(ROW()&lt;3, Dashboard!$E$7, IF(Query1[[#This Row],[Month]]&lt;&gt;H367,J367*(1+Dashboard!$E$4)+Dashboard!$E$5,J367))</f>
        <v>629013.10196105496</v>
      </c>
      <c r="K368">
        <f>IF(ROW()&lt;3, 0,IF(Query1[[#This Row],[Month]]&lt;&gt;H367,IF((J368-I368&gt;0),J368-I368,0),0))</f>
        <v>0</v>
      </c>
      <c r="L368" s="2">
        <f t="shared" si="5"/>
        <v>3592.2989655359538</v>
      </c>
      <c r="M368">
        <f>IF(ROW()&lt;3, 0, IF(Query1[[#This Row],[Month]]&lt;&gt;H367, Dashboard!$J$5,0))</f>
        <v>0</v>
      </c>
      <c r="N368" s="2">
        <f>IF(ROW()&lt;3, Query1[[#This Row],[Shares]], IF(Query1[[#This Row],[Month]]&lt;&gt;H367, N367+Query1[[#This Row],[Fix Top Up]]/Query1[[#This Row],[Adj Close]], N367))</f>
        <v>3339.1138274569917</v>
      </c>
      <c r="O368">
        <f>IF(AND(Query1[[#This Row],[avg]]&gt;0, Query1[[#This Row],[Month]]&lt;&gt;H367),
    IF(Query1[[#This Row],[Adj Close]]&gt;Query1[[#This Row],[avg]],
       Dashboard!$L$5-Dashboard!$E$6,
       Dashboard!$L$5+Dashboard!$E$6
    ), 0
)</f>
        <v>0</v>
      </c>
      <c r="P368" s="2">
        <f>IF(ROW()&lt;3, Query1[[#This Row],[Shares]], IF(Query1[[#This Row],[Month]]&lt;&gt;H367, P367+Query1[[#This Row],[Enhanced top up]]/Query1[[#This Row],[Adj Close]], P367))</f>
        <v>3330.5724220178668</v>
      </c>
      <c r="Q368" s="2">
        <f>IFERROR(AVERAGE(
  IF(ROW()&gt;20, INDEX(G:G, ROW()-20), 0) :
  INDEX(G:G, ROW())
),0)</f>
        <v>242.46464247930618</v>
      </c>
    </row>
    <row r="369" spans="1:17" x14ac:dyDescent="0.4">
      <c r="A369" s="1">
        <v>44364</v>
      </c>
      <c r="B369">
        <v>256.07000732421875</v>
      </c>
      <c r="C369">
        <v>261.75</v>
      </c>
      <c r="D369">
        <v>256.010009765625</v>
      </c>
      <c r="E369">
        <v>260.89999389648438</v>
      </c>
      <c r="F369">
        <v>27565500</v>
      </c>
      <c r="G369">
        <v>251.97067260742188</v>
      </c>
      <c r="H369" s="2">
        <f>MONTH(Query1[[#This Row],[Date]])</f>
        <v>6</v>
      </c>
      <c r="I369" s="3">
        <f>Query1[[#This Row],[Shares]]*Query1[[#This Row],[Adj Close]]</f>
        <v>905153.9865530401</v>
      </c>
      <c r="J369" s="3">
        <f>IF(ROW()&lt;3, Dashboard!$E$7, IF(Query1[[#This Row],[Month]]&lt;&gt;H368,J368*(1+Dashboard!$E$4)+Dashboard!$E$5,J368))</f>
        <v>629013.10196105496</v>
      </c>
      <c r="K369">
        <f>IF(ROW()&lt;3, 0,IF(Query1[[#This Row],[Month]]&lt;&gt;H368,IF((J369-I369&gt;0),J369-I369,0),0))</f>
        <v>0</v>
      </c>
      <c r="L369" s="2">
        <f t="shared" si="5"/>
        <v>3592.2989655359538</v>
      </c>
      <c r="M369">
        <f>IF(ROW()&lt;3, 0, IF(Query1[[#This Row],[Month]]&lt;&gt;H368, Dashboard!$J$5,0))</f>
        <v>0</v>
      </c>
      <c r="N369" s="2">
        <f>IF(ROW()&lt;3, Query1[[#This Row],[Shares]], IF(Query1[[#This Row],[Month]]&lt;&gt;H368, N368+Query1[[#This Row],[Fix Top Up]]/Query1[[#This Row],[Adj Close]], N368))</f>
        <v>3339.1138274569917</v>
      </c>
      <c r="O369">
        <f>IF(AND(Query1[[#This Row],[avg]]&gt;0, Query1[[#This Row],[Month]]&lt;&gt;H368),
    IF(Query1[[#This Row],[Adj Close]]&gt;Query1[[#This Row],[avg]],
       Dashboard!$L$5-Dashboard!$E$6,
       Dashboard!$L$5+Dashboard!$E$6
    ), 0
)</f>
        <v>0</v>
      </c>
      <c r="P369" s="2">
        <f>IF(ROW()&lt;3, Query1[[#This Row],[Shares]], IF(Query1[[#This Row],[Month]]&lt;&gt;H368, P368+Query1[[#This Row],[Enhanced top up]]/Query1[[#This Row],[Adj Close]], P368))</f>
        <v>3330.5724220178668</v>
      </c>
      <c r="Q369" s="2">
        <f>IFERROR(AVERAGE(
  IF(ROW()&gt;20, INDEX(G:G, ROW()-20), 0) :
  INDEX(G:G, ROW())
),0)</f>
        <v>243.30992853073846</v>
      </c>
    </row>
    <row r="370" spans="1:17" x14ac:dyDescent="0.4">
      <c r="A370" s="1">
        <v>44365</v>
      </c>
      <c r="B370">
        <v>259.6300048828125</v>
      </c>
      <c r="C370">
        <v>262.29998779296875</v>
      </c>
      <c r="D370">
        <v>258.75</v>
      </c>
      <c r="E370">
        <v>259.42999267578125</v>
      </c>
      <c r="F370">
        <v>37202200</v>
      </c>
      <c r="G370">
        <v>250.55093383789063</v>
      </c>
      <c r="H370" s="2">
        <f>MONTH(Query1[[#This Row],[Date]])</f>
        <v>6</v>
      </c>
      <c r="I370" s="3">
        <f>Query1[[#This Row],[Shares]]*Query1[[#This Row],[Adj Close]]</f>
        <v>900053.86043992173</v>
      </c>
      <c r="J370" s="3">
        <f>IF(ROW()&lt;3, Dashboard!$E$7, IF(Query1[[#This Row],[Month]]&lt;&gt;H369,J369*(1+Dashboard!$E$4)+Dashboard!$E$5,J369))</f>
        <v>629013.10196105496</v>
      </c>
      <c r="K370">
        <f>IF(ROW()&lt;3, 0,IF(Query1[[#This Row],[Month]]&lt;&gt;H369,IF((J370-I370&gt;0),J370-I370,0),0))</f>
        <v>0</v>
      </c>
      <c r="L370" s="2">
        <f t="shared" si="5"/>
        <v>3592.2989655359538</v>
      </c>
      <c r="M370">
        <f>IF(ROW()&lt;3, 0, IF(Query1[[#This Row],[Month]]&lt;&gt;H369, Dashboard!$J$5,0))</f>
        <v>0</v>
      </c>
      <c r="N370" s="2">
        <f>IF(ROW()&lt;3, Query1[[#This Row],[Shares]], IF(Query1[[#This Row],[Month]]&lt;&gt;H369, N369+Query1[[#This Row],[Fix Top Up]]/Query1[[#This Row],[Adj Close]], N369))</f>
        <v>3339.1138274569917</v>
      </c>
      <c r="O370">
        <f>IF(AND(Query1[[#This Row],[avg]]&gt;0, Query1[[#This Row],[Month]]&lt;&gt;H369),
    IF(Query1[[#This Row],[Adj Close]]&gt;Query1[[#This Row],[avg]],
       Dashboard!$L$5-Dashboard!$E$6,
       Dashboard!$L$5+Dashboard!$E$6
    ), 0
)</f>
        <v>0</v>
      </c>
      <c r="P370" s="2">
        <f>IF(ROW()&lt;3, Query1[[#This Row],[Shares]], IF(Query1[[#This Row],[Month]]&lt;&gt;H369, P369+Query1[[#This Row],[Enhanced top up]]/Query1[[#This Row],[Adj Close]], P369))</f>
        <v>3330.5724220178668</v>
      </c>
      <c r="Q370" s="2">
        <f>IFERROR(AVERAGE(
  IF(ROW()&gt;20, INDEX(G:G, ROW()-20), 0) :
  INDEX(G:G, ROW())
),0)</f>
        <v>244.06001281738281</v>
      </c>
    </row>
    <row r="371" spans="1:17" x14ac:dyDescent="0.4">
      <c r="A371" s="1">
        <v>44368</v>
      </c>
      <c r="B371">
        <v>259.82000732421875</v>
      </c>
      <c r="C371">
        <v>263.51998901367188</v>
      </c>
      <c r="D371">
        <v>257.92001342773438</v>
      </c>
      <c r="E371">
        <v>262.6300048828125</v>
      </c>
      <c r="F371">
        <v>26696100</v>
      </c>
      <c r="G371">
        <v>253.64144897460938</v>
      </c>
      <c r="H371" s="2">
        <f>MONTH(Query1[[#This Row],[Date]])</f>
        <v>6</v>
      </c>
      <c r="I371" s="3">
        <f>Query1[[#This Row],[Shares]]*Query1[[#This Row],[Adj Close]]</f>
        <v>911155.91476852971</v>
      </c>
      <c r="J371" s="3">
        <f>IF(ROW()&lt;3, Dashboard!$E$7, IF(Query1[[#This Row],[Month]]&lt;&gt;H370,J370*(1+Dashboard!$E$4)+Dashboard!$E$5,J370))</f>
        <v>629013.10196105496</v>
      </c>
      <c r="K371">
        <f>IF(ROW()&lt;3, 0,IF(Query1[[#This Row],[Month]]&lt;&gt;H370,IF((J371-I371&gt;0),J371-I371,0),0))</f>
        <v>0</v>
      </c>
      <c r="L371" s="2">
        <f t="shared" si="5"/>
        <v>3592.2989655359538</v>
      </c>
      <c r="M371">
        <f>IF(ROW()&lt;3, 0, IF(Query1[[#This Row],[Month]]&lt;&gt;H370, Dashboard!$J$5,0))</f>
        <v>0</v>
      </c>
      <c r="N371" s="2">
        <f>IF(ROW()&lt;3, Query1[[#This Row],[Shares]], IF(Query1[[#This Row],[Month]]&lt;&gt;H370, N370+Query1[[#This Row],[Fix Top Up]]/Query1[[#This Row],[Adj Close]], N370))</f>
        <v>3339.1138274569917</v>
      </c>
      <c r="O371">
        <f>IF(AND(Query1[[#This Row],[avg]]&gt;0, Query1[[#This Row],[Month]]&lt;&gt;H370),
    IF(Query1[[#This Row],[Adj Close]]&gt;Query1[[#This Row],[avg]],
       Dashboard!$L$5-Dashboard!$E$6,
       Dashboard!$L$5+Dashboard!$E$6
    ), 0
)</f>
        <v>0</v>
      </c>
      <c r="P371" s="2">
        <f>IF(ROW()&lt;3, Query1[[#This Row],[Shares]], IF(Query1[[#This Row],[Month]]&lt;&gt;H370, P370+Query1[[#This Row],[Enhanced top up]]/Query1[[#This Row],[Adj Close]], P370))</f>
        <v>3330.5724220178668</v>
      </c>
      <c r="Q371" s="2">
        <f>IFERROR(AVERAGE(
  IF(ROW()&gt;20, INDEX(G:G, ROW()-20), 0) :
  INDEX(G:G, ROW())
),0)</f>
        <v>244.80274236769904</v>
      </c>
    </row>
    <row r="372" spans="1:17" x14ac:dyDescent="0.4">
      <c r="A372" s="1">
        <v>44369</v>
      </c>
      <c r="B372">
        <v>262.72000122070313</v>
      </c>
      <c r="C372">
        <v>265.79000854492188</v>
      </c>
      <c r="D372">
        <v>262.39999389648438</v>
      </c>
      <c r="E372">
        <v>265.510009765625</v>
      </c>
      <c r="F372">
        <v>24694100</v>
      </c>
      <c r="G372">
        <v>256.42288208007813</v>
      </c>
      <c r="H372" s="2">
        <f>MONTH(Query1[[#This Row],[Date]])</f>
        <v>6</v>
      </c>
      <c r="I372" s="3">
        <f>Query1[[#This Row],[Shares]]*Query1[[#This Row],[Adj Close]]</f>
        <v>921147.65403601248</v>
      </c>
      <c r="J372" s="3">
        <f>IF(ROW()&lt;3, Dashboard!$E$7, IF(Query1[[#This Row],[Month]]&lt;&gt;H371,J371*(1+Dashboard!$E$4)+Dashboard!$E$5,J371))</f>
        <v>629013.10196105496</v>
      </c>
      <c r="K372">
        <f>IF(ROW()&lt;3, 0,IF(Query1[[#This Row],[Month]]&lt;&gt;H371,IF((J372-I372&gt;0),J372-I372,0),0))</f>
        <v>0</v>
      </c>
      <c r="L372" s="2">
        <f t="shared" si="5"/>
        <v>3592.2989655359538</v>
      </c>
      <c r="M372">
        <f>IF(ROW()&lt;3, 0, IF(Query1[[#This Row],[Month]]&lt;&gt;H371, Dashboard!$J$5,0))</f>
        <v>0</v>
      </c>
      <c r="N372" s="2">
        <f>IF(ROW()&lt;3, Query1[[#This Row],[Shares]], IF(Query1[[#This Row],[Month]]&lt;&gt;H371, N371+Query1[[#This Row],[Fix Top Up]]/Query1[[#This Row],[Adj Close]], N371))</f>
        <v>3339.1138274569917</v>
      </c>
      <c r="O372">
        <f>IF(AND(Query1[[#This Row],[avg]]&gt;0, Query1[[#This Row],[Month]]&lt;&gt;H371),
    IF(Query1[[#This Row],[Adj Close]]&gt;Query1[[#This Row],[avg]],
       Dashboard!$L$5-Dashboard!$E$6,
       Dashboard!$L$5+Dashboard!$E$6
    ), 0
)</f>
        <v>0</v>
      </c>
      <c r="P372" s="2">
        <f>IF(ROW()&lt;3, Query1[[#This Row],[Shares]], IF(Query1[[#This Row],[Month]]&lt;&gt;H371, P371+Query1[[#This Row],[Enhanced top up]]/Query1[[#This Row],[Adj Close]], P371))</f>
        <v>3330.5724220178668</v>
      </c>
      <c r="Q372" s="2">
        <f>IFERROR(AVERAGE(
  IF(ROW()&gt;20, INDEX(G:G, ROW()-20), 0) :
  INDEX(G:G, ROW())
),0)</f>
        <v>245.73816571916853</v>
      </c>
    </row>
    <row r="373" spans="1:17" x14ac:dyDescent="0.4">
      <c r="A373" s="1">
        <v>44370</v>
      </c>
      <c r="B373">
        <v>265.989990234375</v>
      </c>
      <c r="C373">
        <v>266.82998657226563</v>
      </c>
      <c r="D373">
        <v>264.42999267578125</v>
      </c>
      <c r="E373">
        <v>265.26998901367188</v>
      </c>
      <c r="F373">
        <v>19518700</v>
      </c>
      <c r="G373">
        <v>256.1910400390625</v>
      </c>
      <c r="H373" s="2">
        <f>MONTH(Query1[[#This Row],[Date]])</f>
        <v>6</v>
      </c>
      <c r="I373" s="3">
        <f>Query1[[#This Row],[Shares]]*Query1[[#This Row],[Adj Close]]</f>
        <v>920314.80811190431</v>
      </c>
      <c r="J373" s="3">
        <f>IF(ROW()&lt;3, Dashboard!$E$7, IF(Query1[[#This Row],[Month]]&lt;&gt;H372,J372*(1+Dashboard!$E$4)+Dashboard!$E$5,J372))</f>
        <v>629013.10196105496</v>
      </c>
      <c r="K373">
        <f>IF(ROW()&lt;3, 0,IF(Query1[[#This Row],[Month]]&lt;&gt;H372,IF((J373-I373&gt;0),J373-I373,0),0))</f>
        <v>0</v>
      </c>
      <c r="L373" s="2">
        <f t="shared" si="5"/>
        <v>3592.2989655359538</v>
      </c>
      <c r="M373">
        <f>IF(ROW()&lt;3, 0, IF(Query1[[#This Row],[Month]]&lt;&gt;H372, Dashboard!$J$5,0))</f>
        <v>0</v>
      </c>
      <c r="N373" s="2">
        <f>IF(ROW()&lt;3, Query1[[#This Row],[Shares]], IF(Query1[[#This Row],[Month]]&lt;&gt;H372, N372+Query1[[#This Row],[Fix Top Up]]/Query1[[#This Row],[Adj Close]], N372))</f>
        <v>3339.1138274569917</v>
      </c>
      <c r="O373">
        <f>IF(AND(Query1[[#This Row],[avg]]&gt;0, Query1[[#This Row],[Month]]&lt;&gt;H372),
    IF(Query1[[#This Row],[Adj Close]]&gt;Query1[[#This Row],[avg]],
       Dashboard!$L$5-Dashboard!$E$6,
       Dashboard!$L$5+Dashboard!$E$6
    ), 0
)</f>
        <v>0</v>
      </c>
      <c r="P373" s="2">
        <f>IF(ROW()&lt;3, Query1[[#This Row],[Shares]], IF(Query1[[#This Row],[Month]]&lt;&gt;H372, P372+Query1[[#This Row],[Enhanced top up]]/Query1[[#This Row],[Adj Close]], P372))</f>
        <v>3330.5724220178668</v>
      </c>
      <c r="Q373" s="2">
        <f>IFERROR(AVERAGE(
  IF(ROW()&gt;20, INDEX(G:G, ROW()-20), 0) :
  INDEX(G:G, ROW())
),0)</f>
        <v>246.40454900832404</v>
      </c>
    </row>
    <row r="374" spans="1:17" x14ac:dyDescent="0.4">
      <c r="A374" s="1">
        <v>44371</v>
      </c>
      <c r="B374">
        <v>266.16000366210938</v>
      </c>
      <c r="C374">
        <v>267.85000610351563</v>
      </c>
      <c r="D374">
        <v>265.47000122070313</v>
      </c>
      <c r="E374">
        <v>266.69000244140625</v>
      </c>
      <c r="F374">
        <v>21446900</v>
      </c>
      <c r="G374">
        <v>257.56246948242188</v>
      </c>
      <c r="H374" s="2">
        <f>MONTH(Query1[[#This Row],[Date]])</f>
        <v>6</v>
      </c>
      <c r="I374" s="3">
        <f>Query1[[#This Row],[Shares]]*Query1[[#This Row],[Adj Close]]</f>
        <v>925241.39268258982</v>
      </c>
      <c r="J374" s="3">
        <f>IF(ROW()&lt;3, Dashboard!$E$7, IF(Query1[[#This Row],[Month]]&lt;&gt;H373,J373*(1+Dashboard!$E$4)+Dashboard!$E$5,J373))</f>
        <v>629013.10196105496</v>
      </c>
      <c r="K374">
        <f>IF(ROW()&lt;3, 0,IF(Query1[[#This Row],[Month]]&lt;&gt;H373,IF((J374-I374&gt;0),J374-I374,0),0))</f>
        <v>0</v>
      </c>
      <c r="L374" s="2">
        <f t="shared" si="5"/>
        <v>3592.2989655359538</v>
      </c>
      <c r="M374">
        <f>IF(ROW()&lt;3, 0, IF(Query1[[#This Row],[Month]]&lt;&gt;H373, Dashboard!$J$5,0))</f>
        <v>0</v>
      </c>
      <c r="N374" s="2">
        <f>IF(ROW()&lt;3, Query1[[#This Row],[Shares]], IF(Query1[[#This Row],[Month]]&lt;&gt;H373, N373+Query1[[#This Row],[Fix Top Up]]/Query1[[#This Row],[Adj Close]], N373))</f>
        <v>3339.1138274569917</v>
      </c>
      <c r="O374">
        <f>IF(AND(Query1[[#This Row],[avg]]&gt;0, Query1[[#This Row],[Month]]&lt;&gt;H373),
    IF(Query1[[#This Row],[Adj Close]]&gt;Query1[[#This Row],[avg]],
       Dashboard!$L$5-Dashboard!$E$6,
       Dashboard!$L$5+Dashboard!$E$6
    ), 0
)</f>
        <v>0</v>
      </c>
      <c r="P374" s="2">
        <f>IF(ROW()&lt;3, Query1[[#This Row],[Shares]], IF(Query1[[#This Row],[Month]]&lt;&gt;H373, P373+Query1[[#This Row],[Enhanced top up]]/Query1[[#This Row],[Adj Close]], P373))</f>
        <v>3330.5724220178668</v>
      </c>
      <c r="Q374" s="2">
        <f>IFERROR(AVERAGE(
  IF(ROW()&gt;20, INDEX(G:G, ROW()-20), 0) :
  INDEX(G:G, ROW())
),0)</f>
        <v>247.09300813220796</v>
      </c>
    </row>
    <row r="375" spans="1:17" x14ac:dyDescent="0.4">
      <c r="A375" s="1">
        <v>44372</v>
      </c>
      <c r="B375">
        <v>266.23001098632813</v>
      </c>
      <c r="C375">
        <v>267.25</v>
      </c>
      <c r="D375">
        <v>264.760009765625</v>
      </c>
      <c r="E375">
        <v>265.01998901367188</v>
      </c>
      <c r="F375">
        <v>25611100</v>
      </c>
      <c r="G375">
        <v>255.94963073730469</v>
      </c>
      <c r="H375" s="2">
        <f>MONTH(Query1[[#This Row],[Date]])</f>
        <v>6</v>
      </c>
      <c r="I375" s="3">
        <f>Query1[[#This Row],[Shares]]*Query1[[#This Row],[Adj Close]]</f>
        <v>919447.59372692904</v>
      </c>
      <c r="J375" s="3">
        <f>IF(ROW()&lt;3, Dashboard!$E$7, IF(Query1[[#This Row],[Month]]&lt;&gt;H374,J374*(1+Dashboard!$E$4)+Dashboard!$E$5,J374))</f>
        <v>629013.10196105496</v>
      </c>
      <c r="K375">
        <f>IF(ROW()&lt;3, 0,IF(Query1[[#This Row],[Month]]&lt;&gt;H374,IF((J375-I375&gt;0),J375-I375,0),0))</f>
        <v>0</v>
      </c>
      <c r="L375" s="2">
        <f t="shared" si="5"/>
        <v>3592.2989655359538</v>
      </c>
      <c r="M375">
        <f>IF(ROW()&lt;3, 0, IF(Query1[[#This Row],[Month]]&lt;&gt;H374, Dashboard!$J$5,0))</f>
        <v>0</v>
      </c>
      <c r="N375" s="2">
        <f>IF(ROW()&lt;3, Query1[[#This Row],[Shares]], IF(Query1[[#This Row],[Month]]&lt;&gt;H374, N374+Query1[[#This Row],[Fix Top Up]]/Query1[[#This Row],[Adj Close]], N374))</f>
        <v>3339.1138274569917</v>
      </c>
      <c r="O375">
        <f>IF(AND(Query1[[#This Row],[avg]]&gt;0, Query1[[#This Row],[Month]]&lt;&gt;H374),
    IF(Query1[[#This Row],[Adj Close]]&gt;Query1[[#This Row],[avg]],
       Dashboard!$L$5-Dashboard!$E$6,
       Dashboard!$L$5+Dashboard!$E$6
    ), 0
)</f>
        <v>0</v>
      </c>
      <c r="P375" s="2">
        <f>IF(ROW()&lt;3, Query1[[#This Row],[Shares]], IF(Query1[[#This Row],[Month]]&lt;&gt;H374, P374+Query1[[#This Row],[Enhanced top up]]/Query1[[#This Row],[Adj Close]], P374))</f>
        <v>3330.5724220178668</v>
      </c>
      <c r="Q375" s="2">
        <f>IFERROR(AVERAGE(
  IF(ROW()&gt;20, INDEX(G:G, ROW()-20), 0) :
  INDEX(G:G, ROW())
),0)</f>
        <v>247.71524411156065</v>
      </c>
    </row>
    <row r="376" spans="1:17" x14ac:dyDescent="0.4">
      <c r="A376" s="1">
        <v>44375</v>
      </c>
      <c r="B376">
        <v>266.19000244140625</v>
      </c>
      <c r="C376">
        <v>268.89999389648438</v>
      </c>
      <c r="D376">
        <v>265.91000366210938</v>
      </c>
      <c r="E376">
        <v>268.72000122070313</v>
      </c>
      <c r="F376">
        <v>19590000</v>
      </c>
      <c r="G376">
        <v>259.52301025390625</v>
      </c>
      <c r="H376" s="2">
        <f>MONTH(Query1[[#This Row],[Date]])</f>
        <v>6</v>
      </c>
      <c r="I376" s="3">
        <f>Query1[[#This Row],[Shares]]*Query1[[#This Row],[Adj Close]]</f>
        <v>932284.24126788415</v>
      </c>
      <c r="J376" s="3">
        <f>IF(ROW()&lt;3, Dashboard!$E$7, IF(Query1[[#This Row],[Month]]&lt;&gt;H375,J375*(1+Dashboard!$E$4)+Dashboard!$E$5,J375))</f>
        <v>629013.10196105496</v>
      </c>
      <c r="K376">
        <f>IF(ROW()&lt;3, 0,IF(Query1[[#This Row],[Month]]&lt;&gt;H375,IF((J376-I376&gt;0),J376-I376,0),0))</f>
        <v>0</v>
      </c>
      <c r="L376" s="2">
        <f t="shared" si="5"/>
        <v>3592.2989655359538</v>
      </c>
      <c r="M376">
        <f>IF(ROW()&lt;3, 0, IF(Query1[[#This Row],[Month]]&lt;&gt;H375, Dashboard!$J$5,0))</f>
        <v>0</v>
      </c>
      <c r="N376" s="2">
        <f>IF(ROW()&lt;3, Query1[[#This Row],[Shares]], IF(Query1[[#This Row],[Month]]&lt;&gt;H375, N375+Query1[[#This Row],[Fix Top Up]]/Query1[[#This Row],[Adj Close]], N375))</f>
        <v>3339.1138274569917</v>
      </c>
      <c r="O376">
        <f>IF(AND(Query1[[#This Row],[avg]]&gt;0, Query1[[#This Row],[Month]]&lt;&gt;H375),
    IF(Query1[[#This Row],[Adj Close]]&gt;Query1[[#This Row],[avg]],
       Dashboard!$L$5-Dashboard!$E$6,
       Dashboard!$L$5+Dashboard!$E$6
    ), 0
)</f>
        <v>0</v>
      </c>
      <c r="P376" s="2">
        <f>IF(ROW()&lt;3, Query1[[#This Row],[Shares]], IF(Query1[[#This Row],[Month]]&lt;&gt;H375, P375+Query1[[#This Row],[Enhanced top up]]/Query1[[#This Row],[Adj Close]], P375))</f>
        <v>3330.5724220178668</v>
      </c>
      <c r="Q376" s="2">
        <f>IFERROR(AVERAGE(
  IF(ROW()&gt;20, INDEX(G:G, ROW()-20), 0) :
  INDEX(G:G, ROW())
),0)</f>
        <v>248.60789635067894</v>
      </c>
    </row>
    <row r="377" spans="1:17" x14ac:dyDescent="0.4">
      <c r="A377" s="1">
        <v>44376</v>
      </c>
      <c r="B377">
        <v>268.8699951171875</v>
      </c>
      <c r="C377">
        <v>271.64999389648438</v>
      </c>
      <c r="D377">
        <v>267.98001098632813</v>
      </c>
      <c r="E377">
        <v>271.39999389648438</v>
      </c>
      <c r="F377">
        <v>19937800</v>
      </c>
      <c r="G377">
        <v>262.11126708984375</v>
      </c>
      <c r="H377" s="2">
        <f>MONTH(Query1[[#This Row],[Date]])</f>
        <v>6</v>
      </c>
      <c r="I377" s="3">
        <f>Query1[[#This Row],[Shares]]*Query1[[#This Row],[Adj Close]]</f>
        <v>941582.03362216381</v>
      </c>
      <c r="J377" s="3">
        <f>IF(ROW()&lt;3, Dashboard!$E$7, IF(Query1[[#This Row],[Month]]&lt;&gt;H376,J376*(1+Dashboard!$E$4)+Dashboard!$E$5,J376))</f>
        <v>629013.10196105496</v>
      </c>
      <c r="K377">
        <f>IF(ROW()&lt;3, 0,IF(Query1[[#This Row],[Month]]&lt;&gt;H376,IF((J377-I377&gt;0),J377-I377,0),0))</f>
        <v>0</v>
      </c>
      <c r="L377" s="2">
        <f t="shared" si="5"/>
        <v>3592.2989655359538</v>
      </c>
      <c r="M377">
        <f>IF(ROW()&lt;3, 0, IF(Query1[[#This Row],[Month]]&lt;&gt;H376, Dashboard!$J$5,0))</f>
        <v>0</v>
      </c>
      <c r="N377" s="2">
        <f>IF(ROW()&lt;3, Query1[[#This Row],[Shares]], IF(Query1[[#This Row],[Month]]&lt;&gt;H376, N376+Query1[[#This Row],[Fix Top Up]]/Query1[[#This Row],[Adj Close]], N376))</f>
        <v>3339.1138274569917</v>
      </c>
      <c r="O377">
        <f>IF(AND(Query1[[#This Row],[avg]]&gt;0, Query1[[#This Row],[Month]]&lt;&gt;H376),
    IF(Query1[[#This Row],[Adj Close]]&gt;Query1[[#This Row],[avg]],
       Dashboard!$L$5-Dashboard!$E$6,
       Dashboard!$L$5+Dashboard!$E$6
    ), 0
)</f>
        <v>0</v>
      </c>
      <c r="P377" s="2">
        <f>IF(ROW()&lt;3, Query1[[#This Row],[Shares]], IF(Query1[[#This Row],[Month]]&lt;&gt;H376, P376+Query1[[#This Row],[Enhanced top up]]/Query1[[#This Row],[Adj Close]], P376))</f>
        <v>3330.5724220178668</v>
      </c>
      <c r="Q377" s="2">
        <f>IFERROR(AVERAGE(
  IF(ROW()&gt;20, INDEX(G:G, ROW()-20), 0) :
  INDEX(G:G, ROW())
),0)</f>
        <v>249.60678391229538</v>
      </c>
    </row>
    <row r="378" spans="1:17" x14ac:dyDescent="0.4">
      <c r="A378" s="1">
        <v>44377</v>
      </c>
      <c r="B378">
        <v>270.69000244140625</v>
      </c>
      <c r="C378">
        <v>271.3599853515625</v>
      </c>
      <c r="D378">
        <v>269.60000610351563</v>
      </c>
      <c r="E378">
        <v>270.89999389648438</v>
      </c>
      <c r="F378">
        <v>21656500</v>
      </c>
      <c r="G378">
        <v>261.62832641601563</v>
      </c>
      <c r="H378" s="2">
        <f>MONTH(Query1[[#This Row],[Date]])</f>
        <v>6</v>
      </c>
      <c r="I378" s="3">
        <f>Query1[[#This Row],[Shares]]*Query1[[#This Row],[Adj Close]]</f>
        <v>939847.16633915575</v>
      </c>
      <c r="J378" s="3">
        <f>IF(ROW()&lt;3, Dashboard!$E$7, IF(Query1[[#This Row],[Month]]&lt;&gt;H377,J377*(1+Dashboard!$E$4)+Dashboard!$E$5,J377))</f>
        <v>629013.10196105496</v>
      </c>
      <c r="K378">
        <f>IF(ROW()&lt;3, 0,IF(Query1[[#This Row],[Month]]&lt;&gt;H377,IF((J378-I378&gt;0),J378-I378,0),0))</f>
        <v>0</v>
      </c>
      <c r="L378" s="2">
        <f t="shared" si="5"/>
        <v>3592.2989655359538</v>
      </c>
      <c r="M378">
        <f>IF(ROW()&lt;3, 0, IF(Query1[[#This Row],[Month]]&lt;&gt;H377, Dashboard!$J$5,0))</f>
        <v>0</v>
      </c>
      <c r="N378" s="2">
        <f>IF(ROW()&lt;3, Query1[[#This Row],[Shares]], IF(Query1[[#This Row],[Month]]&lt;&gt;H377, N377+Query1[[#This Row],[Fix Top Up]]/Query1[[#This Row],[Adj Close]], N377))</f>
        <v>3339.1138274569917</v>
      </c>
      <c r="O378">
        <f>IF(AND(Query1[[#This Row],[avg]]&gt;0, Query1[[#This Row],[Month]]&lt;&gt;H377),
    IF(Query1[[#This Row],[Adj Close]]&gt;Query1[[#This Row],[avg]],
       Dashboard!$L$5-Dashboard!$E$6,
       Dashboard!$L$5+Dashboard!$E$6
    ), 0
)</f>
        <v>0</v>
      </c>
      <c r="P378" s="2">
        <f>IF(ROW()&lt;3, Query1[[#This Row],[Shares]], IF(Query1[[#This Row],[Month]]&lt;&gt;H377, P377+Query1[[#This Row],[Enhanced top up]]/Query1[[#This Row],[Adj Close]], P377))</f>
        <v>3330.5724220178668</v>
      </c>
      <c r="Q378" s="2">
        <f>IFERROR(AVERAGE(
  IF(ROW()&gt;20, INDEX(G:G, ROW()-20), 0) :
  INDEX(G:G, ROW())
),0)</f>
        <v>250.68752906436012</v>
      </c>
    </row>
    <row r="379" spans="1:17" x14ac:dyDescent="0.4">
      <c r="A379" s="1">
        <v>44378</v>
      </c>
      <c r="B379">
        <v>269.6099853515625</v>
      </c>
      <c r="C379">
        <v>271.83999633789063</v>
      </c>
      <c r="D379">
        <v>269.60000610351563</v>
      </c>
      <c r="E379">
        <v>271.60000610351563</v>
      </c>
      <c r="F379">
        <v>16725300</v>
      </c>
      <c r="G379">
        <v>262.30441284179688</v>
      </c>
      <c r="H379" s="2">
        <f>MONTH(Query1[[#This Row],[Date]])</f>
        <v>7</v>
      </c>
      <c r="I379" s="3">
        <f>Query1[[#This Row],[Shares]]*Query1[[#This Row],[Adj Close]]</f>
        <v>942275.87090710271</v>
      </c>
      <c r="J379" s="3">
        <f>IF(ROW()&lt;3, Dashboard!$E$7, IF(Query1[[#This Row],[Month]]&lt;&gt;H378,J378*(1+Dashboard!$E$4)+Dashboard!$E$5,J378))</f>
        <v>637303.23298066552</v>
      </c>
      <c r="K379">
        <f>IF(ROW()&lt;3, 0,IF(Query1[[#This Row],[Month]]&lt;&gt;H378,IF((J379-I379&gt;0),J379-I379,0),0))</f>
        <v>0</v>
      </c>
      <c r="L379" s="2">
        <f t="shared" si="5"/>
        <v>3592.2989655359538</v>
      </c>
      <c r="M379">
        <f>IF(ROW()&lt;3, 0, IF(Query1[[#This Row],[Month]]&lt;&gt;H378, Dashboard!$J$5,0))</f>
        <v>773.47399999999971</v>
      </c>
      <c r="N379" s="2">
        <f>IF(ROW()&lt;3, Query1[[#This Row],[Shares]], IF(Query1[[#This Row],[Month]]&lt;&gt;H378, N378+Query1[[#This Row],[Fix Top Up]]/Query1[[#This Row],[Adj Close]], N378))</f>
        <v>3342.062592182755</v>
      </c>
      <c r="O379">
        <f>IF(AND(Query1[[#This Row],[avg]]&gt;0, Query1[[#This Row],[Month]]&lt;&gt;H378),
    IF(Query1[[#This Row],[Adj Close]]&gt;Query1[[#This Row],[avg]],
       Dashboard!$L$5-Dashboard!$E$6,
       Dashboard!$L$5+Dashboard!$E$6
    ), 0
)</f>
        <v>390.14066666666668</v>
      </c>
      <c r="P379" s="2">
        <f>IF(ROW()&lt;3, Query1[[#This Row],[Shares]], IF(Query1[[#This Row],[Month]]&lt;&gt;H378, P378+Query1[[#This Row],[Enhanced top up]]/Query1[[#This Row],[Adj Close]], P378))</f>
        <v>3332.0597803983069</v>
      </c>
      <c r="Q379" s="2">
        <f>IFERROR(AVERAGE(
  IF(ROW()&gt;20, INDEX(G:G, ROW()-20), 0) :
  INDEX(G:G, ROW())
),0)</f>
        <v>251.80506751650856</v>
      </c>
    </row>
    <row r="380" spans="1:17" x14ac:dyDescent="0.4">
      <c r="A380" s="1">
        <v>44379</v>
      </c>
      <c r="B380">
        <v>272.82000732421875</v>
      </c>
      <c r="C380">
        <v>278</v>
      </c>
      <c r="D380">
        <v>272.5</v>
      </c>
      <c r="E380">
        <v>277.64999389648438</v>
      </c>
      <c r="F380">
        <v>26458000</v>
      </c>
      <c r="G380">
        <v>268.14730834960938</v>
      </c>
      <c r="H380" s="2">
        <f>MONTH(Query1[[#This Row],[Date]])</f>
        <v>7</v>
      </c>
      <c r="I380" s="3">
        <f>Query1[[#This Row],[Shares]]*Query1[[#This Row],[Adj Close]]</f>
        <v>963265.29839555221</v>
      </c>
      <c r="J380" s="3">
        <f>IF(ROW()&lt;3, Dashboard!$E$7, IF(Query1[[#This Row],[Month]]&lt;&gt;H379,J379*(1+Dashboard!$E$4)+Dashboard!$E$5,J379))</f>
        <v>637303.23298066552</v>
      </c>
      <c r="K380">
        <f>IF(ROW()&lt;3, 0,IF(Query1[[#This Row],[Month]]&lt;&gt;H379,IF((J380-I380&gt;0),J380-I380,0),0))</f>
        <v>0</v>
      </c>
      <c r="L380" s="2">
        <f t="shared" si="5"/>
        <v>3592.2989655359538</v>
      </c>
      <c r="M380">
        <f>IF(ROW()&lt;3, 0, IF(Query1[[#This Row],[Month]]&lt;&gt;H379, Dashboard!$J$5,0))</f>
        <v>0</v>
      </c>
      <c r="N380" s="2">
        <f>IF(ROW()&lt;3, Query1[[#This Row],[Shares]], IF(Query1[[#This Row],[Month]]&lt;&gt;H379, N379+Query1[[#This Row],[Fix Top Up]]/Query1[[#This Row],[Adj Close]], N379))</f>
        <v>3342.062592182755</v>
      </c>
      <c r="O380">
        <f>IF(AND(Query1[[#This Row],[avg]]&gt;0, Query1[[#This Row],[Month]]&lt;&gt;H379),
    IF(Query1[[#This Row],[Adj Close]]&gt;Query1[[#This Row],[avg]],
       Dashboard!$L$5-Dashboard!$E$6,
       Dashboard!$L$5+Dashboard!$E$6
    ), 0
)</f>
        <v>0</v>
      </c>
      <c r="P380" s="2">
        <f>IF(ROW()&lt;3, Query1[[#This Row],[Shares]], IF(Query1[[#This Row],[Month]]&lt;&gt;H379, P379+Query1[[#This Row],[Enhanced top up]]/Query1[[#This Row],[Adj Close]], P379))</f>
        <v>3332.0597803983069</v>
      </c>
      <c r="Q380" s="2">
        <f>IFERROR(AVERAGE(
  IF(ROW()&gt;20, INDEX(G:G, ROW()-20), 0) :
  INDEX(G:G, ROW())
),0)</f>
        <v>253.27396211170014</v>
      </c>
    </row>
    <row r="381" spans="1:17" x14ac:dyDescent="0.4">
      <c r="A381" s="1">
        <v>44383</v>
      </c>
      <c r="B381">
        <v>278.02999877929688</v>
      </c>
      <c r="C381">
        <v>279.3699951171875</v>
      </c>
      <c r="D381">
        <v>274.29998779296875</v>
      </c>
      <c r="E381">
        <v>277.66000366210938</v>
      </c>
      <c r="F381">
        <v>31565600</v>
      </c>
      <c r="G381">
        <v>268.15704345703125</v>
      </c>
      <c r="H381" s="2">
        <f>MONTH(Query1[[#This Row],[Date]])</f>
        <v>7</v>
      </c>
      <c r="I381" s="3">
        <f>Query1[[#This Row],[Shares]]*Query1[[#This Row],[Adj Close]]</f>
        <v>963300.26981187321</v>
      </c>
      <c r="J381" s="3">
        <f>IF(ROW()&lt;3, Dashboard!$E$7, IF(Query1[[#This Row],[Month]]&lt;&gt;H380,J380*(1+Dashboard!$E$4)+Dashboard!$E$5,J380))</f>
        <v>637303.23298066552</v>
      </c>
      <c r="K381">
        <f>IF(ROW()&lt;3, 0,IF(Query1[[#This Row],[Month]]&lt;&gt;H380,IF((J381-I381&gt;0),J381-I381,0),0))</f>
        <v>0</v>
      </c>
      <c r="L381" s="2">
        <f t="shared" si="5"/>
        <v>3592.2989655359538</v>
      </c>
      <c r="M381">
        <f>IF(ROW()&lt;3, 0, IF(Query1[[#This Row],[Month]]&lt;&gt;H380, Dashboard!$J$5,0))</f>
        <v>0</v>
      </c>
      <c r="N381" s="2">
        <f>IF(ROW()&lt;3, Query1[[#This Row],[Shares]], IF(Query1[[#This Row],[Month]]&lt;&gt;H380, N380+Query1[[#This Row],[Fix Top Up]]/Query1[[#This Row],[Adj Close]], N380))</f>
        <v>3342.062592182755</v>
      </c>
      <c r="O381">
        <f>IF(AND(Query1[[#This Row],[avg]]&gt;0, Query1[[#This Row],[Month]]&lt;&gt;H380),
    IF(Query1[[#This Row],[Adj Close]]&gt;Query1[[#This Row],[avg]],
       Dashboard!$L$5-Dashboard!$E$6,
       Dashboard!$L$5+Dashboard!$E$6
    ), 0
)</f>
        <v>0</v>
      </c>
      <c r="P381" s="2">
        <f>IF(ROW()&lt;3, Query1[[#This Row],[Shares]], IF(Query1[[#This Row],[Month]]&lt;&gt;H380, P380+Query1[[#This Row],[Enhanced top up]]/Query1[[#This Row],[Adj Close]], P380))</f>
        <v>3332.0597803983069</v>
      </c>
      <c r="Q381" s="2">
        <f>IFERROR(AVERAGE(
  IF(ROW()&gt;20, INDEX(G:G, ROW()-20), 0) :
  INDEX(G:G, ROW())
),0)</f>
        <v>254.50969659714471</v>
      </c>
    </row>
    <row r="382" spans="1:17" x14ac:dyDescent="0.4">
      <c r="A382" s="1">
        <v>44384</v>
      </c>
      <c r="B382">
        <v>279.39999389648438</v>
      </c>
      <c r="C382">
        <v>280.69000244140625</v>
      </c>
      <c r="D382">
        <v>277.14999389648438</v>
      </c>
      <c r="E382">
        <v>279.92999267578125</v>
      </c>
      <c r="F382">
        <v>23260000</v>
      </c>
      <c r="G382">
        <v>270.34933471679688</v>
      </c>
      <c r="H382" s="2">
        <f>MONTH(Query1[[#This Row],[Date]])</f>
        <v>7</v>
      </c>
      <c r="I382" s="3">
        <f>Query1[[#This Row],[Shares]]*Query1[[#This Row],[Adj Close]]</f>
        <v>971175.63543648273</v>
      </c>
      <c r="J382" s="3">
        <f>IF(ROW()&lt;3, Dashboard!$E$7, IF(Query1[[#This Row],[Month]]&lt;&gt;H381,J381*(1+Dashboard!$E$4)+Dashboard!$E$5,J381))</f>
        <v>637303.23298066552</v>
      </c>
      <c r="K382">
        <f>IF(ROW()&lt;3, 0,IF(Query1[[#This Row],[Month]]&lt;&gt;H381,IF((J382-I382&gt;0),J382-I382,0),0))</f>
        <v>0</v>
      </c>
      <c r="L382" s="2">
        <f t="shared" si="5"/>
        <v>3592.2989655359538</v>
      </c>
      <c r="M382">
        <f>IF(ROW()&lt;3, 0, IF(Query1[[#This Row],[Month]]&lt;&gt;H381, Dashboard!$J$5,0))</f>
        <v>0</v>
      </c>
      <c r="N382" s="2">
        <f>IF(ROW()&lt;3, Query1[[#This Row],[Shares]], IF(Query1[[#This Row],[Month]]&lt;&gt;H381, N381+Query1[[#This Row],[Fix Top Up]]/Query1[[#This Row],[Adj Close]], N381))</f>
        <v>3342.062592182755</v>
      </c>
      <c r="O382">
        <f>IF(AND(Query1[[#This Row],[avg]]&gt;0, Query1[[#This Row],[Month]]&lt;&gt;H381),
    IF(Query1[[#This Row],[Adj Close]]&gt;Query1[[#This Row],[avg]],
       Dashboard!$L$5-Dashboard!$E$6,
       Dashboard!$L$5+Dashboard!$E$6
    ), 0
)</f>
        <v>0</v>
      </c>
      <c r="P382" s="2">
        <f>IF(ROW()&lt;3, Query1[[#This Row],[Shares]], IF(Query1[[#This Row],[Month]]&lt;&gt;H381, P381+Query1[[#This Row],[Enhanced top up]]/Query1[[#This Row],[Adj Close]], P381))</f>
        <v>3332.0597803983069</v>
      </c>
      <c r="Q382" s="2">
        <f>IFERROR(AVERAGE(
  IF(ROW()&gt;20, INDEX(G:G, ROW()-20), 0) :
  INDEX(G:G, ROW())
),0)</f>
        <v>255.7109375</v>
      </c>
    </row>
    <row r="383" spans="1:17" x14ac:dyDescent="0.4">
      <c r="A383" s="1">
        <v>44385</v>
      </c>
      <c r="B383">
        <v>276.89999389648438</v>
      </c>
      <c r="C383">
        <v>278.73001098632813</v>
      </c>
      <c r="D383">
        <v>274.8699951171875</v>
      </c>
      <c r="E383">
        <v>277.42001342773438</v>
      </c>
      <c r="F383">
        <v>24618600</v>
      </c>
      <c r="G383">
        <v>267.9251708984375</v>
      </c>
      <c r="H383" s="2">
        <f>MONTH(Query1[[#This Row],[Date]])</f>
        <v>7</v>
      </c>
      <c r="I383" s="3">
        <f>Query1[[#This Row],[Shares]]*Query1[[#This Row],[Adj Close]]</f>
        <v>962467.31425950071</v>
      </c>
      <c r="J383" s="3">
        <f>IF(ROW()&lt;3, Dashboard!$E$7, IF(Query1[[#This Row],[Month]]&lt;&gt;H382,J382*(1+Dashboard!$E$4)+Dashboard!$E$5,J382))</f>
        <v>637303.23298066552</v>
      </c>
      <c r="K383">
        <f>IF(ROW()&lt;3, 0,IF(Query1[[#This Row],[Month]]&lt;&gt;H382,IF((J383-I383&gt;0),J383-I383,0),0))</f>
        <v>0</v>
      </c>
      <c r="L383" s="2">
        <f t="shared" si="5"/>
        <v>3592.2989655359538</v>
      </c>
      <c r="M383">
        <f>IF(ROW()&lt;3, 0, IF(Query1[[#This Row],[Month]]&lt;&gt;H382, Dashboard!$J$5,0))</f>
        <v>0</v>
      </c>
      <c r="N383" s="2">
        <f>IF(ROW()&lt;3, Query1[[#This Row],[Shares]], IF(Query1[[#This Row],[Month]]&lt;&gt;H382, N382+Query1[[#This Row],[Fix Top Up]]/Query1[[#This Row],[Adj Close]], N382))</f>
        <v>3342.062592182755</v>
      </c>
      <c r="O383">
        <f>IF(AND(Query1[[#This Row],[avg]]&gt;0, Query1[[#This Row],[Month]]&lt;&gt;H382),
    IF(Query1[[#This Row],[Adj Close]]&gt;Query1[[#This Row],[avg]],
       Dashboard!$L$5-Dashboard!$E$6,
       Dashboard!$L$5+Dashboard!$E$6
    ), 0
)</f>
        <v>0</v>
      </c>
      <c r="P383" s="2">
        <f>IF(ROW()&lt;3, Query1[[#This Row],[Shares]], IF(Query1[[#This Row],[Month]]&lt;&gt;H382, P382+Query1[[#This Row],[Enhanced top up]]/Query1[[#This Row],[Adj Close]], P382))</f>
        <v>3332.0597803983069</v>
      </c>
      <c r="Q383" s="2">
        <f>IFERROR(AVERAGE(
  IF(ROW()&gt;20, INDEX(G:G, ROW()-20), 0) :
  INDEX(G:G, ROW())
),0)</f>
        <v>256.85376921154204</v>
      </c>
    </row>
    <row r="384" spans="1:17" x14ac:dyDescent="0.4">
      <c r="A384" s="1">
        <v>44386</v>
      </c>
      <c r="B384">
        <v>275.72000122070313</v>
      </c>
      <c r="C384">
        <v>278.04998779296875</v>
      </c>
      <c r="D384">
        <v>275.32000732421875</v>
      </c>
      <c r="E384">
        <v>277.94000244140625</v>
      </c>
      <c r="F384">
        <v>23916700</v>
      </c>
      <c r="G384">
        <v>268.42745971679688</v>
      </c>
      <c r="H384" s="2">
        <f>MONTH(Query1[[#This Row],[Date]])</f>
        <v>7</v>
      </c>
      <c r="I384" s="3">
        <f>Query1[[#This Row],[Shares]]*Query1[[#This Row],[Adj Close]]</f>
        <v>964271.68586209335</v>
      </c>
      <c r="J384" s="3">
        <f>IF(ROW()&lt;3, Dashboard!$E$7, IF(Query1[[#This Row],[Month]]&lt;&gt;H383,J383*(1+Dashboard!$E$4)+Dashboard!$E$5,J383))</f>
        <v>637303.23298066552</v>
      </c>
      <c r="K384">
        <f>IF(ROW()&lt;3, 0,IF(Query1[[#This Row],[Month]]&lt;&gt;H383,IF((J384-I384&gt;0),J384-I384,0),0))</f>
        <v>0</v>
      </c>
      <c r="L384" s="2">
        <f t="shared" si="5"/>
        <v>3592.2989655359538</v>
      </c>
      <c r="M384">
        <f>IF(ROW()&lt;3, 0, IF(Query1[[#This Row],[Month]]&lt;&gt;H383, Dashboard!$J$5,0))</f>
        <v>0</v>
      </c>
      <c r="N384" s="2">
        <f>IF(ROW()&lt;3, Query1[[#This Row],[Shares]], IF(Query1[[#This Row],[Month]]&lt;&gt;H383, N383+Query1[[#This Row],[Fix Top Up]]/Query1[[#This Row],[Adj Close]], N383))</f>
        <v>3342.062592182755</v>
      </c>
      <c r="O384">
        <f>IF(AND(Query1[[#This Row],[avg]]&gt;0, Query1[[#This Row],[Month]]&lt;&gt;H383),
    IF(Query1[[#This Row],[Adj Close]]&gt;Query1[[#This Row],[avg]],
       Dashboard!$L$5-Dashboard!$E$6,
       Dashboard!$L$5+Dashboard!$E$6
    ), 0
)</f>
        <v>0</v>
      </c>
      <c r="P384" s="2">
        <f>IF(ROW()&lt;3, Query1[[#This Row],[Shares]], IF(Query1[[#This Row],[Month]]&lt;&gt;H383, P383+Query1[[#This Row],[Enhanced top up]]/Query1[[#This Row],[Adj Close]], P383))</f>
        <v>3332.0597803983069</v>
      </c>
      <c r="Q384" s="2">
        <f>IFERROR(AVERAGE(
  IF(ROW()&gt;20, INDEX(G:G, ROW()-20), 0) :
  INDEX(G:G, ROW())
),0)</f>
        <v>257.97360883440291</v>
      </c>
    </row>
    <row r="385" spans="1:17" x14ac:dyDescent="0.4">
      <c r="A385" s="1">
        <v>44389</v>
      </c>
      <c r="B385">
        <v>279.16000366210938</v>
      </c>
      <c r="C385">
        <v>279.76998901367188</v>
      </c>
      <c r="D385">
        <v>276.57998657226563</v>
      </c>
      <c r="E385">
        <v>277.32000732421875</v>
      </c>
      <c r="F385">
        <v>18931700</v>
      </c>
      <c r="G385">
        <v>267.82870483398438</v>
      </c>
      <c r="H385" s="2">
        <f>MONTH(Query1[[#This Row],[Date]])</f>
        <v>7</v>
      </c>
      <c r="I385" s="3">
        <f>Query1[[#This Row],[Shares]]*Query1[[#This Row],[Adj Close]]</f>
        <v>962120.7793159564</v>
      </c>
      <c r="J385" s="3">
        <f>IF(ROW()&lt;3, Dashboard!$E$7, IF(Query1[[#This Row],[Month]]&lt;&gt;H384,J384*(1+Dashboard!$E$4)+Dashboard!$E$5,J384))</f>
        <v>637303.23298066552</v>
      </c>
      <c r="K385">
        <f>IF(ROW()&lt;3, 0,IF(Query1[[#This Row],[Month]]&lt;&gt;H384,IF((J385-I385&gt;0),J385-I385,0),0))</f>
        <v>0</v>
      </c>
      <c r="L385" s="2">
        <f t="shared" si="5"/>
        <v>3592.2989655359538</v>
      </c>
      <c r="M385">
        <f>IF(ROW()&lt;3, 0, IF(Query1[[#This Row],[Month]]&lt;&gt;H384, Dashboard!$J$5,0))</f>
        <v>0</v>
      </c>
      <c r="N385" s="2">
        <f>IF(ROW()&lt;3, Query1[[#This Row],[Shares]], IF(Query1[[#This Row],[Month]]&lt;&gt;H384, N384+Query1[[#This Row],[Fix Top Up]]/Query1[[#This Row],[Adj Close]], N384))</f>
        <v>3342.062592182755</v>
      </c>
      <c r="O385">
        <f>IF(AND(Query1[[#This Row],[avg]]&gt;0, Query1[[#This Row],[Month]]&lt;&gt;H384),
    IF(Query1[[#This Row],[Adj Close]]&gt;Query1[[#This Row],[avg]],
       Dashboard!$L$5-Dashboard!$E$6,
       Dashboard!$L$5+Dashboard!$E$6
    ), 0
)</f>
        <v>0</v>
      </c>
      <c r="P385" s="2">
        <f>IF(ROW()&lt;3, Query1[[#This Row],[Shares]], IF(Query1[[#This Row],[Month]]&lt;&gt;H384, P384+Query1[[#This Row],[Enhanced top up]]/Query1[[#This Row],[Adj Close]], P384))</f>
        <v>3332.0597803983069</v>
      </c>
      <c r="Q385" s="2">
        <f>IFERROR(AVERAGE(
  IF(ROW()&gt;20, INDEX(G:G, ROW()-20), 0) :
  INDEX(G:G, ROW())
),0)</f>
        <v>258.89707728794644</v>
      </c>
    </row>
    <row r="386" spans="1:17" x14ac:dyDescent="0.4">
      <c r="A386" s="1">
        <v>44390</v>
      </c>
      <c r="B386">
        <v>277.51998901367188</v>
      </c>
      <c r="C386">
        <v>282.85000610351563</v>
      </c>
      <c r="D386">
        <v>277.3900146484375</v>
      </c>
      <c r="E386">
        <v>280.98001098632813</v>
      </c>
      <c r="F386">
        <v>26120100</v>
      </c>
      <c r="G386">
        <v>271.36346435546875</v>
      </c>
      <c r="H386" s="2">
        <f>MONTH(Query1[[#This Row],[Date]])</f>
        <v>7</v>
      </c>
      <c r="I386" s="3">
        <f>Query1[[#This Row],[Shares]]*Query1[[#This Row],[Adj Close]]</f>
        <v>974818.69228840305</v>
      </c>
      <c r="J386" s="3">
        <f>IF(ROW()&lt;3, Dashboard!$E$7, IF(Query1[[#This Row],[Month]]&lt;&gt;H385,J385*(1+Dashboard!$E$4)+Dashboard!$E$5,J385))</f>
        <v>637303.23298066552</v>
      </c>
      <c r="K386">
        <f>IF(ROW()&lt;3, 0,IF(Query1[[#This Row],[Month]]&lt;&gt;H385,IF((J386-I386&gt;0),J386-I386,0),0))</f>
        <v>0</v>
      </c>
      <c r="L386" s="2">
        <f t="shared" ref="L386:L449" si="6">IF(ROW()&lt;3, J386/G386, L385+K385/G385)</f>
        <v>3592.2989655359538</v>
      </c>
      <c r="M386">
        <f>IF(ROW()&lt;3, 0, IF(Query1[[#This Row],[Month]]&lt;&gt;H385, Dashboard!$J$5,0))</f>
        <v>0</v>
      </c>
      <c r="N386" s="2">
        <f>IF(ROW()&lt;3, Query1[[#This Row],[Shares]], IF(Query1[[#This Row],[Month]]&lt;&gt;H385, N385+Query1[[#This Row],[Fix Top Up]]/Query1[[#This Row],[Adj Close]], N385))</f>
        <v>3342.062592182755</v>
      </c>
      <c r="O386">
        <f>IF(AND(Query1[[#This Row],[avg]]&gt;0, Query1[[#This Row],[Month]]&lt;&gt;H385),
    IF(Query1[[#This Row],[Adj Close]]&gt;Query1[[#This Row],[avg]],
       Dashboard!$L$5-Dashboard!$E$6,
       Dashboard!$L$5+Dashboard!$E$6
    ), 0
)</f>
        <v>0</v>
      </c>
      <c r="P386" s="2">
        <f>IF(ROW()&lt;3, Query1[[#This Row],[Shares]], IF(Query1[[#This Row],[Month]]&lt;&gt;H385, P385+Query1[[#This Row],[Enhanced top up]]/Query1[[#This Row],[Adj Close]], P385))</f>
        <v>3332.0597803983069</v>
      </c>
      <c r="Q386" s="2">
        <f>IFERROR(AVERAGE(
  IF(ROW()&gt;20, INDEX(G:G, ROW()-20), 0) :
  INDEX(G:G, ROW())
),0)</f>
        <v>259.95897274925596</v>
      </c>
    </row>
    <row r="387" spans="1:17" x14ac:dyDescent="0.4">
      <c r="A387" s="1">
        <v>44391</v>
      </c>
      <c r="B387">
        <v>282.35000610351563</v>
      </c>
      <c r="C387">
        <v>283.66000366210938</v>
      </c>
      <c r="D387">
        <v>280.54998779296875</v>
      </c>
      <c r="E387">
        <v>282.510009765625</v>
      </c>
      <c r="F387">
        <v>23113700</v>
      </c>
      <c r="G387">
        <v>272.84103393554688</v>
      </c>
      <c r="H387" s="2">
        <f>MONTH(Query1[[#This Row],[Date]])</f>
        <v>7</v>
      </c>
      <c r="I387" s="3">
        <f>Query1[[#This Row],[Shares]]*Query1[[#This Row],[Adj Close]]</f>
        <v>980126.56396242511</v>
      </c>
      <c r="J387" s="3">
        <f>IF(ROW()&lt;3, Dashboard!$E$7, IF(Query1[[#This Row],[Month]]&lt;&gt;H386,J386*(1+Dashboard!$E$4)+Dashboard!$E$5,J386))</f>
        <v>637303.23298066552</v>
      </c>
      <c r="K387">
        <f>IF(ROW()&lt;3, 0,IF(Query1[[#This Row],[Month]]&lt;&gt;H386,IF((J387-I387&gt;0),J387-I387,0),0))</f>
        <v>0</v>
      </c>
      <c r="L387" s="2">
        <f t="shared" si="6"/>
        <v>3592.2989655359538</v>
      </c>
      <c r="M387">
        <f>IF(ROW()&lt;3, 0, IF(Query1[[#This Row],[Month]]&lt;&gt;H386, Dashboard!$J$5,0))</f>
        <v>0</v>
      </c>
      <c r="N387" s="2">
        <f>IF(ROW()&lt;3, Query1[[#This Row],[Shares]], IF(Query1[[#This Row],[Month]]&lt;&gt;H386, N386+Query1[[#This Row],[Fix Top Up]]/Query1[[#This Row],[Adj Close]], N386))</f>
        <v>3342.062592182755</v>
      </c>
      <c r="O387">
        <f>IF(AND(Query1[[#This Row],[avg]]&gt;0, Query1[[#This Row],[Month]]&lt;&gt;H386),
    IF(Query1[[#This Row],[Adj Close]]&gt;Query1[[#This Row],[avg]],
       Dashboard!$L$5-Dashboard!$E$6,
       Dashboard!$L$5+Dashboard!$E$6
    ), 0
)</f>
        <v>0</v>
      </c>
      <c r="P387" s="2">
        <f>IF(ROW()&lt;3, Query1[[#This Row],[Shares]], IF(Query1[[#This Row],[Month]]&lt;&gt;H386, P386+Query1[[#This Row],[Enhanced top up]]/Query1[[#This Row],[Adj Close]], P386))</f>
        <v>3332.0597803983069</v>
      </c>
      <c r="Q387" s="2">
        <f>IFERROR(AVERAGE(
  IF(ROW()&gt;20, INDEX(G:G, ROW()-20), 0) :
  INDEX(G:G, ROW())
),0)</f>
        <v>260.99924941289993</v>
      </c>
    </row>
    <row r="388" spans="1:17" x14ac:dyDescent="0.4">
      <c r="A388" s="1">
        <v>44392</v>
      </c>
      <c r="B388">
        <v>282</v>
      </c>
      <c r="C388">
        <v>282.510009765625</v>
      </c>
      <c r="D388">
        <v>279.82998657226563</v>
      </c>
      <c r="E388">
        <v>281.02999877929688</v>
      </c>
      <c r="F388">
        <v>22604200</v>
      </c>
      <c r="G388">
        <v>271.41165161132813</v>
      </c>
      <c r="H388" s="2">
        <f>MONTH(Query1[[#This Row],[Date]])</f>
        <v>7</v>
      </c>
      <c r="I388" s="3">
        <f>Query1[[#This Row],[Shares]]*Query1[[#This Row],[Adj Close]]</f>
        <v>974991.79531777871</v>
      </c>
      <c r="J388" s="3">
        <f>IF(ROW()&lt;3, Dashboard!$E$7, IF(Query1[[#This Row],[Month]]&lt;&gt;H387,J387*(1+Dashboard!$E$4)+Dashboard!$E$5,J387))</f>
        <v>637303.23298066552</v>
      </c>
      <c r="K388">
        <f>IF(ROW()&lt;3, 0,IF(Query1[[#This Row],[Month]]&lt;&gt;H387,IF((J388-I388&gt;0),J388-I388,0),0))</f>
        <v>0</v>
      </c>
      <c r="L388" s="2">
        <f t="shared" si="6"/>
        <v>3592.2989655359538</v>
      </c>
      <c r="M388">
        <f>IF(ROW()&lt;3, 0, IF(Query1[[#This Row],[Month]]&lt;&gt;H387, Dashboard!$J$5,0))</f>
        <v>0</v>
      </c>
      <c r="N388" s="2">
        <f>IF(ROW()&lt;3, Query1[[#This Row],[Shares]], IF(Query1[[#This Row],[Month]]&lt;&gt;H387, N387+Query1[[#This Row],[Fix Top Up]]/Query1[[#This Row],[Adj Close]], N387))</f>
        <v>3342.062592182755</v>
      </c>
      <c r="O388">
        <f>IF(AND(Query1[[#This Row],[avg]]&gt;0, Query1[[#This Row],[Month]]&lt;&gt;H387),
    IF(Query1[[#This Row],[Adj Close]]&gt;Query1[[#This Row],[avg]],
       Dashboard!$L$5-Dashboard!$E$6,
       Dashboard!$L$5+Dashboard!$E$6
    ), 0
)</f>
        <v>0</v>
      </c>
      <c r="P388" s="2">
        <f>IF(ROW()&lt;3, Query1[[#This Row],[Shares]], IF(Query1[[#This Row],[Month]]&lt;&gt;H387, P387+Query1[[#This Row],[Enhanced top up]]/Query1[[#This Row],[Adj Close]], P387))</f>
        <v>3332.0597803983069</v>
      </c>
      <c r="Q388" s="2">
        <f>IFERROR(AVERAGE(
  IF(ROW()&gt;20, INDEX(G:G, ROW()-20), 0) :
  INDEX(G:G, ROW())
),0)</f>
        <v>262.04182724725632</v>
      </c>
    </row>
    <row r="389" spans="1:17" x14ac:dyDescent="0.4">
      <c r="A389" s="1">
        <v>44393</v>
      </c>
      <c r="B389">
        <v>282.07000732421875</v>
      </c>
      <c r="C389">
        <v>284.10000610351563</v>
      </c>
      <c r="D389">
        <v>279.45999145507813</v>
      </c>
      <c r="E389">
        <v>280.75</v>
      </c>
      <c r="F389">
        <v>26186800</v>
      </c>
      <c r="G389">
        <v>271.14117431640625</v>
      </c>
      <c r="H389" s="2">
        <f>MONTH(Query1[[#This Row],[Date]])</f>
        <v>7</v>
      </c>
      <c r="I389" s="3">
        <f>Query1[[#This Row],[Shares]]*Query1[[#This Row],[Adj Close]]</f>
        <v>974020.16001102992</v>
      </c>
      <c r="J389" s="3">
        <f>IF(ROW()&lt;3, Dashboard!$E$7, IF(Query1[[#This Row],[Month]]&lt;&gt;H388,J388*(1+Dashboard!$E$4)+Dashboard!$E$5,J388))</f>
        <v>637303.23298066552</v>
      </c>
      <c r="K389">
        <f>IF(ROW()&lt;3, 0,IF(Query1[[#This Row],[Month]]&lt;&gt;H388,IF((J389-I389&gt;0),J389-I389,0),0))</f>
        <v>0</v>
      </c>
      <c r="L389" s="2">
        <f t="shared" si="6"/>
        <v>3592.2989655359538</v>
      </c>
      <c r="M389">
        <f>IF(ROW()&lt;3, 0, IF(Query1[[#This Row],[Month]]&lt;&gt;H388, Dashboard!$J$5,0))</f>
        <v>0</v>
      </c>
      <c r="N389" s="2">
        <f>IF(ROW()&lt;3, Query1[[#This Row],[Shares]], IF(Query1[[#This Row],[Month]]&lt;&gt;H388, N388+Query1[[#This Row],[Fix Top Up]]/Query1[[#This Row],[Adj Close]], N388))</f>
        <v>3342.062592182755</v>
      </c>
      <c r="O389">
        <f>IF(AND(Query1[[#This Row],[avg]]&gt;0, Query1[[#This Row],[Month]]&lt;&gt;H388),
    IF(Query1[[#This Row],[Adj Close]]&gt;Query1[[#This Row],[avg]],
       Dashboard!$L$5-Dashboard!$E$6,
       Dashboard!$L$5+Dashboard!$E$6
    ), 0
)</f>
        <v>0</v>
      </c>
      <c r="P389" s="2">
        <f>IF(ROW()&lt;3, Query1[[#This Row],[Shares]], IF(Query1[[#This Row],[Month]]&lt;&gt;H388, P388+Query1[[#This Row],[Enhanced top up]]/Query1[[#This Row],[Adj Close]], P388))</f>
        <v>3332.0597803983069</v>
      </c>
      <c r="Q389" s="2">
        <f>IFERROR(AVERAGE(
  IF(ROW()&gt;20, INDEX(G:G, ROW()-20), 0) :
  INDEX(G:G, ROW())
),0)</f>
        <v>263.11659240722656</v>
      </c>
    </row>
    <row r="390" spans="1:17" x14ac:dyDescent="0.4">
      <c r="A390" s="1">
        <v>44396</v>
      </c>
      <c r="B390">
        <v>278.92999267578125</v>
      </c>
      <c r="C390">
        <v>280.3699951171875</v>
      </c>
      <c r="D390">
        <v>274.45001220703125</v>
      </c>
      <c r="E390">
        <v>277.010009765625</v>
      </c>
      <c r="F390">
        <v>32935600</v>
      </c>
      <c r="G390">
        <v>267.52932739257813</v>
      </c>
      <c r="H390" s="2">
        <f>MONTH(Query1[[#This Row],[Date]])</f>
        <v>7</v>
      </c>
      <c r="I390" s="3">
        <f>Query1[[#This Row],[Shares]]*Query1[[#This Row],[Adj Close]]</f>
        <v>961045.32604288787</v>
      </c>
      <c r="J390" s="3">
        <f>IF(ROW()&lt;3, Dashboard!$E$7, IF(Query1[[#This Row],[Month]]&lt;&gt;H389,J389*(1+Dashboard!$E$4)+Dashboard!$E$5,J389))</f>
        <v>637303.23298066552</v>
      </c>
      <c r="K390">
        <f>IF(ROW()&lt;3, 0,IF(Query1[[#This Row],[Month]]&lt;&gt;H389,IF((J390-I390&gt;0),J390-I390,0),0))</f>
        <v>0</v>
      </c>
      <c r="L390" s="2">
        <f t="shared" si="6"/>
        <v>3592.2989655359538</v>
      </c>
      <c r="M390">
        <f>IF(ROW()&lt;3, 0, IF(Query1[[#This Row],[Month]]&lt;&gt;H389, Dashboard!$J$5,0))</f>
        <v>0</v>
      </c>
      <c r="N390" s="2">
        <f>IF(ROW()&lt;3, Query1[[#This Row],[Shares]], IF(Query1[[#This Row],[Month]]&lt;&gt;H389, N389+Query1[[#This Row],[Fix Top Up]]/Query1[[#This Row],[Adj Close]], N389))</f>
        <v>3342.062592182755</v>
      </c>
      <c r="O390">
        <f>IF(AND(Query1[[#This Row],[avg]]&gt;0, Query1[[#This Row],[Month]]&lt;&gt;H389),
    IF(Query1[[#This Row],[Adj Close]]&gt;Query1[[#This Row],[avg]],
       Dashboard!$L$5-Dashboard!$E$6,
       Dashboard!$L$5+Dashboard!$E$6
    ), 0
)</f>
        <v>0</v>
      </c>
      <c r="P390" s="2">
        <f>IF(ROW()&lt;3, Query1[[#This Row],[Shares]], IF(Query1[[#This Row],[Month]]&lt;&gt;H389, P389+Query1[[#This Row],[Enhanced top up]]/Query1[[#This Row],[Adj Close]], P389))</f>
        <v>3332.0597803983069</v>
      </c>
      <c r="Q390" s="2">
        <f>IFERROR(AVERAGE(
  IF(ROW()&gt;20, INDEX(G:G, ROW()-20), 0) :
  INDEX(G:G, ROW())
),0)</f>
        <v>263.85748073032926</v>
      </c>
    </row>
    <row r="391" spans="1:17" x14ac:dyDescent="0.4">
      <c r="A391" s="1">
        <v>44397</v>
      </c>
      <c r="B391">
        <v>278.02999877929688</v>
      </c>
      <c r="C391">
        <v>280.97000122070313</v>
      </c>
      <c r="D391">
        <v>276.260009765625</v>
      </c>
      <c r="E391">
        <v>279.32000732421875</v>
      </c>
      <c r="F391">
        <v>26259700</v>
      </c>
      <c r="G391">
        <v>269.76028442382813</v>
      </c>
      <c r="H391" s="2">
        <f>MONTH(Query1[[#This Row],[Date]])</f>
        <v>7</v>
      </c>
      <c r="I391" s="3">
        <f>Query1[[#This Row],[Shares]]*Query1[[#This Row],[Adj Close]]</f>
        <v>969059.59067840246</v>
      </c>
      <c r="J391" s="3">
        <f>IF(ROW()&lt;3, Dashboard!$E$7, IF(Query1[[#This Row],[Month]]&lt;&gt;H390,J390*(1+Dashboard!$E$4)+Dashboard!$E$5,J390))</f>
        <v>637303.23298066552</v>
      </c>
      <c r="K391">
        <f>IF(ROW()&lt;3, 0,IF(Query1[[#This Row],[Month]]&lt;&gt;H390,IF((J391-I391&gt;0),J391-I391,0),0))</f>
        <v>0</v>
      </c>
      <c r="L391" s="2">
        <f t="shared" si="6"/>
        <v>3592.2989655359538</v>
      </c>
      <c r="M391">
        <f>IF(ROW()&lt;3, 0, IF(Query1[[#This Row],[Month]]&lt;&gt;H390, Dashboard!$J$5,0))</f>
        <v>0</v>
      </c>
      <c r="N391" s="2">
        <f>IF(ROW()&lt;3, Query1[[#This Row],[Shares]], IF(Query1[[#This Row],[Month]]&lt;&gt;H390, N390+Query1[[#This Row],[Fix Top Up]]/Query1[[#This Row],[Adj Close]], N390))</f>
        <v>3342.062592182755</v>
      </c>
      <c r="O391">
        <f>IF(AND(Query1[[#This Row],[avg]]&gt;0, Query1[[#This Row],[Month]]&lt;&gt;H390),
    IF(Query1[[#This Row],[Adj Close]]&gt;Query1[[#This Row],[avg]],
       Dashboard!$L$5-Dashboard!$E$6,
       Dashboard!$L$5+Dashboard!$E$6
    ), 0
)</f>
        <v>0</v>
      </c>
      <c r="P391" s="2">
        <f>IF(ROW()&lt;3, Query1[[#This Row],[Shares]], IF(Query1[[#This Row],[Month]]&lt;&gt;H390, P390+Query1[[#This Row],[Enhanced top up]]/Query1[[#This Row],[Adj Close]], P390))</f>
        <v>3332.0597803983069</v>
      </c>
      <c r="Q391" s="2">
        <f>IFERROR(AVERAGE(
  IF(ROW()&gt;20, INDEX(G:G, ROW()-20), 0) :
  INDEX(G:G, ROW())
),0)</f>
        <v>264.772211710612</v>
      </c>
    </row>
    <row r="392" spans="1:17" x14ac:dyDescent="0.4">
      <c r="A392" s="1">
        <v>44398</v>
      </c>
      <c r="B392">
        <v>278.89999389648438</v>
      </c>
      <c r="C392">
        <v>281.51998901367188</v>
      </c>
      <c r="D392">
        <v>277.29000854492188</v>
      </c>
      <c r="E392">
        <v>281.39999389648438</v>
      </c>
      <c r="F392">
        <v>24364300</v>
      </c>
      <c r="G392">
        <v>271.76901245117188</v>
      </c>
      <c r="H392" s="2">
        <f>MONTH(Query1[[#This Row],[Date]])</f>
        <v>7</v>
      </c>
      <c r="I392" s="3">
        <f>Query1[[#This Row],[Shares]]*Query1[[#This Row],[Adj Close]]</f>
        <v>976275.54229307245</v>
      </c>
      <c r="J392" s="3">
        <f>IF(ROW()&lt;3, Dashboard!$E$7, IF(Query1[[#This Row],[Month]]&lt;&gt;H391,J391*(1+Dashboard!$E$4)+Dashboard!$E$5,J391))</f>
        <v>637303.23298066552</v>
      </c>
      <c r="K392">
        <f>IF(ROW()&lt;3, 0,IF(Query1[[#This Row],[Month]]&lt;&gt;H391,IF((J392-I392&gt;0),J392-I392,0),0))</f>
        <v>0</v>
      </c>
      <c r="L392" s="2">
        <f t="shared" si="6"/>
        <v>3592.2989655359538</v>
      </c>
      <c r="M392">
        <f>IF(ROW()&lt;3, 0, IF(Query1[[#This Row],[Month]]&lt;&gt;H391, Dashboard!$J$5,0))</f>
        <v>0</v>
      </c>
      <c r="N392" s="2">
        <f>IF(ROW()&lt;3, Query1[[#This Row],[Shares]], IF(Query1[[#This Row],[Month]]&lt;&gt;H391, N391+Query1[[#This Row],[Fix Top Up]]/Query1[[#This Row],[Adj Close]], N391))</f>
        <v>3342.062592182755</v>
      </c>
      <c r="O392">
        <f>IF(AND(Query1[[#This Row],[avg]]&gt;0, Query1[[#This Row],[Month]]&lt;&gt;H391),
    IF(Query1[[#This Row],[Adj Close]]&gt;Query1[[#This Row],[avg]],
       Dashboard!$L$5-Dashboard!$E$6,
       Dashboard!$L$5+Dashboard!$E$6
    ), 0
)</f>
        <v>0</v>
      </c>
      <c r="P392" s="2">
        <f>IF(ROW()&lt;3, Query1[[#This Row],[Shares]], IF(Query1[[#This Row],[Month]]&lt;&gt;H391, P391+Query1[[#This Row],[Enhanced top up]]/Query1[[#This Row],[Adj Close]], P391))</f>
        <v>3332.0597803983069</v>
      </c>
      <c r="Q392" s="2">
        <f>IFERROR(AVERAGE(
  IF(ROW()&gt;20, INDEX(G:G, ROW()-20), 0) :
  INDEX(G:G, ROW())
),0)</f>
        <v>265.63542901901974</v>
      </c>
    </row>
    <row r="393" spans="1:17" x14ac:dyDescent="0.4">
      <c r="A393" s="1">
        <v>44399</v>
      </c>
      <c r="B393">
        <v>283.83999633789063</v>
      </c>
      <c r="C393">
        <v>286.42001342773438</v>
      </c>
      <c r="D393">
        <v>283.42001342773438</v>
      </c>
      <c r="E393">
        <v>286.1400146484375</v>
      </c>
      <c r="F393">
        <v>23384100</v>
      </c>
      <c r="G393">
        <v>276.34677124023438</v>
      </c>
      <c r="H393" s="2">
        <f>MONTH(Query1[[#This Row],[Date]])</f>
        <v>7</v>
      </c>
      <c r="I393" s="3">
        <f>Query1[[#This Row],[Shares]]*Query1[[#This Row],[Adj Close]]</f>
        <v>992720.22045549483</v>
      </c>
      <c r="J393" s="3">
        <f>IF(ROW()&lt;3, Dashboard!$E$7, IF(Query1[[#This Row],[Month]]&lt;&gt;H392,J392*(1+Dashboard!$E$4)+Dashboard!$E$5,J392))</f>
        <v>637303.23298066552</v>
      </c>
      <c r="K393">
        <f>IF(ROW()&lt;3, 0,IF(Query1[[#This Row],[Month]]&lt;&gt;H392,IF((J393-I393&gt;0),J393-I393,0),0))</f>
        <v>0</v>
      </c>
      <c r="L393" s="2">
        <f t="shared" si="6"/>
        <v>3592.2989655359538</v>
      </c>
      <c r="M393">
        <f>IF(ROW()&lt;3, 0, IF(Query1[[#This Row],[Month]]&lt;&gt;H392, Dashboard!$J$5,0))</f>
        <v>0</v>
      </c>
      <c r="N393" s="2">
        <f>IF(ROW()&lt;3, Query1[[#This Row],[Shares]], IF(Query1[[#This Row],[Month]]&lt;&gt;H392, N392+Query1[[#This Row],[Fix Top Up]]/Query1[[#This Row],[Adj Close]], N392))</f>
        <v>3342.062592182755</v>
      </c>
      <c r="O393">
        <f>IF(AND(Query1[[#This Row],[avg]]&gt;0, Query1[[#This Row],[Month]]&lt;&gt;H392),
    IF(Query1[[#This Row],[Adj Close]]&gt;Query1[[#This Row],[avg]],
       Dashboard!$L$5-Dashboard!$E$6,
       Dashboard!$L$5+Dashboard!$E$6
    ), 0
)</f>
        <v>0</v>
      </c>
      <c r="P393" s="2">
        <f>IF(ROW()&lt;3, Query1[[#This Row],[Shares]], IF(Query1[[#This Row],[Month]]&lt;&gt;H392, P392+Query1[[#This Row],[Enhanced top up]]/Query1[[#This Row],[Adj Close]], P392))</f>
        <v>3332.0597803983069</v>
      </c>
      <c r="Q393" s="2">
        <f>IFERROR(AVERAGE(
  IF(ROW()&gt;20, INDEX(G:G, ROW()-20), 0) :
  INDEX(G:G, ROW())
),0)</f>
        <v>266.58418564569382</v>
      </c>
    </row>
    <row r="394" spans="1:17" x14ac:dyDescent="0.4">
      <c r="A394" s="1">
        <v>44400</v>
      </c>
      <c r="B394">
        <v>287.3699951171875</v>
      </c>
      <c r="C394">
        <v>289.989990234375</v>
      </c>
      <c r="D394">
        <v>286.5</v>
      </c>
      <c r="E394">
        <v>289.67001342773438</v>
      </c>
      <c r="F394">
        <v>22768100</v>
      </c>
      <c r="G394">
        <v>279.7559814453125</v>
      </c>
      <c r="H394" s="2">
        <f>MONTH(Query1[[#This Row],[Date]])</f>
        <v>7</v>
      </c>
      <c r="I394" s="3">
        <f>Query1[[#This Row],[Shares]]*Query1[[#This Row],[Adj Close]]</f>
        <v>1004967.1227484916</v>
      </c>
      <c r="J394" s="3">
        <f>IF(ROW()&lt;3, Dashboard!$E$7, IF(Query1[[#This Row],[Month]]&lt;&gt;H393,J393*(1+Dashboard!$E$4)+Dashboard!$E$5,J393))</f>
        <v>637303.23298066552</v>
      </c>
      <c r="K394">
        <f>IF(ROW()&lt;3, 0,IF(Query1[[#This Row],[Month]]&lt;&gt;H393,IF((J394-I394&gt;0),J394-I394,0),0))</f>
        <v>0</v>
      </c>
      <c r="L394" s="2">
        <f t="shared" si="6"/>
        <v>3592.2989655359538</v>
      </c>
      <c r="M394">
        <f>IF(ROW()&lt;3, 0, IF(Query1[[#This Row],[Month]]&lt;&gt;H393, Dashboard!$J$5,0))</f>
        <v>0</v>
      </c>
      <c r="N394" s="2">
        <f>IF(ROW()&lt;3, Query1[[#This Row],[Shares]], IF(Query1[[#This Row],[Month]]&lt;&gt;H393, N393+Query1[[#This Row],[Fix Top Up]]/Query1[[#This Row],[Adj Close]], N393))</f>
        <v>3342.062592182755</v>
      </c>
      <c r="O394">
        <f>IF(AND(Query1[[#This Row],[avg]]&gt;0, Query1[[#This Row],[Month]]&lt;&gt;H393),
    IF(Query1[[#This Row],[Adj Close]]&gt;Query1[[#This Row],[avg]],
       Dashboard!$L$5-Dashboard!$E$6,
       Dashboard!$L$5+Dashboard!$E$6
    ), 0
)</f>
        <v>0</v>
      </c>
      <c r="P394" s="2">
        <f>IF(ROW()&lt;3, Query1[[#This Row],[Shares]], IF(Query1[[#This Row],[Month]]&lt;&gt;H393, P393+Query1[[#This Row],[Enhanced top up]]/Query1[[#This Row],[Adj Close]], P393))</f>
        <v>3332.0597803983069</v>
      </c>
      <c r="Q394" s="2">
        <f>IFERROR(AVERAGE(
  IF(ROW()&gt;20, INDEX(G:G, ROW()-20), 0) :
  INDEX(G:G, ROW())
),0)</f>
        <v>267.7063257126581</v>
      </c>
    </row>
    <row r="395" spans="1:17" x14ac:dyDescent="0.4">
      <c r="A395" s="1">
        <v>44403</v>
      </c>
      <c r="B395">
        <v>289</v>
      </c>
      <c r="C395">
        <v>289.69000244140625</v>
      </c>
      <c r="D395">
        <v>286.6400146484375</v>
      </c>
      <c r="E395">
        <v>289.04998779296875</v>
      </c>
      <c r="F395">
        <v>23176100</v>
      </c>
      <c r="G395">
        <v>279.15716552734375</v>
      </c>
      <c r="H395" s="2">
        <f>MONTH(Query1[[#This Row],[Date]])</f>
        <v>7</v>
      </c>
      <c r="I395" s="3">
        <f>Query1[[#This Row],[Shares]]*Query1[[#This Row],[Adj Close]]</f>
        <v>1002815.996945826</v>
      </c>
      <c r="J395" s="3">
        <f>IF(ROW()&lt;3, Dashboard!$E$7, IF(Query1[[#This Row],[Month]]&lt;&gt;H394,J394*(1+Dashboard!$E$4)+Dashboard!$E$5,J394))</f>
        <v>637303.23298066552</v>
      </c>
      <c r="K395">
        <f>IF(ROW()&lt;3, 0,IF(Query1[[#This Row],[Month]]&lt;&gt;H394,IF((J395-I395&gt;0),J395-I395,0),0))</f>
        <v>0</v>
      </c>
      <c r="L395" s="2">
        <f t="shared" si="6"/>
        <v>3592.2989655359538</v>
      </c>
      <c r="M395">
        <f>IF(ROW()&lt;3, 0, IF(Query1[[#This Row],[Month]]&lt;&gt;H394, Dashboard!$J$5,0))</f>
        <v>0</v>
      </c>
      <c r="N395" s="2">
        <f>IF(ROW()&lt;3, Query1[[#This Row],[Shares]], IF(Query1[[#This Row],[Month]]&lt;&gt;H394, N394+Query1[[#This Row],[Fix Top Up]]/Query1[[#This Row],[Adj Close]], N394))</f>
        <v>3342.062592182755</v>
      </c>
      <c r="O395">
        <f>IF(AND(Query1[[#This Row],[avg]]&gt;0, Query1[[#This Row],[Month]]&lt;&gt;H394),
    IF(Query1[[#This Row],[Adj Close]]&gt;Query1[[#This Row],[avg]],
       Dashboard!$L$5-Dashboard!$E$6,
       Dashboard!$L$5+Dashboard!$E$6
    ), 0
)</f>
        <v>0</v>
      </c>
      <c r="P395" s="2">
        <f>IF(ROW()&lt;3, Query1[[#This Row],[Shares]], IF(Query1[[#This Row],[Month]]&lt;&gt;H394, P394+Query1[[#This Row],[Enhanced top up]]/Query1[[#This Row],[Adj Close]], P394))</f>
        <v>3332.0597803983069</v>
      </c>
      <c r="Q395" s="2">
        <f>IFERROR(AVERAGE(
  IF(ROW()&gt;20, INDEX(G:G, ROW()-20), 0) :
  INDEX(G:G, ROW())
),0)</f>
        <v>268.73464457194012</v>
      </c>
    </row>
    <row r="396" spans="1:17" x14ac:dyDescent="0.4">
      <c r="A396" s="1">
        <v>44404</v>
      </c>
      <c r="B396">
        <v>289.42999267578125</v>
      </c>
      <c r="C396">
        <v>289.57998657226563</v>
      </c>
      <c r="D396">
        <v>282.95001220703125</v>
      </c>
      <c r="E396">
        <v>286.54000854492188</v>
      </c>
      <c r="F396">
        <v>33604100</v>
      </c>
      <c r="G396">
        <v>276.73309326171875</v>
      </c>
      <c r="H396" s="2">
        <f>MONTH(Query1[[#This Row],[Date]])</f>
        <v>7</v>
      </c>
      <c r="I396" s="3">
        <f>Query1[[#This Row],[Shares]]*Query1[[#This Row],[Adj Close]]</f>
        <v>994108.00465363695</v>
      </c>
      <c r="J396" s="3">
        <f>IF(ROW()&lt;3, Dashboard!$E$7, IF(Query1[[#This Row],[Month]]&lt;&gt;H395,J395*(1+Dashboard!$E$4)+Dashboard!$E$5,J395))</f>
        <v>637303.23298066552</v>
      </c>
      <c r="K396">
        <f>IF(ROW()&lt;3, 0,IF(Query1[[#This Row],[Month]]&lt;&gt;H395,IF((J396-I396&gt;0),J396-I396,0),0))</f>
        <v>0</v>
      </c>
      <c r="L396" s="2">
        <f t="shared" si="6"/>
        <v>3592.2989655359538</v>
      </c>
      <c r="M396">
        <f>IF(ROW()&lt;3, 0, IF(Query1[[#This Row],[Month]]&lt;&gt;H395, Dashboard!$J$5,0))</f>
        <v>0</v>
      </c>
      <c r="N396" s="2">
        <f>IF(ROW()&lt;3, Query1[[#This Row],[Shares]], IF(Query1[[#This Row],[Month]]&lt;&gt;H395, N395+Query1[[#This Row],[Fix Top Up]]/Query1[[#This Row],[Adj Close]], N395))</f>
        <v>3342.062592182755</v>
      </c>
      <c r="O396">
        <f>IF(AND(Query1[[#This Row],[avg]]&gt;0, Query1[[#This Row],[Month]]&lt;&gt;H395),
    IF(Query1[[#This Row],[Adj Close]]&gt;Query1[[#This Row],[avg]],
       Dashboard!$L$5-Dashboard!$E$6,
       Dashboard!$L$5+Dashboard!$E$6
    ), 0
)</f>
        <v>0</v>
      </c>
      <c r="P396" s="2">
        <f>IF(ROW()&lt;3, Query1[[#This Row],[Shares]], IF(Query1[[#This Row],[Month]]&lt;&gt;H395, P395+Query1[[#This Row],[Enhanced top up]]/Query1[[#This Row],[Adj Close]], P395))</f>
        <v>3332.0597803983069</v>
      </c>
      <c r="Q396" s="2">
        <f>IFERROR(AVERAGE(
  IF(ROW()&gt;20, INDEX(G:G, ROW()-20), 0) :
  INDEX(G:G, ROW())
),0)</f>
        <v>269.72433326357884</v>
      </c>
    </row>
    <row r="397" spans="1:17" x14ac:dyDescent="0.4">
      <c r="A397" s="1">
        <v>44405</v>
      </c>
      <c r="B397">
        <v>288.989990234375</v>
      </c>
      <c r="C397">
        <v>290.14999389648438</v>
      </c>
      <c r="D397">
        <v>283.82998657226563</v>
      </c>
      <c r="E397">
        <v>286.22000122070313</v>
      </c>
      <c r="F397">
        <v>33566900</v>
      </c>
      <c r="G397">
        <v>276.424072265625</v>
      </c>
      <c r="H397" s="2">
        <f>MONTH(Query1[[#This Row],[Date]])</f>
        <v>7</v>
      </c>
      <c r="I397" s="3">
        <f>Query1[[#This Row],[Shares]]*Query1[[#This Row],[Adj Close]]</f>
        <v>992997.9088490404</v>
      </c>
      <c r="J397" s="3">
        <f>IF(ROW()&lt;3, Dashboard!$E$7, IF(Query1[[#This Row],[Month]]&lt;&gt;H396,J396*(1+Dashboard!$E$4)+Dashboard!$E$5,J396))</f>
        <v>637303.23298066552</v>
      </c>
      <c r="K397">
        <f>IF(ROW()&lt;3, 0,IF(Query1[[#This Row],[Month]]&lt;&gt;H396,IF((J397-I397&gt;0),J397-I397,0),0))</f>
        <v>0</v>
      </c>
      <c r="L397" s="2">
        <f t="shared" si="6"/>
        <v>3592.2989655359538</v>
      </c>
      <c r="M397">
        <f>IF(ROW()&lt;3, 0, IF(Query1[[#This Row],[Month]]&lt;&gt;H396, Dashboard!$J$5,0))</f>
        <v>0</v>
      </c>
      <c r="N397" s="2">
        <f>IF(ROW()&lt;3, Query1[[#This Row],[Shares]], IF(Query1[[#This Row],[Month]]&lt;&gt;H396, N396+Query1[[#This Row],[Fix Top Up]]/Query1[[#This Row],[Adj Close]], N396))</f>
        <v>3342.062592182755</v>
      </c>
      <c r="O397">
        <f>IF(AND(Query1[[#This Row],[avg]]&gt;0, Query1[[#This Row],[Month]]&lt;&gt;H396),
    IF(Query1[[#This Row],[Adj Close]]&gt;Query1[[#This Row],[avg]],
       Dashboard!$L$5-Dashboard!$E$6,
       Dashboard!$L$5+Dashboard!$E$6
    ), 0
)</f>
        <v>0</v>
      </c>
      <c r="P397" s="2">
        <f>IF(ROW()&lt;3, Query1[[#This Row],[Shares]], IF(Query1[[#This Row],[Month]]&lt;&gt;H396, P396+Query1[[#This Row],[Enhanced top up]]/Query1[[#This Row],[Adj Close]], P396))</f>
        <v>3332.0597803983069</v>
      </c>
      <c r="Q397" s="2">
        <f>IFERROR(AVERAGE(
  IF(ROW()&gt;20, INDEX(G:G, ROW()-20), 0) :
  INDEX(G:G, ROW())
),0)</f>
        <v>270.52914574032741</v>
      </c>
    </row>
    <row r="398" spans="1:17" x14ac:dyDescent="0.4">
      <c r="A398" s="1">
        <v>44406</v>
      </c>
      <c r="B398">
        <v>286.239990234375</v>
      </c>
      <c r="C398">
        <v>288.6199951171875</v>
      </c>
      <c r="D398">
        <v>286.07998657226563</v>
      </c>
      <c r="E398">
        <v>286.5</v>
      </c>
      <c r="F398">
        <v>18168300</v>
      </c>
      <c r="G398">
        <v>276.69442749023438</v>
      </c>
      <c r="H398" s="2">
        <f>MONTH(Query1[[#This Row],[Date]])</f>
        <v>7</v>
      </c>
      <c r="I398" s="3">
        <f>Query1[[#This Row],[Shares]]*Query1[[#This Row],[Adj Close]]</f>
        <v>993969.10564273188</v>
      </c>
      <c r="J398" s="3">
        <f>IF(ROW()&lt;3, Dashboard!$E$7, IF(Query1[[#This Row],[Month]]&lt;&gt;H397,J397*(1+Dashboard!$E$4)+Dashboard!$E$5,J397))</f>
        <v>637303.23298066552</v>
      </c>
      <c r="K398">
        <f>IF(ROW()&lt;3, 0,IF(Query1[[#This Row],[Month]]&lt;&gt;H397,IF((J398-I398&gt;0),J398-I398,0),0))</f>
        <v>0</v>
      </c>
      <c r="L398" s="2">
        <f t="shared" si="6"/>
        <v>3592.2989655359538</v>
      </c>
      <c r="M398">
        <f>IF(ROW()&lt;3, 0, IF(Query1[[#This Row],[Month]]&lt;&gt;H397, Dashboard!$J$5,0))</f>
        <v>0</v>
      </c>
      <c r="N398" s="2">
        <f>IF(ROW()&lt;3, Query1[[#This Row],[Shares]], IF(Query1[[#This Row],[Month]]&lt;&gt;H397, N397+Query1[[#This Row],[Fix Top Up]]/Query1[[#This Row],[Adj Close]], N397))</f>
        <v>3342.062592182755</v>
      </c>
      <c r="O398">
        <f>IF(AND(Query1[[#This Row],[avg]]&gt;0, Query1[[#This Row],[Month]]&lt;&gt;H397),
    IF(Query1[[#This Row],[Adj Close]]&gt;Query1[[#This Row],[avg]],
       Dashboard!$L$5-Dashboard!$E$6,
       Dashboard!$L$5+Dashboard!$E$6
    ), 0
)</f>
        <v>0</v>
      </c>
      <c r="P398" s="2">
        <f>IF(ROW()&lt;3, Query1[[#This Row],[Shares]], IF(Query1[[#This Row],[Month]]&lt;&gt;H397, P397+Query1[[#This Row],[Enhanced top up]]/Query1[[#This Row],[Adj Close]], P397))</f>
        <v>3332.0597803983069</v>
      </c>
      <c r="Q398" s="2">
        <f>IFERROR(AVERAGE(
  IF(ROW()&gt;20, INDEX(G:G, ROW()-20), 0) :
  INDEX(G:G, ROW())
),0)</f>
        <v>271.22358194986981</v>
      </c>
    </row>
    <row r="399" spans="1:17" x14ac:dyDescent="0.4">
      <c r="A399" s="1">
        <v>44407</v>
      </c>
      <c r="B399">
        <v>285.17001342773438</v>
      </c>
      <c r="C399">
        <v>286.66000366210938</v>
      </c>
      <c r="D399">
        <v>283.91000366210938</v>
      </c>
      <c r="E399">
        <v>284.91000366210938</v>
      </c>
      <c r="F399">
        <v>20944800</v>
      </c>
      <c r="G399">
        <v>275.15887451171875</v>
      </c>
      <c r="H399" s="2">
        <f>MONTH(Query1[[#This Row],[Date]])</f>
        <v>7</v>
      </c>
      <c r="I399" s="3">
        <f>Query1[[#This Row],[Shares]]*Query1[[#This Row],[Adj Close]]</f>
        <v>988452.94026648463</v>
      </c>
      <c r="J399" s="3">
        <f>IF(ROW()&lt;3, Dashboard!$E$7, IF(Query1[[#This Row],[Month]]&lt;&gt;H398,J398*(1+Dashboard!$E$4)+Dashboard!$E$5,J398))</f>
        <v>637303.23298066552</v>
      </c>
      <c r="K399">
        <f>IF(ROW()&lt;3, 0,IF(Query1[[#This Row],[Month]]&lt;&gt;H398,IF((J399-I399&gt;0),J399-I399,0),0))</f>
        <v>0</v>
      </c>
      <c r="L399" s="2">
        <f t="shared" si="6"/>
        <v>3592.2989655359538</v>
      </c>
      <c r="M399">
        <f>IF(ROW()&lt;3, 0, IF(Query1[[#This Row],[Month]]&lt;&gt;H398, Dashboard!$J$5,0))</f>
        <v>0</v>
      </c>
      <c r="N399" s="2">
        <f>IF(ROW()&lt;3, Query1[[#This Row],[Shares]], IF(Query1[[#This Row],[Month]]&lt;&gt;H398, N398+Query1[[#This Row],[Fix Top Up]]/Query1[[#This Row],[Adj Close]], N398))</f>
        <v>3342.062592182755</v>
      </c>
      <c r="O399">
        <f>IF(AND(Query1[[#This Row],[avg]]&gt;0, Query1[[#This Row],[Month]]&lt;&gt;H398),
    IF(Query1[[#This Row],[Adj Close]]&gt;Query1[[#This Row],[avg]],
       Dashboard!$L$5-Dashboard!$E$6,
       Dashboard!$L$5+Dashboard!$E$6
    ), 0
)</f>
        <v>0</v>
      </c>
      <c r="P399" s="2">
        <f>IF(ROW()&lt;3, Query1[[#This Row],[Shares]], IF(Query1[[#This Row],[Month]]&lt;&gt;H398, P398+Query1[[#This Row],[Enhanced top up]]/Query1[[#This Row],[Adj Close]], P398))</f>
        <v>3332.0597803983069</v>
      </c>
      <c r="Q399" s="2">
        <f>IFERROR(AVERAGE(
  IF(ROW()&gt;20, INDEX(G:G, ROW()-20), 0) :
  INDEX(G:G, ROW())
),0)</f>
        <v>271.86789376395092</v>
      </c>
    </row>
    <row r="400" spans="1:17" x14ac:dyDescent="0.4">
      <c r="A400" s="1">
        <v>44410</v>
      </c>
      <c r="B400">
        <v>286.3599853515625</v>
      </c>
      <c r="C400">
        <v>286.76998901367188</v>
      </c>
      <c r="D400">
        <v>283.739990234375</v>
      </c>
      <c r="E400">
        <v>284.82000732421875</v>
      </c>
      <c r="F400">
        <v>16267400</v>
      </c>
      <c r="G400">
        <v>275.07192993164063</v>
      </c>
      <c r="H400" s="2">
        <f>MONTH(Query1[[#This Row],[Date]])</f>
        <v>8</v>
      </c>
      <c r="I400" s="3">
        <f>Query1[[#This Row],[Shares]]*Query1[[#This Row],[Adj Close]]</f>
        <v>988140.60934141104</v>
      </c>
      <c r="J400" s="3">
        <f>IF(ROW()&lt;3, Dashboard!$E$7, IF(Query1[[#This Row],[Month]]&lt;&gt;H399,J399*(1+Dashboard!$E$4)+Dashboard!$E$5,J399))</f>
        <v>645676.26531047223</v>
      </c>
      <c r="K400">
        <f>IF(ROW()&lt;3, 0,IF(Query1[[#This Row],[Month]]&lt;&gt;H399,IF((J400-I400&gt;0),J400-I400,0),0))</f>
        <v>0</v>
      </c>
      <c r="L400" s="2">
        <f t="shared" si="6"/>
        <v>3592.2989655359538</v>
      </c>
      <c r="M400">
        <f>IF(ROW()&lt;3, 0, IF(Query1[[#This Row],[Month]]&lt;&gt;H399, Dashboard!$J$5,0))</f>
        <v>773.47399999999971</v>
      </c>
      <c r="N400" s="2">
        <f>IF(ROW()&lt;3, Query1[[#This Row],[Shares]], IF(Query1[[#This Row],[Month]]&lt;&gt;H399, N399+Query1[[#This Row],[Fix Top Up]]/Query1[[#This Row],[Adj Close]], N399))</f>
        <v>3344.8744894206602</v>
      </c>
      <c r="O400">
        <f>IF(AND(Query1[[#This Row],[avg]]&gt;0, Query1[[#This Row],[Month]]&lt;&gt;H399),
    IF(Query1[[#This Row],[Adj Close]]&gt;Query1[[#This Row],[avg]],
       Dashboard!$L$5-Dashboard!$E$6,
       Dashboard!$L$5+Dashboard!$E$6
    ), 0
)</f>
        <v>390.14066666666668</v>
      </c>
      <c r="P400" s="2">
        <f>IF(ROW()&lt;3, Query1[[#This Row],[Shares]], IF(Query1[[#This Row],[Month]]&lt;&gt;H399, P399+Query1[[#This Row],[Enhanced top up]]/Query1[[#This Row],[Adj Close]], P399))</f>
        <v>3333.4781027504409</v>
      </c>
      <c r="Q400" s="2">
        <f>IFERROR(AVERAGE(
  IF(ROW()&gt;20, INDEX(G:G, ROW()-20), 0) :
  INDEX(G:G, ROW())
),0)</f>
        <v>272.47587076822919</v>
      </c>
    </row>
    <row r="401" spans="1:17" x14ac:dyDescent="0.4">
      <c r="A401" s="1">
        <v>44411</v>
      </c>
      <c r="B401">
        <v>285.42001342773438</v>
      </c>
      <c r="C401">
        <v>287.23001098632813</v>
      </c>
      <c r="D401">
        <v>284</v>
      </c>
      <c r="E401">
        <v>287.1199951171875</v>
      </c>
      <c r="F401">
        <v>17879000</v>
      </c>
      <c r="G401">
        <v>277.29324340820313</v>
      </c>
      <c r="H401" s="2">
        <f>MONTH(Query1[[#This Row],[Date]])</f>
        <v>8</v>
      </c>
      <c r="I401" s="3">
        <f>Query1[[#This Row],[Shares]]*Query1[[#This Row],[Adj Close]]</f>
        <v>996120.23144539748</v>
      </c>
      <c r="J401" s="3">
        <f>IF(ROW()&lt;3, Dashboard!$E$7, IF(Query1[[#This Row],[Month]]&lt;&gt;H400,J400*(1+Dashboard!$E$4)+Dashboard!$E$5,J400))</f>
        <v>645676.26531047223</v>
      </c>
      <c r="K401">
        <f>IF(ROW()&lt;3, 0,IF(Query1[[#This Row],[Month]]&lt;&gt;H400,IF((J401-I401&gt;0),J401-I401,0),0))</f>
        <v>0</v>
      </c>
      <c r="L401" s="2">
        <f t="shared" si="6"/>
        <v>3592.2989655359538</v>
      </c>
      <c r="M401">
        <f>IF(ROW()&lt;3, 0, IF(Query1[[#This Row],[Month]]&lt;&gt;H400, Dashboard!$J$5,0))</f>
        <v>0</v>
      </c>
      <c r="N401" s="2">
        <f>IF(ROW()&lt;3, Query1[[#This Row],[Shares]], IF(Query1[[#This Row],[Month]]&lt;&gt;H400, N400+Query1[[#This Row],[Fix Top Up]]/Query1[[#This Row],[Adj Close]], N400))</f>
        <v>3344.8744894206602</v>
      </c>
      <c r="O401">
        <f>IF(AND(Query1[[#This Row],[avg]]&gt;0, Query1[[#This Row],[Month]]&lt;&gt;H400),
    IF(Query1[[#This Row],[Adj Close]]&gt;Query1[[#This Row],[avg]],
       Dashboard!$L$5-Dashboard!$E$6,
       Dashboard!$L$5+Dashboard!$E$6
    ), 0
)</f>
        <v>0</v>
      </c>
      <c r="P401" s="2">
        <f>IF(ROW()&lt;3, Query1[[#This Row],[Shares]], IF(Query1[[#This Row],[Month]]&lt;&gt;H400, P400+Query1[[#This Row],[Enhanced top up]]/Query1[[#This Row],[Adj Close]], P400))</f>
        <v>3333.4781027504409</v>
      </c>
      <c r="Q401" s="2">
        <f>IFERROR(AVERAGE(
  IF(ROW()&gt;20, INDEX(G:G, ROW()-20), 0) :
  INDEX(G:G, ROW())
),0)</f>
        <v>272.91139148530505</v>
      </c>
    </row>
    <row r="402" spans="1:17" x14ac:dyDescent="0.4">
      <c r="A402" s="1">
        <v>44412</v>
      </c>
      <c r="B402">
        <v>286.22000122070313</v>
      </c>
      <c r="C402">
        <v>287.58999633789063</v>
      </c>
      <c r="D402">
        <v>284.64999389648438</v>
      </c>
      <c r="E402">
        <v>286.510009765625</v>
      </c>
      <c r="F402">
        <v>16191300</v>
      </c>
      <c r="G402">
        <v>276.7041015625</v>
      </c>
      <c r="H402" s="2">
        <f>MONTH(Query1[[#This Row],[Date]])</f>
        <v>8</v>
      </c>
      <c r="I402" s="3">
        <f>Query1[[#This Row],[Shares]]*Query1[[#This Row],[Adj Close]]</f>
        <v>994003.85780252423</v>
      </c>
      <c r="J402" s="3">
        <f>IF(ROW()&lt;3, Dashboard!$E$7, IF(Query1[[#This Row],[Month]]&lt;&gt;H401,J401*(1+Dashboard!$E$4)+Dashboard!$E$5,J401))</f>
        <v>645676.26531047223</v>
      </c>
      <c r="K402">
        <f>IF(ROW()&lt;3, 0,IF(Query1[[#This Row],[Month]]&lt;&gt;H401,IF((J402-I402&gt;0),J402-I402,0),0))</f>
        <v>0</v>
      </c>
      <c r="L402" s="2">
        <f t="shared" si="6"/>
        <v>3592.2989655359538</v>
      </c>
      <c r="M402">
        <f>IF(ROW()&lt;3, 0, IF(Query1[[#This Row],[Month]]&lt;&gt;H401, Dashboard!$J$5,0))</f>
        <v>0</v>
      </c>
      <c r="N402" s="2">
        <f>IF(ROW()&lt;3, Query1[[#This Row],[Shares]], IF(Query1[[#This Row],[Month]]&lt;&gt;H401, N401+Query1[[#This Row],[Fix Top Up]]/Query1[[#This Row],[Adj Close]], N401))</f>
        <v>3344.8744894206602</v>
      </c>
      <c r="O402">
        <f>IF(AND(Query1[[#This Row],[avg]]&gt;0, Query1[[#This Row],[Month]]&lt;&gt;H401),
    IF(Query1[[#This Row],[Adj Close]]&gt;Query1[[#This Row],[avg]],
       Dashboard!$L$5-Dashboard!$E$6,
       Dashboard!$L$5+Dashboard!$E$6
    ), 0
)</f>
        <v>0</v>
      </c>
      <c r="P402" s="2">
        <f>IF(ROW()&lt;3, Query1[[#This Row],[Shares]], IF(Query1[[#This Row],[Month]]&lt;&gt;H401, P401+Query1[[#This Row],[Enhanced top up]]/Query1[[#This Row],[Adj Close]], P401))</f>
        <v>3333.4781027504409</v>
      </c>
      <c r="Q402" s="2">
        <f>IFERROR(AVERAGE(
  IF(ROW()&gt;20, INDEX(G:G, ROW()-20), 0) :
  INDEX(G:G, ROW())
),0)</f>
        <v>273.31839425223217</v>
      </c>
    </row>
    <row r="403" spans="1:17" x14ac:dyDescent="0.4">
      <c r="A403" s="1">
        <v>44413</v>
      </c>
      <c r="B403">
        <v>286.8800048828125</v>
      </c>
      <c r="C403">
        <v>289.6300048828125</v>
      </c>
      <c r="D403">
        <v>286.10000610351563</v>
      </c>
      <c r="E403">
        <v>289.51998901367188</v>
      </c>
      <c r="F403">
        <v>13900200</v>
      </c>
      <c r="G403">
        <v>279.611083984375</v>
      </c>
      <c r="H403" s="2">
        <f>MONTH(Query1[[#This Row],[Date]])</f>
        <v>8</v>
      </c>
      <c r="I403" s="3">
        <f>Query1[[#This Row],[Shares]]*Query1[[#This Row],[Adj Close]]</f>
        <v>1004446.607749457</v>
      </c>
      <c r="J403" s="3">
        <f>IF(ROW()&lt;3, Dashboard!$E$7, IF(Query1[[#This Row],[Month]]&lt;&gt;H402,J402*(1+Dashboard!$E$4)+Dashboard!$E$5,J402))</f>
        <v>645676.26531047223</v>
      </c>
      <c r="K403">
        <f>IF(ROW()&lt;3, 0,IF(Query1[[#This Row],[Month]]&lt;&gt;H402,IF((J403-I403&gt;0),J403-I403,0),0))</f>
        <v>0</v>
      </c>
      <c r="L403" s="2">
        <f t="shared" si="6"/>
        <v>3592.2989655359538</v>
      </c>
      <c r="M403">
        <f>IF(ROW()&lt;3, 0, IF(Query1[[#This Row],[Month]]&lt;&gt;H402, Dashboard!$J$5,0))</f>
        <v>0</v>
      </c>
      <c r="N403" s="2">
        <f>IF(ROW()&lt;3, Query1[[#This Row],[Shares]], IF(Query1[[#This Row],[Month]]&lt;&gt;H402, N402+Query1[[#This Row],[Fix Top Up]]/Query1[[#This Row],[Adj Close]], N402))</f>
        <v>3344.8744894206602</v>
      </c>
      <c r="O403">
        <f>IF(AND(Query1[[#This Row],[avg]]&gt;0, Query1[[#This Row],[Month]]&lt;&gt;H402),
    IF(Query1[[#This Row],[Adj Close]]&gt;Query1[[#This Row],[avg]],
       Dashboard!$L$5-Dashboard!$E$6,
       Dashboard!$L$5+Dashboard!$E$6
    ), 0
)</f>
        <v>0</v>
      </c>
      <c r="P403" s="2">
        <f>IF(ROW()&lt;3, Query1[[#This Row],[Shares]], IF(Query1[[#This Row],[Month]]&lt;&gt;H402, P402+Query1[[#This Row],[Enhanced top up]]/Query1[[#This Row],[Adj Close]], P402))</f>
        <v>3333.4781027504409</v>
      </c>
      <c r="Q403" s="2">
        <f>IFERROR(AVERAGE(
  IF(ROW()&gt;20, INDEX(G:G, ROW()-20), 0) :
  INDEX(G:G, ROW())
),0)</f>
        <v>273.75942993164063</v>
      </c>
    </row>
    <row r="404" spans="1:17" x14ac:dyDescent="0.4">
      <c r="A404" s="1">
        <v>44414</v>
      </c>
      <c r="B404">
        <v>288.510009765625</v>
      </c>
      <c r="C404">
        <v>289.5</v>
      </c>
      <c r="D404">
        <v>287.6199951171875</v>
      </c>
      <c r="E404">
        <v>289.45999145507813</v>
      </c>
      <c r="F404">
        <v>16589300</v>
      </c>
      <c r="G404">
        <v>279.55307006835938</v>
      </c>
      <c r="H404" s="2">
        <f>MONTH(Query1[[#This Row],[Date]])</f>
        <v>8</v>
      </c>
      <c r="I404" s="3">
        <f>Query1[[#This Row],[Shares]]*Query1[[#This Row],[Adj Close]]</f>
        <v>1004238.2044189674</v>
      </c>
      <c r="J404" s="3">
        <f>IF(ROW()&lt;3, Dashboard!$E$7, IF(Query1[[#This Row],[Month]]&lt;&gt;H403,J403*(1+Dashboard!$E$4)+Dashboard!$E$5,J403))</f>
        <v>645676.26531047223</v>
      </c>
      <c r="K404">
        <f>IF(ROW()&lt;3, 0,IF(Query1[[#This Row],[Month]]&lt;&gt;H403,IF((J404-I404&gt;0),J404-I404,0),0))</f>
        <v>0</v>
      </c>
      <c r="L404" s="2">
        <f t="shared" si="6"/>
        <v>3592.2989655359538</v>
      </c>
      <c r="M404">
        <f>IF(ROW()&lt;3, 0, IF(Query1[[#This Row],[Month]]&lt;&gt;H403, Dashboard!$J$5,0))</f>
        <v>0</v>
      </c>
      <c r="N404" s="2">
        <f>IF(ROW()&lt;3, Query1[[#This Row],[Shares]], IF(Query1[[#This Row],[Month]]&lt;&gt;H403, N403+Query1[[#This Row],[Fix Top Up]]/Query1[[#This Row],[Adj Close]], N403))</f>
        <v>3344.8744894206602</v>
      </c>
      <c r="O404">
        <f>IF(AND(Query1[[#This Row],[avg]]&gt;0, Query1[[#This Row],[Month]]&lt;&gt;H403),
    IF(Query1[[#This Row],[Adj Close]]&gt;Query1[[#This Row],[avg]],
       Dashboard!$L$5-Dashboard!$E$6,
       Dashboard!$L$5+Dashboard!$E$6
    ), 0
)</f>
        <v>0</v>
      </c>
      <c r="P404" s="2">
        <f>IF(ROW()&lt;3, Query1[[#This Row],[Shares]], IF(Query1[[#This Row],[Month]]&lt;&gt;H403, P403+Query1[[#This Row],[Enhanced top up]]/Query1[[#This Row],[Adj Close]], P403))</f>
        <v>3333.4781027504409</v>
      </c>
      <c r="Q404" s="2">
        <f>IFERROR(AVERAGE(
  IF(ROW()&gt;20, INDEX(G:G, ROW()-20), 0) :
  INDEX(G:G, ROW())
),0)</f>
        <v>274.31313941592259</v>
      </c>
    </row>
    <row r="405" spans="1:17" x14ac:dyDescent="0.4">
      <c r="A405" s="1">
        <v>44417</v>
      </c>
      <c r="B405">
        <v>289.75</v>
      </c>
      <c r="C405">
        <v>291.54998779296875</v>
      </c>
      <c r="D405">
        <v>287.80999755859375</v>
      </c>
      <c r="E405">
        <v>288.32998657226563</v>
      </c>
      <c r="F405">
        <v>16117600</v>
      </c>
      <c r="G405">
        <v>278.4617919921875</v>
      </c>
      <c r="H405" s="2">
        <f>MONTH(Query1[[#This Row],[Date]])</f>
        <v>8</v>
      </c>
      <c r="I405" s="3">
        <f>Query1[[#This Row],[Shares]]*Query1[[#This Row],[Adj Close]]</f>
        <v>1000318.0073148231</v>
      </c>
      <c r="J405" s="3">
        <f>IF(ROW()&lt;3, Dashboard!$E$7, IF(Query1[[#This Row],[Month]]&lt;&gt;H404,J404*(1+Dashboard!$E$4)+Dashboard!$E$5,J404))</f>
        <v>645676.26531047223</v>
      </c>
      <c r="K405">
        <f>IF(ROW()&lt;3, 0,IF(Query1[[#This Row],[Month]]&lt;&gt;H404,IF((J405-I405&gt;0),J405-I405,0),0))</f>
        <v>0</v>
      </c>
      <c r="L405" s="2">
        <f t="shared" si="6"/>
        <v>3592.2989655359538</v>
      </c>
      <c r="M405">
        <f>IF(ROW()&lt;3, 0, IF(Query1[[#This Row],[Month]]&lt;&gt;H404, Dashboard!$J$5,0))</f>
        <v>0</v>
      </c>
      <c r="N405" s="2">
        <f>IF(ROW()&lt;3, Query1[[#This Row],[Shares]], IF(Query1[[#This Row],[Month]]&lt;&gt;H404, N404+Query1[[#This Row],[Fix Top Up]]/Query1[[#This Row],[Adj Close]], N404))</f>
        <v>3344.8744894206602</v>
      </c>
      <c r="O405">
        <f>IF(AND(Query1[[#This Row],[avg]]&gt;0, Query1[[#This Row],[Month]]&lt;&gt;H404),
    IF(Query1[[#This Row],[Adj Close]]&gt;Query1[[#This Row],[avg]],
       Dashboard!$L$5-Dashboard!$E$6,
       Dashboard!$L$5+Dashboard!$E$6
    ), 0
)</f>
        <v>0</v>
      </c>
      <c r="P405" s="2">
        <f>IF(ROW()&lt;3, Query1[[#This Row],[Shares]], IF(Query1[[#This Row],[Month]]&lt;&gt;H404, P404+Query1[[#This Row],[Enhanced top up]]/Query1[[#This Row],[Adj Close]], P404))</f>
        <v>3333.4781027504409</v>
      </c>
      <c r="Q405" s="2">
        <f>IFERROR(AVERAGE(
  IF(ROW()&gt;20, INDEX(G:G, ROW()-20), 0) :
  INDEX(G:G, ROW())
),0)</f>
        <v>274.79096476236981</v>
      </c>
    </row>
    <row r="406" spans="1:17" x14ac:dyDescent="0.4">
      <c r="A406" s="1">
        <v>44418</v>
      </c>
      <c r="B406">
        <v>288.79998779296875</v>
      </c>
      <c r="C406">
        <v>289.25</v>
      </c>
      <c r="D406">
        <v>285.20001220703125</v>
      </c>
      <c r="E406">
        <v>286.44000244140625</v>
      </c>
      <c r="F406">
        <v>18616600</v>
      </c>
      <c r="G406">
        <v>276.63653564453125</v>
      </c>
      <c r="H406" s="2">
        <f>MONTH(Query1[[#This Row],[Date]])</f>
        <v>8</v>
      </c>
      <c r="I406" s="3">
        <f>Query1[[#This Row],[Shares]]*Query1[[#This Row],[Adj Close]]</f>
        <v>993761.14082529966</v>
      </c>
      <c r="J406" s="3">
        <f>IF(ROW()&lt;3, Dashboard!$E$7, IF(Query1[[#This Row],[Month]]&lt;&gt;H405,J405*(1+Dashboard!$E$4)+Dashboard!$E$5,J405))</f>
        <v>645676.26531047223</v>
      </c>
      <c r="K406">
        <f>IF(ROW()&lt;3, 0,IF(Query1[[#This Row],[Month]]&lt;&gt;H405,IF((J406-I406&gt;0),J406-I406,0),0))</f>
        <v>0</v>
      </c>
      <c r="L406" s="2">
        <f t="shared" si="6"/>
        <v>3592.2989655359538</v>
      </c>
      <c r="M406">
        <f>IF(ROW()&lt;3, 0, IF(Query1[[#This Row],[Month]]&lt;&gt;H405, Dashboard!$J$5,0))</f>
        <v>0</v>
      </c>
      <c r="N406" s="2">
        <f>IF(ROW()&lt;3, Query1[[#This Row],[Shares]], IF(Query1[[#This Row],[Month]]&lt;&gt;H405, N405+Query1[[#This Row],[Fix Top Up]]/Query1[[#This Row],[Adj Close]], N405))</f>
        <v>3344.8744894206602</v>
      </c>
      <c r="O406">
        <f>IF(AND(Query1[[#This Row],[avg]]&gt;0, Query1[[#This Row],[Month]]&lt;&gt;H405),
    IF(Query1[[#This Row],[Adj Close]]&gt;Query1[[#This Row],[avg]],
       Dashboard!$L$5-Dashboard!$E$6,
       Dashboard!$L$5+Dashboard!$E$6
    ), 0
)</f>
        <v>0</v>
      </c>
      <c r="P406" s="2">
        <f>IF(ROW()&lt;3, Query1[[#This Row],[Shares]], IF(Query1[[#This Row],[Month]]&lt;&gt;H405, P405+Query1[[#This Row],[Enhanced top up]]/Query1[[#This Row],[Adj Close]], P405))</f>
        <v>3333.4781027504409</v>
      </c>
      <c r="Q406" s="2">
        <f>IFERROR(AVERAGE(
  IF(ROW()&gt;20, INDEX(G:G, ROW()-20), 0) :
  INDEX(G:G, ROW())
),0)</f>
        <v>275.21038527715774</v>
      </c>
    </row>
    <row r="407" spans="1:17" x14ac:dyDescent="0.4">
      <c r="A407" s="1">
        <v>44419</v>
      </c>
      <c r="B407">
        <v>287.20999145507813</v>
      </c>
      <c r="C407">
        <v>288.66000366210938</v>
      </c>
      <c r="D407">
        <v>285.8599853515625</v>
      </c>
      <c r="E407">
        <v>286.95001220703125</v>
      </c>
      <c r="F407">
        <v>13955900</v>
      </c>
      <c r="G407">
        <v>277.12908935546875</v>
      </c>
      <c r="H407" s="2">
        <f>MONTH(Query1[[#This Row],[Date]])</f>
        <v>8</v>
      </c>
      <c r="I407" s="3">
        <f>Query1[[#This Row],[Shares]]*Query1[[#This Row],[Adj Close]]</f>
        <v>995530.5410115713</v>
      </c>
      <c r="J407" s="3">
        <f>IF(ROW()&lt;3, Dashboard!$E$7, IF(Query1[[#This Row],[Month]]&lt;&gt;H406,J406*(1+Dashboard!$E$4)+Dashboard!$E$5,J406))</f>
        <v>645676.26531047223</v>
      </c>
      <c r="K407">
        <f>IF(ROW()&lt;3, 0,IF(Query1[[#This Row],[Month]]&lt;&gt;H406,IF((J407-I407&gt;0),J407-I407,0),0))</f>
        <v>0</v>
      </c>
      <c r="L407" s="2">
        <f t="shared" si="6"/>
        <v>3592.2989655359538</v>
      </c>
      <c r="M407">
        <f>IF(ROW()&lt;3, 0, IF(Query1[[#This Row],[Month]]&lt;&gt;H406, Dashboard!$J$5,0))</f>
        <v>0</v>
      </c>
      <c r="N407" s="2">
        <f>IF(ROW()&lt;3, Query1[[#This Row],[Shares]], IF(Query1[[#This Row],[Month]]&lt;&gt;H406, N406+Query1[[#This Row],[Fix Top Up]]/Query1[[#This Row],[Adj Close]], N406))</f>
        <v>3344.8744894206602</v>
      </c>
      <c r="O407">
        <f>IF(AND(Query1[[#This Row],[avg]]&gt;0, Query1[[#This Row],[Month]]&lt;&gt;H406),
    IF(Query1[[#This Row],[Adj Close]]&gt;Query1[[#This Row],[avg]],
       Dashboard!$L$5-Dashboard!$E$6,
       Dashboard!$L$5+Dashboard!$E$6
    ), 0
)</f>
        <v>0</v>
      </c>
      <c r="P407" s="2">
        <f>IF(ROW()&lt;3, Query1[[#This Row],[Shares]], IF(Query1[[#This Row],[Month]]&lt;&gt;H406, P406+Query1[[#This Row],[Enhanced top up]]/Query1[[#This Row],[Adj Close]], P406))</f>
        <v>3333.4781027504409</v>
      </c>
      <c r="Q407" s="2">
        <f>IFERROR(AVERAGE(
  IF(ROW()&gt;20, INDEX(G:G, ROW()-20), 0) :
  INDEX(G:G, ROW())
),0)</f>
        <v>275.4849388485863</v>
      </c>
    </row>
    <row r="408" spans="1:17" x14ac:dyDescent="0.4">
      <c r="A408" s="1">
        <v>44420</v>
      </c>
      <c r="B408">
        <v>286.6300048828125</v>
      </c>
      <c r="C408">
        <v>289.97000122070313</v>
      </c>
      <c r="D408">
        <v>286.33999633789063</v>
      </c>
      <c r="E408">
        <v>289.80999755859375</v>
      </c>
      <c r="F408">
        <v>14561300</v>
      </c>
      <c r="G408">
        <v>279.89117431640625</v>
      </c>
      <c r="H408" s="2">
        <f>MONTH(Query1[[#This Row],[Date]])</f>
        <v>8</v>
      </c>
      <c r="I408" s="3">
        <f>Query1[[#This Row],[Shares]]*Query1[[#This Row],[Adj Close]]</f>
        <v>1005452.7759594695</v>
      </c>
      <c r="J408" s="3">
        <f>IF(ROW()&lt;3, Dashboard!$E$7, IF(Query1[[#This Row],[Month]]&lt;&gt;H407,J407*(1+Dashboard!$E$4)+Dashboard!$E$5,J407))</f>
        <v>645676.26531047223</v>
      </c>
      <c r="K408">
        <f>IF(ROW()&lt;3, 0,IF(Query1[[#This Row],[Month]]&lt;&gt;H407,IF((J408-I408&gt;0),J408-I408,0),0))</f>
        <v>0</v>
      </c>
      <c r="L408" s="2">
        <f t="shared" si="6"/>
        <v>3592.2989655359538</v>
      </c>
      <c r="M408">
        <f>IF(ROW()&lt;3, 0, IF(Query1[[#This Row],[Month]]&lt;&gt;H407, Dashboard!$J$5,0))</f>
        <v>0</v>
      </c>
      <c r="N408" s="2">
        <f>IF(ROW()&lt;3, Query1[[#This Row],[Shares]], IF(Query1[[#This Row],[Month]]&lt;&gt;H407, N407+Query1[[#This Row],[Fix Top Up]]/Query1[[#This Row],[Adj Close]], N407))</f>
        <v>3344.8744894206602</v>
      </c>
      <c r="O408">
        <f>IF(AND(Query1[[#This Row],[avg]]&gt;0, Query1[[#This Row],[Month]]&lt;&gt;H407),
    IF(Query1[[#This Row],[Adj Close]]&gt;Query1[[#This Row],[avg]],
       Dashboard!$L$5-Dashboard!$E$6,
       Dashboard!$L$5+Dashboard!$E$6
    ), 0
)</f>
        <v>0</v>
      </c>
      <c r="P408" s="2">
        <f>IF(ROW()&lt;3, Query1[[#This Row],[Shares]], IF(Query1[[#This Row],[Month]]&lt;&gt;H407, P407+Query1[[#This Row],[Enhanced top up]]/Query1[[#This Row],[Adj Close]], P407))</f>
        <v>3333.4781027504409</v>
      </c>
      <c r="Q408" s="2">
        <f>IFERROR(AVERAGE(
  IF(ROW()&gt;20, INDEX(G:G, ROW()-20), 0) :
  INDEX(G:G, ROW())
),0)</f>
        <v>275.82065981910341</v>
      </c>
    </row>
    <row r="409" spans="1:17" x14ac:dyDescent="0.4">
      <c r="A409" s="1">
        <v>44421</v>
      </c>
      <c r="B409">
        <v>289.48001098632813</v>
      </c>
      <c r="C409">
        <v>292.89999389648438</v>
      </c>
      <c r="D409">
        <v>289.29998779296875</v>
      </c>
      <c r="E409">
        <v>292.85000610351563</v>
      </c>
      <c r="F409">
        <v>18249000</v>
      </c>
      <c r="G409">
        <v>282.82711791992188</v>
      </c>
      <c r="H409" s="2">
        <f>MONTH(Query1[[#This Row],[Date]])</f>
        <v>8</v>
      </c>
      <c r="I409" s="3">
        <f>Query1[[#This Row],[Shares]]*Query1[[#This Row],[Adj Close]]</f>
        <v>1015999.5631292505</v>
      </c>
      <c r="J409" s="3">
        <f>IF(ROW()&lt;3, Dashboard!$E$7, IF(Query1[[#This Row],[Month]]&lt;&gt;H408,J408*(1+Dashboard!$E$4)+Dashboard!$E$5,J408))</f>
        <v>645676.26531047223</v>
      </c>
      <c r="K409">
        <f>IF(ROW()&lt;3, 0,IF(Query1[[#This Row],[Month]]&lt;&gt;H408,IF((J409-I409&gt;0),J409-I409,0),0))</f>
        <v>0</v>
      </c>
      <c r="L409" s="2">
        <f t="shared" si="6"/>
        <v>3592.2989655359538</v>
      </c>
      <c r="M409">
        <f>IF(ROW()&lt;3, 0, IF(Query1[[#This Row],[Month]]&lt;&gt;H408, Dashboard!$J$5,0))</f>
        <v>0</v>
      </c>
      <c r="N409" s="2">
        <f>IF(ROW()&lt;3, Query1[[#This Row],[Shares]], IF(Query1[[#This Row],[Month]]&lt;&gt;H408, N408+Query1[[#This Row],[Fix Top Up]]/Query1[[#This Row],[Adj Close]], N408))</f>
        <v>3344.8744894206602</v>
      </c>
      <c r="O409">
        <f>IF(AND(Query1[[#This Row],[avg]]&gt;0, Query1[[#This Row],[Month]]&lt;&gt;H408),
    IF(Query1[[#This Row],[Adj Close]]&gt;Query1[[#This Row],[avg]],
       Dashboard!$L$5-Dashboard!$E$6,
       Dashboard!$L$5+Dashboard!$E$6
    ), 0
)</f>
        <v>0</v>
      </c>
      <c r="P409" s="2">
        <f>IF(ROW()&lt;3, Query1[[#This Row],[Shares]], IF(Query1[[#This Row],[Month]]&lt;&gt;H408, P408+Query1[[#This Row],[Enhanced top up]]/Query1[[#This Row],[Adj Close]], P408))</f>
        <v>3333.4781027504409</v>
      </c>
      <c r="Q409" s="2">
        <f>IFERROR(AVERAGE(
  IF(ROW()&gt;20, INDEX(G:G, ROW()-20), 0) :
  INDEX(G:G, ROW())
),0)</f>
        <v>276.36425345284596</v>
      </c>
    </row>
    <row r="410" spans="1:17" x14ac:dyDescent="0.4">
      <c r="A410" s="1">
        <v>44424</v>
      </c>
      <c r="B410">
        <v>293.19000244140625</v>
      </c>
      <c r="C410">
        <v>294.82000732421875</v>
      </c>
      <c r="D410">
        <v>290.01998901367188</v>
      </c>
      <c r="E410">
        <v>294.60000610351563</v>
      </c>
      <c r="F410">
        <v>22507600</v>
      </c>
      <c r="G410">
        <v>284.51724243164063</v>
      </c>
      <c r="H410" s="2">
        <f>MONTH(Query1[[#This Row],[Date]])</f>
        <v>8</v>
      </c>
      <c r="I410" s="3">
        <f>Query1[[#This Row],[Shares]]*Query1[[#This Row],[Adj Close]]</f>
        <v>1022070.9956643248</v>
      </c>
      <c r="J410" s="3">
        <f>IF(ROW()&lt;3, Dashboard!$E$7, IF(Query1[[#This Row],[Month]]&lt;&gt;H409,J409*(1+Dashboard!$E$4)+Dashboard!$E$5,J409))</f>
        <v>645676.26531047223</v>
      </c>
      <c r="K410">
        <f>IF(ROW()&lt;3, 0,IF(Query1[[#This Row],[Month]]&lt;&gt;H409,IF((J410-I410&gt;0),J410-I410,0),0))</f>
        <v>0</v>
      </c>
      <c r="L410" s="2">
        <f t="shared" si="6"/>
        <v>3592.2989655359538</v>
      </c>
      <c r="M410">
        <f>IF(ROW()&lt;3, 0, IF(Query1[[#This Row],[Month]]&lt;&gt;H409, Dashboard!$J$5,0))</f>
        <v>0</v>
      </c>
      <c r="N410" s="2">
        <f>IF(ROW()&lt;3, Query1[[#This Row],[Shares]], IF(Query1[[#This Row],[Month]]&lt;&gt;H409, N409+Query1[[#This Row],[Fix Top Up]]/Query1[[#This Row],[Adj Close]], N409))</f>
        <v>3344.8744894206602</v>
      </c>
      <c r="O410">
        <f>IF(AND(Query1[[#This Row],[avg]]&gt;0, Query1[[#This Row],[Month]]&lt;&gt;H409),
    IF(Query1[[#This Row],[Adj Close]]&gt;Query1[[#This Row],[avg]],
       Dashboard!$L$5-Dashboard!$E$6,
       Dashboard!$L$5+Dashboard!$E$6
    ), 0
)</f>
        <v>0</v>
      </c>
      <c r="P410" s="2">
        <f>IF(ROW()&lt;3, Query1[[#This Row],[Shares]], IF(Query1[[#This Row],[Month]]&lt;&gt;H409, P409+Query1[[#This Row],[Enhanced top up]]/Query1[[#This Row],[Adj Close]], P409))</f>
        <v>3333.4781027504409</v>
      </c>
      <c r="Q410" s="2">
        <f>IFERROR(AVERAGE(
  IF(ROW()&gt;20, INDEX(G:G, ROW()-20), 0) :
  INDEX(G:G, ROW())
),0)</f>
        <v>277.00120907738096</v>
      </c>
    </row>
    <row r="411" spans="1:17" x14ac:dyDescent="0.4">
      <c r="A411" s="1">
        <v>44425</v>
      </c>
      <c r="B411">
        <v>292.3900146484375</v>
      </c>
      <c r="C411">
        <v>293.42999267578125</v>
      </c>
      <c r="D411">
        <v>291.07998657226563</v>
      </c>
      <c r="E411">
        <v>293.07998657226563</v>
      </c>
      <c r="F411">
        <v>20075300</v>
      </c>
      <c r="G411">
        <v>283.04922485351563</v>
      </c>
      <c r="H411" s="2">
        <f>MONTH(Query1[[#This Row],[Date]])</f>
        <v>8</v>
      </c>
      <c r="I411" s="3">
        <f>Query1[[#This Row],[Shares]]*Query1[[#This Row],[Adj Close]]</f>
        <v>1016797.4376370377</v>
      </c>
      <c r="J411" s="3">
        <f>IF(ROW()&lt;3, Dashboard!$E$7, IF(Query1[[#This Row],[Month]]&lt;&gt;H410,J410*(1+Dashboard!$E$4)+Dashboard!$E$5,J410))</f>
        <v>645676.26531047223</v>
      </c>
      <c r="K411">
        <f>IF(ROW()&lt;3, 0,IF(Query1[[#This Row],[Month]]&lt;&gt;H410,IF((J411-I411&gt;0),J411-I411,0),0))</f>
        <v>0</v>
      </c>
      <c r="L411" s="2">
        <f t="shared" si="6"/>
        <v>3592.2989655359538</v>
      </c>
      <c r="M411">
        <f>IF(ROW()&lt;3, 0, IF(Query1[[#This Row],[Month]]&lt;&gt;H410, Dashboard!$J$5,0))</f>
        <v>0</v>
      </c>
      <c r="N411" s="2">
        <f>IF(ROW()&lt;3, Query1[[#This Row],[Shares]], IF(Query1[[#This Row],[Month]]&lt;&gt;H410, N410+Query1[[#This Row],[Fix Top Up]]/Query1[[#This Row],[Adj Close]], N410))</f>
        <v>3344.8744894206602</v>
      </c>
      <c r="O411">
        <f>IF(AND(Query1[[#This Row],[avg]]&gt;0, Query1[[#This Row],[Month]]&lt;&gt;H410),
    IF(Query1[[#This Row],[Adj Close]]&gt;Query1[[#This Row],[avg]],
       Dashboard!$L$5-Dashboard!$E$6,
       Dashboard!$L$5+Dashboard!$E$6
    ), 0
)</f>
        <v>0</v>
      </c>
      <c r="P411" s="2">
        <f>IF(ROW()&lt;3, Query1[[#This Row],[Shares]], IF(Query1[[#This Row],[Month]]&lt;&gt;H410, P410+Query1[[#This Row],[Enhanced top up]]/Query1[[#This Row],[Adj Close]], P410))</f>
        <v>3333.4781027504409</v>
      </c>
      <c r="Q411" s="2">
        <f>IFERROR(AVERAGE(
  IF(ROW()&gt;20, INDEX(G:G, ROW()-20), 0) :
  INDEX(G:G, ROW())
),0)</f>
        <v>277.74025181361606</v>
      </c>
    </row>
    <row r="412" spans="1:17" x14ac:dyDescent="0.4">
      <c r="A412" s="1">
        <v>44426</v>
      </c>
      <c r="B412">
        <v>292.04000854492188</v>
      </c>
      <c r="C412">
        <v>294.82000732421875</v>
      </c>
      <c r="D412">
        <v>290.26998901367188</v>
      </c>
      <c r="E412">
        <v>290.73001098632813</v>
      </c>
      <c r="F412">
        <v>21813000</v>
      </c>
      <c r="G412">
        <v>281.31723022460938</v>
      </c>
      <c r="H412" s="2">
        <f>MONTH(Query1[[#This Row],[Date]])</f>
        <v>8</v>
      </c>
      <c r="I412" s="3">
        <f>Query1[[#This Row],[Shares]]*Query1[[#This Row],[Adj Close]]</f>
        <v>1010575.5951233041</v>
      </c>
      <c r="J412" s="3">
        <f>IF(ROW()&lt;3, Dashboard!$E$7, IF(Query1[[#This Row],[Month]]&lt;&gt;H411,J411*(1+Dashboard!$E$4)+Dashboard!$E$5,J411))</f>
        <v>645676.26531047223</v>
      </c>
      <c r="K412">
        <f>IF(ROW()&lt;3, 0,IF(Query1[[#This Row],[Month]]&lt;&gt;H411,IF((J412-I412&gt;0),J412-I412,0),0))</f>
        <v>0</v>
      </c>
      <c r="L412" s="2">
        <f t="shared" si="6"/>
        <v>3592.2989655359538</v>
      </c>
      <c r="M412">
        <f>IF(ROW()&lt;3, 0, IF(Query1[[#This Row],[Month]]&lt;&gt;H411, Dashboard!$J$5,0))</f>
        <v>0</v>
      </c>
      <c r="N412" s="2">
        <f>IF(ROW()&lt;3, Query1[[#This Row],[Shares]], IF(Query1[[#This Row],[Month]]&lt;&gt;H411, N411+Query1[[#This Row],[Fix Top Up]]/Query1[[#This Row],[Adj Close]], N411))</f>
        <v>3344.8744894206602</v>
      </c>
      <c r="O412">
        <f>IF(AND(Query1[[#This Row],[avg]]&gt;0, Query1[[#This Row],[Month]]&lt;&gt;H411),
    IF(Query1[[#This Row],[Adj Close]]&gt;Query1[[#This Row],[avg]],
       Dashboard!$L$5-Dashboard!$E$6,
       Dashboard!$L$5+Dashboard!$E$6
    ), 0
)</f>
        <v>0</v>
      </c>
      <c r="P412" s="2">
        <f>IF(ROW()&lt;3, Query1[[#This Row],[Shares]], IF(Query1[[#This Row],[Month]]&lt;&gt;H411, P411+Query1[[#This Row],[Enhanced top up]]/Query1[[#This Row],[Adj Close]], P411))</f>
        <v>3333.4781027504409</v>
      </c>
      <c r="Q412" s="2">
        <f>IFERROR(AVERAGE(
  IF(ROW()&gt;20, INDEX(G:G, ROW()-20), 0) :
  INDEX(G:G, ROW())
),0)</f>
        <v>278.29058256603423</v>
      </c>
    </row>
    <row r="413" spans="1:17" x14ac:dyDescent="0.4">
      <c r="A413" s="1">
        <v>44427</v>
      </c>
      <c r="B413">
        <v>288.69000244140625</v>
      </c>
      <c r="C413">
        <v>297.47000122070313</v>
      </c>
      <c r="D413">
        <v>288.6400146484375</v>
      </c>
      <c r="E413">
        <v>296.76998901367188</v>
      </c>
      <c r="F413">
        <v>29850500</v>
      </c>
      <c r="G413">
        <v>287.16168212890625</v>
      </c>
      <c r="H413" s="2">
        <f>MONTH(Query1[[#This Row],[Date]])</f>
        <v>8</v>
      </c>
      <c r="I413" s="3">
        <f>Query1[[#This Row],[Shares]]*Query1[[#This Row],[Adj Close]]</f>
        <v>1031570.6136532343</v>
      </c>
      <c r="J413" s="3">
        <f>IF(ROW()&lt;3, Dashboard!$E$7, IF(Query1[[#This Row],[Month]]&lt;&gt;H412,J412*(1+Dashboard!$E$4)+Dashboard!$E$5,J412))</f>
        <v>645676.26531047223</v>
      </c>
      <c r="K413">
        <f>IF(ROW()&lt;3, 0,IF(Query1[[#This Row],[Month]]&lt;&gt;H412,IF((J413-I413&gt;0),J413-I413,0),0))</f>
        <v>0</v>
      </c>
      <c r="L413" s="2">
        <f t="shared" si="6"/>
        <v>3592.2989655359538</v>
      </c>
      <c r="M413">
        <f>IF(ROW()&lt;3, 0, IF(Query1[[#This Row],[Month]]&lt;&gt;H412, Dashboard!$J$5,0))</f>
        <v>0</v>
      </c>
      <c r="N413" s="2">
        <f>IF(ROW()&lt;3, Query1[[#This Row],[Shares]], IF(Query1[[#This Row],[Month]]&lt;&gt;H412, N412+Query1[[#This Row],[Fix Top Up]]/Query1[[#This Row],[Adj Close]], N412))</f>
        <v>3344.8744894206602</v>
      </c>
      <c r="O413">
        <f>IF(AND(Query1[[#This Row],[avg]]&gt;0, Query1[[#This Row],[Month]]&lt;&gt;H412),
    IF(Query1[[#This Row],[Adj Close]]&gt;Query1[[#This Row],[avg]],
       Dashboard!$L$5-Dashboard!$E$6,
       Dashboard!$L$5+Dashboard!$E$6
    ), 0
)</f>
        <v>0</v>
      </c>
      <c r="P413" s="2">
        <f>IF(ROW()&lt;3, Query1[[#This Row],[Shares]], IF(Query1[[#This Row],[Month]]&lt;&gt;H412, P412+Query1[[#This Row],[Enhanced top up]]/Query1[[#This Row],[Adj Close]], P412))</f>
        <v>3333.4781027504409</v>
      </c>
      <c r="Q413" s="2">
        <f>IFERROR(AVERAGE(
  IF(ROW()&gt;20, INDEX(G:G, ROW()-20), 0) :
  INDEX(G:G, ROW())
),0)</f>
        <v>279.02356683640255</v>
      </c>
    </row>
    <row r="414" spans="1:17" x14ac:dyDescent="0.4">
      <c r="A414" s="1">
        <v>44428</v>
      </c>
      <c r="B414">
        <v>299.72000122070313</v>
      </c>
      <c r="C414">
        <v>305.83999633789063</v>
      </c>
      <c r="D414">
        <v>298.05999755859375</v>
      </c>
      <c r="E414">
        <v>304.3599853515625</v>
      </c>
      <c r="F414">
        <v>40817600</v>
      </c>
      <c r="G414">
        <v>294.50595092773438</v>
      </c>
      <c r="H414" s="2">
        <f>MONTH(Query1[[#This Row],[Date]])</f>
        <v>8</v>
      </c>
      <c r="I414" s="3">
        <f>Query1[[#This Row],[Shares]]*Query1[[#This Row],[Adj Close]]</f>
        <v>1057953.4228618825</v>
      </c>
      <c r="J414" s="3">
        <f>IF(ROW()&lt;3, Dashboard!$E$7, IF(Query1[[#This Row],[Month]]&lt;&gt;H413,J413*(1+Dashboard!$E$4)+Dashboard!$E$5,J413))</f>
        <v>645676.26531047223</v>
      </c>
      <c r="K414">
        <f>IF(ROW()&lt;3, 0,IF(Query1[[#This Row],[Month]]&lt;&gt;H413,IF((J414-I414&gt;0),J414-I414,0),0))</f>
        <v>0</v>
      </c>
      <c r="L414" s="2">
        <f t="shared" si="6"/>
        <v>3592.2989655359538</v>
      </c>
      <c r="M414">
        <f>IF(ROW()&lt;3, 0, IF(Query1[[#This Row],[Month]]&lt;&gt;H413, Dashboard!$J$5,0))</f>
        <v>0</v>
      </c>
      <c r="N414" s="2">
        <f>IF(ROW()&lt;3, Query1[[#This Row],[Shares]], IF(Query1[[#This Row],[Month]]&lt;&gt;H413, N413+Query1[[#This Row],[Fix Top Up]]/Query1[[#This Row],[Adj Close]], N413))</f>
        <v>3344.8744894206602</v>
      </c>
      <c r="O414">
        <f>IF(AND(Query1[[#This Row],[avg]]&gt;0, Query1[[#This Row],[Month]]&lt;&gt;H413),
    IF(Query1[[#This Row],[Adj Close]]&gt;Query1[[#This Row],[avg]],
       Dashboard!$L$5-Dashboard!$E$6,
       Dashboard!$L$5+Dashboard!$E$6
    ), 0
)</f>
        <v>0</v>
      </c>
      <c r="P414" s="2">
        <f>IF(ROW()&lt;3, Query1[[#This Row],[Shares]], IF(Query1[[#This Row],[Month]]&lt;&gt;H413, P413+Query1[[#This Row],[Enhanced top up]]/Query1[[#This Row],[Adj Close]], P413))</f>
        <v>3333.4781027504409</v>
      </c>
      <c r="Q414" s="2">
        <f>IFERROR(AVERAGE(
  IF(ROW()&gt;20, INDEX(G:G, ROW()-20), 0) :
  INDEX(G:G, ROW())
),0)</f>
        <v>279.88828967866442</v>
      </c>
    </row>
    <row r="415" spans="1:17" x14ac:dyDescent="0.4">
      <c r="A415" s="1">
        <v>44431</v>
      </c>
      <c r="B415">
        <v>303.25</v>
      </c>
      <c r="C415">
        <v>305.39999389648438</v>
      </c>
      <c r="D415">
        <v>301.85000610351563</v>
      </c>
      <c r="E415">
        <v>304.64999389648438</v>
      </c>
      <c r="F415">
        <v>22830200</v>
      </c>
      <c r="G415">
        <v>294.78656005859375</v>
      </c>
      <c r="H415" s="2">
        <f>MONTH(Query1[[#This Row],[Date]])</f>
        <v>8</v>
      </c>
      <c r="I415" s="3">
        <f>Query1[[#This Row],[Shares]]*Query1[[#This Row],[Adj Close]]</f>
        <v>1058961.4547523886</v>
      </c>
      <c r="J415" s="3">
        <f>IF(ROW()&lt;3, Dashboard!$E$7, IF(Query1[[#This Row],[Month]]&lt;&gt;H414,J414*(1+Dashboard!$E$4)+Dashboard!$E$5,J414))</f>
        <v>645676.26531047223</v>
      </c>
      <c r="K415">
        <f>IF(ROW()&lt;3, 0,IF(Query1[[#This Row],[Month]]&lt;&gt;H414,IF((J415-I415&gt;0),J415-I415,0),0))</f>
        <v>0</v>
      </c>
      <c r="L415" s="2">
        <f t="shared" si="6"/>
        <v>3592.2989655359538</v>
      </c>
      <c r="M415">
        <f>IF(ROW()&lt;3, 0, IF(Query1[[#This Row],[Month]]&lt;&gt;H414, Dashboard!$J$5,0))</f>
        <v>0</v>
      </c>
      <c r="N415" s="2">
        <f>IF(ROW()&lt;3, Query1[[#This Row],[Shares]], IF(Query1[[#This Row],[Month]]&lt;&gt;H414, N414+Query1[[#This Row],[Fix Top Up]]/Query1[[#This Row],[Adj Close]], N414))</f>
        <v>3344.8744894206602</v>
      </c>
      <c r="O415">
        <f>IF(AND(Query1[[#This Row],[avg]]&gt;0, Query1[[#This Row],[Month]]&lt;&gt;H414),
    IF(Query1[[#This Row],[Adj Close]]&gt;Query1[[#This Row],[avg]],
       Dashboard!$L$5-Dashboard!$E$6,
       Dashboard!$L$5+Dashboard!$E$6
    ), 0
)</f>
        <v>0</v>
      </c>
      <c r="P415" s="2">
        <f>IF(ROW()&lt;3, Query1[[#This Row],[Shares]], IF(Query1[[#This Row],[Month]]&lt;&gt;H414, P414+Query1[[#This Row],[Enhanced top up]]/Query1[[#This Row],[Adj Close]], P414))</f>
        <v>3333.4781027504409</v>
      </c>
      <c r="Q415" s="2">
        <f>IFERROR(AVERAGE(
  IF(ROW()&gt;20, INDEX(G:G, ROW()-20), 0) :
  INDEX(G:G, ROW())
),0)</f>
        <v>280.60403151739212</v>
      </c>
    </row>
    <row r="416" spans="1:17" x14ac:dyDescent="0.4">
      <c r="A416" s="1">
        <v>44432</v>
      </c>
      <c r="B416">
        <v>305.01998901367188</v>
      </c>
      <c r="C416">
        <v>305.64999389648438</v>
      </c>
      <c r="D416">
        <v>302</v>
      </c>
      <c r="E416">
        <v>302.6199951171875</v>
      </c>
      <c r="F416">
        <v>18175800</v>
      </c>
      <c r="G416">
        <v>292.822265625</v>
      </c>
      <c r="H416" s="2">
        <f>MONTH(Query1[[#This Row],[Date]])</f>
        <v>8</v>
      </c>
      <c r="I416" s="3">
        <f>Query1[[#This Row],[Shares]]*Query1[[#This Row],[Adj Close]]</f>
        <v>1051905.1218905817</v>
      </c>
      <c r="J416" s="3">
        <f>IF(ROW()&lt;3, Dashboard!$E$7, IF(Query1[[#This Row],[Month]]&lt;&gt;H415,J415*(1+Dashboard!$E$4)+Dashboard!$E$5,J415))</f>
        <v>645676.26531047223</v>
      </c>
      <c r="K416">
        <f>IF(ROW()&lt;3, 0,IF(Query1[[#This Row],[Month]]&lt;&gt;H415,IF((J416-I416&gt;0),J416-I416,0),0))</f>
        <v>0</v>
      </c>
      <c r="L416" s="2">
        <f t="shared" si="6"/>
        <v>3592.2989655359538</v>
      </c>
      <c r="M416">
        <f>IF(ROW()&lt;3, 0, IF(Query1[[#This Row],[Month]]&lt;&gt;H415, Dashboard!$J$5,0))</f>
        <v>0</v>
      </c>
      <c r="N416" s="2">
        <f>IF(ROW()&lt;3, Query1[[#This Row],[Shares]], IF(Query1[[#This Row],[Month]]&lt;&gt;H415, N415+Query1[[#This Row],[Fix Top Up]]/Query1[[#This Row],[Adj Close]], N415))</f>
        <v>3344.8744894206602</v>
      </c>
      <c r="O416">
        <f>IF(AND(Query1[[#This Row],[avg]]&gt;0, Query1[[#This Row],[Month]]&lt;&gt;H415),
    IF(Query1[[#This Row],[Adj Close]]&gt;Query1[[#This Row],[avg]],
       Dashboard!$L$5-Dashboard!$E$6,
       Dashboard!$L$5+Dashboard!$E$6
    ), 0
)</f>
        <v>0</v>
      </c>
      <c r="P416" s="2">
        <f>IF(ROW()&lt;3, Query1[[#This Row],[Shares]], IF(Query1[[#This Row],[Month]]&lt;&gt;H415, P415+Query1[[#This Row],[Enhanced top up]]/Query1[[#This Row],[Adj Close]], P415))</f>
        <v>3333.4781027504409</v>
      </c>
      <c r="Q416" s="2">
        <f>IFERROR(AVERAGE(
  IF(ROW()&gt;20, INDEX(G:G, ROW()-20), 0) :
  INDEX(G:G, ROW())
),0)</f>
        <v>281.25475056966144</v>
      </c>
    </row>
    <row r="417" spans="1:17" x14ac:dyDescent="0.4">
      <c r="A417" s="1">
        <v>44433</v>
      </c>
      <c r="B417">
        <v>304.29998779296875</v>
      </c>
      <c r="C417">
        <v>304.58999633789063</v>
      </c>
      <c r="D417">
        <v>300.42001342773438</v>
      </c>
      <c r="E417">
        <v>302.010009765625</v>
      </c>
      <c r="F417">
        <v>20006100</v>
      </c>
      <c r="G417">
        <v>292.23199462890625</v>
      </c>
      <c r="H417" s="2">
        <f>MONTH(Query1[[#This Row],[Date]])</f>
        <v>8</v>
      </c>
      <c r="I417" s="3">
        <f>Query1[[#This Row],[Shares]]*Query1[[#This Row],[Adj Close]]</f>
        <v>1049784.6920019283</v>
      </c>
      <c r="J417" s="3">
        <f>IF(ROW()&lt;3, Dashboard!$E$7, IF(Query1[[#This Row],[Month]]&lt;&gt;H416,J416*(1+Dashboard!$E$4)+Dashboard!$E$5,J416))</f>
        <v>645676.26531047223</v>
      </c>
      <c r="K417">
        <f>IF(ROW()&lt;3, 0,IF(Query1[[#This Row],[Month]]&lt;&gt;H416,IF((J417-I417&gt;0),J417-I417,0),0))</f>
        <v>0</v>
      </c>
      <c r="L417" s="2">
        <f t="shared" si="6"/>
        <v>3592.2989655359538</v>
      </c>
      <c r="M417">
        <f>IF(ROW()&lt;3, 0, IF(Query1[[#This Row],[Month]]&lt;&gt;H416, Dashboard!$J$5,0))</f>
        <v>0</v>
      </c>
      <c r="N417" s="2">
        <f>IF(ROW()&lt;3, Query1[[#This Row],[Shares]], IF(Query1[[#This Row],[Month]]&lt;&gt;H416, N416+Query1[[#This Row],[Fix Top Up]]/Query1[[#This Row],[Adj Close]], N416))</f>
        <v>3344.8744894206602</v>
      </c>
      <c r="O417">
        <f>IF(AND(Query1[[#This Row],[avg]]&gt;0, Query1[[#This Row],[Month]]&lt;&gt;H416),
    IF(Query1[[#This Row],[Adj Close]]&gt;Query1[[#This Row],[avg]],
       Dashboard!$L$5-Dashboard!$E$6,
       Dashboard!$L$5+Dashboard!$E$6
    ), 0
)</f>
        <v>0</v>
      </c>
      <c r="P417" s="2">
        <f>IF(ROW()&lt;3, Query1[[#This Row],[Shares]], IF(Query1[[#This Row],[Month]]&lt;&gt;H416, P416+Query1[[#This Row],[Enhanced top up]]/Query1[[#This Row],[Adj Close]], P416))</f>
        <v>3333.4781027504409</v>
      </c>
      <c r="Q417" s="2">
        <f>IFERROR(AVERAGE(
  IF(ROW()&gt;20, INDEX(G:G, ROW()-20), 0) :
  INDEX(G:G, ROW())
),0)</f>
        <v>281.99279349190846</v>
      </c>
    </row>
    <row r="418" spans="1:17" x14ac:dyDescent="0.4">
      <c r="A418" s="1">
        <v>44434</v>
      </c>
      <c r="B418">
        <v>300.989990234375</v>
      </c>
      <c r="C418">
        <v>302.42999267578125</v>
      </c>
      <c r="D418">
        <v>298.95001220703125</v>
      </c>
      <c r="E418">
        <v>299.08999633789063</v>
      </c>
      <c r="F418">
        <v>17666100</v>
      </c>
      <c r="G418">
        <v>289.40652465820313</v>
      </c>
      <c r="H418" s="2">
        <f>MONTH(Query1[[#This Row],[Date]])</f>
        <v>8</v>
      </c>
      <c r="I418" s="3">
        <f>Query1[[#This Row],[Shares]]*Query1[[#This Row],[Adj Close]]</f>
        <v>1039634.7591490186</v>
      </c>
      <c r="J418" s="3">
        <f>IF(ROW()&lt;3, Dashboard!$E$7, IF(Query1[[#This Row],[Month]]&lt;&gt;H417,J417*(1+Dashboard!$E$4)+Dashboard!$E$5,J417))</f>
        <v>645676.26531047223</v>
      </c>
      <c r="K418">
        <f>IF(ROW()&lt;3, 0,IF(Query1[[#This Row],[Month]]&lt;&gt;H417,IF((J418-I418&gt;0),J418-I418,0),0))</f>
        <v>0</v>
      </c>
      <c r="L418" s="2">
        <f t="shared" si="6"/>
        <v>3592.2989655359538</v>
      </c>
      <c r="M418">
        <f>IF(ROW()&lt;3, 0, IF(Query1[[#This Row],[Month]]&lt;&gt;H417, Dashboard!$J$5,0))</f>
        <v>0</v>
      </c>
      <c r="N418" s="2">
        <f>IF(ROW()&lt;3, Query1[[#This Row],[Shares]], IF(Query1[[#This Row],[Month]]&lt;&gt;H417, N417+Query1[[#This Row],[Fix Top Up]]/Query1[[#This Row],[Adj Close]], N417))</f>
        <v>3344.8744894206602</v>
      </c>
      <c r="O418">
        <f>IF(AND(Query1[[#This Row],[avg]]&gt;0, Query1[[#This Row],[Month]]&lt;&gt;H417),
    IF(Query1[[#This Row],[Adj Close]]&gt;Query1[[#This Row],[avg]],
       Dashboard!$L$5-Dashboard!$E$6,
       Dashboard!$L$5+Dashboard!$E$6
    ), 0
)</f>
        <v>0</v>
      </c>
      <c r="P418" s="2">
        <f>IF(ROW()&lt;3, Query1[[#This Row],[Shares]], IF(Query1[[#This Row],[Month]]&lt;&gt;H417, P417+Query1[[#This Row],[Enhanced top up]]/Query1[[#This Row],[Adj Close]], P417))</f>
        <v>3333.4781027504409</v>
      </c>
      <c r="Q418" s="2">
        <f>IFERROR(AVERAGE(
  IF(ROW()&gt;20, INDEX(G:G, ROW()-20), 0) :
  INDEX(G:G, ROW())
),0)</f>
        <v>282.61100551060269</v>
      </c>
    </row>
    <row r="419" spans="1:17" x14ac:dyDescent="0.4">
      <c r="A419" s="1">
        <v>44435</v>
      </c>
      <c r="B419">
        <v>298.989990234375</v>
      </c>
      <c r="C419">
        <v>300.8699951171875</v>
      </c>
      <c r="D419">
        <v>296.82998657226563</v>
      </c>
      <c r="E419">
        <v>299.72000122070313</v>
      </c>
      <c r="F419">
        <v>22605700</v>
      </c>
      <c r="G419">
        <v>290.01611328125</v>
      </c>
      <c r="H419" s="2">
        <f>MONTH(Query1[[#This Row],[Date]])</f>
        <v>8</v>
      </c>
      <c r="I419" s="3">
        <f>Query1[[#This Row],[Shares]]*Query1[[#This Row],[Adj Close]]</f>
        <v>1041824.5837289924</v>
      </c>
      <c r="J419" s="3">
        <f>IF(ROW()&lt;3, Dashboard!$E$7, IF(Query1[[#This Row],[Month]]&lt;&gt;H418,J418*(1+Dashboard!$E$4)+Dashboard!$E$5,J418))</f>
        <v>645676.26531047223</v>
      </c>
      <c r="K419">
        <f>IF(ROW()&lt;3, 0,IF(Query1[[#This Row],[Month]]&lt;&gt;H418,IF((J419-I419&gt;0),J419-I419,0),0))</f>
        <v>0</v>
      </c>
      <c r="L419" s="2">
        <f t="shared" si="6"/>
        <v>3592.2989655359538</v>
      </c>
      <c r="M419">
        <f>IF(ROW()&lt;3, 0, IF(Query1[[#This Row],[Month]]&lt;&gt;H418, Dashboard!$J$5,0))</f>
        <v>0</v>
      </c>
      <c r="N419" s="2">
        <f>IF(ROW()&lt;3, Query1[[#This Row],[Shares]], IF(Query1[[#This Row],[Month]]&lt;&gt;H418, N418+Query1[[#This Row],[Fix Top Up]]/Query1[[#This Row],[Adj Close]], N418))</f>
        <v>3344.8744894206602</v>
      </c>
      <c r="O419">
        <f>IF(AND(Query1[[#This Row],[avg]]&gt;0, Query1[[#This Row],[Month]]&lt;&gt;H418),
    IF(Query1[[#This Row],[Adj Close]]&gt;Query1[[#This Row],[avg]],
       Dashboard!$L$5-Dashboard!$E$6,
       Dashboard!$L$5+Dashboard!$E$6
    ), 0
)</f>
        <v>0</v>
      </c>
      <c r="P419" s="2">
        <f>IF(ROW()&lt;3, Query1[[#This Row],[Shares]], IF(Query1[[#This Row],[Month]]&lt;&gt;H418, P418+Query1[[#This Row],[Enhanced top up]]/Query1[[#This Row],[Adj Close]], P418))</f>
        <v>3333.4781027504409</v>
      </c>
      <c r="Q419" s="2">
        <f>IFERROR(AVERAGE(
  IF(ROW()&gt;20, INDEX(G:G, ROW()-20), 0) :
  INDEX(G:G, ROW())
),0)</f>
        <v>283.24537150065106</v>
      </c>
    </row>
    <row r="420" spans="1:17" x14ac:dyDescent="0.4">
      <c r="A420" s="1">
        <v>44438</v>
      </c>
      <c r="B420">
        <v>301.1199951171875</v>
      </c>
      <c r="C420">
        <v>304.22000122070313</v>
      </c>
      <c r="D420">
        <v>301.05999755859375</v>
      </c>
      <c r="E420">
        <v>303.58999633789063</v>
      </c>
      <c r="F420">
        <v>16348100</v>
      </c>
      <c r="G420">
        <v>293.7608642578125</v>
      </c>
      <c r="H420" s="2">
        <f>MONTH(Query1[[#This Row],[Date]])</f>
        <v>8</v>
      </c>
      <c r="I420" s="3">
        <f>Query1[[#This Row],[Shares]]*Query1[[#This Row],[Adj Close]]</f>
        <v>1055276.8487882875</v>
      </c>
      <c r="J420" s="3">
        <f>IF(ROW()&lt;3, Dashboard!$E$7, IF(Query1[[#This Row],[Month]]&lt;&gt;H419,J419*(1+Dashboard!$E$4)+Dashboard!$E$5,J419))</f>
        <v>645676.26531047223</v>
      </c>
      <c r="K420">
        <f>IF(ROW()&lt;3, 0,IF(Query1[[#This Row],[Month]]&lt;&gt;H419,IF((J420-I420&gt;0),J420-I420,0),0))</f>
        <v>0</v>
      </c>
      <c r="L420" s="2">
        <f t="shared" si="6"/>
        <v>3592.2989655359538</v>
      </c>
      <c r="M420">
        <f>IF(ROW()&lt;3, 0, IF(Query1[[#This Row],[Month]]&lt;&gt;H419, Dashboard!$J$5,0))</f>
        <v>0</v>
      </c>
      <c r="N420" s="2">
        <f>IF(ROW()&lt;3, Query1[[#This Row],[Shares]], IF(Query1[[#This Row],[Month]]&lt;&gt;H419, N419+Query1[[#This Row],[Fix Top Up]]/Query1[[#This Row],[Adj Close]], N419))</f>
        <v>3344.8744894206602</v>
      </c>
      <c r="O420">
        <f>IF(AND(Query1[[#This Row],[avg]]&gt;0, Query1[[#This Row],[Month]]&lt;&gt;H419),
    IF(Query1[[#This Row],[Adj Close]]&gt;Query1[[#This Row],[avg]],
       Dashboard!$L$5-Dashboard!$E$6,
       Dashboard!$L$5+Dashboard!$E$6
    ), 0
)</f>
        <v>0</v>
      </c>
      <c r="P420" s="2">
        <f>IF(ROW()&lt;3, Query1[[#This Row],[Shares]], IF(Query1[[#This Row],[Month]]&lt;&gt;H419, P419+Query1[[#This Row],[Enhanced top up]]/Query1[[#This Row],[Adj Close]], P419))</f>
        <v>3333.4781027504409</v>
      </c>
      <c r="Q420" s="2">
        <f>IFERROR(AVERAGE(
  IF(ROW()&gt;20, INDEX(G:G, ROW()-20), 0) :
  INDEX(G:G, ROW())
),0)</f>
        <v>284.13118053617933</v>
      </c>
    </row>
    <row r="421" spans="1:17" x14ac:dyDescent="0.4">
      <c r="A421" s="1">
        <v>44439</v>
      </c>
      <c r="B421">
        <v>304.42001342773438</v>
      </c>
      <c r="C421">
        <v>304.5</v>
      </c>
      <c r="D421">
        <v>301.5</v>
      </c>
      <c r="E421">
        <v>301.8800048828125</v>
      </c>
      <c r="F421">
        <v>26285300</v>
      </c>
      <c r="G421">
        <v>292.106201171875</v>
      </c>
      <c r="H421" s="2">
        <f>MONTH(Query1[[#This Row],[Date]])</f>
        <v>8</v>
      </c>
      <c r="I421" s="3">
        <f>Query1[[#This Row],[Shares]]*Query1[[#This Row],[Adj Close]]</f>
        <v>1049332.8042963638</v>
      </c>
      <c r="J421" s="3">
        <f>IF(ROW()&lt;3, Dashboard!$E$7, IF(Query1[[#This Row],[Month]]&lt;&gt;H420,J420*(1+Dashboard!$E$4)+Dashboard!$E$5,J420))</f>
        <v>645676.26531047223</v>
      </c>
      <c r="K421">
        <f>IF(ROW()&lt;3, 0,IF(Query1[[#This Row],[Month]]&lt;&gt;H420,IF((J421-I421&gt;0),J421-I421,0),0))</f>
        <v>0</v>
      </c>
      <c r="L421" s="2">
        <f t="shared" si="6"/>
        <v>3592.2989655359538</v>
      </c>
      <c r="M421">
        <f>IF(ROW()&lt;3, 0, IF(Query1[[#This Row],[Month]]&lt;&gt;H420, Dashboard!$J$5,0))</f>
        <v>0</v>
      </c>
      <c r="N421" s="2">
        <f>IF(ROW()&lt;3, Query1[[#This Row],[Shares]], IF(Query1[[#This Row],[Month]]&lt;&gt;H420, N420+Query1[[#This Row],[Fix Top Up]]/Query1[[#This Row],[Adj Close]], N420))</f>
        <v>3344.8744894206602</v>
      </c>
      <c r="O421">
        <f>IF(AND(Query1[[#This Row],[avg]]&gt;0, Query1[[#This Row],[Month]]&lt;&gt;H420),
    IF(Query1[[#This Row],[Adj Close]]&gt;Query1[[#This Row],[avg]],
       Dashboard!$L$5-Dashboard!$E$6,
       Dashboard!$L$5+Dashboard!$E$6
    ), 0
)</f>
        <v>0</v>
      </c>
      <c r="P421" s="2">
        <f>IF(ROW()&lt;3, Query1[[#This Row],[Shares]], IF(Query1[[#This Row],[Month]]&lt;&gt;H420, P420+Query1[[#This Row],[Enhanced top up]]/Query1[[#This Row],[Adj Close]], P420))</f>
        <v>3333.4781027504409</v>
      </c>
      <c r="Q421" s="2">
        <f>IFERROR(AVERAGE(
  IF(ROW()&gt;20, INDEX(G:G, ROW()-20), 0) :
  INDEX(G:G, ROW())
),0)</f>
        <v>284.9423363095238</v>
      </c>
    </row>
    <row r="422" spans="1:17" x14ac:dyDescent="0.4">
      <c r="A422" s="1">
        <v>44440</v>
      </c>
      <c r="B422">
        <v>302.8699951171875</v>
      </c>
      <c r="C422">
        <v>305.19000244140625</v>
      </c>
      <c r="D422">
        <v>301.489990234375</v>
      </c>
      <c r="E422">
        <v>301.82998657226563</v>
      </c>
      <c r="F422">
        <v>18983800</v>
      </c>
      <c r="G422">
        <v>292.05780029296875</v>
      </c>
      <c r="H422" s="2">
        <f>MONTH(Query1[[#This Row],[Date]])</f>
        <v>9</v>
      </c>
      <c r="I422" s="3">
        <f>Query1[[#This Row],[Shares]]*Query1[[#This Row],[Adj Close]]</f>
        <v>1049158.9338691379</v>
      </c>
      <c r="J422" s="3">
        <f>IF(ROW()&lt;3, Dashboard!$E$7, IF(Query1[[#This Row],[Month]]&lt;&gt;H421,J421*(1+Dashboard!$E$4)+Dashboard!$E$5,J421))</f>
        <v>654133.02796357695</v>
      </c>
      <c r="K422">
        <f>IF(ROW()&lt;3, 0,IF(Query1[[#This Row],[Month]]&lt;&gt;H421,IF((J422-I422&gt;0),J422-I422,0),0))</f>
        <v>0</v>
      </c>
      <c r="L422" s="2">
        <f t="shared" si="6"/>
        <v>3592.2989655359538</v>
      </c>
      <c r="M422">
        <f>IF(ROW()&lt;3, 0, IF(Query1[[#This Row],[Month]]&lt;&gt;H421, Dashboard!$J$5,0))</f>
        <v>773.47399999999971</v>
      </c>
      <c r="N422" s="2">
        <f>IF(ROW()&lt;3, Query1[[#This Row],[Shares]], IF(Query1[[#This Row],[Month]]&lt;&gt;H421, N421+Query1[[#This Row],[Fix Top Up]]/Query1[[#This Row],[Adj Close]], N421))</f>
        <v>3347.5228487496152</v>
      </c>
      <c r="O422">
        <f>IF(AND(Query1[[#This Row],[avg]]&gt;0, Query1[[#This Row],[Month]]&lt;&gt;H421),
    IF(Query1[[#This Row],[Adj Close]]&gt;Query1[[#This Row],[avg]],
       Dashboard!$L$5-Dashboard!$E$6,
       Dashboard!$L$5+Dashboard!$E$6
    ), 0
)</f>
        <v>390.14066666666668</v>
      </c>
      <c r="P422" s="2">
        <f>IF(ROW()&lt;3, Query1[[#This Row],[Shares]], IF(Query1[[#This Row],[Month]]&lt;&gt;H421, P421+Query1[[#This Row],[Enhanced top up]]/Query1[[#This Row],[Adj Close]], P421))</f>
        <v>3334.8139365007305</v>
      </c>
      <c r="Q422" s="2">
        <f>IFERROR(AVERAGE(
  IF(ROW()&gt;20, INDEX(G:G, ROW()-20), 0) :
  INDEX(G:G, ROW())
),0)</f>
        <v>285.64541044689361</v>
      </c>
    </row>
    <row r="423" spans="1:17" x14ac:dyDescent="0.4">
      <c r="A423" s="1">
        <v>44441</v>
      </c>
      <c r="B423">
        <v>302.20001220703125</v>
      </c>
      <c r="C423">
        <v>303.3599853515625</v>
      </c>
      <c r="D423">
        <v>300.17999267578125</v>
      </c>
      <c r="E423">
        <v>301.14999389648438</v>
      </c>
      <c r="F423">
        <v>16285600</v>
      </c>
      <c r="G423">
        <v>291.39984130859375</v>
      </c>
      <c r="H423" s="2">
        <f>MONTH(Query1[[#This Row],[Date]])</f>
        <v>9</v>
      </c>
      <c r="I423" s="3">
        <f>Query1[[#This Row],[Shares]]*Query1[[#This Row],[Adj Close]]</f>
        <v>1046795.3484902025</v>
      </c>
      <c r="J423" s="3">
        <f>IF(ROW()&lt;3, Dashboard!$E$7, IF(Query1[[#This Row],[Month]]&lt;&gt;H422,J422*(1+Dashboard!$E$4)+Dashboard!$E$5,J422))</f>
        <v>654133.02796357695</v>
      </c>
      <c r="K423">
        <f>IF(ROW()&lt;3, 0,IF(Query1[[#This Row],[Month]]&lt;&gt;H422,IF((J423-I423&gt;0),J423-I423,0),0))</f>
        <v>0</v>
      </c>
      <c r="L423" s="2">
        <f t="shared" si="6"/>
        <v>3592.2989655359538</v>
      </c>
      <c r="M423">
        <f>IF(ROW()&lt;3, 0, IF(Query1[[#This Row],[Month]]&lt;&gt;H422, Dashboard!$J$5,0))</f>
        <v>0</v>
      </c>
      <c r="N423" s="2">
        <f>IF(ROW()&lt;3, Query1[[#This Row],[Shares]], IF(Query1[[#This Row],[Month]]&lt;&gt;H422, N422+Query1[[#This Row],[Fix Top Up]]/Query1[[#This Row],[Adj Close]], N422))</f>
        <v>3347.5228487496152</v>
      </c>
      <c r="O423">
        <f>IF(AND(Query1[[#This Row],[avg]]&gt;0, Query1[[#This Row],[Month]]&lt;&gt;H422),
    IF(Query1[[#This Row],[Adj Close]]&gt;Query1[[#This Row],[avg]],
       Dashboard!$L$5-Dashboard!$E$6,
       Dashboard!$L$5+Dashboard!$E$6
    ), 0
)</f>
        <v>0</v>
      </c>
      <c r="P423" s="2">
        <f>IF(ROW()&lt;3, Query1[[#This Row],[Shares]], IF(Query1[[#This Row],[Month]]&lt;&gt;H422, P422+Query1[[#This Row],[Enhanced top up]]/Query1[[#This Row],[Adj Close]], P422))</f>
        <v>3334.8139365007305</v>
      </c>
      <c r="Q423" s="2">
        <f>IFERROR(AVERAGE(
  IF(ROW()&gt;20, INDEX(G:G, ROW()-20), 0) :
  INDEX(G:G, ROW())
),0)</f>
        <v>286.34520757765995</v>
      </c>
    </row>
    <row r="424" spans="1:17" x14ac:dyDescent="0.4">
      <c r="A424" s="1">
        <v>44442</v>
      </c>
      <c r="B424">
        <v>300.989990234375</v>
      </c>
      <c r="C424">
        <v>302.60000610351563</v>
      </c>
      <c r="D424">
        <v>300.260009765625</v>
      </c>
      <c r="E424">
        <v>301.1400146484375</v>
      </c>
      <c r="F424">
        <v>14747900</v>
      </c>
      <c r="G424">
        <v>291.39019775390625</v>
      </c>
      <c r="H424" s="2">
        <f>MONTH(Query1[[#This Row],[Date]])</f>
        <v>9</v>
      </c>
      <c r="I424" s="3">
        <f>Query1[[#This Row],[Shares]]*Query1[[#This Row],[Adj Close]]</f>
        <v>1046760.7059586744</v>
      </c>
      <c r="J424" s="3">
        <f>IF(ROW()&lt;3, Dashboard!$E$7, IF(Query1[[#This Row],[Month]]&lt;&gt;H423,J423*(1+Dashboard!$E$4)+Dashboard!$E$5,J423))</f>
        <v>654133.02796357695</v>
      </c>
      <c r="K424">
        <f>IF(ROW()&lt;3, 0,IF(Query1[[#This Row],[Month]]&lt;&gt;H423,IF((J424-I424&gt;0),J424-I424,0),0))</f>
        <v>0</v>
      </c>
      <c r="L424" s="2">
        <f t="shared" si="6"/>
        <v>3592.2989655359538</v>
      </c>
      <c r="M424">
        <f>IF(ROW()&lt;3, 0, IF(Query1[[#This Row],[Month]]&lt;&gt;H423, Dashboard!$J$5,0))</f>
        <v>0</v>
      </c>
      <c r="N424" s="2">
        <f>IF(ROW()&lt;3, Query1[[#This Row],[Shares]], IF(Query1[[#This Row],[Month]]&lt;&gt;H423, N423+Query1[[#This Row],[Fix Top Up]]/Query1[[#This Row],[Adj Close]], N423))</f>
        <v>3347.5228487496152</v>
      </c>
      <c r="O424">
        <f>IF(AND(Query1[[#This Row],[avg]]&gt;0, Query1[[#This Row],[Month]]&lt;&gt;H423),
    IF(Query1[[#This Row],[Adj Close]]&gt;Query1[[#This Row],[avg]],
       Dashboard!$L$5-Dashboard!$E$6,
       Dashboard!$L$5+Dashboard!$E$6
    ), 0
)</f>
        <v>0</v>
      </c>
      <c r="P424" s="2">
        <f>IF(ROW()&lt;3, Query1[[#This Row],[Shares]], IF(Query1[[#This Row],[Month]]&lt;&gt;H423, P423+Query1[[#This Row],[Enhanced top up]]/Query1[[#This Row],[Adj Close]], P423))</f>
        <v>3334.8139365007305</v>
      </c>
      <c r="Q424" s="2">
        <f>IFERROR(AVERAGE(
  IF(ROW()&gt;20, INDEX(G:G, ROW()-20), 0) :
  INDEX(G:G, ROW())
),0)</f>
        <v>286.90611775716144</v>
      </c>
    </row>
    <row r="425" spans="1:17" x14ac:dyDescent="0.4">
      <c r="A425" s="1">
        <v>44446</v>
      </c>
      <c r="B425">
        <v>301.010009765625</v>
      </c>
      <c r="C425">
        <v>301.08999633789063</v>
      </c>
      <c r="D425">
        <v>298.20001220703125</v>
      </c>
      <c r="E425">
        <v>300.17999267578125</v>
      </c>
      <c r="F425">
        <v>17180400</v>
      </c>
      <c r="G425">
        <v>290.46121215820313</v>
      </c>
      <c r="H425" s="2">
        <f>MONTH(Query1[[#This Row],[Date]])</f>
        <v>9</v>
      </c>
      <c r="I425" s="3">
        <f>Query1[[#This Row],[Shares]]*Query1[[#This Row],[Adj Close]]</f>
        <v>1043423.5119642323</v>
      </c>
      <c r="J425" s="3">
        <f>IF(ROW()&lt;3, Dashboard!$E$7, IF(Query1[[#This Row],[Month]]&lt;&gt;H424,J424*(1+Dashboard!$E$4)+Dashboard!$E$5,J424))</f>
        <v>654133.02796357695</v>
      </c>
      <c r="K425">
        <f>IF(ROW()&lt;3, 0,IF(Query1[[#This Row],[Month]]&lt;&gt;H424,IF((J425-I425&gt;0),J425-I425,0),0))</f>
        <v>0</v>
      </c>
      <c r="L425" s="2">
        <f t="shared" si="6"/>
        <v>3592.2989655359538</v>
      </c>
      <c r="M425">
        <f>IF(ROW()&lt;3, 0, IF(Query1[[#This Row],[Month]]&lt;&gt;H424, Dashboard!$J$5,0))</f>
        <v>0</v>
      </c>
      <c r="N425" s="2">
        <f>IF(ROW()&lt;3, Query1[[#This Row],[Shares]], IF(Query1[[#This Row],[Month]]&lt;&gt;H424, N424+Query1[[#This Row],[Fix Top Up]]/Query1[[#This Row],[Adj Close]], N424))</f>
        <v>3347.5228487496152</v>
      </c>
      <c r="O425">
        <f>IF(AND(Query1[[#This Row],[avg]]&gt;0, Query1[[#This Row],[Month]]&lt;&gt;H424),
    IF(Query1[[#This Row],[Adj Close]]&gt;Query1[[#This Row],[avg]],
       Dashboard!$L$5-Dashboard!$E$6,
       Dashboard!$L$5+Dashboard!$E$6
    ), 0
)</f>
        <v>0</v>
      </c>
      <c r="P425" s="2">
        <f>IF(ROW()&lt;3, Query1[[#This Row],[Shares]], IF(Query1[[#This Row],[Month]]&lt;&gt;H424, P424+Query1[[#This Row],[Enhanced top up]]/Query1[[#This Row],[Adj Close]], P424))</f>
        <v>3334.8139365007305</v>
      </c>
      <c r="Q425" s="2">
        <f>IFERROR(AVERAGE(
  IF(ROW()&gt;20, INDEX(G:G, ROW()-20), 0) :
  INDEX(G:G, ROW())
),0)</f>
        <v>287.42555309477308</v>
      </c>
    </row>
    <row r="426" spans="1:17" x14ac:dyDescent="0.4">
      <c r="A426" s="1">
        <v>44447</v>
      </c>
      <c r="B426">
        <v>299.77999877929688</v>
      </c>
      <c r="C426">
        <v>300.6099853515625</v>
      </c>
      <c r="D426">
        <v>297.47000122070313</v>
      </c>
      <c r="E426">
        <v>300.20999145507813</v>
      </c>
      <c r="F426">
        <v>15046800</v>
      </c>
      <c r="G426">
        <v>290.490234375</v>
      </c>
      <c r="H426" s="2">
        <f>MONTH(Query1[[#This Row],[Date]])</f>
        <v>9</v>
      </c>
      <c r="I426" s="3">
        <f>Query1[[#This Row],[Shares]]*Query1[[#This Row],[Adj Close]]</f>
        <v>1043527.7684436092</v>
      </c>
      <c r="J426" s="3">
        <f>IF(ROW()&lt;3, Dashboard!$E$7, IF(Query1[[#This Row],[Month]]&lt;&gt;H425,J425*(1+Dashboard!$E$4)+Dashboard!$E$5,J425))</f>
        <v>654133.02796357695</v>
      </c>
      <c r="K426">
        <f>IF(ROW()&lt;3, 0,IF(Query1[[#This Row],[Month]]&lt;&gt;H425,IF((J426-I426&gt;0),J426-I426,0),0))</f>
        <v>0</v>
      </c>
      <c r="L426" s="2">
        <f t="shared" si="6"/>
        <v>3592.2989655359538</v>
      </c>
      <c r="M426">
        <f>IF(ROW()&lt;3, 0, IF(Query1[[#This Row],[Month]]&lt;&gt;H425, Dashboard!$J$5,0))</f>
        <v>0</v>
      </c>
      <c r="N426" s="2">
        <f>IF(ROW()&lt;3, Query1[[#This Row],[Shares]], IF(Query1[[#This Row],[Month]]&lt;&gt;H425, N425+Query1[[#This Row],[Fix Top Up]]/Query1[[#This Row],[Adj Close]], N425))</f>
        <v>3347.5228487496152</v>
      </c>
      <c r="O426">
        <f>IF(AND(Query1[[#This Row],[avg]]&gt;0, Query1[[#This Row],[Month]]&lt;&gt;H425),
    IF(Query1[[#This Row],[Adj Close]]&gt;Query1[[#This Row],[avg]],
       Dashboard!$L$5-Dashboard!$E$6,
       Dashboard!$L$5+Dashboard!$E$6
    ), 0
)</f>
        <v>0</v>
      </c>
      <c r="P426" s="2">
        <f>IF(ROW()&lt;3, Query1[[#This Row],[Shares]], IF(Query1[[#This Row],[Month]]&lt;&gt;H425, P425+Query1[[#This Row],[Enhanced top up]]/Query1[[#This Row],[Adj Close]], P425))</f>
        <v>3334.8139365007305</v>
      </c>
      <c r="Q426" s="2">
        <f>IFERROR(AVERAGE(
  IF(ROW()&gt;20, INDEX(G:G, ROW()-20), 0) :
  INDEX(G:G, ROW())
),0)</f>
        <v>287.99833606538317</v>
      </c>
    </row>
    <row r="427" spans="1:17" x14ac:dyDescent="0.4">
      <c r="A427" s="1">
        <v>44448</v>
      </c>
      <c r="B427">
        <v>300.82000732421875</v>
      </c>
      <c r="C427">
        <v>302.1400146484375</v>
      </c>
      <c r="D427">
        <v>297</v>
      </c>
      <c r="E427">
        <v>297.25</v>
      </c>
      <c r="F427">
        <v>19927000</v>
      </c>
      <c r="G427">
        <v>287.62606811523438</v>
      </c>
      <c r="H427" s="2">
        <f>MONTH(Query1[[#This Row],[Date]])</f>
        <v>9</v>
      </c>
      <c r="I427" s="3">
        <f>Query1[[#This Row],[Shares]]*Query1[[#This Row],[Adj Close]]</f>
        <v>1033238.8269515302</v>
      </c>
      <c r="J427" s="3">
        <f>IF(ROW()&lt;3, Dashboard!$E$7, IF(Query1[[#This Row],[Month]]&lt;&gt;H426,J426*(1+Dashboard!$E$4)+Dashboard!$E$5,J426))</f>
        <v>654133.02796357695</v>
      </c>
      <c r="K427">
        <f>IF(ROW()&lt;3, 0,IF(Query1[[#This Row],[Month]]&lt;&gt;H426,IF((J427-I427&gt;0),J427-I427,0),0))</f>
        <v>0</v>
      </c>
      <c r="L427" s="2">
        <f t="shared" si="6"/>
        <v>3592.2989655359538</v>
      </c>
      <c r="M427">
        <f>IF(ROW()&lt;3, 0, IF(Query1[[#This Row],[Month]]&lt;&gt;H426, Dashboard!$J$5,0))</f>
        <v>0</v>
      </c>
      <c r="N427" s="2">
        <f>IF(ROW()&lt;3, Query1[[#This Row],[Shares]], IF(Query1[[#This Row],[Month]]&lt;&gt;H426, N426+Query1[[#This Row],[Fix Top Up]]/Query1[[#This Row],[Adj Close]], N426))</f>
        <v>3347.5228487496152</v>
      </c>
      <c r="O427">
        <f>IF(AND(Query1[[#This Row],[avg]]&gt;0, Query1[[#This Row],[Month]]&lt;&gt;H426),
    IF(Query1[[#This Row],[Adj Close]]&gt;Query1[[#This Row],[avg]],
       Dashboard!$L$5-Dashboard!$E$6,
       Dashboard!$L$5+Dashboard!$E$6
    ), 0
)</f>
        <v>0</v>
      </c>
      <c r="P427" s="2">
        <f>IF(ROW()&lt;3, Query1[[#This Row],[Shares]], IF(Query1[[#This Row],[Month]]&lt;&gt;H426, P426+Query1[[#This Row],[Enhanced top up]]/Query1[[#This Row],[Adj Close]], P426))</f>
        <v>3334.8139365007305</v>
      </c>
      <c r="Q427" s="2">
        <f>IFERROR(AVERAGE(
  IF(ROW()&gt;20, INDEX(G:G, ROW()-20), 0) :
  INDEX(G:G, ROW())
),0)</f>
        <v>288.52164713541669</v>
      </c>
    </row>
    <row r="428" spans="1:17" x14ac:dyDescent="0.4">
      <c r="A428" s="1">
        <v>44449</v>
      </c>
      <c r="B428">
        <v>298.42001342773438</v>
      </c>
      <c r="C428">
        <v>299.92001342773438</v>
      </c>
      <c r="D428">
        <v>295.3800048828125</v>
      </c>
      <c r="E428">
        <v>295.70999145507813</v>
      </c>
      <c r="F428">
        <v>19633400</v>
      </c>
      <c r="G428">
        <v>286.13595581054688</v>
      </c>
      <c r="H428" s="2">
        <f>MONTH(Query1[[#This Row],[Date]])</f>
        <v>9</v>
      </c>
      <c r="I428" s="3">
        <f>Query1[[#This Row],[Shares]]*Query1[[#This Row],[Adj Close]]</f>
        <v>1027885.898060869</v>
      </c>
      <c r="J428" s="3">
        <f>IF(ROW()&lt;3, Dashboard!$E$7, IF(Query1[[#This Row],[Month]]&lt;&gt;H427,J427*(1+Dashboard!$E$4)+Dashboard!$E$5,J427))</f>
        <v>654133.02796357695</v>
      </c>
      <c r="K428">
        <f>IF(ROW()&lt;3, 0,IF(Query1[[#This Row],[Month]]&lt;&gt;H427,IF((J428-I428&gt;0),J428-I428,0),0))</f>
        <v>0</v>
      </c>
      <c r="L428" s="2">
        <f t="shared" si="6"/>
        <v>3592.2989655359538</v>
      </c>
      <c r="M428">
        <f>IF(ROW()&lt;3, 0, IF(Query1[[#This Row],[Month]]&lt;&gt;H427, Dashboard!$J$5,0))</f>
        <v>0</v>
      </c>
      <c r="N428" s="2">
        <f>IF(ROW()&lt;3, Query1[[#This Row],[Shares]], IF(Query1[[#This Row],[Month]]&lt;&gt;H427, N427+Query1[[#This Row],[Fix Top Up]]/Query1[[#This Row],[Adj Close]], N427))</f>
        <v>3347.5228487496152</v>
      </c>
      <c r="O428">
        <f>IF(AND(Query1[[#This Row],[avg]]&gt;0, Query1[[#This Row],[Month]]&lt;&gt;H427),
    IF(Query1[[#This Row],[Adj Close]]&gt;Query1[[#This Row],[avg]],
       Dashboard!$L$5-Dashboard!$E$6,
       Dashboard!$L$5+Dashboard!$E$6
    ), 0
)</f>
        <v>0</v>
      </c>
      <c r="P428" s="2">
        <f>IF(ROW()&lt;3, Query1[[#This Row],[Shares]], IF(Query1[[#This Row],[Month]]&lt;&gt;H427, P427+Query1[[#This Row],[Enhanced top up]]/Query1[[#This Row],[Adj Close]], P427))</f>
        <v>3334.8139365007305</v>
      </c>
      <c r="Q428" s="2">
        <f>IFERROR(AVERAGE(
  IF(ROW()&gt;20, INDEX(G:G, ROW()-20), 0) :
  INDEX(G:G, ROW())
),0)</f>
        <v>288.95054553803942</v>
      </c>
    </row>
    <row r="429" spans="1:17" x14ac:dyDescent="0.4">
      <c r="A429" s="1">
        <v>44452</v>
      </c>
      <c r="B429">
        <v>297.54998779296875</v>
      </c>
      <c r="C429">
        <v>298.54000854492188</v>
      </c>
      <c r="D429">
        <v>294.07998657226563</v>
      </c>
      <c r="E429">
        <v>296.989990234375</v>
      </c>
      <c r="F429">
        <v>23652900</v>
      </c>
      <c r="G429">
        <v>287.37451171875</v>
      </c>
      <c r="H429" s="2">
        <f>MONTH(Query1[[#This Row],[Date]])</f>
        <v>9</v>
      </c>
      <c r="I429" s="3">
        <f>Query1[[#This Row],[Shares]]*Query1[[#This Row],[Adj Close]]</f>
        <v>1032335.1611686655</v>
      </c>
      <c r="J429" s="3">
        <f>IF(ROW()&lt;3, Dashboard!$E$7, IF(Query1[[#This Row],[Month]]&lt;&gt;H428,J428*(1+Dashboard!$E$4)+Dashboard!$E$5,J428))</f>
        <v>654133.02796357695</v>
      </c>
      <c r="K429">
        <f>IF(ROW()&lt;3, 0,IF(Query1[[#This Row],[Month]]&lt;&gt;H428,IF((J429-I429&gt;0),J429-I429,0),0))</f>
        <v>0</v>
      </c>
      <c r="L429" s="2">
        <f t="shared" si="6"/>
        <v>3592.2989655359538</v>
      </c>
      <c r="M429">
        <f>IF(ROW()&lt;3, 0, IF(Query1[[#This Row],[Month]]&lt;&gt;H428, Dashboard!$J$5,0))</f>
        <v>0</v>
      </c>
      <c r="N429" s="2">
        <f>IF(ROW()&lt;3, Query1[[#This Row],[Shares]], IF(Query1[[#This Row],[Month]]&lt;&gt;H428, N428+Query1[[#This Row],[Fix Top Up]]/Query1[[#This Row],[Adj Close]], N428))</f>
        <v>3347.5228487496152</v>
      </c>
      <c r="O429">
        <f>IF(AND(Query1[[#This Row],[avg]]&gt;0, Query1[[#This Row],[Month]]&lt;&gt;H428),
    IF(Query1[[#This Row],[Adj Close]]&gt;Query1[[#This Row],[avg]],
       Dashboard!$L$5-Dashboard!$E$6,
       Dashboard!$L$5+Dashboard!$E$6
    ), 0
)</f>
        <v>0</v>
      </c>
      <c r="P429" s="2">
        <f>IF(ROW()&lt;3, Query1[[#This Row],[Shares]], IF(Query1[[#This Row],[Month]]&lt;&gt;H428, P428+Query1[[#This Row],[Enhanced top up]]/Query1[[#This Row],[Adj Close]], P428))</f>
        <v>3334.8139365007305</v>
      </c>
      <c r="Q429" s="2">
        <f>IFERROR(AVERAGE(
  IF(ROW()&gt;20, INDEX(G:G, ROW()-20), 0) :
  INDEX(G:G, ROW())
),0)</f>
        <v>289.30689493815106</v>
      </c>
    </row>
    <row r="430" spans="1:17" x14ac:dyDescent="0.4">
      <c r="A430" s="1">
        <v>44453</v>
      </c>
      <c r="B430">
        <v>299.55999755859375</v>
      </c>
      <c r="C430">
        <v>301.3900146484375</v>
      </c>
      <c r="D430">
        <v>298.10000610351563</v>
      </c>
      <c r="E430">
        <v>299.79000854492188</v>
      </c>
      <c r="F430">
        <v>21853400</v>
      </c>
      <c r="G430">
        <v>290.0838623046875</v>
      </c>
      <c r="H430" s="2">
        <f>MONTH(Query1[[#This Row],[Date]])</f>
        <v>9</v>
      </c>
      <c r="I430" s="3">
        <f>Query1[[#This Row],[Shares]]*Query1[[#This Row],[Adj Close]]</f>
        <v>1042067.958475803</v>
      </c>
      <c r="J430" s="3">
        <f>IF(ROW()&lt;3, Dashboard!$E$7, IF(Query1[[#This Row],[Month]]&lt;&gt;H429,J429*(1+Dashboard!$E$4)+Dashboard!$E$5,J429))</f>
        <v>654133.02796357695</v>
      </c>
      <c r="K430">
        <f>IF(ROW()&lt;3, 0,IF(Query1[[#This Row],[Month]]&lt;&gt;H429,IF((J430-I430&gt;0),J430-I430,0),0))</f>
        <v>0</v>
      </c>
      <c r="L430" s="2">
        <f t="shared" si="6"/>
        <v>3592.2989655359538</v>
      </c>
      <c r="M430">
        <f>IF(ROW()&lt;3, 0, IF(Query1[[#This Row],[Month]]&lt;&gt;H429, Dashboard!$J$5,0))</f>
        <v>0</v>
      </c>
      <c r="N430" s="2">
        <f>IF(ROW()&lt;3, Query1[[#This Row],[Shares]], IF(Query1[[#This Row],[Month]]&lt;&gt;H429, N429+Query1[[#This Row],[Fix Top Up]]/Query1[[#This Row],[Adj Close]], N429))</f>
        <v>3347.5228487496152</v>
      </c>
      <c r="O430">
        <f>IF(AND(Query1[[#This Row],[avg]]&gt;0, Query1[[#This Row],[Month]]&lt;&gt;H429),
    IF(Query1[[#This Row],[Adj Close]]&gt;Query1[[#This Row],[avg]],
       Dashboard!$L$5-Dashboard!$E$6,
       Dashboard!$L$5+Dashboard!$E$6
    ), 0
)</f>
        <v>0</v>
      </c>
      <c r="P430" s="2">
        <f>IF(ROW()&lt;3, Query1[[#This Row],[Shares]], IF(Query1[[#This Row],[Month]]&lt;&gt;H429, P429+Query1[[#This Row],[Enhanced top up]]/Query1[[#This Row],[Adj Close]], P429))</f>
        <v>3334.8139365007305</v>
      </c>
      <c r="Q430" s="2">
        <f>IFERROR(AVERAGE(
  IF(ROW()&gt;20, INDEX(G:G, ROW()-20), 0) :
  INDEX(G:G, ROW())
),0)</f>
        <v>289.65245419456846</v>
      </c>
    </row>
    <row r="431" spans="1:17" x14ac:dyDescent="0.4">
      <c r="A431" s="1">
        <v>44454</v>
      </c>
      <c r="B431">
        <v>303.260009765625</v>
      </c>
      <c r="C431">
        <v>305.32000732421875</v>
      </c>
      <c r="D431">
        <v>301.82000732421875</v>
      </c>
      <c r="E431">
        <v>304.82000732421875</v>
      </c>
      <c r="F431">
        <v>28356300</v>
      </c>
      <c r="G431">
        <v>294.9510498046875</v>
      </c>
      <c r="H431" s="2">
        <f>MONTH(Query1[[#This Row],[Date]])</f>
        <v>9</v>
      </c>
      <c r="I431" s="3">
        <f>Query1[[#This Row],[Shares]]*Query1[[#This Row],[Adj Close]]</f>
        <v>1059552.3510971225</v>
      </c>
      <c r="J431" s="3">
        <f>IF(ROW()&lt;3, Dashboard!$E$7, IF(Query1[[#This Row],[Month]]&lt;&gt;H430,J430*(1+Dashboard!$E$4)+Dashboard!$E$5,J430))</f>
        <v>654133.02796357695</v>
      </c>
      <c r="K431">
        <f>IF(ROW()&lt;3, 0,IF(Query1[[#This Row],[Month]]&lt;&gt;H430,IF((J431-I431&gt;0),J431-I431,0),0))</f>
        <v>0</v>
      </c>
      <c r="L431" s="2">
        <f t="shared" si="6"/>
        <v>3592.2989655359538</v>
      </c>
      <c r="M431">
        <f>IF(ROW()&lt;3, 0, IF(Query1[[#This Row],[Month]]&lt;&gt;H430, Dashboard!$J$5,0))</f>
        <v>0</v>
      </c>
      <c r="N431" s="2">
        <f>IF(ROW()&lt;3, Query1[[#This Row],[Shares]], IF(Query1[[#This Row],[Month]]&lt;&gt;H430, N430+Query1[[#This Row],[Fix Top Up]]/Query1[[#This Row],[Adj Close]], N430))</f>
        <v>3347.5228487496152</v>
      </c>
      <c r="O431">
        <f>IF(AND(Query1[[#This Row],[avg]]&gt;0, Query1[[#This Row],[Month]]&lt;&gt;H430),
    IF(Query1[[#This Row],[Adj Close]]&gt;Query1[[#This Row],[avg]],
       Dashboard!$L$5-Dashboard!$E$6,
       Dashboard!$L$5+Dashboard!$E$6
    ), 0
)</f>
        <v>0</v>
      </c>
      <c r="P431" s="2">
        <f>IF(ROW()&lt;3, Query1[[#This Row],[Shares]], IF(Query1[[#This Row],[Month]]&lt;&gt;H430, P430+Query1[[#This Row],[Enhanced top up]]/Query1[[#This Row],[Adj Close]], P430))</f>
        <v>3334.8139365007305</v>
      </c>
      <c r="Q431" s="2">
        <f>IFERROR(AVERAGE(
  IF(ROW()&gt;20, INDEX(G:G, ROW()-20), 0) :
  INDEX(G:G, ROW())
),0)</f>
        <v>290.14930216471356</v>
      </c>
    </row>
    <row r="432" spans="1:17" x14ac:dyDescent="0.4">
      <c r="A432" s="1">
        <v>44455</v>
      </c>
      <c r="B432">
        <v>303.760009765625</v>
      </c>
      <c r="C432">
        <v>305.30999755859375</v>
      </c>
      <c r="D432">
        <v>300.760009765625</v>
      </c>
      <c r="E432">
        <v>305.22000122070313</v>
      </c>
      <c r="F432">
        <v>19550800</v>
      </c>
      <c r="G432">
        <v>295.338134765625</v>
      </c>
      <c r="H432" s="2">
        <f>MONTH(Query1[[#This Row],[Date]])</f>
        <v>9</v>
      </c>
      <c r="I432" s="3">
        <f>Query1[[#This Row],[Shares]]*Query1[[#This Row],[Adj Close]]</f>
        <v>1060942.8760018728</v>
      </c>
      <c r="J432" s="3">
        <f>IF(ROW()&lt;3, Dashboard!$E$7, IF(Query1[[#This Row],[Month]]&lt;&gt;H431,J431*(1+Dashboard!$E$4)+Dashboard!$E$5,J431))</f>
        <v>654133.02796357695</v>
      </c>
      <c r="K432">
        <f>IF(ROW()&lt;3, 0,IF(Query1[[#This Row],[Month]]&lt;&gt;H431,IF((J432-I432&gt;0),J432-I432,0),0))</f>
        <v>0</v>
      </c>
      <c r="L432" s="2">
        <f t="shared" si="6"/>
        <v>3592.2989655359538</v>
      </c>
      <c r="M432">
        <f>IF(ROW()&lt;3, 0, IF(Query1[[#This Row],[Month]]&lt;&gt;H431, Dashboard!$J$5,0))</f>
        <v>0</v>
      </c>
      <c r="N432" s="2">
        <f>IF(ROW()&lt;3, Query1[[#This Row],[Shares]], IF(Query1[[#This Row],[Month]]&lt;&gt;H431, N431+Query1[[#This Row],[Fix Top Up]]/Query1[[#This Row],[Adj Close]], N431))</f>
        <v>3347.5228487496152</v>
      </c>
      <c r="O432">
        <f>IF(AND(Query1[[#This Row],[avg]]&gt;0, Query1[[#This Row],[Month]]&lt;&gt;H431),
    IF(Query1[[#This Row],[Adj Close]]&gt;Query1[[#This Row],[avg]],
       Dashboard!$L$5-Dashboard!$E$6,
       Dashboard!$L$5+Dashboard!$E$6
    ), 0
)</f>
        <v>0</v>
      </c>
      <c r="P432" s="2">
        <f>IF(ROW()&lt;3, Query1[[#This Row],[Shares]], IF(Query1[[#This Row],[Month]]&lt;&gt;H431, P431+Query1[[#This Row],[Enhanced top up]]/Query1[[#This Row],[Adj Close]], P431))</f>
        <v>3334.8139365007305</v>
      </c>
      <c r="Q432" s="2">
        <f>IFERROR(AVERAGE(
  IF(ROW()&gt;20, INDEX(G:G, ROW()-20), 0) :
  INDEX(G:G, ROW())
),0)</f>
        <v>290.73448835100447</v>
      </c>
    </row>
    <row r="433" spans="1:17" x14ac:dyDescent="0.4">
      <c r="A433" s="1">
        <v>44456</v>
      </c>
      <c r="B433">
        <v>304.17001342773438</v>
      </c>
      <c r="C433">
        <v>304.5</v>
      </c>
      <c r="D433">
        <v>299.52999877929688</v>
      </c>
      <c r="E433">
        <v>299.8699951171875</v>
      </c>
      <c r="F433">
        <v>41372500</v>
      </c>
      <c r="G433">
        <v>290.16122436523438</v>
      </c>
      <c r="H433" s="2">
        <f>MONTH(Query1[[#This Row],[Date]])</f>
        <v>9</v>
      </c>
      <c r="I433" s="3">
        <f>Query1[[#This Row],[Shares]]*Query1[[#This Row],[Adj Close]]</f>
        <v>1042345.8661258772</v>
      </c>
      <c r="J433" s="3">
        <f>IF(ROW()&lt;3, Dashboard!$E$7, IF(Query1[[#This Row],[Month]]&lt;&gt;H432,J432*(1+Dashboard!$E$4)+Dashboard!$E$5,J432))</f>
        <v>654133.02796357695</v>
      </c>
      <c r="K433">
        <f>IF(ROW()&lt;3, 0,IF(Query1[[#This Row],[Month]]&lt;&gt;H432,IF((J433-I433&gt;0),J433-I433,0),0))</f>
        <v>0</v>
      </c>
      <c r="L433" s="2">
        <f t="shared" si="6"/>
        <v>3592.2989655359538</v>
      </c>
      <c r="M433">
        <f>IF(ROW()&lt;3, 0, IF(Query1[[#This Row],[Month]]&lt;&gt;H432, Dashboard!$J$5,0))</f>
        <v>0</v>
      </c>
      <c r="N433" s="2">
        <f>IF(ROW()&lt;3, Query1[[#This Row],[Shares]], IF(Query1[[#This Row],[Month]]&lt;&gt;H432, N432+Query1[[#This Row],[Fix Top Up]]/Query1[[#This Row],[Adj Close]], N432))</f>
        <v>3347.5228487496152</v>
      </c>
      <c r="O433">
        <f>IF(AND(Query1[[#This Row],[avg]]&gt;0, Query1[[#This Row],[Month]]&lt;&gt;H432),
    IF(Query1[[#This Row],[Adj Close]]&gt;Query1[[#This Row],[avg]],
       Dashboard!$L$5-Dashboard!$E$6,
       Dashboard!$L$5+Dashboard!$E$6
    ), 0
)</f>
        <v>0</v>
      </c>
      <c r="P433" s="2">
        <f>IF(ROW()&lt;3, Query1[[#This Row],[Shares]], IF(Query1[[#This Row],[Month]]&lt;&gt;H432, P432+Query1[[#This Row],[Enhanced top up]]/Query1[[#This Row],[Adj Close]], P432))</f>
        <v>3334.8139365007305</v>
      </c>
      <c r="Q433" s="2">
        <f>IFERROR(AVERAGE(
  IF(ROW()&gt;20, INDEX(G:G, ROW()-20), 0) :
  INDEX(G:G, ROW())
),0)</f>
        <v>291.15563092912947</v>
      </c>
    </row>
    <row r="434" spans="1:17" x14ac:dyDescent="0.4">
      <c r="A434" s="1">
        <v>44459</v>
      </c>
      <c r="B434">
        <v>296.32998657226563</v>
      </c>
      <c r="C434">
        <v>298.72000122070313</v>
      </c>
      <c r="D434">
        <v>289.51998901367188</v>
      </c>
      <c r="E434">
        <v>294.29998779296875</v>
      </c>
      <c r="F434">
        <v>38278700</v>
      </c>
      <c r="G434">
        <v>284.7716064453125</v>
      </c>
      <c r="H434" s="2">
        <f>MONTH(Query1[[#This Row],[Date]])</f>
        <v>9</v>
      </c>
      <c r="I434" s="3">
        <f>Query1[[#This Row],[Shares]]*Query1[[#This Row],[Adj Close]]</f>
        <v>1022984.7472475078</v>
      </c>
      <c r="J434" s="3">
        <f>IF(ROW()&lt;3, Dashboard!$E$7, IF(Query1[[#This Row],[Month]]&lt;&gt;H433,J433*(1+Dashboard!$E$4)+Dashboard!$E$5,J433))</f>
        <v>654133.02796357695</v>
      </c>
      <c r="K434">
        <f>IF(ROW()&lt;3, 0,IF(Query1[[#This Row],[Month]]&lt;&gt;H433,IF((J434-I434&gt;0),J434-I434,0),0))</f>
        <v>0</v>
      </c>
      <c r="L434" s="2">
        <f t="shared" si="6"/>
        <v>3592.2989655359538</v>
      </c>
      <c r="M434">
        <f>IF(ROW()&lt;3, 0, IF(Query1[[#This Row],[Month]]&lt;&gt;H433, Dashboard!$J$5,0))</f>
        <v>0</v>
      </c>
      <c r="N434" s="2">
        <f>IF(ROW()&lt;3, Query1[[#This Row],[Shares]], IF(Query1[[#This Row],[Month]]&lt;&gt;H433, N433+Query1[[#This Row],[Fix Top Up]]/Query1[[#This Row],[Adj Close]], N433))</f>
        <v>3347.5228487496152</v>
      </c>
      <c r="O434">
        <f>IF(AND(Query1[[#This Row],[avg]]&gt;0, Query1[[#This Row],[Month]]&lt;&gt;H433),
    IF(Query1[[#This Row],[Adj Close]]&gt;Query1[[#This Row],[avg]],
       Dashboard!$L$5-Dashboard!$E$6,
       Dashboard!$L$5+Dashboard!$E$6
    ), 0
)</f>
        <v>0</v>
      </c>
      <c r="P434" s="2">
        <f>IF(ROW()&lt;3, Query1[[#This Row],[Shares]], IF(Query1[[#This Row],[Month]]&lt;&gt;H433, P433+Query1[[#This Row],[Enhanced top up]]/Query1[[#This Row],[Adj Close]], P433))</f>
        <v>3334.8139365007305</v>
      </c>
      <c r="Q434" s="2">
        <f>IFERROR(AVERAGE(
  IF(ROW()&gt;20, INDEX(G:G, ROW()-20), 0) :
  INDEX(G:G, ROW())
),0)</f>
        <v>291.04181780133928</v>
      </c>
    </row>
    <row r="435" spans="1:17" x14ac:dyDescent="0.4">
      <c r="A435" s="1">
        <v>44460</v>
      </c>
      <c r="B435">
        <v>295.69000244140625</v>
      </c>
      <c r="C435">
        <v>297.54000854492188</v>
      </c>
      <c r="D435">
        <v>294.07000732421875</v>
      </c>
      <c r="E435">
        <v>294.79998779296875</v>
      </c>
      <c r="F435">
        <v>22364100</v>
      </c>
      <c r="G435">
        <v>285.25546264648438</v>
      </c>
      <c r="H435" s="2">
        <f>MONTH(Query1[[#This Row],[Date]])</f>
        <v>9</v>
      </c>
      <c r="I435" s="3">
        <f>Query1[[#This Row],[Shares]]*Query1[[#This Row],[Adj Close]]</f>
        <v>1024722.9033784458</v>
      </c>
      <c r="J435" s="3">
        <f>IF(ROW()&lt;3, Dashboard!$E$7, IF(Query1[[#This Row],[Month]]&lt;&gt;H434,J434*(1+Dashboard!$E$4)+Dashboard!$E$5,J434))</f>
        <v>654133.02796357695</v>
      </c>
      <c r="K435">
        <f>IF(ROW()&lt;3, 0,IF(Query1[[#This Row],[Month]]&lt;&gt;H434,IF((J435-I435&gt;0),J435-I435,0),0))</f>
        <v>0</v>
      </c>
      <c r="L435" s="2">
        <f t="shared" si="6"/>
        <v>3592.2989655359538</v>
      </c>
      <c r="M435">
        <f>IF(ROW()&lt;3, 0, IF(Query1[[#This Row],[Month]]&lt;&gt;H434, Dashboard!$J$5,0))</f>
        <v>0</v>
      </c>
      <c r="N435" s="2">
        <f>IF(ROW()&lt;3, Query1[[#This Row],[Shares]], IF(Query1[[#This Row],[Month]]&lt;&gt;H434, N434+Query1[[#This Row],[Fix Top Up]]/Query1[[#This Row],[Adj Close]], N434))</f>
        <v>3347.5228487496152</v>
      </c>
      <c r="O435">
        <f>IF(AND(Query1[[#This Row],[avg]]&gt;0, Query1[[#This Row],[Month]]&lt;&gt;H434),
    IF(Query1[[#This Row],[Adj Close]]&gt;Query1[[#This Row],[avg]],
       Dashboard!$L$5-Dashboard!$E$6,
       Dashboard!$L$5+Dashboard!$E$6
    ), 0
)</f>
        <v>0</v>
      </c>
      <c r="P435" s="2">
        <f>IF(ROW()&lt;3, Query1[[#This Row],[Shares]], IF(Query1[[#This Row],[Month]]&lt;&gt;H434, P434+Query1[[#This Row],[Enhanced top up]]/Query1[[#This Row],[Adj Close]], P434))</f>
        <v>3334.8139365007305</v>
      </c>
      <c r="Q435" s="2">
        <f>IFERROR(AVERAGE(
  IF(ROW()&gt;20, INDEX(G:G, ROW()-20), 0) :
  INDEX(G:G, ROW())
),0)</f>
        <v>290.601318359375</v>
      </c>
    </row>
    <row r="436" spans="1:17" x14ac:dyDescent="0.4">
      <c r="A436" s="1">
        <v>44461</v>
      </c>
      <c r="B436">
        <v>296.73001098632813</v>
      </c>
      <c r="C436">
        <v>300.22000122070313</v>
      </c>
      <c r="D436">
        <v>294.510009765625</v>
      </c>
      <c r="E436">
        <v>298.57998657226563</v>
      </c>
      <c r="F436">
        <v>26626300</v>
      </c>
      <c r="G436">
        <v>288.91302490234375</v>
      </c>
      <c r="H436" s="2">
        <f>MONTH(Query1[[#This Row],[Date]])</f>
        <v>9</v>
      </c>
      <c r="I436" s="3">
        <f>Query1[[#This Row],[Shares]]*Query1[[#This Row],[Adj Close]]</f>
        <v>1037861.9604865527</v>
      </c>
      <c r="J436" s="3">
        <f>IF(ROW()&lt;3, Dashboard!$E$7, IF(Query1[[#This Row],[Month]]&lt;&gt;H435,J435*(1+Dashboard!$E$4)+Dashboard!$E$5,J435))</f>
        <v>654133.02796357695</v>
      </c>
      <c r="K436">
        <f>IF(ROW()&lt;3, 0,IF(Query1[[#This Row],[Month]]&lt;&gt;H435,IF((J436-I436&gt;0),J436-I436,0),0))</f>
        <v>0</v>
      </c>
      <c r="L436" s="2">
        <f t="shared" si="6"/>
        <v>3592.2989655359538</v>
      </c>
      <c r="M436">
        <f>IF(ROW()&lt;3, 0, IF(Query1[[#This Row],[Month]]&lt;&gt;H435, Dashboard!$J$5,0))</f>
        <v>0</v>
      </c>
      <c r="N436" s="2">
        <f>IF(ROW()&lt;3, Query1[[#This Row],[Shares]], IF(Query1[[#This Row],[Month]]&lt;&gt;H435, N435+Query1[[#This Row],[Fix Top Up]]/Query1[[#This Row],[Adj Close]], N435))</f>
        <v>3347.5228487496152</v>
      </c>
      <c r="O436">
        <f>IF(AND(Query1[[#This Row],[avg]]&gt;0, Query1[[#This Row],[Month]]&lt;&gt;H435),
    IF(Query1[[#This Row],[Adj Close]]&gt;Query1[[#This Row],[avg]],
       Dashboard!$L$5-Dashboard!$E$6,
       Dashboard!$L$5+Dashboard!$E$6
    ), 0
)</f>
        <v>0</v>
      </c>
      <c r="P436" s="2">
        <f>IF(ROW()&lt;3, Query1[[#This Row],[Shares]], IF(Query1[[#This Row],[Month]]&lt;&gt;H435, P435+Query1[[#This Row],[Enhanced top up]]/Query1[[#This Row],[Adj Close]], P435))</f>
        <v>3334.8139365007305</v>
      </c>
      <c r="Q436" s="2">
        <f>IFERROR(AVERAGE(
  IF(ROW()&gt;20, INDEX(G:G, ROW()-20), 0) :
  INDEX(G:G, ROW())
),0)</f>
        <v>290.32162620907741</v>
      </c>
    </row>
    <row r="437" spans="1:17" x14ac:dyDescent="0.4">
      <c r="A437" s="1">
        <v>44462</v>
      </c>
      <c r="B437">
        <v>298.85000610351563</v>
      </c>
      <c r="C437">
        <v>300.89999389648438</v>
      </c>
      <c r="D437">
        <v>297.52999877929688</v>
      </c>
      <c r="E437">
        <v>299.55999755859375</v>
      </c>
      <c r="F437">
        <v>18604600</v>
      </c>
      <c r="G437">
        <v>289.861328125</v>
      </c>
      <c r="H437" s="2">
        <f>MONTH(Query1[[#This Row],[Date]])</f>
        <v>9</v>
      </c>
      <c r="I437" s="3">
        <f>Query1[[#This Row],[Shares]]*Query1[[#This Row],[Adj Close]]</f>
        <v>1041268.5491723152</v>
      </c>
      <c r="J437" s="3">
        <f>IF(ROW()&lt;3, Dashboard!$E$7, IF(Query1[[#This Row],[Month]]&lt;&gt;H436,J436*(1+Dashboard!$E$4)+Dashboard!$E$5,J436))</f>
        <v>654133.02796357695</v>
      </c>
      <c r="K437">
        <f>IF(ROW()&lt;3, 0,IF(Query1[[#This Row],[Month]]&lt;&gt;H436,IF((J437-I437&gt;0),J437-I437,0),0))</f>
        <v>0</v>
      </c>
      <c r="L437" s="2">
        <f t="shared" si="6"/>
        <v>3592.2989655359538</v>
      </c>
      <c r="M437">
        <f>IF(ROW()&lt;3, 0, IF(Query1[[#This Row],[Month]]&lt;&gt;H436, Dashboard!$J$5,0))</f>
        <v>0</v>
      </c>
      <c r="N437" s="2">
        <f>IF(ROW()&lt;3, Query1[[#This Row],[Shares]], IF(Query1[[#This Row],[Month]]&lt;&gt;H436, N436+Query1[[#This Row],[Fix Top Up]]/Query1[[#This Row],[Adj Close]], N436))</f>
        <v>3347.5228487496152</v>
      </c>
      <c r="O437">
        <f>IF(AND(Query1[[#This Row],[avg]]&gt;0, Query1[[#This Row],[Month]]&lt;&gt;H436),
    IF(Query1[[#This Row],[Adj Close]]&gt;Query1[[#This Row],[avg]],
       Dashboard!$L$5-Dashboard!$E$6,
       Dashboard!$L$5+Dashboard!$E$6
    ), 0
)</f>
        <v>0</v>
      </c>
      <c r="P437" s="2">
        <f>IF(ROW()&lt;3, Query1[[#This Row],[Shares]], IF(Query1[[#This Row],[Month]]&lt;&gt;H436, P436+Query1[[#This Row],[Enhanced top up]]/Query1[[#This Row],[Adj Close]], P436))</f>
        <v>3334.8139365007305</v>
      </c>
      <c r="Q437" s="2">
        <f>IFERROR(AVERAGE(
  IF(ROW()&gt;20, INDEX(G:G, ROW()-20), 0) :
  INDEX(G:G, ROW())
),0)</f>
        <v>290.18062918526783</v>
      </c>
    </row>
    <row r="438" spans="1:17" x14ac:dyDescent="0.4">
      <c r="A438" s="1">
        <v>44463</v>
      </c>
      <c r="B438">
        <v>298.23001098632813</v>
      </c>
      <c r="C438">
        <v>299.79998779296875</v>
      </c>
      <c r="D438">
        <v>296.92999267578125</v>
      </c>
      <c r="E438">
        <v>299.35000610351563</v>
      </c>
      <c r="F438">
        <v>14999000</v>
      </c>
      <c r="G438">
        <v>289.65817260742188</v>
      </c>
      <c r="H438" s="2">
        <f>MONTH(Query1[[#This Row],[Date]])</f>
        <v>9</v>
      </c>
      <c r="I438" s="3">
        <f>Query1[[#This Row],[Shares]]*Query1[[#This Row],[Adj Close]]</f>
        <v>1040538.7538166763</v>
      </c>
      <c r="J438" s="3">
        <f>IF(ROW()&lt;3, Dashboard!$E$7, IF(Query1[[#This Row],[Month]]&lt;&gt;H437,J437*(1+Dashboard!$E$4)+Dashboard!$E$5,J437))</f>
        <v>654133.02796357695</v>
      </c>
      <c r="K438">
        <f>IF(ROW()&lt;3, 0,IF(Query1[[#This Row],[Month]]&lt;&gt;H437,IF((J438-I438&gt;0),J438-I438,0),0))</f>
        <v>0</v>
      </c>
      <c r="L438" s="2">
        <f t="shared" si="6"/>
        <v>3592.2989655359538</v>
      </c>
      <c r="M438">
        <f>IF(ROW()&lt;3, 0, IF(Query1[[#This Row],[Month]]&lt;&gt;H437, Dashboard!$J$5,0))</f>
        <v>0</v>
      </c>
      <c r="N438" s="2">
        <f>IF(ROW()&lt;3, Query1[[#This Row],[Shares]], IF(Query1[[#This Row],[Month]]&lt;&gt;H437, N437+Query1[[#This Row],[Fix Top Up]]/Query1[[#This Row],[Adj Close]], N437))</f>
        <v>3347.5228487496152</v>
      </c>
      <c r="O438">
        <f>IF(AND(Query1[[#This Row],[avg]]&gt;0, Query1[[#This Row],[Month]]&lt;&gt;H437),
    IF(Query1[[#This Row],[Adj Close]]&gt;Query1[[#This Row],[avg]],
       Dashboard!$L$5-Dashboard!$E$6,
       Dashboard!$L$5+Dashboard!$E$6
    ), 0
)</f>
        <v>0</v>
      </c>
      <c r="P438" s="2">
        <f>IF(ROW()&lt;3, Query1[[#This Row],[Shares]], IF(Query1[[#This Row],[Month]]&lt;&gt;H437, P437+Query1[[#This Row],[Enhanced top up]]/Query1[[#This Row],[Adj Close]], P437))</f>
        <v>3334.8139365007305</v>
      </c>
      <c r="Q438" s="2">
        <f>IFERROR(AVERAGE(
  IF(ROW()&gt;20, INDEX(G:G, ROW()-20), 0) :
  INDEX(G:G, ROW())
),0)</f>
        <v>290.05806623186385</v>
      </c>
    </row>
    <row r="439" spans="1:17" x14ac:dyDescent="0.4">
      <c r="A439" s="1">
        <v>44466</v>
      </c>
      <c r="B439">
        <v>296.1400146484375</v>
      </c>
      <c r="C439">
        <v>296.47000122070313</v>
      </c>
      <c r="D439">
        <v>292.94000244140625</v>
      </c>
      <c r="E439">
        <v>294.17001342773438</v>
      </c>
      <c r="F439">
        <v>23571700</v>
      </c>
      <c r="G439">
        <v>284.64581298828125</v>
      </c>
      <c r="H439" s="2">
        <f>MONTH(Query1[[#This Row],[Date]])</f>
        <v>9</v>
      </c>
      <c r="I439" s="3">
        <f>Query1[[#This Row],[Shares]]*Query1[[#This Row],[Adj Close]]</f>
        <v>1022532.8595419433</v>
      </c>
      <c r="J439" s="3">
        <f>IF(ROW()&lt;3, Dashboard!$E$7, IF(Query1[[#This Row],[Month]]&lt;&gt;H438,J438*(1+Dashboard!$E$4)+Dashboard!$E$5,J438))</f>
        <v>654133.02796357695</v>
      </c>
      <c r="K439">
        <f>IF(ROW()&lt;3, 0,IF(Query1[[#This Row],[Month]]&lt;&gt;H438,IF((J439-I439&gt;0),J439-I439,0),0))</f>
        <v>0</v>
      </c>
      <c r="L439" s="2">
        <f t="shared" si="6"/>
        <v>3592.2989655359538</v>
      </c>
      <c r="M439">
        <f>IF(ROW()&lt;3, 0, IF(Query1[[#This Row],[Month]]&lt;&gt;H438, Dashboard!$J$5,0))</f>
        <v>0</v>
      </c>
      <c r="N439" s="2">
        <f>IF(ROW()&lt;3, Query1[[#This Row],[Shares]], IF(Query1[[#This Row],[Month]]&lt;&gt;H438, N438+Query1[[#This Row],[Fix Top Up]]/Query1[[#This Row],[Adj Close]], N438))</f>
        <v>3347.5228487496152</v>
      </c>
      <c r="O439">
        <f>IF(AND(Query1[[#This Row],[avg]]&gt;0, Query1[[#This Row],[Month]]&lt;&gt;H438),
    IF(Query1[[#This Row],[Adj Close]]&gt;Query1[[#This Row],[avg]],
       Dashboard!$L$5-Dashboard!$E$6,
       Dashboard!$L$5+Dashboard!$E$6
    ), 0
)</f>
        <v>0</v>
      </c>
      <c r="P439" s="2">
        <f>IF(ROW()&lt;3, Query1[[#This Row],[Shares]], IF(Query1[[#This Row],[Month]]&lt;&gt;H438, P438+Query1[[#This Row],[Enhanced top up]]/Query1[[#This Row],[Adj Close]], P438))</f>
        <v>3334.8139365007305</v>
      </c>
      <c r="Q439" s="2">
        <f>IFERROR(AVERAGE(
  IF(ROW()&gt;20, INDEX(G:G, ROW()-20), 0) :
  INDEX(G:G, ROW())
),0)</f>
        <v>289.83136567615327</v>
      </c>
    </row>
    <row r="440" spans="1:17" x14ac:dyDescent="0.4">
      <c r="A440" s="1">
        <v>44467</v>
      </c>
      <c r="B440">
        <v>289.79998779296875</v>
      </c>
      <c r="C440">
        <v>290.77999877929688</v>
      </c>
      <c r="D440">
        <v>282.75</v>
      </c>
      <c r="E440">
        <v>283.51998901367188</v>
      </c>
      <c r="F440">
        <v>43186200</v>
      </c>
      <c r="G440">
        <v>274.34063720703125</v>
      </c>
      <c r="H440" s="2">
        <f>MONTH(Query1[[#This Row],[Date]])</f>
        <v>9</v>
      </c>
      <c r="I440" s="3">
        <f>Query1[[#This Row],[Shares]]*Query1[[#This Row],[Adj Close]]</f>
        <v>985513.58724329271</v>
      </c>
      <c r="J440" s="3">
        <f>IF(ROW()&lt;3, Dashboard!$E$7, IF(Query1[[#This Row],[Month]]&lt;&gt;H439,J439*(1+Dashboard!$E$4)+Dashboard!$E$5,J439))</f>
        <v>654133.02796357695</v>
      </c>
      <c r="K440">
        <f>IF(ROW()&lt;3, 0,IF(Query1[[#This Row],[Month]]&lt;&gt;H439,IF((J440-I440&gt;0),J440-I440,0),0))</f>
        <v>0</v>
      </c>
      <c r="L440" s="2">
        <f t="shared" si="6"/>
        <v>3592.2989655359538</v>
      </c>
      <c r="M440">
        <f>IF(ROW()&lt;3, 0, IF(Query1[[#This Row],[Month]]&lt;&gt;H439, Dashboard!$J$5,0))</f>
        <v>0</v>
      </c>
      <c r="N440" s="2">
        <f>IF(ROW()&lt;3, Query1[[#This Row],[Shares]], IF(Query1[[#This Row],[Month]]&lt;&gt;H439, N439+Query1[[#This Row],[Fix Top Up]]/Query1[[#This Row],[Adj Close]], N439))</f>
        <v>3347.5228487496152</v>
      </c>
      <c r="O440">
        <f>IF(AND(Query1[[#This Row],[avg]]&gt;0, Query1[[#This Row],[Month]]&lt;&gt;H439),
    IF(Query1[[#This Row],[Adj Close]]&gt;Query1[[#This Row],[avg]],
       Dashboard!$L$5-Dashboard!$E$6,
       Dashboard!$L$5+Dashboard!$E$6
    ), 0
)</f>
        <v>0</v>
      </c>
      <c r="P440" s="2">
        <f>IF(ROW()&lt;3, Query1[[#This Row],[Shares]], IF(Query1[[#This Row],[Month]]&lt;&gt;H439, P439+Query1[[#This Row],[Enhanced top up]]/Query1[[#This Row],[Adj Close]], P439))</f>
        <v>3334.8139365007305</v>
      </c>
      <c r="Q440" s="2">
        <f>IFERROR(AVERAGE(
  IF(ROW()&gt;20, INDEX(G:G, ROW()-20), 0) :
  INDEX(G:G, ROW())
),0)</f>
        <v>289.0849144345238</v>
      </c>
    </row>
    <row r="441" spans="1:17" x14ac:dyDescent="0.4">
      <c r="A441" s="1">
        <v>44468</v>
      </c>
      <c r="B441">
        <v>285.10000610351563</v>
      </c>
      <c r="C441">
        <v>286.76998901367188</v>
      </c>
      <c r="D441">
        <v>283.010009765625</v>
      </c>
      <c r="E441">
        <v>284</v>
      </c>
      <c r="F441">
        <v>26353700</v>
      </c>
      <c r="G441">
        <v>274.80511474609375</v>
      </c>
      <c r="H441" s="2">
        <f>MONTH(Query1[[#This Row],[Date]])</f>
        <v>9</v>
      </c>
      <c r="I441" s="3">
        <f>Query1[[#This Row],[Shares]]*Query1[[#This Row],[Adj Close]]</f>
        <v>987182.12942638167</v>
      </c>
      <c r="J441" s="3">
        <f>IF(ROW()&lt;3, Dashboard!$E$7, IF(Query1[[#This Row],[Month]]&lt;&gt;H440,J440*(1+Dashboard!$E$4)+Dashboard!$E$5,J440))</f>
        <v>654133.02796357695</v>
      </c>
      <c r="K441">
        <f>IF(ROW()&lt;3, 0,IF(Query1[[#This Row],[Month]]&lt;&gt;H440,IF((J441-I441&gt;0),J441-I441,0),0))</f>
        <v>0</v>
      </c>
      <c r="L441" s="2">
        <f t="shared" si="6"/>
        <v>3592.2989655359538</v>
      </c>
      <c r="M441">
        <f>IF(ROW()&lt;3, 0, IF(Query1[[#This Row],[Month]]&lt;&gt;H440, Dashboard!$J$5,0))</f>
        <v>0</v>
      </c>
      <c r="N441" s="2">
        <f>IF(ROW()&lt;3, Query1[[#This Row],[Shares]], IF(Query1[[#This Row],[Month]]&lt;&gt;H440, N440+Query1[[#This Row],[Fix Top Up]]/Query1[[#This Row],[Adj Close]], N440))</f>
        <v>3347.5228487496152</v>
      </c>
      <c r="O441">
        <f>IF(AND(Query1[[#This Row],[avg]]&gt;0, Query1[[#This Row],[Month]]&lt;&gt;H440),
    IF(Query1[[#This Row],[Adj Close]]&gt;Query1[[#This Row],[avg]],
       Dashboard!$L$5-Dashboard!$E$6,
       Dashboard!$L$5+Dashboard!$E$6
    ), 0
)</f>
        <v>0</v>
      </c>
      <c r="P441" s="2">
        <f>IF(ROW()&lt;3, Query1[[#This Row],[Shares]], IF(Query1[[#This Row],[Month]]&lt;&gt;H440, P440+Query1[[#This Row],[Enhanced top up]]/Query1[[#This Row],[Adj Close]], P440))</f>
        <v>3334.8139365007305</v>
      </c>
      <c r="Q441" s="2">
        <f>IFERROR(AVERAGE(
  IF(ROW()&gt;20, INDEX(G:G, ROW()-20), 0) :
  INDEX(G:G, ROW())
),0)</f>
        <v>288.18225969587053</v>
      </c>
    </row>
    <row r="442" spans="1:17" x14ac:dyDescent="0.4">
      <c r="A442" s="1">
        <v>44469</v>
      </c>
      <c r="B442">
        <v>285.70999145507813</v>
      </c>
      <c r="C442">
        <v>287.82998657226563</v>
      </c>
      <c r="D442">
        <v>281.6199951171875</v>
      </c>
      <c r="E442">
        <v>281.92001342773438</v>
      </c>
      <c r="F442">
        <v>32343600</v>
      </c>
      <c r="G442">
        <v>272.79248046875</v>
      </c>
      <c r="H442" s="2">
        <f>MONTH(Query1[[#This Row],[Date]])</f>
        <v>9</v>
      </c>
      <c r="I442" s="3">
        <f>Query1[[#This Row],[Shares]]*Query1[[#This Row],[Adj Close]]</f>
        <v>979952.14539387752</v>
      </c>
      <c r="J442" s="3">
        <f>IF(ROW()&lt;3, Dashboard!$E$7, IF(Query1[[#This Row],[Month]]&lt;&gt;H441,J441*(1+Dashboard!$E$4)+Dashboard!$E$5,J441))</f>
        <v>654133.02796357695</v>
      </c>
      <c r="K442">
        <f>IF(ROW()&lt;3, 0,IF(Query1[[#This Row],[Month]]&lt;&gt;H441,IF((J442-I442&gt;0),J442-I442,0),0))</f>
        <v>0</v>
      </c>
      <c r="L442" s="2">
        <f t="shared" si="6"/>
        <v>3592.2989655359538</v>
      </c>
      <c r="M442">
        <f>IF(ROW()&lt;3, 0, IF(Query1[[#This Row],[Month]]&lt;&gt;H441, Dashboard!$J$5,0))</f>
        <v>0</v>
      </c>
      <c r="N442" s="2">
        <f>IF(ROW()&lt;3, Query1[[#This Row],[Shares]], IF(Query1[[#This Row],[Month]]&lt;&gt;H441, N441+Query1[[#This Row],[Fix Top Up]]/Query1[[#This Row],[Adj Close]], N441))</f>
        <v>3347.5228487496152</v>
      </c>
      <c r="O442">
        <f>IF(AND(Query1[[#This Row],[avg]]&gt;0, Query1[[#This Row],[Month]]&lt;&gt;H441),
    IF(Query1[[#This Row],[Adj Close]]&gt;Query1[[#This Row],[avg]],
       Dashboard!$L$5-Dashboard!$E$6,
       Dashboard!$L$5+Dashboard!$E$6
    ), 0
)</f>
        <v>0</v>
      </c>
      <c r="P442" s="2">
        <f>IF(ROW()&lt;3, Query1[[#This Row],[Shares]], IF(Query1[[#This Row],[Month]]&lt;&gt;H441, P441+Query1[[#This Row],[Enhanced top up]]/Query1[[#This Row],[Adj Close]], P441))</f>
        <v>3334.8139365007305</v>
      </c>
      <c r="Q442" s="2">
        <f>IFERROR(AVERAGE(
  IF(ROW()&gt;20, INDEX(G:G, ROW()-20), 0) :
  INDEX(G:G, ROW())
),0)</f>
        <v>287.26255871000745</v>
      </c>
    </row>
    <row r="443" spans="1:17" x14ac:dyDescent="0.4">
      <c r="A443" s="1">
        <v>44470</v>
      </c>
      <c r="B443">
        <v>282.1199951171875</v>
      </c>
      <c r="C443">
        <v>289.98001098632813</v>
      </c>
      <c r="D443">
        <v>281.29000854492188</v>
      </c>
      <c r="E443">
        <v>289.10000610351563</v>
      </c>
      <c r="F443">
        <v>30086300</v>
      </c>
      <c r="G443">
        <v>279.74002075195313</v>
      </c>
      <c r="H443" s="2">
        <f>MONTH(Query1[[#This Row],[Date]])</f>
        <v>10</v>
      </c>
      <c r="I443" s="3">
        <f>Query1[[#This Row],[Shares]]*Query1[[#This Row],[Adj Close]]</f>
        <v>1004909.7871662475</v>
      </c>
      <c r="J443" s="3">
        <f>IF(ROW()&lt;3, Dashboard!$E$7, IF(Query1[[#This Row],[Month]]&lt;&gt;H442,J442*(1+Dashboard!$E$4)+Dashboard!$E$5,J442))</f>
        <v>662674.35824321269</v>
      </c>
      <c r="K443">
        <f>IF(ROW()&lt;3, 0,IF(Query1[[#This Row],[Month]]&lt;&gt;H442,IF((J443-I443&gt;0),J443-I443,0),0))</f>
        <v>0</v>
      </c>
      <c r="L443" s="2">
        <f t="shared" si="6"/>
        <v>3592.2989655359538</v>
      </c>
      <c r="M443">
        <f>IF(ROW()&lt;3, 0, IF(Query1[[#This Row],[Month]]&lt;&gt;H442, Dashboard!$J$5,0))</f>
        <v>773.47399999999971</v>
      </c>
      <c r="N443" s="2">
        <f>IF(ROW()&lt;3, Query1[[#This Row],[Shares]], IF(Query1[[#This Row],[Month]]&lt;&gt;H442, N442+Query1[[#This Row],[Fix Top Up]]/Query1[[#This Row],[Adj Close]], N442))</f>
        <v>3350.2878231637906</v>
      </c>
      <c r="O443">
        <f>IF(AND(Query1[[#This Row],[avg]]&gt;0, Query1[[#This Row],[Month]]&lt;&gt;H442),
    IF(Query1[[#This Row],[Adj Close]]&gt;Query1[[#This Row],[avg]],
       Dashboard!$L$5-Dashboard!$E$6,
       Dashboard!$L$5+Dashboard!$E$6
    ), 0
)</f>
        <v>1390.1406666666667</v>
      </c>
      <c r="P443" s="2">
        <f>IF(ROW()&lt;3, Query1[[#This Row],[Shares]], IF(Query1[[#This Row],[Month]]&lt;&gt;H442, P442+Query1[[#This Row],[Enhanced top up]]/Query1[[#This Row],[Adj Close]], P442))</f>
        <v>3339.7833386725397</v>
      </c>
      <c r="Q443" s="2">
        <f>IFERROR(AVERAGE(
  IF(ROW()&gt;20, INDEX(G:G, ROW()-20), 0) :
  INDEX(G:G, ROW())
),0)</f>
        <v>286.67599777948288</v>
      </c>
    </row>
    <row r="444" spans="1:17" x14ac:dyDescent="0.4">
      <c r="A444" s="1">
        <v>44473</v>
      </c>
      <c r="B444">
        <v>287.39999389648438</v>
      </c>
      <c r="C444">
        <v>287.75</v>
      </c>
      <c r="D444">
        <v>280.25</v>
      </c>
      <c r="E444">
        <v>283.1099853515625</v>
      </c>
      <c r="F444">
        <v>31350700</v>
      </c>
      <c r="G444">
        <v>273.94387817382813</v>
      </c>
      <c r="H444" s="2">
        <f>MONTH(Query1[[#This Row],[Date]])</f>
        <v>10</v>
      </c>
      <c r="I444" s="3">
        <f>Query1[[#This Row],[Shares]]*Query1[[#This Row],[Adj Close]]</f>
        <v>984088.31017875008</v>
      </c>
      <c r="J444" s="3">
        <f>IF(ROW()&lt;3, Dashboard!$E$7, IF(Query1[[#This Row],[Month]]&lt;&gt;H443,J443*(1+Dashboard!$E$4)+Dashboard!$E$5,J443))</f>
        <v>662674.35824321269</v>
      </c>
      <c r="K444">
        <f>IF(ROW()&lt;3, 0,IF(Query1[[#This Row],[Month]]&lt;&gt;H443,IF((J444-I444&gt;0),J444-I444,0),0))</f>
        <v>0</v>
      </c>
      <c r="L444" s="2">
        <f t="shared" si="6"/>
        <v>3592.2989655359538</v>
      </c>
      <c r="M444">
        <f>IF(ROW()&lt;3, 0, IF(Query1[[#This Row],[Month]]&lt;&gt;H443, Dashboard!$J$5,0))</f>
        <v>0</v>
      </c>
      <c r="N444" s="2">
        <f>IF(ROW()&lt;3, Query1[[#This Row],[Shares]], IF(Query1[[#This Row],[Month]]&lt;&gt;H443, N443+Query1[[#This Row],[Fix Top Up]]/Query1[[#This Row],[Adj Close]], N443))</f>
        <v>3350.2878231637906</v>
      </c>
      <c r="O444">
        <f>IF(AND(Query1[[#This Row],[avg]]&gt;0, Query1[[#This Row],[Month]]&lt;&gt;H443),
    IF(Query1[[#This Row],[Adj Close]]&gt;Query1[[#This Row],[avg]],
       Dashboard!$L$5-Dashboard!$E$6,
       Dashboard!$L$5+Dashboard!$E$6
    ), 0
)</f>
        <v>0</v>
      </c>
      <c r="P444" s="2">
        <f>IF(ROW()&lt;3, Query1[[#This Row],[Shares]], IF(Query1[[#This Row],[Month]]&lt;&gt;H443, P443+Query1[[#This Row],[Enhanced top up]]/Query1[[#This Row],[Adj Close]], P443))</f>
        <v>3339.7833386725397</v>
      </c>
      <c r="Q444" s="2">
        <f>IFERROR(AVERAGE(
  IF(ROW()&gt;20, INDEX(G:G, ROW()-20), 0) :
  INDEX(G:G, ROW())
),0)</f>
        <v>285.84476143973217</v>
      </c>
    </row>
    <row r="445" spans="1:17" x14ac:dyDescent="0.4">
      <c r="A445" s="1">
        <v>44474</v>
      </c>
      <c r="B445">
        <v>284.04998779296875</v>
      </c>
      <c r="C445">
        <v>290.39999389648438</v>
      </c>
      <c r="D445">
        <v>284.04998779296875</v>
      </c>
      <c r="E445">
        <v>288.760009765625</v>
      </c>
      <c r="F445">
        <v>24993000</v>
      </c>
      <c r="G445">
        <v>279.4110107421875</v>
      </c>
      <c r="H445" s="2">
        <f>MONTH(Query1[[#This Row],[Date]])</f>
        <v>10</v>
      </c>
      <c r="I445" s="3">
        <f>Query1[[#This Row],[Shares]]*Query1[[#This Row],[Adj Close]]</f>
        <v>1003727.8848485154</v>
      </c>
      <c r="J445" s="3">
        <f>IF(ROW()&lt;3, Dashboard!$E$7, IF(Query1[[#This Row],[Month]]&lt;&gt;H444,J444*(1+Dashboard!$E$4)+Dashboard!$E$5,J444))</f>
        <v>662674.35824321269</v>
      </c>
      <c r="K445">
        <f>IF(ROW()&lt;3, 0,IF(Query1[[#This Row],[Month]]&lt;&gt;H444,IF((J445-I445&gt;0),J445-I445,0),0))</f>
        <v>0</v>
      </c>
      <c r="L445" s="2">
        <f t="shared" si="6"/>
        <v>3592.2989655359538</v>
      </c>
      <c r="M445">
        <f>IF(ROW()&lt;3, 0, IF(Query1[[#This Row],[Month]]&lt;&gt;H444, Dashboard!$J$5,0))</f>
        <v>0</v>
      </c>
      <c r="N445" s="2">
        <f>IF(ROW()&lt;3, Query1[[#This Row],[Shares]], IF(Query1[[#This Row],[Month]]&lt;&gt;H444, N444+Query1[[#This Row],[Fix Top Up]]/Query1[[#This Row],[Adj Close]], N444))</f>
        <v>3350.2878231637906</v>
      </c>
      <c r="O445">
        <f>IF(AND(Query1[[#This Row],[avg]]&gt;0, Query1[[#This Row],[Month]]&lt;&gt;H444),
    IF(Query1[[#This Row],[Adj Close]]&gt;Query1[[#This Row],[avg]],
       Dashboard!$L$5-Dashboard!$E$6,
       Dashboard!$L$5+Dashboard!$E$6
    ), 0
)</f>
        <v>0</v>
      </c>
      <c r="P445" s="2">
        <f>IF(ROW()&lt;3, Query1[[#This Row],[Shares]], IF(Query1[[#This Row],[Month]]&lt;&gt;H444, P444+Query1[[#This Row],[Enhanced top up]]/Query1[[#This Row],[Adj Close]], P444))</f>
        <v>3339.7833386725397</v>
      </c>
      <c r="Q445" s="2">
        <f>IFERROR(AVERAGE(
  IF(ROW()&gt;20, INDEX(G:G, ROW()-20), 0) :
  INDEX(G:G, ROW())
),0)</f>
        <v>285.27432396298366</v>
      </c>
    </row>
    <row r="446" spans="1:17" x14ac:dyDescent="0.4">
      <c r="A446" s="1">
        <v>44475</v>
      </c>
      <c r="B446">
        <v>285.77999877929688</v>
      </c>
      <c r="C446">
        <v>293.6300048828125</v>
      </c>
      <c r="D446">
        <v>285.510009765625</v>
      </c>
      <c r="E446">
        <v>293.1099853515625</v>
      </c>
      <c r="F446">
        <v>28002600</v>
      </c>
      <c r="G446">
        <v>283.62014770507813</v>
      </c>
      <c r="H446" s="2">
        <f>MONTH(Query1[[#This Row],[Date]])</f>
        <v>10</v>
      </c>
      <c r="I446" s="3">
        <f>Query1[[#This Row],[Shares]]*Query1[[#This Row],[Adj Close]]</f>
        <v>1018848.3632061066</v>
      </c>
      <c r="J446" s="3">
        <f>IF(ROW()&lt;3, Dashboard!$E$7, IF(Query1[[#This Row],[Month]]&lt;&gt;H445,J445*(1+Dashboard!$E$4)+Dashboard!$E$5,J445))</f>
        <v>662674.35824321269</v>
      </c>
      <c r="K446">
        <f>IF(ROW()&lt;3, 0,IF(Query1[[#This Row],[Month]]&lt;&gt;H445,IF((J446-I446&gt;0),J446-I446,0),0))</f>
        <v>0</v>
      </c>
      <c r="L446" s="2">
        <f t="shared" si="6"/>
        <v>3592.2989655359538</v>
      </c>
      <c r="M446">
        <f>IF(ROW()&lt;3, 0, IF(Query1[[#This Row],[Month]]&lt;&gt;H445, Dashboard!$J$5,0))</f>
        <v>0</v>
      </c>
      <c r="N446" s="2">
        <f>IF(ROW()&lt;3, Query1[[#This Row],[Shares]], IF(Query1[[#This Row],[Month]]&lt;&gt;H445, N445+Query1[[#This Row],[Fix Top Up]]/Query1[[#This Row],[Adj Close]], N445))</f>
        <v>3350.2878231637906</v>
      </c>
      <c r="O446">
        <f>IF(AND(Query1[[#This Row],[avg]]&gt;0, Query1[[#This Row],[Month]]&lt;&gt;H445),
    IF(Query1[[#This Row],[Adj Close]]&gt;Query1[[#This Row],[avg]],
       Dashboard!$L$5-Dashboard!$E$6,
       Dashboard!$L$5+Dashboard!$E$6
    ), 0
)</f>
        <v>0</v>
      </c>
      <c r="P446" s="2">
        <f>IF(ROW()&lt;3, Query1[[#This Row],[Shares]], IF(Query1[[#This Row],[Month]]&lt;&gt;H445, P445+Query1[[#This Row],[Enhanced top up]]/Query1[[#This Row],[Adj Close]], P445))</f>
        <v>3339.7833386725397</v>
      </c>
      <c r="Q446" s="2">
        <f>IFERROR(AVERAGE(
  IF(ROW()&gt;20, INDEX(G:G, ROW()-20), 0) :
  INDEX(G:G, ROW())
),0)</f>
        <v>284.94855898902529</v>
      </c>
    </row>
    <row r="447" spans="1:17" x14ac:dyDescent="0.4">
      <c r="A447" s="1">
        <v>44476</v>
      </c>
      <c r="B447">
        <v>295.17999267578125</v>
      </c>
      <c r="C447">
        <v>296.6400146484375</v>
      </c>
      <c r="D447">
        <v>293.92001342773438</v>
      </c>
      <c r="E447">
        <v>294.85000610351563</v>
      </c>
      <c r="F447">
        <v>20430500</v>
      </c>
      <c r="G447">
        <v>285.3038330078125</v>
      </c>
      <c r="H447" s="2">
        <f>MONTH(Query1[[#This Row],[Date]])</f>
        <v>10</v>
      </c>
      <c r="I447" s="3">
        <f>Query1[[#This Row],[Shares]]*Query1[[#This Row],[Adj Close]]</f>
        <v>1024896.6641774074</v>
      </c>
      <c r="J447" s="3">
        <f>IF(ROW()&lt;3, Dashboard!$E$7, IF(Query1[[#This Row],[Month]]&lt;&gt;H446,J446*(1+Dashboard!$E$4)+Dashboard!$E$5,J446))</f>
        <v>662674.35824321269</v>
      </c>
      <c r="K447">
        <f>IF(ROW()&lt;3, 0,IF(Query1[[#This Row],[Month]]&lt;&gt;H446,IF((J447-I447&gt;0),J447-I447,0),0))</f>
        <v>0</v>
      </c>
      <c r="L447" s="2">
        <f t="shared" si="6"/>
        <v>3592.2989655359538</v>
      </c>
      <c r="M447">
        <f>IF(ROW()&lt;3, 0, IF(Query1[[#This Row],[Month]]&lt;&gt;H446, Dashboard!$J$5,0))</f>
        <v>0</v>
      </c>
      <c r="N447" s="2">
        <f>IF(ROW()&lt;3, Query1[[#This Row],[Shares]], IF(Query1[[#This Row],[Month]]&lt;&gt;H446, N446+Query1[[#This Row],[Fix Top Up]]/Query1[[#This Row],[Adj Close]], N446))</f>
        <v>3350.2878231637906</v>
      </c>
      <c r="O447">
        <f>IF(AND(Query1[[#This Row],[avg]]&gt;0, Query1[[#This Row],[Month]]&lt;&gt;H446),
    IF(Query1[[#This Row],[Adj Close]]&gt;Query1[[#This Row],[avg]],
       Dashboard!$L$5-Dashboard!$E$6,
       Dashboard!$L$5+Dashboard!$E$6
    ), 0
)</f>
        <v>0</v>
      </c>
      <c r="P447" s="2">
        <f>IF(ROW()&lt;3, Query1[[#This Row],[Shares]], IF(Query1[[#This Row],[Month]]&lt;&gt;H446, P446+Query1[[#This Row],[Enhanced top up]]/Query1[[#This Row],[Adj Close]], P446))</f>
        <v>3339.7833386725397</v>
      </c>
      <c r="Q447" s="2">
        <f>IFERROR(AVERAGE(
  IF(ROW()&gt;20, INDEX(G:G, ROW()-20), 0) :
  INDEX(G:G, ROW())
),0)</f>
        <v>284.70158749534971</v>
      </c>
    </row>
    <row r="448" spans="1:17" x14ac:dyDescent="0.4">
      <c r="A448" s="1">
        <v>44477</v>
      </c>
      <c r="B448">
        <v>296.22000122070313</v>
      </c>
      <c r="C448">
        <v>296.6400146484375</v>
      </c>
      <c r="D448">
        <v>293.760009765625</v>
      </c>
      <c r="E448">
        <v>294.85000610351563</v>
      </c>
      <c r="F448">
        <v>17685700</v>
      </c>
      <c r="G448">
        <v>285.3038330078125</v>
      </c>
      <c r="H448" s="2">
        <f>MONTH(Query1[[#This Row],[Date]])</f>
        <v>10</v>
      </c>
      <c r="I448" s="3">
        <f>Query1[[#This Row],[Shares]]*Query1[[#This Row],[Adj Close]]</f>
        <v>1024896.6641774074</v>
      </c>
      <c r="J448" s="3">
        <f>IF(ROW()&lt;3, Dashboard!$E$7, IF(Query1[[#This Row],[Month]]&lt;&gt;H447,J447*(1+Dashboard!$E$4)+Dashboard!$E$5,J447))</f>
        <v>662674.35824321269</v>
      </c>
      <c r="K448">
        <f>IF(ROW()&lt;3, 0,IF(Query1[[#This Row],[Month]]&lt;&gt;H447,IF((J448-I448&gt;0),J448-I448,0),0))</f>
        <v>0</v>
      </c>
      <c r="L448" s="2">
        <f t="shared" si="6"/>
        <v>3592.2989655359538</v>
      </c>
      <c r="M448">
        <f>IF(ROW()&lt;3, 0, IF(Query1[[#This Row],[Month]]&lt;&gt;H447, Dashboard!$J$5,0))</f>
        <v>0</v>
      </c>
      <c r="N448" s="2">
        <f>IF(ROW()&lt;3, Query1[[#This Row],[Shares]], IF(Query1[[#This Row],[Month]]&lt;&gt;H447, N447+Query1[[#This Row],[Fix Top Up]]/Query1[[#This Row],[Adj Close]], N447))</f>
        <v>3350.2878231637906</v>
      </c>
      <c r="O448">
        <f>IF(AND(Query1[[#This Row],[avg]]&gt;0, Query1[[#This Row],[Month]]&lt;&gt;H447),
    IF(Query1[[#This Row],[Adj Close]]&gt;Query1[[#This Row],[avg]],
       Dashboard!$L$5-Dashboard!$E$6,
       Dashboard!$L$5+Dashboard!$E$6
    ), 0
)</f>
        <v>0</v>
      </c>
      <c r="P448" s="2">
        <f>IF(ROW()&lt;3, Query1[[#This Row],[Shares]], IF(Query1[[#This Row],[Month]]&lt;&gt;H447, P447+Query1[[#This Row],[Enhanced top up]]/Query1[[#This Row],[Adj Close]], P447))</f>
        <v>3339.7833386725397</v>
      </c>
      <c r="Q448" s="2">
        <f>IFERROR(AVERAGE(
  IF(ROW()&gt;20, INDEX(G:G, ROW()-20), 0) :
  INDEX(G:G, ROW())
),0)</f>
        <v>284.59100487118678</v>
      </c>
    </row>
    <row r="449" spans="1:17" x14ac:dyDescent="0.4">
      <c r="A449" s="1">
        <v>44480</v>
      </c>
      <c r="B449">
        <v>292.92001342773438</v>
      </c>
      <c r="C449">
        <v>297.97000122070313</v>
      </c>
      <c r="D449">
        <v>292.75</v>
      </c>
      <c r="E449">
        <v>294.23001098632813</v>
      </c>
      <c r="F449">
        <v>19298600</v>
      </c>
      <c r="G449">
        <v>284.70388793945313</v>
      </c>
      <c r="H449" s="2">
        <f>MONTH(Query1[[#This Row],[Date]])</f>
        <v>10</v>
      </c>
      <c r="I449" s="3">
        <f>Query1[[#This Row],[Shares]]*Query1[[#This Row],[Adj Close]]</f>
        <v>1022741.4821289616</v>
      </c>
      <c r="J449" s="3">
        <f>IF(ROW()&lt;3, Dashboard!$E$7, IF(Query1[[#This Row],[Month]]&lt;&gt;H448,J448*(1+Dashboard!$E$4)+Dashboard!$E$5,J448))</f>
        <v>662674.35824321269</v>
      </c>
      <c r="K449">
        <f>IF(ROW()&lt;3, 0,IF(Query1[[#This Row],[Month]]&lt;&gt;H448,IF((J449-I449&gt;0),J449-I449,0),0))</f>
        <v>0</v>
      </c>
      <c r="L449" s="2">
        <f t="shared" si="6"/>
        <v>3592.2989655359538</v>
      </c>
      <c r="M449">
        <f>IF(ROW()&lt;3, 0, IF(Query1[[#This Row],[Month]]&lt;&gt;H448, Dashboard!$J$5,0))</f>
        <v>0</v>
      </c>
      <c r="N449" s="2">
        <f>IF(ROW()&lt;3, Query1[[#This Row],[Shares]], IF(Query1[[#This Row],[Month]]&lt;&gt;H448, N448+Query1[[#This Row],[Fix Top Up]]/Query1[[#This Row],[Adj Close]], N448))</f>
        <v>3350.2878231637906</v>
      </c>
      <c r="O449">
        <f>IF(AND(Query1[[#This Row],[avg]]&gt;0, Query1[[#This Row],[Month]]&lt;&gt;H448),
    IF(Query1[[#This Row],[Adj Close]]&gt;Query1[[#This Row],[avg]],
       Dashboard!$L$5-Dashboard!$E$6,
       Dashboard!$L$5+Dashboard!$E$6
    ), 0
)</f>
        <v>0</v>
      </c>
      <c r="P449" s="2">
        <f>IF(ROW()&lt;3, Query1[[#This Row],[Shares]], IF(Query1[[#This Row],[Month]]&lt;&gt;H448, P448+Query1[[#This Row],[Enhanced top up]]/Query1[[#This Row],[Adj Close]], P448))</f>
        <v>3339.7833386725397</v>
      </c>
      <c r="Q449" s="2">
        <f>IFERROR(AVERAGE(
  IF(ROW()&gt;20, INDEX(G:G, ROW()-20), 0) :
  INDEX(G:G, ROW())
),0)</f>
        <v>284.52281116303942</v>
      </c>
    </row>
    <row r="450" spans="1:17" x14ac:dyDescent="0.4">
      <c r="A450" s="1">
        <v>44481</v>
      </c>
      <c r="B450">
        <v>295.33999633789063</v>
      </c>
      <c r="C450">
        <v>295.44000244140625</v>
      </c>
      <c r="D450">
        <v>292.35000610351563</v>
      </c>
      <c r="E450">
        <v>292.8800048828125</v>
      </c>
      <c r="F450">
        <v>17974100</v>
      </c>
      <c r="G450">
        <v>283.39755249023438</v>
      </c>
      <c r="H450" s="2">
        <f>MONTH(Query1[[#This Row],[Date]])</f>
        <v>10</v>
      </c>
      <c r="I450" s="3">
        <f>Query1[[#This Row],[Shares]]*Query1[[#This Row],[Adj Close]]</f>
        <v>1018048.7346460901</v>
      </c>
      <c r="J450" s="3">
        <f>IF(ROW()&lt;3, Dashboard!$E$7, IF(Query1[[#This Row],[Month]]&lt;&gt;H449,J449*(1+Dashboard!$E$4)+Dashboard!$E$5,J449))</f>
        <v>662674.35824321269</v>
      </c>
      <c r="K450">
        <f>IF(ROW()&lt;3, 0,IF(Query1[[#This Row],[Month]]&lt;&gt;H449,IF((J450-I450&gt;0),J450-I450,0),0))</f>
        <v>0</v>
      </c>
      <c r="L450" s="2">
        <f t="shared" ref="L450:L513" si="7">IF(ROW()&lt;3, J450/G450, L449+K449/G449)</f>
        <v>3592.2989655359538</v>
      </c>
      <c r="M450">
        <f>IF(ROW()&lt;3, 0, IF(Query1[[#This Row],[Month]]&lt;&gt;H449, Dashboard!$J$5,0))</f>
        <v>0</v>
      </c>
      <c r="N450" s="2">
        <f>IF(ROW()&lt;3, Query1[[#This Row],[Shares]], IF(Query1[[#This Row],[Month]]&lt;&gt;H449, N449+Query1[[#This Row],[Fix Top Up]]/Query1[[#This Row],[Adj Close]], N449))</f>
        <v>3350.2878231637906</v>
      </c>
      <c r="O450">
        <f>IF(AND(Query1[[#This Row],[avg]]&gt;0, Query1[[#This Row],[Month]]&lt;&gt;H449),
    IF(Query1[[#This Row],[Adj Close]]&gt;Query1[[#This Row],[avg]],
       Dashboard!$L$5-Dashboard!$E$6,
       Dashboard!$L$5+Dashboard!$E$6
    ), 0
)</f>
        <v>0</v>
      </c>
      <c r="P450" s="2">
        <f>IF(ROW()&lt;3, Query1[[#This Row],[Shares]], IF(Query1[[#This Row],[Month]]&lt;&gt;H449, P449+Query1[[#This Row],[Enhanced top up]]/Query1[[#This Row],[Adj Close]], P449))</f>
        <v>3339.7833386725397</v>
      </c>
      <c r="Q450" s="2">
        <f>IFERROR(AVERAGE(
  IF(ROW()&gt;20, INDEX(G:G, ROW()-20), 0) :
  INDEX(G:G, ROW())
),0)</f>
        <v>284.33343215215774</v>
      </c>
    </row>
    <row r="451" spans="1:17" x14ac:dyDescent="0.4">
      <c r="A451" s="1">
        <v>44482</v>
      </c>
      <c r="B451">
        <v>294.91000366210938</v>
      </c>
      <c r="C451">
        <v>297.27999877929688</v>
      </c>
      <c r="D451">
        <v>293.489990234375</v>
      </c>
      <c r="E451">
        <v>296.30999755859375</v>
      </c>
      <c r="F451">
        <v>23416300</v>
      </c>
      <c r="G451">
        <v>286.71652221679688</v>
      </c>
      <c r="H451" s="2">
        <f>MONTH(Query1[[#This Row],[Date]])</f>
        <v>10</v>
      </c>
      <c r="I451" s="3">
        <f>Query1[[#This Row],[Shares]]*Query1[[#This Row],[Adj Close]]</f>
        <v>1029971.4661614657</v>
      </c>
      <c r="J451" s="3">
        <f>IF(ROW()&lt;3, Dashboard!$E$7, IF(Query1[[#This Row],[Month]]&lt;&gt;H450,J450*(1+Dashboard!$E$4)+Dashboard!$E$5,J450))</f>
        <v>662674.35824321269</v>
      </c>
      <c r="K451">
        <f>IF(ROW()&lt;3, 0,IF(Query1[[#This Row],[Month]]&lt;&gt;H450,IF((J451-I451&gt;0),J451-I451,0),0))</f>
        <v>0</v>
      </c>
      <c r="L451" s="2">
        <f t="shared" si="7"/>
        <v>3592.2989655359538</v>
      </c>
      <c r="M451">
        <f>IF(ROW()&lt;3, 0, IF(Query1[[#This Row],[Month]]&lt;&gt;H450, Dashboard!$J$5,0))</f>
        <v>0</v>
      </c>
      <c r="N451" s="2">
        <f>IF(ROW()&lt;3, Query1[[#This Row],[Shares]], IF(Query1[[#This Row],[Month]]&lt;&gt;H450, N450+Query1[[#This Row],[Fix Top Up]]/Query1[[#This Row],[Adj Close]], N450))</f>
        <v>3350.2878231637906</v>
      </c>
      <c r="O451">
        <f>IF(AND(Query1[[#This Row],[avg]]&gt;0, Query1[[#This Row],[Month]]&lt;&gt;H450),
    IF(Query1[[#This Row],[Adj Close]]&gt;Query1[[#This Row],[avg]],
       Dashboard!$L$5-Dashboard!$E$6,
       Dashboard!$L$5+Dashboard!$E$6
    ), 0
)</f>
        <v>0</v>
      </c>
      <c r="P451" s="2">
        <f>IF(ROW()&lt;3, Query1[[#This Row],[Shares]], IF(Query1[[#This Row],[Month]]&lt;&gt;H450, P450+Query1[[#This Row],[Enhanced top up]]/Query1[[#This Row],[Adj Close]], P450))</f>
        <v>3339.7833386725397</v>
      </c>
      <c r="Q451" s="2">
        <f>IFERROR(AVERAGE(
  IF(ROW()&gt;20, INDEX(G:G, ROW()-20), 0) :
  INDEX(G:G, ROW())
),0)</f>
        <v>284.17308262416293</v>
      </c>
    </row>
    <row r="452" spans="1:17" x14ac:dyDescent="0.4">
      <c r="A452" s="1">
        <v>44483</v>
      </c>
      <c r="B452">
        <v>299.20999145507813</v>
      </c>
      <c r="C452">
        <v>303.26998901367188</v>
      </c>
      <c r="D452">
        <v>297.82998657226563</v>
      </c>
      <c r="E452">
        <v>302.75</v>
      </c>
      <c r="F452">
        <v>27262900</v>
      </c>
      <c r="G452">
        <v>292.94802856445313</v>
      </c>
      <c r="H452" s="2">
        <f>MONTH(Query1[[#This Row],[Date]])</f>
        <v>10</v>
      </c>
      <c r="I452" s="3">
        <f>Query1[[#This Row],[Shares]]*Query1[[#This Row],[Adj Close]]</f>
        <v>1052356.8999678821</v>
      </c>
      <c r="J452" s="3">
        <f>IF(ROW()&lt;3, Dashboard!$E$7, IF(Query1[[#This Row],[Month]]&lt;&gt;H451,J451*(1+Dashboard!$E$4)+Dashboard!$E$5,J451))</f>
        <v>662674.35824321269</v>
      </c>
      <c r="K452">
        <f>IF(ROW()&lt;3, 0,IF(Query1[[#This Row],[Month]]&lt;&gt;H451,IF((J452-I452&gt;0),J452-I452,0),0))</f>
        <v>0</v>
      </c>
      <c r="L452" s="2">
        <f t="shared" si="7"/>
        <v>3592.2989655359538</v>
      </c>
      <c r="M452">
        <f>IF(ROW()&lt;3, 0, IF(Query1[[#This Row],[Month]]&lt;&gt;H451, Dashboard!$J$5,0))</f>
        <v>0</v>
      </c>
      <c r="N452" s="2">
        <f>IF(ROW()&lt;3, Query1[[#This Row],[Shares]], IF(Query1[[#This Row],[Month]]&lt;&gt;H451, N451+Query1[[#This Row],[Fix Top Up]]/Query1[[#This Row],[Adj Close]], N451))</f>
        <v>3350.2878231637906</v>
      </c>
      <c r="O452">
        <f>IF(AND(Query1[[#This Row],[avg]]&gt;0, Query1[[#This Row],[Month]]&lt;&gt;H451),
    IF(Query1[[#This Row],[Adj Close]]&gt;Query1[[#This Row],[avg]],
       Dashboard!$L$5-Dashboard!$E$6,
       Dashboard!$L$5+Dashboard!$E$6
    ), 0
)</f>
        <v>0</v>
      </c>
      <c r="P452" s="2">
        <f>IF(ROW()&lt;3, Query1[[#This Row],[Shares]], IF(Query1[[#This Row],[Month]]&lt;&gt;H451, P451+Query1[[#This Row],[Enhanced top up]]/Query1[[#This Row],[Adj Close]], P451))</f>
        <v>3339.7833386725397</v>
      </c>
      <c r="Q452" s="2">
        <f>IFERROR(AVERAGE(
  IF(ROW()&gt;20, INDEX(G:G, ROW()-20), 0) :
  INDEX(G:G, ROW())
),0)</f>
        <v>284.07770066034226</v>
      </c>
    </row>
    <row r="453" spans="1:17" x14ac:dyDescent="0.4">
      <c r="A453" s="1">
        <v>44484</v>
      </c>
      <c r="B453">
        <v>302.33999633789063</v>
      </c>
      <c r="C453">
        <v>304.45001220703125</v>
      </c>
      <c r="D453">
        <v>300.51998901367188</v>
      </c>
      <c r="E453">
        <v>304.20999145507813</v>
      </c>
      <c r="F453">
        <v>25384800</v>
      </c>
      <c r="G453">
        <v>294.36080932617188</v>
      </c>
      <c r="H453" s="2">
        <f>MONTH(Query1[[#This Row],[Date]])</f>
        <v>10</v>
      </c>
      <c r="I453" s="3">
        <f>Query1[[#This Row],[Shares]]*Query1[[#This Row],[Adj Close]]</f>
        <v>1057432.0308367333</v>
      </c>
      <c r="J453" s="3">
        <f>IF(ROW()&lt;3, Dashboard!$E$7, IF(Query1[[#This Row],[Month]]&lt;&gt;H452,J452*(1+Dashboard!$E$4)+Dashboard!$E$5,J452))</f>
        <v>662674.35824321269</v>
      </c>
      <c r="K453">
        <f>IF(ROW()&lt;3, 0,IF(Query1[[#This Row],[Month]]&lt;&gt;H452,IF((J453-I453&gt;0),J453-I453,0),0))</f>
        <v>0</v>
      </c>
      <c r="L453" s="2">
        <f t="shared" si="7"/>
        <v>3592.2989655359538</v>
      </c>
      <c r="M453">
        <f>IF(ROW()&lt;3, 0, IF(Query1[[#This Row],[Month]]&lt;&gt;H452, Dashboard!$J$5,0))</f>
        <v>0</v>
      </c>
      <c r="N453" s="2">
        <f>IF(ROW()&lt;3, Query1[[#This Row],[Shares]], IF(Query1[[#This Row],[Month]]&lt;&gt;H452, N452+Query1[[#This Row],[Fix Top Up]]/Query1[[#This Row],[Adj Close]], N452))</f>
        <v>3350.2878231637906</v>
      </c>
      <c r="O453">
        <f>IF(AND(Query1[[#This Row],[avg]]&gt;0, Query1[[#This Row],[Month]]&lt;&gt;H452),
    IF(Query1[[#This Row],[Adj Close]]&gt;Query1[[#This Row],[avg]],
       Dashboard!$L$5-Dashboard!$E$6,
       Dashboard!$L$5+Dashboard!$E$6
    ), 0
)</f>
        <v>0</v>
      </c>
      <c r="P453" s="2">
        <f>IF(ROW()&lt;3, Query1[[#This Row],[Shares]], IF(Query1[[#This Row],[Month]]&lt;&gt;H452, P452+Query1[[#This Row],[Enhanced top up]]/Query1[[#This Row],[Adj Close]], P452))</f>
        <v>3339.7833386725397</v>
      </c>
      <c r="Q453" s="2">
        <f>IFERROR(AVERAGE(
  IF(ROW()&gt;20, INDEX(G:G, ROW()-20), 0) :
  INDEX(G:G, ROW())
),0)</f>
        <v>284.03116135370163</v>
      </c>
    </row>
    <row r="454" spans="1:17" x14ac:dyDescent="0.4">
      <c r="A454" s="1">
        <v>44487</v>
      </c>
      <c r="B454">
        <v>303.57000732421875</v>
      </c>
      <c r="C454">
        <v>308.20999145507813</v>
      </c>
      <c r="D454">
        <v>302.69000244140625</v>
      </c>
      <c r="E454">
        <v>307.29000854492188</v>
      </c>
      <c r="F454">
        <v>22729300</v>
      </c>
      <c r="G454">
        <v>297.34109497070313</v>
      </c>
      <c r="H454" s="2">
        <f>MONTH(Query1[[#This Row],[Date]])</f>
        <v>10</v>
      </c>
      <c r="I454" s="3">
        <f>Query1[[#This Row],[Shares]]*Query1[[#This Row],[Adj Close]]</f>
        <v>1068138.1078745846</v>
      </c>
      <c r="J454" s="3">
        <f>IF(ROW()&lt;3, Dashboard!$E$7, IF(Query1[[#This Row],[Month]]&lt;&gt;H453,J453*(1+Dashboard!$E$4)+Dashboard!$E$5,J453))</f>
        <v>662674.35824321269</v>
      </c>
      <c r="K454">
        <f>IF(ROW()&lt;3, 0,IF(Query1[[#This Row],[Month]]&lt;&gt;H453,IF((J454-I454&gt;0),J454-I454,0),0))</f>
        <v>0</v>
      </c>
      <c r="L454" s="2">
        <f t="shared" si="7"/>
        <v>3592.2989655359538</v>
      </c>
      <c r="M454">
        <f>IF(ROW()&lt;3, 0, IF(Query1[[#This Row],[Month]]&lt;&gt;H453, Dashboard!$J$5,0))</f>
        <v>0</v>
      </c>
      <c r="N454" s="2">
        <f>IF(ROW()&lt;3, Query1[[#This Row],[Shares]], IF(Query1[[#This Row],[Month]]&lt;&gt;H453, N453+Query1[[#This Row],[Fix Top Up]]/Query1[[#This Row],[Adj Close]], N453))</f>
        <v>3350.2878231637906</v>
      </c>
      <c r="O454">
        <f>IF(AND(Query1[[#This Row],[avg]]&gt;0, Query1[[#This Row],[Month]]&lt;&gt;H453),
    IF(Query1[[#This Row],[Adj Close]]&gt;Query1[[#This Row],[avg]],
       Dashboard!$L$5-Dashboard!$E$6,
       Dashboard!$L$5+Dashboard!$E$6
    ), 0
)</f>
        <v>0</v>
      </c>
      <c r="P454" s="2">
        <f>IF(ROW()&lt;3, Query1[[#This Row],[Shares]], IF(Query1[[#This Row],[Month]]&lt;&gt;H453, P453+Query1[[#This Row],[Enhanced top up]]/Query1[[#This Row],[Adj Close]], P453))</f>
        <v>3339.7833386725397</v>
      </c>
      <c r="Q454" s="2">
        <f>IFERROR(AVERAGE(
  IF(ROW()&gt;20, INDEX(G:G, ROW()-20), 0) :
  INDEX(G:G, ROW())
),0)</f>
        <v>284.37305995396207</v>
      </c>
    </row>
    <row r="455" spans="1:17" x14ac:dyDescent="0.4">
      <c r="A455" s="1">
        <v>44488</v>
      </c>
      <c r="B455">
        <v>308.35000610351563</v>
      </c>
      <c r="C455">
        <v>309.29998779296875</v>
      </c>
      <c r="D455">
        <v>307.22000122070313</v>
      </c>
      <c r="E455">
        <v>308.23001098632813</v>
      </c>
      <c r="F455">
        <v>17682100</v>
      </c>
      <c r="G455">
        <v>298.2506103515625</v>
      </c>
      <c r="H455" s="2">
        <f>MONTH(Query1[[#This Row],[Date]])</f>
        <v>10</v>
      </c>
      <c r="I455" s="3">
        <f>Query1[[#This Row],[Shares]]*Query1[[#This Row],[Adj Close]]</f>
        <v>1071405.3590363848</v>
      </c>
      <c r="J455" s="3">
        <f>IF(ROW()&lt;3, Dashboard!$E$7, IF(Query1[[#This Row],[Month]]&lt;&gt;H454,J454*(1+Dashboard!$E$4)+Dashboard!$E$5,J454))</f>
        <v>662674.35824321269</v>
      </c>
      <c r="K455">
        <f>IF(ROW()&lt;3, 0,IF(Query1[[#This Row],[Month]]&lt;&gt;H454,IF((J455-I455&gt;0),J455-I455,0),0))</f>
        <v>0</v>
      </c>
      <c r="L455" s="2">
        <f t="shared" si="7"/>
        <v>3592.2989655359538</v>
      </c>
      <c r="M455">
        <f>IF(ROW()&lt;3, 0, IF(Query1[[#This Row],[Month]]&lt;&gt;H454, Dashboard!$J$5,0))</f>
        <v>0</v>
      </c>
      <c r="N455" s="2">
        <f>IF(ROW()&lt;3, Query1[[#This Row],[Shares]], IF(Query1[[#This Row],[Month]]&lt;&gt;H454, N454+Query1[[#This Row],[Fix Top Up]]/Query1[[#This Row],[Adj Close]], N454))</f>
        <v>3350.2878231637906</v>
      </c>
      <c r="O455">
        <f>IF(AND(Query1[[#This Row],[avg]]&gt;0, Query1[[#This Row],[Month]]&lt;&gt;H454),
    IF(Query1[[#This Row],[Adj Close]]&gt;Query1[[#This Row],[avg]],
       Dashboard!$L$5-Dashboard!$E$6,
       Dashboard!$L$5+Dashboard!$E$6
    ), 0
)</f>
        <v>0</v>
      </c>
      <c r="P455" s="2">
        <f>IF(ROW()&lt;3, Query1[[#This Row],[Shares]], IF(Query1[[#This Row],[Month]]&lt;&gt;H454, P454+Query1[[#This Row],[Enhanced top up]]/Query1[[#This Row],[Adj Close]], P454))</f>
        <v>3339.7833386725397</v>
      </c>
      <c r="Q455" s="2">
        <f>IFERROR(AVERAGE(
  IF(ROW()&gt;20, INDEX(G:G, ROW()-20), 0) :
  INDEX(G:G, ROW())
),0)</f>
        <v>285.01491728283111</v>
      </c>
    </row>
    <row r="456" spans="1:17" x14ac:dyDescent="0.4">
      <c r="A456" s="1">
        <v>44489</v>
      </c>
      <c r="B456">
        <v>309.20999145507813</v>
      </c>
      <c r="C456">
        <v>309.70001220703125</v>
      </c>
      <c r="D456">
        <v>306.1099853515625</v>
      </c>
      <c r="E456">
        <v>307.41000366210938</v>
      </c>
      <c r="F456">
        <v>16537100</v>
      </c>
      <c r="G456">
        <v>297.45721435546875</v>
      </c>
      <c r="H456" s="2">
        <f>MONTH(Query1[[#This Row],[Date]])</f>
        <v>10</v>
      </c>
      <c r="I456" s="3">
        <f>Query1[[#This Row],[Shares]]*Query1[[#This Row],[Adj Close]]</f>
        <v>1068555.2434203569</v>
      </c>
      <c r="J456" s="3">
        <f>IF(ROW()&lt;3, Dashboard!$E$7, IF(Query1[[#This Row],[Month]]&lt;&gt;H455,J455*(1+Dashboard!$E$4)+Dashboard!$E$5,J455))</f>
        <v>662674.35824321269</v>
      </c>
      <c r="K456">
        <f>IF(ROW()&lt;3, 0,IF(Query1[[#This Row],[Month]]&lt;&gt;H455,IF((J456-I456&gt;0),J456-I456,0),0))</f>
        <v>0</v>
      </c>
      <c r="L456" s="2">
        <f t="shared" si="7"/>
        <v>3592.2989655359538</v>
      </c>
      <c r="M456">
        <f>IF(ROW()&lt;3, 0, IF(Query1[[#This Row],[Month]]&lt;&gt;H455, Dashboard!$J$5,0))</f>
        <v>0</v>
      </c>
      <c r="N456" s="2">
        <f>IF(ROW()&lt;3, Query1[[#This Row],[Shares]], IF(Query1[[#This Row],[Month]]&lt;&gt;H455, N455+Query1[[#This Row],[Fix Top Up]]/Query1[[#This Row],[Adj Close]], N455))</f>
        <v>3350.2878231637906</v>
      </c>
      <c r="O456">
        <f>IF(AND(Query1[[#This Row],[avg]]&gt;0, Query1[[#This Row],[Month]]&lt;&gt;H455),
    IF(Query1[[#This Row],[Adj Close]]&gt;Query1[[#This Row],[avg]],
       Dashboard!$L$5-Dashboard!$E$6,
       Dashboard!$L$5+Dashboard!$E$6
    ), 0
)</f>
        <v>0</v>
      </c>
      <c r="P456" s="2">
        <f>IF(ROW()&lt;3, Query1[[#This Row],[Shares]], IF(Query1[[#This Row],[Month]]&lt;&gt;H455, P455+Query1[[#This Row],[Enhanced top up]]/Query1[[#This Row],[Adj Close]], P455))</f>
        <v>3339.7833386725397</v>
      </c>
      <c r="Q456" s="2">
        <f>IFERROR(AVERAGE(
  IF(ROW()&gt;20, INDEX(G:G, ROW()-20), 0) :
  INDEX(G:G, ROW())
),0)</f>
        <v>285.59595307849702</v>
      </c>
    </row>
    <row r="457" spans="1:17" x14ac:dyDescent="0.4">
      <c r="A457" s="1">
        <v>44490</v>
      </c>
      <c r="B457">
        <v>307.17001342773438</v>
      </c>
      <c r="C457">
        <v>311.01998901367188</v>
      </c>
      <c r="D457">
        <v>306.3599853515625</v>
      </c>
      <c r="E457">
        <v>310.760009765625</v>
      </c>
      <c r="F457">
        <v>16918100</v>
      </c>
      <c r="G457">
        <v>300.69873046875</v>
      </c>
      <c r="H457" s="2">
        <f>MONTH(Query1[[#This Row],[Date]])</f>
        <v>10</v>
      </c>
      <c r="I457" s="3">
        <f>Query1[[#This Row],[Shares]]*Query1[[#This Row],[Adj Close]]</f>
        <v>1080199.7384008651</v>
      </c>
      <c r="J457" s="3">
        <f>IF(ROW()&lt;3, Dashboard!$E$7, IF(Query1[[#This Row],[Month]]&lt;&gt;H456,J456*(1+Dashboard!$E$4)+Dashboard!$E$5,J456))</f>
        <v>662674.35824321269</v>
      </c>
      <c r="K457">
        <f>IF(ROW()&lt;3, 0,IF(Query1[[#This Row],[Month]]&lt;&gt;H456,IF((J457-I457&gt;0),J457-I457,0),0))</f>
        <v>0</v>
      </c>
      <c r="L457" s="2">
        <f t="shared" si="7"/>
        <v>3592.2989655359538</v>
      </c>
      <c r="M457">
        <f>IF(ROW()&lt;3, 0, IF(Query1[[#This Row],[Month]]&lt;&gt;H456, Dashboard!$J$5,0))</f>
        <v>0</v>
      </c>
      <c r="N457" s="2">
        <f>IF(ROW()&lt;3, Query1[[#This Row],[Shares]], IF(Query1[[#This Row],[Month]]&lt;&gt;H456, N456+Query1[[#This Row],[Fix Top Up]]/Query1[[#This Row],[Adj Close]], N456))</f>
        <v>3350.2878231637906</v>
      </c>
      <c r="O457">
        <f>IF(AND(Query1[[#This Row],[avg]]&gt;0, Query1[[#This Row],[Month]]&lt;&gt;H456),
    IF(Query1[[#This Row],[Adj Close]]&gt;Query1[[#This Row],[avg]],
       Dashboard!$L$5-Dashboard!$E$6,
       Dashboard!$L$5+Dashboard!$E$6
    ), 0
)</f>
        <v>0</v>
      </c>
      <c r="P457" s="2">
        <f>IF(ROW()&lt;3, Query1[[#This Row],[Shares]], IF(Query1[[#This Row],[Month]]&lt;&gt;H456, P456+Query1[[#This Row],[Enhanced top up]]/Query1[[#This Row],[Adj Close]], P456))</f>
        <v>3339.7833386725397</v>
      </c>
      <c r="Q457" s="2">
        <f>IFERROR(AVERAGE(
  IF(ROW()&gt;20, INDEX(G:G, ROW()-20), 0) :
  INDEX(G:G, ROW())
),0)</f>
        <v>286.15717715308779</v>
      </c>
    </row>
    <row r="458" spans="1:17" x14ac:dyDescent="0.4">
      <c r="A458" s="1">
        <v>44491</v>
      </c>
      <c r="B458">
        <v>310.39999389648438</v>
      </c>
      <c r="C458">
        <v>311.08999633789063</v>
      </c>
      <c r="D458">
        <v>307.79998779296875</v>
      </c>
      <c r="E458">
        <v>309.16000366210938</v>
      </c>
      <c r="F458">
        <v>17449300</v>
      </c>
      <c r="G458">
        <v>299.15045166015625</v>
      </c>
      <c r="H458" s="2">
        <f>MONTH(Query1[[#This Row],[Date]])</f>
        <v>10</v>
      </c>
      <c r="I458" s="3">
        <f>Query1[[#This Row],[Shares]]*Query1[[#This Row],[Adj Close]]</f>
        <v>1074637.8580383926</v>
      </c>
      <c r="J458" s="3">
        <f>IF(ROW()&lt;3, Dashboard!$E$7, IF(Query1[[#This Row],[Month]]&lt;&gt;H457,J457*(1+Dashboard!$E$4)+Dashboard!$E$5,J457))</f>
        <v>662674.35824321269</v>
      </c>
      <c r="K458">
        <f>IF(ROW()&lt;3, 0,IF(Query1[[#This Row],[Month]]&lt;&gt;H457,IF((J458-I458&gt;0),J458-I458,0),0))</f>
        <v>0</v>
      </c>
      <c r="L458" s="2">
        <f t="shared" si="7"/>
        <v>3592.2989655359538</v>
      </c>
      <c r="M458">
        <f>IF(ROW()&lt;3, 0, IF(Query1[[#This Row],[Month]]&lt;&gt;H457, Dashboard!$J$5,0))</f>
        <v>0</v>
      </c>
      <c r="N458" s="2">
        <f>IF(ROW()&lt;3, Query1[[#This Row],[Shares]], IF(Query1[[#This Row],[Month]]&lt;&gt;H457, N457+Query1[[#This Row],[Fix Top Up]]/Query1[[#This Row],[Adj Close]], N457))</f>
        <v>3350.2878231637906</v>
      </c>
      <c r="O458">
        <f>IF(AND(Query1[[#This Row],[avg]]&gt;0, Query1[[#This Row],[Month]]&lt;&gt;H457),
    IF(Query1[[#This Row],[Adj Close]]&gt;Query1[[#This Row],[avg]],
       Dashboard!$L$5-Dashboard!$E$6,
       Dashboard!$L$5+Dashboard!$E$6
    ), 0
)</f>
        <v>0</v>
      </c>
      <c r="P458" s="2">
        <f>IF(ROW()&lt;3, Query1[[#This Row],[Shares]], IF(Query1[[#This Row],[Month]]&lt;&gt;H457, P457+Query1[[#This Row],[Enhanced top up]]/Query1[[#This Row],[Adj Close]], P457))</f>
        <v>3339.7833386725397</v>
      </c>
      <c r="Q458" s="2">
        <f>IFERROR(AVERAGE(
  IF(ROW()&gt;20, INDEX(G:G, ROW()-20), 0) :
  INDEX(G:G, ROW())
),0)</f>
        <v>286.59951636904759</v>
      </c>
    </row>
    <row r="459" spans="1:17" x14ac:dyDescent="0.4">
      <c r="A459" s="1">
        <v>44494</v>
      </c>
      <c r="B459">
        <v>309.3599853515625</v>
      </c>
      <c r="C459">
        <v>309.39999389648438</v>
      </c>
      <c r="D459">
        <v>306.45999145507813</v>
      </c>
      <c r="E459">
        <v>308.1300048828125</v>
      </c>
      <c r="F459">
        <v>17554500</v>
      </c>
      <c r="G459">
        <v>298.15386962890625</v>
      </c>
      <c r="H459" s="2">
        <f>MONTH(Query1[[#This Row],[Date]])</f>
        <v>10</v>
      </c>
      <c r="I459" s="3">
        <f>Query1[[#This Row],[Shares]]*Query1[[#This Row],[Adj Close]]</f>
        <v>1071057.8374384616</v>
      </c>
      <c r="J459" s="3">
        <f>IF(ROW()&lt;3, Dashboard!$E$7, IF(Query1[[#This Row],[Month]]&lt;&gt;H458,J458*(1+Dashboard!$E$4)+Dashboard!$E$5,J458))</f>
        <v>662674.35824321269</v>
      </c>
      <c r="K459">
        <f>IF(ROW()&lt;3, 0,IF(Query1[[#This Row],[Month]]&lt;&gt;H458,IF((J459-I459&gt;0),J459-I459,0),0))</f>
        <v>0</v>
      </c>
      <c r="L459" s="2">
        <f t="shared" si="7"/>
        <v>3592.2989655359538</v>
      </c>
      <c r="M459">
        <f>IF(ROW()&lt;3, 0, IF(Query1[[#This Row],[Month]]&lt;&gt;H458, Dashboard!$J$5,0))</f>
        <v>0</v>
      </c>
      <c r="N459" s="2">
        <f>IF(ROW()&lt;3, Query1[[#This Row],[Shares]], IF(Query1[[#This Row],[Month]]&lt;&gt;H458, N458+Query1[[#This Row],[Fix Top Up]]/Query1[[#This Row],[Adj Close]], N458))</f>
        <v>3350.2878231637906</v>
      </c>
      <c r="O459">
        <f>IF(AND(Query1[[#This Row],[avg]]&gt;0, Query1[[#This Row],[Month]]&lt;&gt;H458),
    IF(Query1[[#This Row],[Adj Close]]&gt;Query1[[#This Row],[avg]],
       Dashboard!$L$5-Dashboard!$E$6,
       Dashboard!$L$5+Dashboard!$E$6
    ), 0
)</f>
        <v>0</v>
      </c>
      <c r="P459" s="2">
        <f>IF(ROW()&lt;3, Query1[[#This Row],[Shares]], IF(Query1[[#This Row],[Month]]&lt;&gt;H458, P458+Query1[[#This Row],[Enhanced top up]]/Query1[[#This Row],[Adj Close]], P458))</f>
        <v>3339.7833386725397</v>
      </c>
      <c r="Q459" s="2">
        <f>IFERROR(AVERAGE(
  IF(ROW()&gt;20, INDEX(G:G, ROW()-20), 0) :
  INDEX(G:G, ROW())
),0)</f>
        <v>287.00407337007067</v>
      </c>
    </row>
    <row r="460" spans="1:17" x14ac:dyDescent="0.4">
      <c r="A460" s="1">
        <v>44495</v>
      </c>
      <c r="B460">
        <v>311</v>
      </c>
      <c r="C460">
        <v>312.39999389648438</v>
      </c>
      <c r="D460">
        <v>308.60000610351563</v>
      </c>
      <c r="E460">
        <v>310.1099853515625</v>
      </c>
      <c r="F460">
        <v>28107300</v>
      </c>
      <c r="G460">
        <v>300.0697021484375</v>
      </c>
      <c r="H460" s="2">
        <f>MONTH(Query1[[#This Row],[Date]])</f>
        <v>10</v>
      </c>
      <c r="I460" s="3">
        <f>Query1[[#This Row],[Shares]]*Query1[[#This Row],[Adj Close]]</f>
        <v>1077940.0806165137</v>
      </c>
      <c r="J460" s="3">
        <f>IF(ROW()&lt;3, Dashboard!$E$7, IF(Query1[[#This Row],[Month]]&lt;&gt;H459,J459*(1+Dashboard!$E$4)+Dashboard!$E$5,J459))</f>
        <v>662674.35824321269</v>
      </c>
      <c r="K460">
        <f>IF(ROW()&lt;3, 0,IF(Query1[[#This Row],[Month]]&lt;&gt;H459,IF((J460-I460&gt;0),J460-I460,0),0))</f>
        <v>0</v>
      </c>
      <c r="L460" s="2">
        <f t="shared" si="7"/>
        <v>3592.2989655359538</v>
      </c>
      <c r="M460">
        <f>IF(ROW()&lt;3, 0, IF(Query1[[#This Row],[Month]]&lt;&gt;H459, Dashboard!$J$5,0))</f>
        <v>0</v>
      </c>
      <c r="N460" s="2">
        <f>IF(ROW()&lt;3, Query1[[#This Row],[Shares]], IF(Query1[[#This Row],[Month]]&lt;&gt;H459, N459+Query1[[#This Row],[Fix Top Up]]/Query1[[#This Row],[Adj Close]], N459))</f>
        <v>3350.2878231637906</v>
      </c>
      <c r="O460">
        <f>IF(AND(Query1[[#This Row],[avg]]&gt;0, Query1[[#This Row],[Month]]&lt;&gt;H459),
    IF(Query1[[#This Row],[Adj Close]]&gt;Query1[[#This Row],[avg]],
       Dashboard!$L$5-Dashboard!$E$6,
       Dashboard!$L$5+Dashboard!$E$6
    ), 0
)</f>
        <v>0</v>
      </c>
      <c r="P460" s="2">
        <f>IF(ROW()&lt;3, Query1[[#This Row],[Shares]], IF(Query1[[#This Row],[Month]]&lt;&gt;H459, P459+Query1[[#This Row],[Enhanced top up]]/Query1[[#This Row],[Adj Close]], P459))</f>
        <v>3339.7833386725397</v>
      </c>
      <c r="Q460" s="2">
        <f>IFERROR(AVERAGE(
  IF(ROW()&gt;20, INDEX(G:G, ROW()-20), 0) :
  INDEX(G:G, ROW())
),0)</f>
        <v>287.73854428245909</v>
      </c>
    </row>
    <row r="461" spans="1:17" x14ac:dyDescent="0.4">
      <c r="A461" s="1">
        <v>44496</v>
      </c>
      <c r="B461">
        <v>316</v>
      </c>
      <c r="C461">
        <v>326.10000610351563</v>
      </c>
      <c r="D461">
        <v>316</v>
      </c>
      <c r="E461">
        <v>323.17001342773438</v>
      </c>
      <c r="F461">
        <v>52588700</v>
      </c>
      <c r="G461">
        <v>312.7069091796875</v>
      </c>
      <c r="H461" s="2">
        <f>MONTH(Query1[[#This Row],[Date]])</f>
        <v>10</v>
      </c>
      <c r="I461" s="3">
        <f>Query1[[#This Row],[Shares]]*Query1[[#This Row],[Adj Close]]</f>
        <v>1123336.7063621369</v>
      </c>
      <c r="J461" s="3">
        <f>IF(ROW()&lt;3, Dashboard!$E$7, IF(Query1[[#This Row],[Month]]&lt;&gt;H460,J460*(1+Dashboard!$E$4)+Dashboard!$E$5,J460))</f>
        <v>662674.35824321269</v>
      </c>
      <c r="K461">
        <f>IF(ROW()&lt;3, 0,IF(Query1[[#This Row],[Month]]&lt;&gt;H460,IF((J461-I461&gt;0),J461-I461,0),0))</f>
        <v>0</v>
      </c>
      <c r="L461" s="2">
        <f t="shared" si="7"/>
        <v>3592.2989655359538</v>
      </c>
      <c r="M461">
        <f>IF(ROW()&lt;3, 0, IF(Query1[[#This Row],[Month]]&lt;&gt;H460, Dashboard!$J$5,0))</f>
        <v>0</v>
      </c>
      <c r="N461" s="2">
        <f>IF(ROW()&lt;3, Query1[[#This Row],[Shares]], IF(Query1[[#This Row],[Month]]&lt;&gt;H460, N460+Query1[[#This Row],[Fix Top Up]]/Query1[[#This Row],[Adj Close]], N460))</f>
        <v>3350.2878231637906</v>
      </c>
      <c r="O461">
        <f>IF(AND(Query1[[#This Row],[avg]]&gt;0, Query1[[#This Row],[Month]]&lt;&gt;H460),
    IF(Query1[[#This Row],[Adj Close]]&gt;Query1[[#This Row],[avg]],
       Dashboard!$L$5-Dashboard!$E$6,
       Dashboard!$L$5+Dashboard!$E$6
    ), 0
)</f>
        <v>0</v>
      </c>
      <c r="P461" s="2">
        <f>IF(ROW()&lt;3, Query1[[#This Row],[Shares]], IF(Query1[[#This Row],[Month]]&lt;&gt;H460, P460+Query1[[#This Row],[Enhanced top up]]/Query1[[#This Row],[Adj Close]], P460))</f>
        <v>3339.7833386725397</v>
      </c>
      <c r="Q461" s="2">
        <f>IFERROR(AVERAGE(
  IF(ROW()&gt;20, INDEX(G:G, ROW()-20), 0) :
  INDEX(G:G, ROW())
),0)</f>
        <v>289.56550961449034</v>
      </c>
    </row>
    <row r="462" spans="1:17" x14ac:dyDescent="0.4">
      <c r="A462" s="1">
        <v>44497</v>
      </c>
      <c r="B462">
        <v>324.32998657226563</v>
      </c>
      <c r="C462">
        <v>324.8699951171875</v>
      </c>
      <c r="D462">
        <v>321.3599853515625</v>
      </c>
      <c r="E462">
        <v>324.35000610351563</v>
      </c>
      <c r="F462">
        <v>26297900</v>
      </c>
      <c r="G462">
        <v>313.84872436523438</v>
      </c>
      <c r="H462" s="2">
        <f>MONTH(Query1[[#This Row],[Date]])</f>
        <v>10</v>
      </c>
      <c r="I462" s="3">
        <f>Query1[[#This Row],[Shares]]*Query1[[#This Row],[Adj Close]]</f>
        <v>1127438.4478720101</v>
      </c>
      <c r="J462" s="3">
        <f>IF(ROW()&lt;3, Dashboard!$E$7, IF(Query1[[#This Row],[Month]]&lt;&gt;H461,J461*(1+Dashboard!$E$4)+Dashboard!$E$5,J461))</f>
        <v>662674.35824321269</v>
      </c>
      <c r="K462">
        <f>IF(ROW()&lt;3, 0,IF(Query1[[#This Row],[Month]]&lt;&gt;H461,IF((J462-I462&gt;0),J462-I462,0),0))</f>
        <v>0</v>
      </c>
      <c r="L462" s="2">
        <f t="shared" si="7"/>
        <v>3592.2989655359538</v>
      </c>
      <c r="M462">
        <f>IF(ROW()&lt;3, 0, IF(Query1[[#This Row],[Month]]&lt;&gt;H461, Dashboard!$J$5,0))</f>
        <v>0</v>
      </c>
      <c r="N462" s="2">
        <f>IF(ROW()&lt;3, Query1[[#This Row],[Shares]], IF(Query1[[#This Row],[Month]]&lt;&gt;H461, N461+Query1[[#This Row],[Fix Top Up]]/Query1[[#This Row],[Adj Close]], N461))</f>
        <v>3350.2878231637906</v>
      </c>
      <c r="O462">
        <f>IF(AND(Query1[[#This Row],[avg]]&gt;0, Query1[[#This Row],[Month]]&lt;&gt;H461),
    IF(Query1[[#This Row],[Adj Close]]&gt;Query1[[#This Row],[avg]],
       Dashboard!$L$5-Dashboard!$E$6,
       Dashboard!$L$5+Dashboard!$E$6
    ), 0
)</f>
        <v>0</v>
      </c>
      <c r="P462" s="2">
        <f>IF(ROW()&lt;3, Query1[[#This Row],[Shares]], IF(Query1[[#This Row],[Month]]&lt;&gt;H461, P461+Query1[[#This Row],[Enhanced top up]]/Query1[[#This Row],[Adj Close]], P461))</f>
        <v>3339.7833386725397</v>
      </c>
      <c r="Q462" s="2">
        <f>IFERROR(AVERAGE(
  IF(ROW()&gt;20, INDEX(G:G, ROW()-20), 0) :
  INDEX(G:G, ROW())
),0)</f>
        <v>291.4247291201637</v>
      </c>
    </row>
    <row r="463" spans="1:17" x14ac:dyDescent="0.4">
      <c r="A463" s="1">
        <v>44498</v>
      </c>
      <c r="B463">
        <v>324.1300048828125</v>
      </c>
      <c r="C463">
        <v>332</v>
      </c>
      <c r="D463">
        <v>323.89999389648438</v>
      </c>
      <c r="E463">
        <v>331.6199951171875</v>
      </c>
      <c r="F463">
        <v>34766000</v>
      </c>
      <c r="G463">
        <v>320.88336181640625</v>
      </c>
      <c r="H463" s="2">
        <f>MONTH(Query1[[#This Row],[Date]])</f>
        <v>10</v>
      </c>
      <c r="I463" s="3">
        <f>Query1[[#This Row],[Shares]]*Query1[[#This Row],[Adj Close]]</f>
        <v>1152708.9687107753</v>
      </c>
      <c r="J463" s="3">
        <f>IF(ROW()&lt;3, Dashboard!$E$7, IF(Query1[[#This Row],[Month]]&lt;&gt;H462,J462*(1+Dashboard!$E$4)+Dashboard!$E$5,J462))</f>
        <v>662674.35824321269</v>
      </c>
      <c r="K463">
        <f>IF(ROW()&lt;3, 0,IF(Query1[[#This Row],[Month]]&lt;&gt;H462,IF((J463-I463&gt;0),J463-I463,0),0))</f>
        <v>0</v>
      </c>
      <c r="L463" s="2">
        <f t="shared" si="7"/>
        <v>3592.2989655359538</v>
      </c>
      <c r="M463">
        <f>IF(ROW()&lt;3, 0, IF(Query1[[#This Row],[Month]]&lt;&gt;H462, Dashboard!$J$5,0))</f>
        <v>0</v>
      </c>
      <c r="N463" s="2">
        <f>IF(ROW()&lt;3, Query1[[#This Row],[Shares]], IF(Query1[[#This Row],[Month]]&lt;&gt;H462, N462+Query1[[#This Row],[Fix Top Up]]/Query1[[#This Row],[Adj Close]], N462))</f>
        <v>3350.2878231637906</v>
      </c>
      <c r="O463">
        <f>IF(AND(Query1[[#This Row],[avg]]&gt;0, Query1[[#This Row],[Month]]&lt;&gt;H462),
    IF(Query1[[#This Row],[Adj Close]]&gt;Query1[[#This Row],[avg]],
       Dashboard!$L$5-Dashboard!$E$6,
       Dashboard!$L$5+Dashboard!$E$6
    ), 0
)</f>
        <v>0</v>
      </c>
      <c r="P463" s="2">
        <f>IF(ROW()&lt;3, Query1[[#This Row],[Shares]], IF(Query1[[#This Row],[Month]]&lt;&gt;H462, P462+Query1[[#This Row],[Enhanced top up]]/Query1[[#This Row],[Adj Close]], P462))</f>
        <v>3339.7833386725397</v>
      </c>
      <c r="Q463" s="2">
        <f>IFERROR(AVERAGE(
  IF(ROW()&gt;20, INDEX(G:G, ROW()-20), 0) :
  INDEX(G:G, ROW())
),0)</f>
        <v>293.71477108909971</v>
      </c>
    </row>
    <row r="464" spans="1:17" x14ac:dyDescent="0.4">
      <c r="A464" s="1">
        <v>44501</v>
      </c>
      <c r="B464">
        <v>331.3599853515625</v>
      </c>
      <c r="C464">
        <v>331.489990234375</v>
      </c>
      <c r="D464">
        <v>326.3699951171875</v>
      </c>
      <c r="E464">
        <v>329.3699951171875</v>
      </c>
      <c r="F464">
        <v>27073200</v>
      </c>
      <c r="G464">
        <v>318.706298828125</v>
      </c>
      <c r="H464" s="2">
        <f>MONTH(Query1[[#This Row],[Date]])</f>
        <v>11</v>
      </c>
      <c r="I464" s="3">
        <f>Query1[[#This Row],[Shares]]*Query1[[#This Row],[Adj Close]]</f>
        <v>1144888.307590066</v>
      </c>
      <c r="J464" s="3">
        <f>IF(ROW()&lt;3, Dashboard!$E$7, IF(Query1[[#This Row],[Month]]&lt;&gt;H463,J463*(1+Dashboard!$E$4)+Dashboard!$E$5,J463))</f>
        <v>671301.10182564484</v>
      </c>
      <c r="K464">
        <f>IF(ROW()&lt;3, 0,IF(Query1[[#This Row],[Month]]&lt;&gt;H463,IF((J464-I464&gt;0),J464-I464,0),0))</f>
        <v>0</v>
      </c>
      <c r="L464" s="2">
        <f t="shared" si="7"/>
        <v>3592.2989655359538</v>
      </c>
      <c r="M464">
        <f>IF(ROW()&lt;3, 0, IF(Query1[[#This Row],[Month]]&lt;&gt;H463, Dashboard!$J$5,0))</f>
        <v>773.47399999999971</v>
      </c>
      <c r="N464" s="2">
        <f>IF(ROW()&lt;3, Query1[[#This Row],[Shares]], IF(Query1[[#This Row],[Month]]&lt;&gt;H463, N463+Query1[[#This Row],[Fix Top Up]]/Query1[[#This Row],[Adj Close]], N463))</f>
        <v>3352.7147409964286</v>
      </c>
      <c r="O464">
        <f>IF(AND(Query1[[#This Row],[avg]]&gt;0, Query1[[#This Row],[Month]]&lt;&gt;H463),
    IF(Query1[[#This Row],[Adj Close]]&gt;Query1[[#This Row],[avg]],
       Dashboard!$L$5-Dashboard!$E$6,
       Dashboard!$L$5+Dashboard!$E$6
    ), 0
)</f>
        <v>390.14066666666668</v>
      </c>
      <c r="P464" s="2">
        <f>IF(ROW()&lt;3, Query1[[#This Row],[Shares]], IF(Query1[[#This Row],[Month]]&lt;&gt;H463, P463+Query1[[#This Row],[Enhanced top up]]/Query1[[#This Row],[Adj Close]], P463))</f>
        <v>3341.0074772229896</v>
      </c>
      <c r="Q464" s="2">
        <f>IFERROR(AVERAGE(
  IF(ROW()&gt;20, INDEX(G:G, ROW()-20), 0) :
  INDEX(G:G, ROW())
),0)</f>
        <v>295.57030814034596</v>
      </c>
    </row>
    <row r="465" spans="1:17" x14ac:dyDescent="0.4">
      <c r="A465" s="1">
        <v>44502</v>
      </c>
      <c r="B465">
        <v>330.30999755859375</v>
      </c>
      <c r="C465">
        <v>333.45001220703125</v>
      </c>
      <c r="D465">
        <v>330</v>
      </c>
      <c r="E465">
        <v>333.1300048828125</v>
      </c>
      <c r="F465">
        <v>26487100</v>
      </c>
      <c r="G465">
        <v>322.34442138671875</v>
      </c>
      <c r="H465" s="2">
        <f>MONTH(Query1[[#This Row],[Date]])</f>
        <v>11</v>
      </c>
      <c r="I465" s="3">
        <f>Query1[[#This Row],[Shares]]*Query1[[#This Row],[Adj Close]]</f>
        <v>1157957.5314937953</v>
      </c>
      <c r="J465" s="3">
        <f>IF(ROW()&lt;3, Dashboard!$E$7, IF(Query1[[#This Row],[Month]]&lt;&gt;H464,J464*(1+Dashboard!$E$4)+Dashboard!$E$5,J464))</f>
        <v>671301.10182564484</v>
      </c>
      <c r="K465">
        <f>IF(ROW()&lt;3, 0,IF(Query1[[#This Row],[Month]]&lt;&gt;H464,IF((J465-I465&gt;0),J465-I465,0),0))</f>
        <v>0</v>
      </c>
      <c r="L465" s="2">
        <f t="shared" si="7"/>
        <v>3592.2989655359538</v>
      </c>
      <c r="M465">
        <f>IF(ROW()&lt;3, 0, IF(Query1[[#This Row],[Month]]&lt;&gt;H464, Dashboard!$J$5,0))</f>
        <v>0</v>
      </c>
      <c r="N465" s="2">
        <f>IF(ROW()&lt;3, Query1[[#This Row],[Shares]], IF(Query1[[#This Row],[Month]]&lt;&gt;H464, N464+Query1[[#This Row],[Fix Top Up]]/Query1[[#This Row],[Adj Close]], N464))</f>
        <v>3352.7147409964286</v>
      </c>
      <c r="O465">
        <f>IF(AND(Query1[[#This Row],[avg]]&gt;0, Query1[[#This Row],[Month]]&lt;&gt;H464),
    IF(Query1[[#This Row],[Adj Close]]&gt;Query1[[#This Row],[avg]],
       Dashboard!$L$5-Dashboard!$E$6,
       Dashboard!$L$5+Dashboard!$E$6
    ), 0
)</f>
        <v>0</v>
      </c>
      <c r="P465" s="2">
        <f>IF(ROW()&lt;3, Query1[[#This Row],[Shares]], IF(Query1[[#This Row],[Month]]&lt;&gt;H464, P464+Query1[[#This Row],[Enhanced top up]]/Query1[[#This Row],[Adj Close]], P464))</f>
        <v>3341.0074772229896</v>
      </c>
      <c r="Q465" s="2">
        <f>IFERROR(AVERAGE(
  IF(ROW()&gt;20, INDEX(G:G, ROW()-20), 0) :
  INDEX(G:G, ROW())
),0)</f>
        <v>297.87509591238842</v>
      </c>
    </row>
    <row r="466" spans="1:17" x14ac:dyDescent="0.4">
      <c r="A466" s="1">
        <v>44503</v>
      </c>
      <c r="B466">
        <v>333.89999389648438</v>
      </c>
      <c r="C466">
        <v>334.89999389648438</v>
      </c>
      <c r="D466">
        <v>330.64999389648438</v>
      </c>
      <c r="E466">
        <v>334</v>
      </c>
      <c r="F466">
        <v>21500100</v>
      </c>
      <c r="G466">
        <v>323.18624877929688</v>
      </c>
      <c r="H466" s="2">
        <f>MONTH(Query1[[#This Row],[Date]])</f>
        <v>11</v>
      </c>
      <c r="I466" s="3">
        <f>Query1[[#This Row],[Shares]]*Query1[[#This Row],[Adj Close]]</f>
        <v>1160981.6271653136</v>
      </c>
      <c r="J466" s="3">
        <f>IF(ROW()&lt;3, Dashboard!$E$7, IF(Query1[[#This Row],[Month]]&lt;&gt;H465,J465*(1+Dashboard!$E$4)+Dashboard!$E$5,J465))</f>
        <v>671301.10182564484</v>
      </c>
      <c r="K466">
        <f>IF(ROW()&lt;3, 0,IF(Query1[[#This Row],[Month]]&lt;&gt;H465,IF((J466-I466&gt;0),J466-I466,0),0))</f>
        <v>0</v>
      </c>
      <c r="L466" s="2">
        <f t="shared" si="7"/>
        <v>3592.2989655359538</v>
      </c>
      <c r="M466">
        <f>IF(ROW()&lt;3, 0, IF(Query1[[#This Row],[Month]]&lt;&gt;H465, Dashboard!$J$5,0))</f>
        <v>0</v>
      </c>
      <c r="N466" s="2">
        <f>IF(ROW()&lt;3, Query1[[#This Row],[Shares]], IF(Query1[[#This Row],[Month]]&lt;&gt;H465, N465+Query1[[#This Row],[Fix Top Up]]/Query1[[#This Row],[Adj Close]], N465))</f>
        <v>3352.7147409964286</v>
      </c>
      <c r="O466">
        <f>IF(AND(Query1[[#This Row],[avg]]&gt;0, Query1[[#This Row],[Month]]&lt;&gt;H465),
    IF(Query1[[#This Row],[Adj Close]]&gt;Query1[[#This Row],[avg]],
       Dashboard!$L$5-Dashboard!$E$6,
       Dashboard!$L$5+Dashboard!$E$6
    ), 0
)</f>
        <v>0</v>
      </c>
      <c r="P466" s="2">
        <f>IF(ROW()&lt;3, Query1[[#This Row],[Shares]], IF(Query1[[#This Row],[Month]]&lt;&gt;H465, P465+Query1[[#This Row],[Enhanced top up]]/Query1[[#This Row],[Adj Close]], P465))</f>
        <v>3341.0074772229896</v>
      </c>
      <c r="Q466" s="2">
        <f>IFERROR(AVERAGE(
  IF(ROW()&gt;20, INDEX(G:G, ROW()-20), 0) :
  INDEX(G:G, ROW())
),0)</f>
        <v>299.95963105701264</v>
      </c>
    </row>
    <row r="467" spans="1:17" x14ac:dyDescent="0.4">
      <c r="A467" s="1">
        <v>44504</v>
      </c>
      <c r="B467">
        <v>332.8900146484375</v>
      </c>
      <c r="C467">
        <v>336.54000854492188</v>
      </c>
      <c r="D467">
        <v>329.510009765625</v>
      </c>
      <c r="E467">
        <v>336.44000244140625</v>
      </c>
      <c r="F467">
        <v>23992200</v>
      </c>
      <c r="G467">
        <v>325.54730224609375</v>
      </c>
      <c r="H467" s="2">
        <f>MONTH(Query1[[#This Row],[Date]])</f>
        <v>11</v>
      </c>
      <c r="I467" s="3">
        <f>Query1[[#This Row],[Shares]]*Query1[[#This Row],[Adj Close]]</f>
        <v>1169463.2370916631</v>
      </c>
      <c r="J467" s="3">
        <f>IF(ROW()&lt;3, Dashboard!$E$7, IF(Query1[[#This Row],[Month]]&lt;&gt;H466,J466*(1+Dashboard!$E$4)+Dashboard!$E$5,J466))</f>
        <v>671301.10182564484</v>
      </c>
      <c r="K467">
        <f>IF(ROW()&lt;3, 0,IF(Query1[[#This Row],[Month]]&lt;&gt;H466,IF((J467-I467&gt;0),J467-I467,0),0))</f>
        <v>0</v>
      </c>
      <c r="L467" s="2">
        <f t="shared" si="7"/>
        <v>3592.2989655359538</v>
      </c>
      <c r="M467">
        <f>IF(ROW()&lt;3, 0, IF(Query1[[#This Row],[Month]]&lt;&gt;H466, Dashboard!$J$5,0))</f>
        <v>0</v>
      </c>
      <c r="N467" s="2">
        <f>IF(ROW()&lt;3, Query1[[#This Row],[Shares]], IF(Query1[[#This Row],[Month]]&lt;&gt;H466, N466+Query1[[#This Row],[Fix Top Up]]/Query1[[#This Row],[Adj Close]], N466))</f>
        <v>3352.7147409964286</v>
      </c>
      <c r="O467">
        <f>IF(AND(Query1[[#This Row],[avg]]&gt;0, Query1[[#This Row],[Month]]&lt;&gt;H466),
    IF(Query1[[#This Row],[Adj Close]]&gt;Query1[[#This Row],[avg]],
       Dashboard!$L$5-Dashboard!$E$6,
       Dashboard!$L$5+Dashboard!$E$6
    ), 0
)</f>
        <v>0</v>
      </c>
      <c r="P467" s="2">
        <f>IF(ROW()&lt;3, Query1[[#This Row],[Shares]], IF(Query1[[#This Row],[Month]]&lt;&gt;H466, P466+Query1[[#This Row],[Enhanced top up]]/Query1[[#This Row],[Adj Close]], P466))</f>
        <v>3341.0074772229896</v>
      </c>
      <c r="Q467" s="2">
        <f>IFERROR(AVERAGE(
  IF(ROW()&gt;20, INDEX(G:G, ROW()-20), 0) :
  INDEX(G:G, ROW())
),0)</f>
        <v>301.95616222563245</v>
      </c>
    </row>
    <row r="468" spans="1:17" x14ac:dyDescent="0.4">
      <c r="A468" s="1">
        <v>44505</v>
      </c>
      <c r="B468">
        <v>338.510009765625</v>
      </c>
      <c r="C468">
        <v>338.79000854492188</v>
      </c>
      <c r="D468">
        <v>334.42001342773438</v>
      </c>
      <c r="E468">
        <v>336.05999755859375</v>
      </c>
      <c r="F468">
        <v>22570100</v>
      </c>
      <c r="G468">
        <v>325.17953491210938</v>
      </c>
      <c r="H468" s="2">
        <f>MONTH(Query1[[#This Row],[Date]])</f>
        <v>11</v>
      </c>
      <c r="I468" s="3">
        <f>Query1[[#This Row],[Shares]]*Query1[[#This Row],[Adj Close]]</f>
        <v>1168142.1068782331</v>
      </c>
      <c r="J468" s="3">
        <f>IF(ROW()&lt;3, Dashboard!$E$7, IF(Query1[[#This Row],[Month]]&lt;&gt;H467,J467*(1+Dashboard!$E$4)+Dashboard!$E$5,J467))</f>
        <v>671301.10182564484</v>
      </c>
      <c r="K468">
        <f>IF(ROW()&lt;3, 0,IF(Query1[[#This Row],[Month]]&lt;&gt;H467,IF((J468-I468&gt;0),J468-I468,0),0))</f>
        <v>0</v>
      </c>
      <c r="L468" s="2">
        <f t="shared" si="7"/>
        <v>3592.2989655359538</v>
      </c>
      <c r="M468">
        <f>IF(ROW()&lt;3, 0, IF(Query1[[#This Row],[Month]]&lt;&gt;H467, Dashboard!$J$5,0))</f>
        <v>0</v>
      </c>
      <c r="N468" s="2">
        <f>IF(ROW()&lt;3, Query1[[#This Row],[Shares]], IF(Query1[[#This Row],[Month]]&lt;&gt;H467, N467+Query1[[#This Row],[Fix Top Up]]/Query1[[#This Row],[Adj Close]], N467))</f>
        <v>3352.7147409964286</v>
      </c>
      <c r="O468">
        <f>IF(AND(Query1[[#This Row],[avg]]&gt;0, Query1[[#This Row],[Month]]&lt;&gt;H467),
    IF(Query1[[#This Row],[Adj Close]]&gt;Query1[[#This Row],[avg]],
       Dashboard!$L$5-Dashboard!$E$6,
       Dashboard!$L$5+Dashboard!$E$6
    ), 0
)</f>
        <v>0</v>
      </c>
      <c r="P468" s="2">
        <f>IF(ROW()&lt;3, Query1[[#This Row],[Shares]], IF(Query1[[#This Row],[Month]]&lt;&gt;H467, P467+Query1[[#This Row],[Enhanced top up]]/Query1[[#This Row],[Adj Close]], P467))</f>
        <v>3341.0074772229896</v>
      </c>
      <c r="Q468" s="2">
        <f>IFERROR(AVERAGE(
  IF(ROW()&gt;20, INDEX(G:G, ROW()-20), 0) :
  INDEX(G:G, ROW())
),0)</f>
        <v>303.85500517345611</v>
      </c>
    </row>
    <row r="469" spans="1:17" x14ac:dyDescent="0.4">
      <c r="A469" s="1">
        <v>44508</v>
      </c>
      <c r="B469">
        <v>337.29998779296875</v>
      </c>
      <c r="C469">
        <v>337.64999389648438</v>
      </c>
      <c r="D469">
        <v>334.44000244140625</v>
      </c>
      <c r="E469">
        <v>336.989990234375</v>
      </c>
      <c r="F469">
        <v>20897000</v>
      </c>
      <c r="G469">
        <v>326.07952880859375</v>
      </c>
      <c r="H469" s="2">
        <f>MONTH(Query1[[#This Row],[Date]])</f>
        <v>11</v>
      </c>
      <c r="I469" s="3">
        <f>Query1[[#This Row],[Shares]]*Query1[[#This Row],[Adj Close]]</f>
        <v>1171375.1540215625</v>
      </c>
      <c r="J469" s="3">
        <f>IF(ROW()&lt;3, Dashboard!$E$7, IF(Query1[[#This Row],[Month]]&lt;&gt;H468,J468*(1+Dashboard!$E$4)+Dashboard!$E$5,J468))</f>
        <v>671301.10182564484</v>
      </c>
      <c r="K469">
        <f>IF(ROW()&lt;3, 0,IF(Query1[[#This Row],[Month]]&lt;&gt;H468,IF((J469-I469&gt;0),J469-I469,0),0))</f>
        <v>0</v>
      </c>
      <c r="L469" s="2">
        <f t="shared" si="7"/>
        <v>3592.2989655359538</v>
      </c>
      <c r="M469">
        <f>IF(ROW()&lt;3, 0, IF(Query1[[#This Row],[Month]]&lt;&gt;H468, Dashboard!$J$5,0))</f>
        <v>0</v>
      </c>
      <c r="N469" s="2">
        <f>IF(ROW()&lt;3, Query1[[#This Row],[Shares]], IF(Query1[[#This Row],[Month]]&lt;&gt;H468, N468+Query1[[#This Row],[Fix Top Up]]/Query1[[#This Row],[Adj Close]], N468))</f>
        <v>3352.7147409964286</v>
      </c>
      <c r="O469">
        <f>IF(AND(Query1[[#This Row],[avg]]&gt;0, Query1[[#This Row],[Month]]&lt;&gt;H468),
    IF(Query1[[#This Row],[Adj Close]]&gt;Query1[[#This Row],[avg]],
       Dashboard!$L$5-Dashboard!$E$6,
       Dashboard!$L$5+Dashboard!$E$6
    ), 0
)</f>
        <v>0</v>
      </c>
      <c r="P469" s="2">
        <f>IF(ROW()&lt;3, Query1[[#This Row],[Shares]], IF(Query1[[#This Row],[Month]]&lt;&gt;H468, P468+Query1[[#This Row],[Enhanced top up]]/Query1[[#This Row],[Adj Close]], P468))</f>
        <v>3341.0074772229896</v>
      </c>
      <c r="Q469" s="2">
        <f>IFERROR(AVERAGE(
  IF(ROW()&gt;20, INDEX(G:G, ROW()-20), 0) :
  INDEX(G:G, ROW())
),0)</f>
        <v>305.79670497349332</v>
      </c>
    </row>
    <row r="470" spans="1:17" x14ac:dyDescent="0.4">
      <c r="A470" s="1">
        <v>44509</v>
      </c>
      <c r="B470">
        <v>337.1099853515625</v>
      </c>
      <c r="C470">
        <v>338.72000122070313</v>
      </c>
      <c r="D470">
        <v>334.52999877929688</v>
      </c>
      <c r="E470">
        <v>335.95001220703125</v>
      </c>
      <c r="F470">
        <v>21307400</v>
      </c>
      <c r="G470">
        <v>325.07318115234375</v>
      </c>
      <c r="H470" s="2">
        <f>MONTH(Query1[[#This Row],[Date]])</f>
        <v>11</v>
      </c>
      <c r="I470" s="3">
        <f>Query1[[#This Row],[Shares]]*Query1[[#This Row],[Adj Close]]</f>
        <v>1167760.0523770461</v>
      </c>
      <c r="J470" s="3">
        <f>IF(ROW()&lt;3, Dashboard!$E$7, IF(Query1[[#This Row],[Month]]&lt;&gt;H469,J469*(1+Dashboard!$E$4)+Dashboard!$E$5,J469))</f>
        <v>671301.10182564484</v>
      </c>
      <c r="K470">
        <f>IF(ROW()&lt;3, 0,IF(Query1[[#This Row],[Month]]&lt;&gt;H469,IF((J470-I470&gt;0),J470-I470,0),0))</f>
        <v>0</v>
      </c>
      <c r="L470" s="2">
        <f t="shared" si="7"/>
        <v>3592.2989655359538</v>
      </c>
      <c r="M470">
        <f>IF(ROW()&lt;3, 0, IF(Query1[[#This Row],[Month]]&lt;&gt;H469, Dashboard!$J$5,0))</f>
        <v>0</v>
      </c>
      <c r="N470" s="2">
        <f>IF(ROW()&lt;3, Query1[[#This Row],[Shares]], IF(Query1[[#This Row],[Month]]&lt;&gt;H469, N469+Query1[[#This Row],[Fix Top Up]]/Query1[[#This Row],[Adj Close]], N469))</f>
        <v>3352.7147409964286</v>
      </c>
      <c r="O470">
        <f>IF(AND(Query1[[#This Row],[avg]]&gt;0, Query1[[#This Row],[Month]]&lt;&gt;H469),
    IF(Query1[[#This Row],[Adj Close]]&gt;Query1[[#This Row],[avg]],
       Dashboard!$L$5-Dashboard!$E$6,
       Dashboard!$L$5+Dashboard!$E$6
    ), 0
)</f>
        <v>0</v>
      </c>
      <c r="P470" s="2">
        <f>IF(ROW()&lt;3, Query1[[#This Row],[Shares]], IF(Query1[[#This Row],[Month]]&lt;&gt;H469, P469+Query1[[#This Row],[Enhanced top up]]/Query1[[#This Row],[Adj Close]], P469))</f>
        <v>3341.0074772229896</v>
      </c>
      <c r="Q470" s="2">
        <f>IFERROR(AVERAGE(
  IF(ROW()&gt;20, INDEX(G:G, ROW()-20), 0) :
  INDEX(G:G, ROW())
),0)</f>
        <v>307.71905226934524</v>
      </c>
    </row>
    <row r="471" spans="1:17" x14ac:dyDescent="0.4">
      <c r="A471" s="1">
        <v>44510</v>
      </c>
      <c r="B471">
        <v>334.57000732421875</v>
      </c>
      <c r="C471">
        <v>334.6300048828125</v>
      </c>
      <c r="D471">
        <v>329.92001342773438</v>
      </c>
      <c r="E471">
        <v>330.79998779296875</v>
      </c>
      <c r="F471">
        <v>25500900</v>
      </c>
      <c r="G471">
        <v>320.08993530273438</v>
      </c>
      <c r="H471" s="2">
        <f>MONTH(Query1[[#This Row],[Date]])</f>
        <v>11</v>
      </c>
      <c r="I471" s="3">
        <f>Query1[[#This Row],[Shares]]*Query1[[#This Row],[Adj Close]]</f>
        <v>1149858.743466483</v>
      </c>
      <c r="J471" s="3">
        <f>IF(ROW()&lt;3, Dashboard!$E$7, IF(Query1[[#This Row],[Month]]&lt;&gt;H470,J470*(1+Dashboard!$E$4)+Dashboard!$E$5,J470))</f>
        <v>671301.10182564484</v>
      </c>
      <c r="K471">
        <f>IF(ROW()&lt;3, 0,IF(Query1[[#This Row],[Month]]&lt;&gt;H470,IF((J471-I471&gt;0),J471-I471,0),0))</f>
        <v>0</v>
      </c>
      <c r="L471" s="2">
        <f t="shared" si="7"/>
        <v>3592.2989655359538</v>
      </c>
      <c r="M471">
        <f>IF(ROW()&lt;3, 0, IF(Query1[[#This Row],[Month]]&lt;&gt;H470, Dashboard!$J$5,0))</f>
        <v>0</v>
      </c>
      <c r="N471" s="2">
        <f>IF(ROW()&lt;3, Query1[[#This Row],[Shares]], IF(Query1[[#This Row],[Month]]&lt;&gt;H470, N470+Query1[[#This Row],[Fix Top Up]]/Query1[[#This Row],[Adj Close]], N470))</f>
        <v>3352.7147409964286</v>
      </c>
      <c r="O471">
        <f>IF(AND(Query1[[#This Row],[avg]]&gt;0, Query1[[#This Row],[Month]]&lt;&gt;H470),
    IF(Query1[[#This Row],[Adj Close]]&gt;Query1[[#This Row],[avg]],
       Dashboard!$L$5-Dashboard!$E$6,
       Dashboard!$L$5+Dashboard!$E$6
    ), 0
)</f>
        <v>0</v>
      </c>
      <c r="P471" s="2">
        <f>IF(ROW()&lt;3, Query1[[#This Row],[Shares]], IF(Query1[[#This Row],[Month]]&lt;&gt;H470, P470+Query1[[#This Row],[Enhanced top up]]/Query1[[#This Row],[Adj Close]], P470))</f>
        <v>3341.0074772229896</v>
      </c>
      <c r="Q471" s="2">
        <f>IFERROR(AVERAGE(
  IF(ROW()&gt;20, INDEX(G:G, ROW()-20), 0) :
  INDEX(G:G, ROW())
),0)</f>
        <v>309.46630859375</v>
      </c>
    </row>
    <row r="472" spans="1:17" x14ac:dyDescent="0.4">
      <c r="A472" s="1">
        <v>44511</v>
      </c>
      <c r="B472">
        <v>331.25</v>
      </c>
      <c r="C472">
        <v>333.76998901367188</v>
      </c>
      <c r="D472">
        <v>330.510009765625</v>
      </c>
      <c r="E472">
        <v>332.42999267578125</v>
      </c>
      <c r="F472">
        <v>16849800</v>
      </c>
      <c r="G472">
        <v>321.6671142578125</v>
      </c>
      <c r="H472" s="2">
        <f>MONTH(Query1[[#This Row],[Date]])</f>
        <v>11</v>
      </c>
      <c r="I472" s="3">
        <f>Query1[[#This Row],[Shares]]*Query1[[#This Row],[Adj Close]]</f>
        <v>1155524.4417952753</v>
      </c>
      <c r="J472" s="3">
        <f>IF(ROW()&lt;3, Dashboard!$E$7, IF(Query1[[#This Row],[Month]]&lt;&gt;H471,J471*(1+Dashboard!$E$4)+Dashboard!$E$5,J471))</f>
        <v>671301.10182564484</v>
      </c>
      <c r="K472">
        <f>IF(ROW()&lt;3, 0,IF(Query1[[#This Row],[Month]]&lt;&gt;H471,IF((J472-I472&gt;0),J472-I472,0),0))</f>
        <v>0</v>
      </c>
      <c r="L472" s="2">
        <f t="shared" si="7"/>
        <v>3592.2989655359538</v>
      </c>
      <c r="M472">
        <f>IF(ROW()&lt;3, 0, IF(Query1[[#This Row],[Month]]&lt;&gt;H471, Dashboard!$J$5,0))</f>
        <v>0</v>
      </c>
      <c r="N472" s="2">
        <f>IF(ROW()&lt;3, Query1[[#This Row],[Shares]], IF(Query1[[#This Row],[Month]]&lt;&gt;H471, N471+Query1[[#This Row],[Fix Top Up]]/Query1[[#This Row],[Adj Close]], N471))</f>
        <v>3352.7147409964286</v>
      </c>
      <c r="O472">
        <f>IF(AND(Query1[[#This Row],[avg]]&gt;0, Query1[[#This Row],[Month]]&lt;&gt;H471),
    IF(Query1[[#This Row],[Adj Close]]&gt;Query1[[#This Row],[avg]],
       Dashboard!$L$5-Dashboard!$E$6,
       Dashboard!$L$5+Dashboard!$E$6
    ), 0
)</f>
        <v>0</v>
      </c>
      <c r="P472" s="2">
        <f>IF(ROW()&lt;3, Query1[[#This Row],[Shares]], IF(Query1[[#This Row],[Month]]&lt;&gt;H471, P471+Query1[[#This Row],[Enhanced top up]]/Query1[[#This Row],[Adj Close]], P471))</f>
        <v>3341.0074772229896</v>
      </c>
      <c r="Q472" s="2">
        <f>IFERROR(AVERAGE(
  IF(ROW()&gt;20, INDEX(G:G, ROW()-20), 0) :
  INDEX(G:G, ROW())
),0)</f>
        <v>311.13062250046505</v>
      </c>
    </row>
    <row r="473" spans="1:17" x14ac:dyDescent="0.4">
      <c r="A473" s="1">
        <v>44512</v>
      </c>
      <c r="B473">
        <v>333.92001342773438</v>
      </c>
      <c r="C473">
        <v>337.23001098632813</v>
      </c>
      <c r="D473">
        <v>333.79000854492188</v>
      </c>
      <c r="E473">
        <v>336.72000122070313</v>
      </c>
      <c r="F473">
        <v>23831000</v>
      </c>
      <c r="G473">
        <v>325.81826782226563</v>
      </c>
      <c r="H473" s="2">
        <f>MONTH(Query1[[#This Row],[Date]])</f>
        <v>11</v>
      </c>
      <c r="I473" s="3">
        <f>Query1[[#This Row],[Shares]]*Query1[[#This Row],[Adj Close]]</f>
        <v>1170436.6264506411</v>
      </c>
      <c r="J473" s="3">
        <f>IF(ROW()&lt;3, Dashboard!$E$7, IF(Query1[[#This Row],[Month]]&lt;&gt;H472,J472*(1+Dashboard!$E$4)+Dashboard!$E$5,J472))</f>
        <v>671301.10182564484</v>
      </c>
      <c r="K473">
        <f>IF(ROW()&lt;3, 0,IF(Query1[[#This Row],[Month]]&lt;&gt;H472,IF((J473-I473&gt;0),J473-I473,0),0))</f>
        <v>0</v>
      </c>
      <c r="L473" s="2">
        <f t="shared" si="7"/>
        <v>3592.2989655359538</v>
      </c>
      <c r="M473">
        <f>IF(ROW()&lt;3, 0, IF(Query1[[#This Row],[Month]]&lt;&gt;H472, Dashboard!$J$5,0))</f>
        <v>0</v>
      </c>
      <c r="N473" s="2">
        <f>IF(ROW()&lt;3, Query1[[#This Row],[Shares]], IF(Query1[[#This Row],[Month]]&lt;&gt;H472, N472+Query1[[#This Row],[Fix Top Up]]/Query1[[#This Row],[Adj Close]], N472))</f>
        <v>3352.7147409964286</v>
      </c>
      <c r="O473">
        <f>IF(AND(Query1[[#This Row],[avg]]&gt;0, Query1[[#This Row],[Month]]&lt;&gt;H472),
    IF(Query1[[#This Row],[Adj Close]]&gt;Query1[[#This Row],[avg]],
       Dashboard!$L$5-Dashboard!$E$6,
       Dashboard!$L$5+Dashboard!$E$6
    ), 0
)</f>
        <v>0</v>
      </c>
      <c r="P473" s="2">
        <f>IF(ROW()&lt;3, Query1[[#This Row],[Shares]], IF(Query1[[#This Row],[Month]]&lt;&gt;H472, P472+Query1[[#This Row],[Enhanced top up]]/Query1[[#This Row],[Adj Close]], P472))</f>
        <v>3341.0074772229896</v>
      </c>
      <c r="Q473" s="2">
        <f>IFERROR(AVERAGE(
  IF(ROW()&gt;20, INDEX(G:G, ROW()-20), 0) :
  INDEX(G:G, ROW())
),0)</f>
        <v>312.69587198893231</v>
      </c>
    </row>
    <row r="474" spans="1:17" x14ac:dyDescent="0.4">
      <c r="A474" s="1">
        <v>44515</v>
      </c>
      <c r="B474">
        <v>337.54000854492188</v>
      </c>
      <c r="C474">
        <v>337.8800048828125</v>
      </c>
      <c r="D474">
        <v>334.02999877929688</v>
      </c>
      <c r="E474">
        <v>336.07000732421875</v>
      </c>
      <c r="F474">
        <v>16723000</v>
      </c>
      <c r="G474">
        <v>325.18927001953125</v>
      </c>
      <c r="H474" s="2">
        <f>MONTH(Query1[[#This Row],[Date]])</f>
        <v>11</v>
      </c>
      <c r="I474" s="3">
        <f>Query1[[#This Row],[Shares]]*Query1[[#This Row],[Adj Close]]</f>
        <v>1168177.078294554</v>
      </c>
      <c r="J474" s="3">
        <f>IF(ROW()&lt;3, Dashboard!$E$7, IF(Query1[[#This Row],[Month]]&lt;&gt;H473,J473*(1+Dashboard!$E$4)+Dashboard!$E$5,J473))</f>
        <v>671301.10182564484</v>
      </c>
      <c r="K474">
        <f>IF(ROW()&lt;3, 0,IF(Query1[[#This Row],[Month]]&lt;&gt;H473,IF((J474-I474&gt;0),J474-I474,0),0))</f>
        <v>0</v>
      </c>
      <c r="L474" s="2">
        <f t="shared" si="7"/>
        <v>3592.2989655359538</v>
      </c>
      <c r="M474">
        <f>IF(ROW()&lt;3, 0, IF(Query1[[#This Row],[Month]]&lt;&gt;H473, Dashboard!$J$5,0))</f>
        <v>0</v>
      </c>
      <c r="N474" s="2">
        <f>IF(ROW()&lt;3, Query1[[#This Row],[Shares]], IF(Query1[[#This Row],[Month]]&lt;&gt;H473, N473+Query1[[#This Row],[Fix Top Up]]/Query1[[#This Row],[Adj Close]], N473))</f>
        <v>3352.7147409964286</v>
      </c>
      <c r="O474">
        <f>IF(AND(Query1[[#This Row],[avg]]&gt;0, Query1[[#This Row],[Month]]&lt;&gt;H473),
    IF(Query1[[#This Row],[Adj Close]]&gt;Query1[[#This Row],[avg]],
       Dashboard!$L$5-Dashboard!$E$6,
       Dashboard!$L$5+Dashboard!$E$6
    ), 0
)</f>
        <v>0</v>
      </c>
      <c r="P474" s="2">
        <f>IF(ROW()&lt;3, Query1[[#This Row],[Shares]], IF(Query1[[#This Row],[Month]]&lt;&gt;H473, P473+Query1[[#This Row],[Enhanced top up]]/Query1[[#This Row],[Adj Close]], P473))</f>
        <v>3341.0074772229896</v>
      </c>
      <c r="Q474" s="2">
        <f>IFERROR(AVERAGE(
  IF(ROW()&gt;20, INDEX(G:G, ROW()-20), 0) :
  INDEX(G:G, ROW())
),0)</f>
        <v>314.1638939267113</v>
      </c>
    </row>
    <row r="475" spans="1:17" x14ac:dyDescent="0.4">
      <c r="A475" s="1">
        <v>44516</v>
      </c>
      <c r="B475">
        <v>335.67999267578125</v>
      </c>
      <c r="C475">
        <v>340.67001342773438</v>
      </c>
      <c r="D475">
        <v>335.510009765625</v>
      </c>
      <c r="E475">
        <v>339.510009765625</v>
      </c>
      <c r="F475">
        <v>20886800</v>
      </c>
      <c r="G475">
        <v>328.51791381835938</v>
      </c>
      <c r="H475" s="2">
        <f>MONTH(Query1[[#This Row],[Date]])</f>
        <v>11</v>
      </c>
      <c r="I475" s="3">
        <f>Query1[[#This Row],[Shares]]*Query1[[#This Row],[Adj Close]]</f>
        <v>1180134.5619697219</v>
      </c>
      <c r="J475" s="3">
        <f>IF(ROW()&lt;3, Dashboard!$E$7, IF(Query1[[#This Row],[Month]]&lt;&gt;H474,J474*(1+Dashboard!$E$4)+Dashboard!$E$5,J474))</f>
        <v>671301.10182564484</v>
      </c>
      <c r="K475">
        <f>IF(ROW()&lt;3, 0,IF(Query1[[#This Row],[Month]]&lt;&gt;H474,IF((J475-I475&gt;0),J475-I475,0),0))</f>
        <v>0</v>
      </c>
      <c r="L475" s="2">
        <f t="shared" si="7"/>
        <v>3592.2989655359538</v>
      </c>
      <c r="M475">
        <f>IF(ROW()&lt;3, 0, IF(Query1[[#This Row],[Month]]&lt;&gt;H474, Dashboard!$J$5,0))</f>
        <v>0</v>
      </c>
      <c r="N475" s="2">
        <f>IF(ROW()&lt;3, Query1[[#This Row],[Shares]], IF(Query1[[#This Row],[Month]]&lt;&gt;H474, N474+Query1[[#This Row],[Fix Top Up]]/Query1[[#This Row],[Adj Close]], N474))</f>
        <v>3352.7147409964286</v>
      </c>
      <c r="O475">
        <f>IF(AND(Query1[[#This Row],[avg]]&gt;0, Query1[[#This Row],[Month]]&lt;&gt;H474),
    IF(Query1[[#This Row],[Adj Close]]&gt;Query1[[#This Row],[avg]],
       Dashboard!$L$5-Dashboard!$E$6,
       Dashboard!$L$5+Dashboard!$E$6
    ), 0
)</f>
        <v>0</v>
      </c>
      <c r="P475" s="2">
        <f>IF(ROW()&lt;3, Query1[[#This Row],[Shares]], IF(Query1[[#This Row],[Month]]&lt;&gt;H474, P474+Query1[[#This Row],[Enhanced top up]]/Query1[[#This Row],[Adj Close]], P474))</f>
        <v>3341.0074772229896</v>
      </c>
      <c r="Q475" s="2">
        <f>IFERROR(AVERAGE(
  IF(ROW()&gt;20, INDEX(G:G, ROW()-20), 0) :
  INDEX(G:G, ROW())
),0)</f>
        <v>315.64850434802827</v>
      </c>
    </row>
    <row r="476" spans="1:17" x14ac:dyDescent="0.4">
      <c r="A476" s="1">
        <v>44517</v>
      </c>
      <c r="B476">
        <v>338.94000244140625</v>
      </c>
      <c r="C476">
        <v>342.19000244140625</v>
      </c>
      <c r="D476">
        <v>338</v>
      </c>
      <c r="E476">
        <v>339.1199951171875</v>
      </c>
      <c r="F476">
        <v>19053400</v>
      </c>
      <c r="G476">
        <v>328.7408447265625</v>
      </c>
      <c r="H476" s="2">
        <f>MONTH(Query1[[#This Row],[Date]])</f>
        <v>11</v>
      </c>
      <c r="I476" s="3">
        <f>Query1[[#This Row],[Shares]]*Query1[[#This Row],[Adj Close]]</f>
        <v>1180935.3964406461</v>
      </c>
      <c r="J476" s="3">
        <f>IF(ROW()&lt;3, Dashboard!$E$7, IF(Query1[[#This Row],[Month]]&lt;&gt;H475,J475*(1+Dashboard!$E$4)+Dashboard!$E$5,J475))</f>
        <v>671301.10182564484</v>
      </c>
      <c r="K476">
        <f>IF(ROW()&lt;3, 0,IF(Query1[[#This Row],[Month]]&lt;&gt;H475,IF((J476-I476&gt;0),J476-I476,0),0))</f>
        <v>0</v>
      </c>
      <c r="L476" s="2">
        <f t="shared" si="7"/>
        <v>3592.2989655359538</v>
      </c>
      <c r="M476">
        <f>IF(ROW()&lt;3, 0, IF(Query1[[#This Row],[Month]]&lt;&gt;H475, Dashboard!$J$5,0))</f>
        <v>0</v>
      </c>
      <c r="N476" s="2">
        <f>IF(ROW()&lt;3, Query1[[#This Row],[Shares]], IF(Query1[[#This Row],[Month]]&lt;&gt;H475, N475+Query1[[#This Row],[Fix Top Up]]/Query1[[#This Row],[Adj Close]], N475))</f>
        <v>3352.7147409964286</v>
      </c>
      <c r="O476">
        <f>IF(AND(Query1[[#This Row],[avg]]&gt;0, Query1[[#This Row],[Month]]&lt;&gt;H475),
    IF(Query1[[#This Row],[Adj Close]]&gt;Query1[[#This Row],[avg]],
       Dashboard!$L$5-Dashboard!$E$6,
       Dashboard!$L$5+Dashboard!$E$6
    ), 0
)</f>
        <v>0</v>
      </c>
      <c r="P476" s="2">
        <f>IF(ROW()&lt;3, Query1[[#This Row],[Shares]], IF(Query1[[#This Row],[Month]]&lt;&gt;H475, P475+Query1[[#This Row],[Enhanced top up]]/Query1[[#This Row],[Adj Close]], P475))</f>
        <v>3341.0074772229896</v>
      </c>
      <c r="Q476" s="2">
        <f>IFERROR(AVERAGE(
  IF(ROW()&gt;20, INDEX(G:G, ROW()-20), 0) :
  INDEX(G:G, ROW())
),0)</f>
        <v>317.10042027064731</v>
      </c>
    </row>
    <row r="477" spans="1:17" x14ac:dyDescent="0.4">
      <c r="A477" s="1">
        <v>44518</v>
      </c>
      <c r="B477">
        <v>338.17999267578125</v>
      </c>
      <c r="C477">
        <v>342.45001220703125</v>
      </c>
      <c r="D477">
        <v>337.1199951171875</v>
      </c>
      <c r="E477">
        <v>341.26998901367188</v>
      </c>
      <c r="F477">
        <v>22463500</v>
      </c>
      <c r="G477">
        <v>330.82498168945313</v>
      </c>
      <c r="H477" s="2">
        <f>MONTH(Query1[[#This Row],[Date]])</f>
        <v>11</v>
      </c>
      <c r="I477" s="3">
        <f>Query1[[#This Row],[Shares]]*Query1[[#This Row],[Adj Close]]</f>
        <v>1188422.2394964732</v>
      </c>
      <c r="J477" s="3">
        <f>IF(ROW()&lt;3, Dashboard!$E$7, IF(Query1[[#This Row],[Month]]&lt;&gt;H476,J476*(1+Dashboard!$E$4)+Dashboard!$E$5,J476))</f>
        <v>671301.10182564484</v>
      </c>
      <c r="K477">
        <f>IF(ROW()&lt;3, 0,IF(Query1[[#This Row],[Month]]&lt;&gt;H476,IF((J477-I477&gt;0),J477-I477,0),0))</f>
        <v>0</v>
      </c>
      <c r="L477" s="2">
        <f t="shared" si="7"/>
        <v>3592.2989655359538</v>
      </c>
      <c r="M477">
        <f>IF(ROW()&lt;3, 0, IF(Query1[[#This Row],[Month]]&lt;&gt;H476, Dashboard!$J$5,0))</f>
        <v>0</v>
      </c>
      <c r="N477" s="2">
        <f>IF(ROW()&lt;3, Query1[[#This Row],[Shares]], IF(Query1[[#This Row],[Month]]&lt;&gt;H476, N476+Query1[[#This Row],[Fix Top Up]]/Query1[[#This Row],[Adj Close]], N476))</f>
        <v>3352.7147409964286</v>
      </c>
      <c r="O477">
        <f>IF(AND(Query1[[#This Row],[avg]]&gt;0, Query1[[#This Row],[Month]]&lt;&gt;H476),
    IF(Query1[[#This Row],[Adj Close]]&gt;Query1[[#This Row],[avg]],
       Dashboard!$L$5-Dashboard!$E$6,
       Dashboard!$L$5+Dashboard!$E$6
    ), 0
)</f>
        <v>0</v>
      </c>
      <c r="P477" s="2">
        <f>IF(ROW()&lt;3, Query1[[#This Row],[Shares]], IF(Query1[[#This Row],[Month]]&lt;&gt;H476, P476+Query1[[#This Row],[Enhanced top up]]/Query1[[#This Row],[Adj Close]], P476))</f>
        <v>3341.0074772229896</v>
      </c>
      <c r="Q477" s="2">
        <f>IFERROR(AVERAGE(
  IF(ROW()&gt;20, INDEX(G:G, ROW()-20), 0) :
  INDEX(G:G, ROW())
),0)</f>
        <v>318.68936157226563</v>
      </c>
    </row>
    <row r="478" spans="1:17" x14ac:dyDescent="0.4">
      <c r="A478" s="1">
        <v>44519</v>
      </c>
      <c r="B478">
        <v>342.6400146484375</v>
      </c>
      <c r="C478">
        <v>345.10000610351563</v>
      </c>
      <c r="D478">
        <v>342.20001220703125</v>
      </c>
      <c r="E478">
        <v>343.1099853515625</v>
      </c>
      <c r="F478">
        <v>21963400</v>
      </c>
      <c r="G478">
        <v>332.60867309570313</v>
      </c>
      <c r="H478" s="2">
        <f>MONTH(Query1[[#This Row],[Date]])</f>
        <v>11</v>
      </c>
      <c r="I478" s="3">
        <f>Query1[[#This Row],[Shares]]*Query1[[#This Row],[Adj Close]]</f>
        <v>1194829.7922899805</v>
      </c>
      <c r="J478" s="3">
        <f>IF(ROW()&lt;3, Dashboard!$E$7, IF(Query1[[#This Row],[Month]]&lt;&gt;H477,J477*(1+Dashboard!$E$4)+Dashboard!$E$5,J477))</f>
        <v>671301.10182564484</v>
      </c>
      <c r="K478">
        <f>IF(ROW()&lt;3, 0,IF(Query1[[#This Row],[Month]]&lt;&gt;H477,IF((J478-I478&gt;0),J478-I478,0),0))</f>
        <v>0</v>
      </c>
      <c r="L478" s="2">
        <f t="shared" si="7"/>
        <v>3592.2989655359538</v>
      </c>
      <c r="M478">
        <f>IF(ROW()&lt;3, 0, IF(Query1[[#This Row],[Month]]&lt;&gt;H477, Dashboard!$J$5,0))</f>
        <v>0</v>
      </c>
      <c r="N478" s="2">
        <f>IF(ROW()&lt;3, Query1[[#This Row],[Shares]], IF(Query1[[#This Row],[Month]]&lt;&gt;H477, N477+Query1[[#This Row],[Fix Top Up]]/Query1[[#This Row],[Adj Close]], N477))</f>
        <v>3352.7147409964286</v>
      </c>
      <c r="O478">
        <f>IF(AND(Query1[[#This Row],[avg]]&gt;0, Query1[[#This Row],[Month]]&lt;&gt;H477),
    IF(Query1[[#This Row],[Adj Close]]&gt;Query1[[#This Row],[avg]],
       Dashboard!$L$5-Dashboard!$E$6,
       Dashboard!$L$5+Dashboard!$E$6
    ), 0
)</f>
        <v>0</v>
      </c>
      <c r="P478" s="2">
        <f>IF(ROW()&lt;3, Query1[[#This Row],[Shares]], IF(Query1[[#This Row],[Month]]&lt;&gt;H477, P477+Query1[[#This Row],[Enhanced top up]]/Query1[[#This Row],[Adj Close]], P477))</f>
        <v>3341.0074772229896</v>
      </c>
      <c r="Q478" s="2">
        <f>IFERROR(AVERAGE(
  IF(ROW()&gt;20, INDEX(G:G, ROW()-20), 0) :
  INDEX(G:G, ROW())
),0)</f>
        <v>320.20888264973956</v>
      </c>
    </row>
    <row r="479" spans="1:17" x14ac:dyDescent="0.4">
      <c r="A479" s="1">
        <v>44522</v>
      </c>
      <c r="B479">
        <v>344.6199951171875</v>
      </c>
      <c r="C479">
        <v>349.67001342773438</v>
      </c>
      <c r="D479">
        <v>339.54998779296875</v>
      </c>
      <c r="E479">
        <v>339.82998657226563</v>
      </c>
      <c r="F479">
        <v>31031100</v>
      </c>
      <c r="G479">
        <v>329.42913818359375</v>
      </c>
      <c r="H479" s="2">
        <f>MONTH(Query1[[#This Row],[Date]])</f>
        <v>11</v>
      </c>
      <c r="I479" s="3">
        <f>Query1[[#This Row],[Shares]]*Query1[[#This Row],[Adj Close]]</f>
        <v>1183407.9523143247</v>
      </c>
      <c r="J479" s="3">
        <f>IF(ROW()&lt;3, Dashboard!$E$7, IF(Query1[[#This Row],[Month]]&lt;&gt;H478,J478*(1+Dashboard!$E$4)+Dashboard!$E$5,J478))</f>
        <v>671301.10182564484</v>
      </c>
      <c r="K479">
        <f>IF(ROW()&lt;3, 0,IF(Query1[[#This Row],[Month]]&lt;&gt;H478,IF((J479-I479&gt;0),J479-I479,0),0))</f>
        <v>0</v>
      </c>
      <c r="L479" s="2">
        <f t="shared" si="7"/>
        <v>3592.2989655359538</v>
      </c>
      <c r="M479">
        <f>IF(ROW()&lt;3, 0, IF(Query1[[#This Row],[Month]]&lt;&gt;H478, Dashboard!$J$5,0))</f>
        <v>0</v>
      </c>
      <c r="N479" s="2">
        <f>IF(ROW()&lt;3, Query1[[#This Row],[Shares]], IF(Query1[[#This Row],[Month]]&lt;&gt;H478, N478+Query1[[#This Row],[Fix Top Up]]/Query1[[#This Row],[Adj Close]], N478))</f>
        <v>3352.7147409964286</v>
      </c>
      <c r="O479">
        <f>IF(AND(Query1[[#This Row],[avg]]&gt;0, Query1[[#This Row],[Month]]&lt;&gt;H478),
    IF(Query1[[#This Row],[Adj Close]]&gt;Query1[[#This Row],[avg]],
       Dashboard!$L$5-Dashboard!$E$6,
       Dashboard!$L$5+Dashboard!$E$6
    ), 0
)</f>
        <v>0</v>
      </c>
      <c r="P479" s="2">
        <f>IF(ROW()&lt;3, Query1[[#This Row],[Shares]], IF(Query1[[#This Row],[Month]]&lt;&gt;H478, P478+Query1[[#This Row],[Enhanced top up]]/Query1[[#This Row],[Adj Close]], P478))</f>
        <v>3341.0074772229896</v>
      </c>
      <c r="Q479" s="2">
        <f>IFERROR(AVERAGE(
  IF(ROW()&gt;20, INDEX(G:G, ROW()-20), 0) :
  INDEX(G:G, ROW())
),0)</f>
        <v>321.65072486514134</v>
      </c>
    </row>
    <row r="480" spans="1:17" x14ac:dyDescent="0.4">
      <c r="A480" s="1">
        <v>44523</v>
      </c>
      <c r="B480">
        <v>337.04998779296875</v>
      </c>
      <c r="C480">
        <v>339.45001220703125</v>
      </c>
      <c r="D480">
        <v>333.55999755859375</v>
      </c>
      <c r="E480">
        <v>337.67999267578125</v>
      </c>
      <c r="F480">
        <v>30427600</v>
      </c>
      <c r="G480">
        <v>327.34490966796875</v>
      </c>
      <c r="H480" s="2">
        <f>MONTH(Query1[[#This Row],[Date]])</f>
        <v>11</v>
      </c>
      <c r="I480" s="3">
        <f>Query1[[#This Row],[Shares]]*Query1[[#This Row],[Adj Close]]</f>
        <v>1175920.7803737044</v>
      </c>
      <c r="J480" s="3">
        <f>IF(ROW()&lt;3, Dashboard!$E$7, IF(Query1[[#This Row],[Month]]&lt;&gt;H479,J479*(1+Dashboard!$E$4)+Dashboard!$E$5,J479))</f>
        <v>671301.10182564484</v>
      </c>
      <c r="K480">
        <f>IF(ROW()&lt;3, 0,IF(Query1[[#This Row],[Month]]&lt;&gt;H479,IF((J480-I480&gt;0),J480-I480,0),0))</f>
        <v>0</v>
      </c>
      <c r="L480" s="2">
        <f t="shared" si="7"/>
        <v>3592.2989655359538</v>
      </c>
      <c r="M480">
        <f>IF(ROW()&lt;3, 0, IF(Query1[[#This Row],[Month]]&lt;&gt;H479, Dashboard!$J$5,0))</f>
        <v>0</v>
      </c>
      <c r="N480" s="2">
        <f>IF(ROW()&lt;3, Query1[[#This Row],[Shares]], IF(Query1[[#This Row],[Month]]&lt;&gt;H479, N479+Query1[[#This Row],[Fix Top Up]]/Query1[[#This Row],[Adj Close]], N479))</f>
        <v>3352.7147409964286</v>
      </c>
      <c r="O480">
        <f>IF(AND(Query1[[#This Row],[avg]]&gt;0, Query1[[#This Row],[Month]]&lt;&gt;H479),
    IF(Query1[[#This Row],[Adj Close]]&gt;Query1[[#This Row],[avg]],
       Dashboard!$L$5-Dashboard!$E$6,
       Dashboard!$L$5+Dashboard!$E$6
    ), 0
)</f>
        <v>0</v>
      </c>
      <c r="P480" s="2">
        <f>IF(ROW()&lt;3, Query1[[#This Row],[Shares]], IF(Query1[[#This Row],[Month]]&lt;&gt;H479, P479+Query1[[#This Row],[Enhanced top up]]/Query1[[#This Row],[Adj Close]], P479))</f>
        <v>3341.0074772229896</v>
      </c>
      <c r="Q480" s="2">
        <f>IFERROR(AVERAGE(
  IF(ROW()&gt;20, INDEX(G:G, ROW()-20), 0) :
  INDEX(G:G, ROW())
),0)</f>
        <v>323.04077439081101</v>
      </c>
    </row>
    <row r="481" spans="1:17" x14ac:dyDescent="0.4">
      <c r="A481" s="1">
        <v>44524</v>
      </c>
      <c r="B481">
        <v>336.27999877929688</v>
      </c>
      <c r="C481">
        <v>338.16000366210938</v>
      </c>
      <c r="D481">
        <v>333.91000366210938</v>
      </c>
      <c r="E481">
        <v>337.91000366210938</v>
      </c>
      <c r="F481">
        <v>21661300</v>
      </c>
      <c r="G481">
        <v>327.56784057617188</v>
      </c>
      <c r="H481" s="2">
        <f>MONTH(Query1[[#This Row],[Date]])</f>
        <v>11</v>
      </c>
      <c r="I481" s="3">
        <f>Query1[[#This Row],[Shares]]*Query1[[#This Row],[Adj Close]]</f>
        <v>1176721.6148446284</v>
      </c>
      <c r="J481" s="3">
        <f>IF(ROW()&lt;3, Dashboard!$E$7, IF(Query1[[#This Row],[Month]]&lt;&gt;H480,J480*(1+Dashboard!$E$4)+Dashboard!$E$5,J480))</f>
        <v>671301.10182564484</v>
      </c>
      <c r="K481">
        <f>IF(ROW()&lt;3, 0,IF(Query1[[#This Row],[Month]]&lt;&gt;H480,IF((J481-I481&gt;0),J481-I481,0),0))</f>
        <v>0</v>
      </c>
      <c r="L481" s="2">
        <f t="shared" si="7"/>
        <v>3592.2989655359538</v>
      </c>
      <c r="M481">
        <f>IF(ROW()&lt;3, 0, IF(Query1[[#This Row],[Month]]&lt;&gt;H480, Dashboard!$J$5,0))</f>
        <v>0</v>
      </c>
      <c r="N481" s="2">
        <f>IF(ROW()&lt;3, Query1[[#This Row],[Shares]], IF(Query1[[#This Row],[Month]]&lt;&gt;H480, N480+Query1[[#This Row],[Fix Top Up]]/Query1[[#This Row],[Adj Close]], N480))</f>
        <v>3352.7147409964286</v>
      </c>
      <c r="O481">
        <f>IF(AND(Query1[[#This Row],[avg]]&gt;0, Query1[[#This Row],[Month]]&lt;&gt;H480),
    IF(Query1[[#This Row],[Adj Close]]&gt;Query1[[#This Row],[avg]],
       Dashboard!$L$5-Dashboard!$E$6,
       Dashboard!$L$5+Dashboard!$E$6
    ), 0
)</f>
        <v>0</v>
      </c>
      <c r="P481" s="2">
        <f>IF(ROW()&lt;3, Query1[[#This Row],[Shares]], IF(Query1[[#This Row],[Month]]&lt;&gt;H480, P480+Query1[[#This Row],[Enhanced top up]]/Query1[[#This Row],[Adj Close]], P480))</f>
        <v>3341.0074772229896</v>
      </c>
      <c r="Q481" s="2">
        <f>IFERROR(AVERAGE(
  IF(ROW()&gt;20, INDEX(G:G, ROW()-20), 0) :
  INDEX(G:G, ROW())
),0)</f>
        <v>324.35020955403644</v>
      </c>
    </row>
    <row r="482" spans="1:17" x14ac:dyDescent="0.4">
      <c r="A482" s="1">
        <v>44526</v>
      </c>
      <c r="B482">
        <v>334.35000610351563</v>
      </c>
      <c r="C482">
        <v>337.92999267578125</v>
      </c>
      <c r="D482">
        <v>328.1199951171875</v>
      </c>
      <c r="E482">
        <v>329.67999267578125</v>
      </c>
      <c r="F482">
        <v>24217200</v>
      </c>
      <c r="G482">
        <v>319.58981323242188</v>
      </c>
      <c r="H482" s="2">
        <f>MONTH(Query1[[#This Row],[Date]])</f>
        <v>11</v>
      </c>
      <c r="I482" s="3">
        <f>Query1[[#This Row],[Shares]]*Query1[[#This Row],[Adj Close]]</f>
        <v>1148062.1554706579</v>
      </c>
      <c r="J482" s="3">
        <f>IF(ROW()&lt;3, Dashboard!$E$7, IF(Query1[[#This Row],[Month]]&lt;&gt;H481,J481*(1+Dashboard!$E$4)+Dashboard!$E$5,J481))</f>
        <v>671301.10182564484</v>
      </c>
      <c r="K482">
        <f>IF(ROW()&lt;3, 0,IF(Query1[[#This Row],[Month]]&lt;&gt;H481,IF((J482-I482&gt;0),J482-I482,0),0))</f>
        <v>0</v>
      </c>
      <c r="L482" s="2">
        <f t="shared" si="7"/>
        <v>3592.2989655359538</v>
      </c>
      <c r="M482">
        <f>IF(ROW()&lt;3, 0, IF(Query1[[#This Row],[Month]]&lt;&gt;H481, Dashboard!$J$5,0))</f>
        <v>0</v>
      </c>
      <c r="N482" s="2">
        <f>IF(ROW()&lt;3, Query1[[#This Row],[Shares]], IF(Query1[[#This Row],[Month]]&lt;&gt;H481, N481+Query1[[#This Row],[Fix Top Up]]/Query1[[#This Row],[Adj Close]], N481))</f>
        <v>3352.7147409964286</v>
      </c>
      <c r="O482">
        <f>IF(AND(Query1[[#This Row],[avg]]&gt;0, Query1[[#This Row],[Month]]&lt;&gt;H481),
    IF(Query1[[#This Row],[Adj Close]]&gt;Query1[[#This Row],[avg]],
       Dashboard!$L$5-Dashboard!$E$6,
       Dashboard!$L$5+Dashboard!$E$6
    ), 0
)</f>
        <v>0</v>
      </c>
      <c r="P482" s="2">
        <f>IF(ROW()&lt;3, Query1[[#This Row],[Shares]], IF(Query1[[#This Row],[Month]]&lt;&gt;H481, P481+Query1[[#This Row],[Enhanced top up]]/Query1[[#This Row],[Adj Close]], P481))</f>
        <v>3341.0074772229896</v>
      </c>
      <c r="Q482" s="2">
        <f>IFERROR(AVERAGE(
  IF(ROW()&gt;20, INDEX(G:G, ROW()-20), 0) :
  INDEX(G:G, ROW())
),0)</f>
        <v>324.67796688988096</v>
      </c>
    </row>
    <row r="483" spans="1:17" x14ac:dyDescent="0.4">
      <c r="A483" s="1">
        <v>44529</v>
      </c>
      <c r="B483">
        <v>334.94000244140625</v>
      </c>
      <c r="C483">
        <v>339.02999877929688</v>
      </c>
      <c r="D483">
        <v>334.739990234375</v>
      </c>
      <c r="E483">
        <v>336.6300048828125</v>
      </c>
      <c r="F483">
        <v>28563500</v>
      </c>
      <c r="G483">
        <v>326.32711791992188</v>
      </c>
      <c r="H483" s="2">
        <f>MONTH(Query1[[#This Row],[Date]])</f>
        <v>11</v>
      </c>
      <c r="I483" s="3">
        <f>Query1[[#This Row],[Shares]]*Query1[[#This Row],[Adj Close]]</f>
        <v>1172264.5681300645</v>
      </c>
      <c r="J483" s="3">
        <f>IF(ROW()&lt;3, Dashboard!$E$7, IF(Query1[[#This Row],[Month]]&lt;&gt;H482,J482*(1+Dashboard!$E$4)+Dashboard!$E$5,J482))</f>
        <v>671301.10182564484</v>
      </c>
      <c r="K483">
        <f>IF(ROW()&lt;3, 0,IF(Query1[[#This Row],[Month]]&lt;&gt;H482,IF((J483-I483&gt;0),J483-I483,0),0))</f>
        <v>0</v>
      </c>
      <c r="L483" s="2">
        <f t="shared" si="7"/>
        <v>3592.2989655359538</v>
      </c>
      <c r="M483">
        <f>IF(ROW()&lt;3, 0, IF(Query1[[#This Row],[Month]]&lt;&gt;H482, Dashboard!$J$5,0))</f>
        <v>0</v>
      </c>
      <c r="N483" s="2">
        <f>IF(ROW()&lt;3, Query1[[#This Row],[Shares]], IF(Query1[[#This Row],[Month]]&lt;&gt;H482, N482+Query1[[#This Row],[Fix Top Up]]/Query1[[#This Row],[Adj Close]], N482))</f>
        <v>3352.7147409964286</v>
      </c>
      <c r="O483">
        <f>IF(AND(Query1[[#This Row],[avg]]&gt;0, Query1[[#This Row],[Month]]&lt;&gt;H482),
    IF(Query1[[#This Row],[Adj Close]]&gt;Query1[[#This Row],[avg]],
       Dashboard!$L$5-Dashboard!$E$6,
       Dashboard!$L$5+Dashboard!$E$6
    ), 0
)</f>
        <v>0</v>
      </c>
      <c r="P483" s="2">
        <f>IF(ROW()&lt;3, Query1[[#This Row],[Shares]], IF(Query1[[#This Row],[Month]]&lt;&gt;H482, P482+Query1[[#This Row],[Enhanced top up]]/Query1[[#This Row],[Adj Close]], P482))</f>
        <v>3341.0074772229896</v>
      </c>
      <c r="Q483" s="2">
        <f>IFERROR(AVERAGE(
  IF(ROW()&gt;20, INDEX(G:G, ROW()-20), 0) :
  INDEX(G:G, ROW())
),0)</f>
        <v>325.27217610677081</v>
      </c>
    </row>
    <row r="484" spans="1:17" x14ac:dyDescent="0.4">
      <c r="A484" s="1">
        <v>44530</v>
      </c>
      <c r="B484">
        <v>335.32000732421875</v>
      </c>
      <c r="C484">
        <v>337.77999877929688</v>
      </c>
      <c r="D484">
        <v>328.989990234375</v>
      </c>
      <c r="E484">
        <v>330.58999633789063</v>
      </c>
      <c r="F484">
        <v>42885600</v>
      </c>
      <c r="G484">
        <v>320.47189331054688</v>
      </c>
      <c r="H484" s="2">
        <f>MONTH(Query1[[#This Row],[Date]])</f>
        <v>11</v>
      </c>
      <c r="I484" s="3">
        <f>Query1[[#This Row],[Shares]]*Query1[[#This Row],[Adj Close]]</f>
        <v>1151230.8508228261</v>
      </c>
      <c r="J484" s="3">
        <f>IF(ROW()&lt;3, Dashboard!$E$7, IF(Query1[[#This Row],[Month]]&lt;&gt;H483,J483*(1+Dashboard!$E$4)+Dashboard!$E$5,J483))</f>
        <v>671301.10182564484</v>
      </c>
      <c r="K484">
        <f>IF(ROW()&lt;3, 0,IF(Query1[[#This Row],[Month]]&lt;&gt;H483,IF((J484-I484&gt;0),J484-I484,0),0))</f>
        <v>0</v>
      </c>
      <c r="L484" s="2">
        <f t="shared" si="7"/>
        <v>3592.2989655359538</v>
      </c>
      <c r="M484">
        <f>IF(ROW()&lt;3, 0, IF(Query1[[#This Row],[Month]]&lt;&gt;H483, Dashboard!$J$5,0))</f>
        <v>0</v>
      </c>
      <c r="N484" s="2">
        <f>IF(ROW()&lt;3, Query1[[#This Row],[Shares]], IF(Query1[[#This Row],[Month]]&lt;&gt;H483, N483+Query1[[#This Row],[Fix Top Up]]/Query1[[#This Row],[Adj Close]], N483))</f>
        <v>3352.7147409964286</v>
      </c>
      <c r="O484">
        <f>IF(AND(Query1[[#This Row],[avg]]&gt;0, Query1[[#This Row],[Month]]&lt;&gt;H483),
    IF(Query1[[#This Row],[Adj Close]]&gt;Query1[[#This Row],[avg]],
       Dashboard!$L$5-Dashboard!$E$6,
       Dashboard!$L$5+Dashboard!$E$6
    ), 0
)</f>
        <v>0</v>
      </c>
      <c r="P484" s="2">
        <f>IF(ROW()&lt;3, Query1[[#This Row],[Shares]], IF(Query1[[#This Row],[Month]]&lt;&gt;H483, P483+Query1[[#This Row],[Enhanced top up]]/Query1[[#This Row],[Adj Close]], P483))</f>
        <v>3341.0074772229896</v>
      </c>
      <c r="Q484" s="2">
        <f>IFERROR(AVERAGE(
  IF(ROW()&gt;20, INDEX(G:G, ROW()-20), 0) :
  INDEX(G:G, ROW())
),0)</f>
        <v>325.25258236839659</v>
      </c>
    </row>
    <row r="485" spans="1:17" x14ac:dyDescent="0.4">
      <c r="A485" s="1">
        <v>44531</v>
      </c>
      <c r="B485">
        <v>335.1300048828125</v>
      </c>
      <c r="C485">
        <v>339.27999877929688</v>
      </c>
      <c r="D485">
        <v>329.3900146484375</v>
      </c>
      <c r="E485">
        <v>330.07998657226563</v>
      </c>
      <c r="F485">
        <v>33337600</v>
      </c>
      <c r="G485">
        <v>319.97760009765625</v>
      </c>
      <c r="H485" s="2">
        <f>MONTH(Query1[[#This Row],[Date]])</f>
        <v>12</v>
      </c>
      <c r="I485" s="3">
        <f>Query1[[#This Row],[Shares]]*Query1[[#This Row],[Adj Close]]</f>
        <v>1149455.2018254877</v>
      </c>
      <c r="J485" s="3">
        <f>IF(ROW()&lt;3, Dashboard!$E$7, IF(Query1[[#This Row],[Month]]&lt;&gt;H484,J484*(1+Dashboard!$E$4)+Dashboard!$E$5,J484))</f>
        <v>680014.11284390127</v>
      </c>
      <c r="K485">
        <f>IF(ROW()&lt;3, 0,IF(Query1[[#This Row],[Month]]&lt;&gt;H484,IF((J485-I485&gt;0),J485-I485,0),0))</f>
        <v>0</v>
      </c>
      <c r="L485" s="2">
        <f t="shared" si="7"/>
        <v>3592.2989655359538</v>
      </c>
      <c r="M485">
        <f>IF(ROW()&lt;3, 0, IF(Query1[[#This Row],[Month]]&lt;&gt;H484, Dashboard!$J$5,0))</f>
        <v>773.47399999999971</v>
      </c>
      <c r="N485" s="2">
        <f>IF(ROW()&lt;3, Query1[[#This Row],[Shares]], IF(Query1[[#This Row],[Month]]&lt;&gt;H484, N484+Query1[[#This Row],[Fix Top Up]]/Query1[[#This Row],[Adj Close]], N484))</f>
        <v>3355.1320164549729</v>
      </c>
      <c r="O485">
        <f>IF(AND(Query1[[#This Row],[avg]]&gt;0, Query1[[#This Row],[Month]]&lt;&gt;H484),
    IF(Query1[[#This Row],[Adj Close]]&gt;Query1[[#This Row],[avg]],
       Dashboard!$L$5-Dashboard!$E$6,
       Dashboard!$L$5+Dashboard!$E$6
    ), 0
)</f>
        <v>1390.1406666666667</v>
      </c>
      <c r="P485" s="2">
        <f>IF(ROW()&lt;3, Query1[[#This Row],[Shares]], IF(Query1[[#This Row],[Month]]&lt;&gt;H484, P484+Query1[[#This Row],[Enhanced top up]]/Query1[[#This Row],[Adj Close]], P484))</f>
        <v>3345.3519709195557</v>
      </c>
      <c r="Q485" s="2">
        <f>IFERROR(AVERAGE(
  IF(ROW()&gt;20, INDEX(G:G, ROW()-20), 0) :
  INDEX(G:G, ROW())
),0)</f>
        <v>325.31312052408856</v>
      </c>
    </row>
    <row r="486" spans="1:17" x14ac:dyDescent="0.4">
      <c r="A486" s="1">
        <v>44532</v>
      </c>
      <c r="B486">
        <v>330.29998779296875</v>
      </c>
      <c r="C486">
        <v>333.489990234375</v>
      </c>
      <c r="D486">
        <v>327.79998779296875</v>
      </c>
      <c r="E486">
        <v>329.489990234375</v>
      </c>
      <c r="F486">
        <v>30766000</v>
      </c>
      <c r="G486">
        <v>319.40560913085938</v>
      </c>
      <c r="H486" s="2">
        <f>MONTH(Query1[[#This Row],[Date]])</f>
        <v>12</v>
      </c>
      <c r="I486" s="3">
        <f>Query1[[#This Row],[Shares]]*Query1[[#This Row],[Adj Close]]</f>
        <v>1147400.4392671674</v>
      </c>
      <c r="J486" s="3">
        <f>IF(ROW()&lt;3, Dashboard!$E$7, IF(Query1[[#This Row],[Month]]&lt;&gt;H485,J485*(1+Dashboard!$E$4)+Dashboard!$E$5,J485))</f>
        <v>680014.11284390127</v>
      </c>
      <c r="K486">
        <f>IF(ROW()&lt;3, 0,IF(Query1[[#This Row],[Month]]&lt;&gt;H485,IF((J486-I486&gt;0),J486-I486,0),0))</f>
        <v>0</v>
      </c>
      <c r="L486" s="2">
        <f t="shared" si="7"/>
        <v>3592.2989655359538</v>
      </c>
      <c r="M486">
        <f>IF(ROW()&lt;3, 0, IF(Query1[[#This Row],[Month]]&lt;&gt;H485, Dashboard!$J$5,0))</f>
        <v>0</v>
      </c>
      <c r="N486" s="2">
        <f>IF(ROW()&lt;3, Query1[[#This Row],[Shares]], IF(Query1[[#This Row],[Month]]&lt;&gt;H485, N485+Query1[[#This Row],[Fix Top Up]]/Query1[[#This Row],[Adj Close]], N485))</f>
        <v>3355.1320164549729</v>
      </c>
      <c r="O486">
        <f>IF(AND(Query1[[#This Row],[avg]]&gt;0, Query1[[#This Row],[Month]]&lt;&gt;H485),
    IF(Query1[[#This Row],[Adj Close]]&gt;Query1[[#This Row],[avg]],
       Dashboard!$L$5-Dashboard!$E$6,
       Dashboard!$L$5+Dashboard!$E$6
    ), 0
)</f>
        <v>0</v>
      </c>
      <c r="P486" s="2">
        <f>IF(ROW()&lt;3, Query1[[#This Row],[Shares]], IF(Query1[[#This Row],[Month]]&lt;&gt;H485, P485+Query1[[#This Row],[Enhanced top up]]/Query1[[#This Row],[Adj Close]], P485))</f>
        <v>3345.3519709195557</v>
      </c>
      <c r="Q486" s="2">
        <f>IFERROR(AVERAGE(
  IF(ROW()&gt;20, INDEX(G:G, ROW()-20), 0) :
  INDEX(G:G, ROW())
),0)</f>
        <v>325.17317708333331</v>
      </c>
    </row>
    <row r="487" spans="1:17" x14ac:dyDescent="0.4">
      <c r="A487" s="1">
        <v>44533</v>
      </c>
      <c r="B487">
        <v>331.989990234375</v>
      </c>
      <c r="C487">
        <v>332.70001220703125</v>
      </c>
      <c r="D487">
        <v>318.02999877929688</v>
      </c>
      <c r="E487">
        <v>323.010009765625</v>
      </c>
      <c r="F487">
        <v>41779300</v>
      </c>
      <c r="G487">
        <v>313.12393188476563</v>
      </c>
      <c r="H487" s="2">
        <f>MONTH(Query1[[#This Row],[Date]])</f>
        <v>12</v>
      </c>
      <c r="I487" s="3">
        <f>Query1[[#This Row],[Shares]]*Query1[[#This Row],[Adj Close]]</f>
        <v>1124834.7765941941</v>
      </c>
      <c r="J487" s="3">
        <f>IF(ROW()&lt;3, Dashboard!$E$7, IF(Query1[[#This Row],[Month]]&lt;&gt;H486,J486*(1+Dashboard!$E$4)+Dashboard!$E$5,J486))</f>
        <v>680014.11284390127</v>
      </c>
      <c r="K487">
        <f>IF(ROW()&lt;3, 0,IF(Query1[[#This Row],[Month]]&lt;&gt;H486,IF((J487-I487&gt;0),J487-I487,0),0))</f>
        <v>0</v>
      </c>
      <c r="L487" s="2">
        <f t="shared" si="7"/>
        <v>3592.2989655359538</v>
      </c>
      <c r="M487">
        <f>IF(ROW()&lt;3, 0, IF(Query1[[#This Row],[Month]]&lt;&gt;H486, Dashboard!$J$5,0))</f>
        <v>0</v>
      </c>
      <c r="N487" s="2">
        <f>IF(ROW()&lt;3, Query1[[#This Row],[Shares]], IF(Query1[[#This Row],[Month]]&lt;&gt;H486, N486+Query1[[#This Row],[Fix Top Up]]/Query1[[#This Row],[Adj Close]], N486))</f>
        <v>3355.1320164549729</v>
      </c>
      <c r="O487">
        <f>IF(AND(Query1[[#This Row],[avg]]&gt;0, Query1[[#This Row],[Month]]&lt;&gt;H486),
    IF(Query1[[#This Row],[Adj Close]]&gt;Query1[[#This Row],[avg]],
       Dashboard!$L$5-Dashboard!$E$6,
       Dashboard!$L$5+Dashboard!$E$6
    ), 0
)</f>
        <v>0</v>
      </c>
      <c r="P487" s="2">
        <f>IF(ROW()&lt;3, Query1[[#This Row],[Shares]], IF(Query1[[#This Row],[Month]]&lt;&gt;H486, P486+Query1[[#This Row],[Enhanced top up]]/Query1[[#This Row],[Adj Close]], P486))</f>
        <v>3345.3519709195557</v>
      </c>
      <c r="Q487" s="2">
        <f>IFERROR(AVERAGE(
  IF(ROW()&gt;20, INDEX(G:G, ROW()-20), 0) :
  INDEX(G:G, ROW())
),0)</f>
        <v>324.69401913597471</v>
      </c>
    </row>
    <row r="488" spans="1:17" x14ac:dyDescent="0.4">
      <c r="A488" s="1">
        <v>44536</v>
      </c>
      <c r="B488">
        <v>323.95001220703125</v>
      </c>
      <c r="C488">
        <v>327.45001220703125</v>
      </c>
      <c r="D488">
        <v>319.23001098632813</v>
      </c>
      <c r="E488">
        <v>326.19000244140625</v>
      </c>
      <c r="F488">
        <v>30032600</v>
      </c>
      <c r="G488">
        <v>316.20651245117188</v>
      </c>
      <c r="H488" s="2">
        <f>MONTH(Query1[[#This Row],[Date]])</f>
        <v>12</v>
      </c>
      <c r="I488" s="3">
        <f>Query1[[#This Row],[Shares]]*Query1[[#This Row],[Adj Close]]</f>
        <v>1135908.3275740764</v>
      </c>
      <c r="J488" s="3">
        <f>IF(ROW()&lt;3, Dashboard!$E$7, IF(Query1[[#This Row],[Month]]&lt;&gt;H487,J487*(1+Dashboard!$E$4)+Dashboard!$E$5,J487))</f>
        <v>680014.11284390127</v>
      </c>
      <c r="K488">
        <f>IF(ROW()&lt;3, 0,IF(Query1[[#This Row],[Month]]&lt;&gt;H487,IF((J488-I488&gt;0),J488-I488,0),0))</f>
        <v>0</v>
      </c>
      <c r="L488" s="2">
        <f t="shared" si="7"/>
        <v>3592.2989655359538</v>
      </c>
      <c r="M488">
        <f>IF(ROW()&lt;3, 0, IF(Query1[[#This Row],[Month]]&lt;&gt;H487, Dashboard!$J$5,0))</f>
        <v>0</v>
      </c>
      <c r="N488" s="2">
        <f>IF(ROW()&lt;3, Query1[[#This Row],[Shares]], IF(Query1[[#This Row],[Month]]&lt;&gt;H487, N487+Query1[[#This Row],[Fix Top Up]]/Query1[[#This Row],[Adj Close]], N487))</f>
        <v>3355.1320164549729</v>
      </c>
      <c r="O488">
        <f>IF(AND(Query1[[#This Row],[avg]]&gt;0, Query1[[#This Row],[Month]]&lt;&gt;H487),
    IF(Query1[[#This Row],[Adj Close]]&gt;Query1[[#This Row],[avg]],
       Dashboard!$L$5-Dashboard!$E$6,
       Dashboard!$L$5+Dashboard!$E$6
    ), 0
)</f>
        <v>0</v>
      </c>
      <c r="P488" s="2">
        <f>IF(ROW()&lt;3, Query1[[#This Row],[Shares]], IF(Query1[[#This Row],[Month]]&lt;&gt;H487, P487+Query1[[#This Row],[Enhanced top up]]/Query1[[#This Row],[Adj Close]], P487))</f>
        <v>3345.3519709195557</v>
      </c>
      <c r="Q488" s="2">
        <f>IFERROR(AVERAGE(
  IF(ROW()&gt;20, INDEX(G:G, ROW()-20), 0) :
  INDEX(G:G, ROW())
),0)</f>
        <v>324.24921962193082</v>
      </c>
    </row>
    <row r="489" spans="1:17" x14ac:dyDescent="0.4">
      <c r="A489" s="1">
        <v>44537</v>
      </c>
      <c r="B489">
        <v>331.6400146484375</v>
      </c>
      <c r="C489">
        <v>335.79998779296875</v>
      </c>
      <c r="D489">
        <v>330.10000610351563</v>
      </c>
      <c r="E489">
        <v>334.92001342773438</v>
      </c>
      <c r="F489">
        <v>31021900</v>
      </c>
      <c r="G489">
        <v>324.66937255859375</v>
      </c>
      <c r="H489" s="2">
        <f>MONTH(Query1[[#This Row],[Date]])</f>
        <v>12</v>
      </c>
      <c r="I489" s="3">
        <f>Query1[[#This Row],[Shares]]*Query1[[#This Row],[Adj Close]]</f>
        <v>1166309.4511834434</v>
      </c>
      <c r="J489" s="3">
        <f>IF(ROW()&lt;3, Dashboard!$E$7, IF(Query1[[#This Row],[Month]]&lt;&gt;H488,J488*(1+Dashboard!$E$4)+Dashboard!$E$5,J488))</f>
        <v>680014.11284390127</v>
      </c>
      <c r="K489">
        <f>IF(ROW()&lt;3, 0,IF(Query1[[#This Row],[Month]]&lt;&gt;H488,IF((J489-I489&gt;0),J489-I489,0),0))</f>
        <v>0</v>
      </c>
      <c r="L489" s="2">
        <f t="shared" si="7"/>
        <v>3592.2989655359538</v>
      </c>
      <c r="M489">
        <f>IF(ROW()&lt;3, 0, IF(Query1[[#This Row],[Month]]&lt;&gt;H488, Dashboard!$J$5,0))</f>
        <v>0</v>
      </c>
      <c r="N489" s="2">
        <f>IF(ROW()&lt;3, Query1[[#This Row],[Shares]], IF(Query1[[#This Row],[Month]]&lt;&gt;H488, N488+Query1[[#This Row],[Fix Top Up]]/Query1[[#This Row],[Adj Close]], N488))</f>
        <v>3355.1320164549729</v>
      </c>
      <c r="O489">
        <f>IF(AND(Query1[[#This Row],[avg]]&gt;0, Query1[[#This Row],[Month]]&lt;&gt;H488),
    IF(Query1[[#This Row],[Adj Close]]&gt;Query1[[#This Row],[avg]],
       Dashboard!$L$5-Dashboard!$E$6,
       Dashboard!$L$5+Dashboard!$E$6
    ), 0
)</f>
        <v>0</v>
      </c>
      <c r="P489" s="2">
        <f>IF(ROW()&lt;3, Query1[[#This Row],[Shares]], IF(Query1[[#This Row],[Month]]&lt;&gt;H488, P488+Query1[[#This Row],[Enhanced top up]]/Query1[[#This Row],[Adj Close]], P488))</f>
        <v>3345.3519709195557</v>
      </c>
      <c r="Q489" s="2">
        <f>IFERROR(AVERAGE(
  IF(ROW()&gt;20, INDEX(G:G, ROW()-20), 0) :
  INDEX(G:G, ROW())
),0)</f>
        <v>324.22492617652529</v>
      </c>
    </row>
    <row r="490" spans="1:17" x14ac:dyDescent="0.4">
      <c r="A490" s="1">
        <v>44538</v>
      </c>
      <c r="B490">
        <v>335.30999755859375</v>
      </c>
      <c r="C490">
        <v>335.5</v>
      </c>
      <c r="D490">
        <v>330.79998779296875</v>
      </c>
      <c r="E490">
        <v>334.97000122070313</v>
      </c>
      <c r="F490">
        <v>24761000</v>
      </c>
      <c r="G490">
        <v>324.71792602539063</v>
      </c>
      <c r="H490" s="2">
        <f>MONTH(Query1[[#This Row],[Date]])</f>
        <v>12</v>
      </c>
      <c r="I490" s="3">
        <f>Query1[[#This Row],[Shares]]*Query1[[#This Row],[Adj Close]]</f>
        <v>1166483.869751991</v>
      </c>
      <c r="J490" s="3">
        <f>IF(ROW()&lt;3, Dashboard!$E$7, IF(Query1[[#This Row],[Month]]&lt;&gt;H489,J489*(1+Dashboard!$E$4)+Dashboard!$E$5,J489))</f>
        <v>680014.11284390127</v>
      </c>
      <c r="K490">
        <f>IF(ROW()&lt;3, 0,IF(Query1[[#This Row],[Month]]&lt;&gt;H489,IF((J490-I490&gt;0),J490-I490,0),0))</f>
        <v>0</v>
      </c>
      <c r="L490" s="2">
        <f t="shared" si="7"/>
        <v>3592.2989655359538</v>
      </c>
      <c r="M490">
        <f>IF(ROW()&lt;3, 0, IF(Query1[[#This Row],[Month]]&lt;&gt;H489, Dashboard!$J$5,0))</f>
        <v>0</v>
      </c>
      <c r="N490" s="2">
        <f>IF(ROW()&lt;3, Query1[[#This Row],[Shares]], IF(Query1[[#This Row],[Month]]&lt;&gt;H489, N489+Query1[[#This Row],[Fix Top Up]]/Query1[[#This Row],[Adj Close]], N489))</f>
        <v>3355.1320164549729</v>
      </c>
      <c r="O490">
        <f>IF(AND(Query1[[#This Row],[avg]]&gt;0, Query1[[#This Row],[Month]]&lt;&gt;H489),
    IF(Query1[[#This Row],[Adj Close]]&gt;Query1[[#This Row],[avg]],
       Dashboard!$L$5-Dashboard!$E$6,
       Dashboard!$L$5+Dashboard!$E$6
    ), 0
)</f>
        <v>0</v>
      </c>
      <c r="P490" s="2">
        <f>IF(ROW()&lt;3, Query1[[#This Row],[Shares]], IF(Query1[[#This Row],[Month]]&lt;&gt;H489, P489+Query1[[#This Row],[Enhanced top up]]/Query1[[#This Row],[Adj Close]], P489))</f>
        <v>3345.3519709195557</v>
      </c>
      <c r="Q490" s="2">
        <f>IFERROR(AVERAGE(
  IF(ROW()&gt;20, INDEX(G:G, ROW()-20), 0) :
  INDEX(G:G, ROW())
),0)</f>
        <v>324.1600879487537</v>
      </c>
    </row>
    <row r="491" spans="1:17" x14ac:dyDescent="0.4">
      <c r="A491" s="1">
        <v>44539</v>
      </c>
      <c r="B491">
        <v>334.41000366210938</v>
      </c>
      <c r="C491">
        <v>336.489990234375</v>
      </c>
      <c r="D491">
        <v>332.1199951171875</v>
      </c>
      <c r="E491">
        <v>333.10000610351563</v>
      </c>
      <c r="F491">
        <v>22214200</v>
      </c>
      <c r="G491">
        <v>322.90512084960938</v>
      </c>
      <c r="H491" s="2">
        <f>MONTH(Query1[[#This Row],[Date]])</f>
        <v>12</v>
      </c>
      <c r="I491" s="3">
        <f>Query1[[#This Row],[Shares]]*Query1[[#This Row],[Adj Close]]</f>
        <v>1159971.7315943139</v>
      </c>
      <c r="J491" s="3">
        <f>IF(ROW()&lt;3, Dashboard!$E$7, IF(Query1[[#This Row],[Month]]&lt;&gt;H490,J490*(1+Dashboard!$E$4)+Dashboard!$E$5,J490))</f>
        <v>680014.11284390127</v>
      </c>
      <c r="K491">
        <f>IF(ROW()&lt;3, 0,IF(Query1[[#This Row],[Month]]&lt;&gt;H490,IF((J491-I491&gt;0),J491-I491,0),0))</f>
        <v>0</v>
      </c>
      <c r="L491" s="2">
        <f t="shared" si="7"/>
        <v>3592.2989655359538</v>
      </c>
      <c r="M491">
        <f>IF(ROW()&lt;3, 0, IF(Query1[[#This Row],[Month]]&lt;&gt;H490, Dashboard!$J$5,0))</f>
        <v>0</v>
      </c>
      <c r="N491" s="2">
        <f>IF(ROW()&lt;3, Query1[[#This Row],[Shares]], IF(Query1[[#This Row],[Month]]&lt;&gt;H490, N490+Query1[[#This Row],[Fix Top Up]]/Query1[[#This Row],[Adj Close]], N490))</f>
        <v>3355.1320164549729</v>
      </c>
      <c r="O491">
        <f>IF(AND(Query1[[#This Row],[avg]]&gt;0, Query1[[#This Row],[Month]]&lt;&gt;H490),
    IF(Query1[[#This Row],[Adj Close]]&gt;Query1[[#This Row],[avg]],
       Dashboard!$L$5-Dashboard!$E$6,
       Dashboard!$L$5+Dashboard!$E$6
    ), 0
)</f>
        <v>0</v>
      </c>
      <c r="P491" s="2">
        <f>IF(ROW()&lt;3, Query1[[#This Row],[Shares]], IF(Query1[[#This Row],[Month]]&lt;&gt;H490, P490+Query1[[#This Row],[Enhanced top up]]/Query1[[#This Row],[Adj Close]], P490))</f>
        <v>3345.3519709195557</v>
      </c>
      <c r="Q491" s="2">
        <f>IFERROR(AVERAGE(
  IF(ROW()&gt;20, INDEX(G:G, ROW()-20), 0) :
  INDEX(G:G, ROW())
),0)</f>
        <v>324.05684698195682</v>
      </c>
    </row>
    <row r="492" spans="1:17" x14ac:dyDescent="0.4">
      <c r="A492" s="1">
        <v>44540</v>
      </c>
      <c r="B492">
        <v>334.98001098632813</v>
      </c>
      <c r="C492">
        <v>343</v>
      </c>
      <c r="D492">
        <v>334.79000854492188</v>
      </c>
      <c r="E492">
        <v>342.54000854492188</v>
      </c>
      <c r="F492">
        <v>38095700</v>
      </c>
      <c r="G492">
        <v>332.05621337890625</v>
      </c>
      <c r="H492" s="2">
        <f>MONTH(Query1[[#This Row],[Date]])</f>
        <v>12</v>
      </c>
      <c r="I492" s="3">
        <f>Query1[[#This Row],[Shares]]*Query1[[#This Row],[Adj Close]]</f>
        <v>1192845.1918208308</v>
      </c>
      <c r="J492" s="3">
        <f>IF(ROW()&lt;3, Dashboard!$E$7, IF(Query1[[#This Row],[Month]]&lt;&gt;H491,J491*(1+Dashboard!$E$4)+Dashboard!$E$5,J491))</f>
        <v>680014.11284390127</v>
      </c>
      <c r="K492">
        <f>IF(ROW()&lt;3, 0,IF(Query1[[#This Row],[Month]]&lt;&gt;H491,IF((J492-I492&gt;0),J492-I492,0),0))</f>
        <v>0</v>
      </c>
      <c r="L492" s="2">
        <f t="shared" si="7"/>
        <v>3592.2989655359538</v>
      </c>
      <c r="M492">
        <f>IF(ROW()&lt;3, 0, IF(Query1[[#This Row],[Month]]&lt;&gt;H491, Dashboard!$J$5,0))</f>
        <v>0</v>
      </c>
      <c r="N492" s="2">
        <f>IF(ROW()&lt;3, Query1[[#This Row],[Shares]], IF(Query1[[#This Row],[Month]]&lt;&gt;H491, N491+Query1[[#This Row],[Fix Top Up]]/Query1[[#This Row],[Adj Close]], N491))</f>
        <v>3355.1320164549729</v>
      </c>
      <c r="O492">
        <f>IF(AND(Query1[[#This Row],[avg]]&gt;0, Query1[[#This Row],[Month]]&lt;&gt;H491),
    IF(Query1[[#This Row],[Adj Close]]&gt;Query1[[#This Row],[avg]],
       Dashboard!$L$5-Dashboard!$E$6,
       Dashboard!$L$5+Dashboard!$E$6
    ), 0
)</f>
        <v>0</v>
      </c>
      <c r="P492" s="2">
        <f>IF(ROW()&lt;3, Query1[[#This Row],[Shares]], IF(Query1[[#This Row],[Month]]&lt;&gt;H491, P491+Query1[[#This Row],[Enhanced top up]]/Query1[[#This Row],[Adj Close]], P491))</f>
        <v>3345.3519709195557</v>
      </c>
      <c r="Q492" s="2">
        <f>IFERROR(AVERAGE(
  IF(ROW()&gt;20, INDEX(G:G, ROW()-20), 0) :
  INDEX(G:G, ROW())
),0)</f>
        <v>324.62666974748885</v>
      </c>
    </row>
    <row r="493" spans="1:17" x14ac:dyDescent="0.4">
      <c r="A493" s="1">
        <v>44543</v>
      </c>
      <c r="B493">
        <v>340.67999267578125</v>
      </c>
      <c r="C493">
        <v>343.79000854492188</v>
      </c>
      <c r="D493">
        <v>339.07998657226563</v>
      </c>
      <c r="E493">
        <v>339.39999389648438</v>
      </c>
      <c r="F493">
        <v>28899400</v>
      </c>
      <c r="G493">
        <v>329.01226806640625</v>
      </c>
      <c r="H493" s="2">
        <f>MONTH(Query1[[#This Row],[Date]])</f>
        <v>12</v>
      </c>
      <c r="I493" s="3">
        <f>Query1[[#This Row],[Shares]]*Query1[[#This Row],[Adj Close]]</f>
        <v>1181910.4302235891</v>
      </c>
      <c r="J493" s="3">
        <f>IF(ROW()&lt;3, Dashboard!$E$7, IF(Query1[[#This Row],[Month]]&lt;&gt;H492,J492*(1+Dashboard!$E$4)+Dashboard!$E$5,J492))</f>
        <v>680014.11284390127</v>
      </c>
      <c r="K493">
        <f>IF(ROW()&lt;3, 0,IF(Query1[[#This Row],[Month]]&lt;&gt;H492,IF((J493-I493&gt;0),J493-I493,0),0))</f>
        <v>0</v>
      </c>
      <c r="L493" s="2">
        <f t="shared" si="7"/>
        <v>3592.2989655359538</v>
      </c>
      <c r="M493">
        <f>IF(ROW()&lt;3, 0, IF(Query1[[#This Row],[Month]]&lt;&gt;H492, Dashboard!$J$5,0))</f>
        <v>0</v>
      </c>
      <c r="N493" s="2">
        <f>IF(ROW()&lt;3, Query1[[#This Row],[Shares]], IF(Query1[[#This Row],[Month]]&lt;&gt;H492, N492+Query1[[#This Row],[Fix Top Up]]/Query1[[#This Row],[Adj Close]], N492))</f>
        <v>3355.1320164549729</v>
      </c>
      <c r="O493">
        <f>IF(AND(Query1[[#This Row],[avg]]&gt;0, Query1[[#This Row],[Month]]&lt;&gt;H492),
    IF(Query1[[#This Row],[Adj Close]]&gt;Query1[[#This Row],[avg]],
       Dashboard!$L$5-Dashboard!$E$6,
       Dashboard!$L$5+Dashboard!$E$6
    ), 0
)</f>
        <v>0</v>
      </c>
      <c r="P493" s="2">
        <f>IF(ROW()&lt;3, Query1[[#This Row],[Shares]], IF(Query1[[#This Row],[Month]]&lt;&gt;H492, P492+Query1[[#This Row],[Enhanced top up]]/Query1[[#This Row],[Adj Close]], P492))</f>
        <v>3345.3519709195557</v>
      </c>
      <c r="Q493" s="2">
        <f>IFERROR(AVERAGE(
  IF(ROW()&gt;20, INDEX(G:G, ROW()-20), 0) :
  INDEX(G:G, ROW())
),0)</f>
        <v>324.97643897646947</v>
      </c>
    </row>
    <row r="494" spans="1:17" x14ac:dyDescent="0.4">
      <c r="A494" s="1">
        <v>44544</v>
      </c>
      <c r="B494">
        <v>333.22000122070313</v>
      </c>
      <c r="C494">
        <v>334.6400146484375</v>
      </c>
      <c r="D494">
        <v>324.1099853515625</v>
      </c>
      <c r="E494">
        <v>328.33999633789063</v>
      </c>
      <c r="F494">
        <v>44438700</v>
      </c>
      <c r="G494">
        <v>318.29080200195313</v>
      </c>
      <c r="H494" s="2">
        <f>MONTH(Query1[[#This Row],[Date]])</f>
        <v>12</v>
      </c>
      <c r="I494" s="3">
        <f>Query1[[#This Row],[Shares]]*Query1[[#This Row],[Adj Close]]</f>
        <v>1143395.7187712253</v>
      </c>
      <c r="J494" s="3">
        <f>IF(ROW()&lt;3, Dashboard!$E$7, IF(Query1[[#This Row],[Month]]&lt;&gt;H493,J493*(1+Dashboard!$E$4)+Dashboard!$E$5,J493))</f>
        <v>680014.11284390127</v>
      </c>
      <c r="K494">
        <f>IF(ROW()&lt;3, 0,IF(Query1[[#This Row],[Month]]&lt;&gt;H493,IF((J494-I494&gt;0),J494-I494,0),0))</f>
        <v>0</v>
      </c>
      <c r="L494" s="2">
        <f t="shared" si="7"/>
        <v>3592.2989655359538</v>
      </c>
      <c r="M494">
        <f>IF(ROW()&lt;3, 0, IF(Query1[[#This Row],[Month]]&lt;&gt;H493, Dashboard!$J$5,0))</f>
        <v>0</v>
      </c>
      <c r="N494" s="2">
        <f>IF(ROW()&lt;3, Query1[[#This Row],[Shares]], IF(Query1[[#This Row],[Month]]&lt;&gt;H493, N493+Query1[[#This Row],[Fix Top Up]]/Query1[[#This Row],[Adj Close]], N493))</f>
        <v>3355.1320164549729</v>
      </c>
      <c r="O494">
        <f>IF(AND(Query1[[#This Row],[avg]]&gt;0, Query1[[#This Row],[Month]]&lt;&gt;H493),
    IF(Query1[[#This Row],[Adj Close]]&gt;Query1[[#This Row],[avg]],
       Dashboard!$L$5-Dashboard!$E$6,
       Dashboard!$L$5+Dashboard!$E$6
    ), 0
)</f>
        <v>0</v>
      </c>
      <c r="P494" s="2">
        <f>IF(ROW()&lt;3, Query1[[#This Row],[Shares]], IF(Query1[[#This Row],[Month]]&lt;&gt;H493, P493+Query1[[#This Row],[Enhanced top up]]/Query1[[#This Row],[Adj Close]], P493))</f>
        <v>3345.3519709195557</v>
      </c>
      <c r="Q494" s="2">
        <f>IFERROR(AVERAGE(
  IF(ROW()&gt;20, INDEX(G:G, ROW()-20), 0) :
  INDEX(G:G, ROW())
),0)</f>
        <v>324.6179882231213</v>
      </c>
    </row>
    <row r="495" spans="1:17" x14ac:dyDescent="0.4">
      <c r="A495" s="1">
        <v>44545</v>
      </c>
      <c r="B495">
        <v>328.6099853515625</v>
      </c>
      <c r="C495">
        <v>335.19000244140625</v>
      </c>
      <c r="D495">
        <v>324.5</v>
      </c>
      <c r="E495">
        <v>334.64999389648438</v>
      </c>
      <c r="F495">
        <v>35381100</v>
      </c>
      <c r="G495">
        <v>324.40765380859375</v>
      </c>
      <c r="H495" s="2">
        <f>MONTH(Query1[[#This Row],[Date]])</f>
        <v>12</v>
      </c>
      <c r="I495" s="3">
        <f>Query1[[#This Row],[Shares]]*Query1[[#This Row],[Adj Close]]</f>
        <v>1165369.2791885571</v>
      </c>
      <c r="J495" s="3">
        <f>IF(ROW()&lt;3, Dashboard!$E$7, IF(Query1[[#This Row],[Month]]&lt;&gt;H494,J494*(1+Dashboard!$E$4)+Dashboard!$E$5,J494))</f>
        <v>680014.11284390127</v>
      </c>
      <c r="K495">
        <f>IF(ROW()&lt;3, 0,IF(Query1[[#This Row],[Month]]&lt;&gt;H494,IF((J495-I495&gt;0),J495-I495,0),0))</f>
        <v>0</v>
      </c>
      <c r="L495" s="2">
        <f t="shared" si="7"/>
        <v>3592.2989655359538</v>
      </c>
      <c r="M495">
        <f>IF(ROW()&lt;3, 0, IF(Query1[[#This Row],[Month]]&lt;&gt;H494, Dashboard!$J$5,0))</f>
        <v>0</v>
      </c>
      <c r="N495" s="2">
        <f>IF(ROW()&lt;3, Query1[[#This Row],[Shares]], IF(Query1[[#This Row],[Month]]&lt;&gt;H494, N494+Query1[[#This Row],[Fix Top Up]]/Query1[[#This Row],[Adj Close]], N494))</f>
        <v>3355.1320164549729</v>
      </c>
      <c r="O495">
        <f>IF(AND(Query1[[#This Row],[avg]]&gt;0, Query1[[#This Row],[Month]]&lt;&gt;H494),
    IF(Query1[[#This Row],[Adj Close]]&gt;Query1[[#This Row],[avg]],
       Dashboard!$L$5-Dashboard!$E$6,
       Dashboard!$L$5+Dashboard!$E$6
    ), 0
)</f>
        <v>0</v>
      </c>
      <c r="P495" s="2">
        <f>IF(ROW()&lt;3, Query1[[#This Row],[Shares]], IF(Query1[[#This Row],[Month]]&lt;&gt;H494, P494+Query1[[#This Row],[Enhanced top up]]/Query1[[#This Row],[Adj Close]], P494))</f>
        <v>3345.3519709195557</v>
      </c>
      <c r="Q495" s="2">
        <f>IFERROR(AVERAGE(
  IF(ROW()&gt;20, INDEX(G:G, ROW()-20), 0) :
  INDEX(G:G, ROW())
),0)</f>
        <v>324.58076840355284</v>
      </c>
    </row>
    <row r="496" spans="1:17" x14ac:dyDescent="0.4">
      <c r="A496" s="1">
        <v>44546</v>
      </c>
      <c r="B496">
        <v>335.70999145507813</v>
      </c>
      <c r="C496">
        <v>336.760009765625</v>
      </c>
      <c r="D496">
        <v>323.01998901367188</v>
      </c>
      <c r="E496">
        <v>324.89999389648438</v>
      </c>
      <c r="F496">
        <v>35034800</v>
      </c>
      <c r="G496">
        <v>314.95602416992188</v>
      </c>
      <c r="H496" s="2">
        <f>MONTH(Query1[[#This Row],[Date]])</f>
        <v>12</v>
      </c>
      <c r="I496" s="3">
        <f>Query1[[#This Row],[Shares]]*Query1[[#This Row],[Adj Close]]</f>
        <v>1131416.1998149273</v>
      </c>
      <c r="J496" s="3">
        <f>IF(ROW()&lt;3, Dashboard!$E$7, IF(Query1[[#This Row],[Month]]&lt;&gt;H495,J495*(1+Dashboard!$E$4)+Dashboard!$E$5,J495))</f>
        <v>680014.11284390127</v>
      </c>
      <c r="K496">
        <f>IF(ROW()&lt;3, 0,IF(Query1[[#This Row],[Month]]&lt;&gt;H495,IF((J496-I496&gt;0),J496-I496,0),0))</f>
        <v>0</v>
      </c>
      <c r="L496" s="2">
        <f t="shared" si="7"/>
        <v>3592.2989655359538</v>
      </c>
      <c r="M496">
        <f>IF(ROW()&lt;3, 0, IF(Query1[[#This Row],[Month]]&lt;&gt;H495, Dashboard!$J$5,0))</f>
        <v>0</v>
      </c>
      <c r="N496" s="2">
        <f>IF(ROW()&lt;3, Query1[[#This Row],[Shares]], IF(Query1[[#This Row],[Month]]&lt;&gt;H495, N495+Query1[[#This Row],[Fix Top Up]]/Query1[[#This Row],[Adj Close]], N495))</f>
        <v>3355.1320164549729</v>
      </c>
      <c r="O496">
        <f>IF(AND(Query1[[#This Row],[avg]]&gt;0, Query1[[#This Row],[Month]]&lt;&gt;H495),
    IF(Query1[[#This Row],[Adj Close]]&gt;Query1[[#This Row],[avg]],
       Dashboard!$L$5-Dashboard!$E$6,
       Dashboard!$L$5+Dashboard!$E$6
    ), 0
)</f>
        <v>0</v>
      </c>
      <c r="P496" s="2">
        <f>IF(ROW()&lt;3, Query1[[#This Row],[Shares]], IF(Query1[[#This Row],[Month]]&lt;&gt;H495, P495+Query1[[#This Row],[Enhanced top up]]/Query1[[#This Row],[Adj Close]], P495))</f>
        <v>3345.3519709195557</v>
      </c>
      <c r="Q496" s="2">
        <f>IFERROR(AVERAGE(
  IF(ROW()&gt;20, INDEX(G:G, ROW()-20), 0) :
  INDEX(G:G, ROW())
),0)</f>
        <v>323.93496413457962</v>
      </c>
    </row>
    <row r="497" spans="1:17" x14ac:dyDescent="0.4">
      <c r="A497" s="1">
        <v>44547</v>
      </c>
      <c r="B497">
        <v>320.8800048828125</v>
      </c>
      <c r="C497">
        <v>324.92001342773438</v>
      </c>
      <c r="D497">
        <v>317.25</v>
      </c>
      <c r="E497">
        <v>323.79998779296875</v>
      </c>
      <c r="F497">
        <v>47750300</v>
      </c>
      <c r="G497">
        <v>313.8897705078125</v>
      </c>
      <c r="H497" s="2">
        <f>MONTH(Query1[[#This Row],[Date]])</f>
        <v>12</v>
      </c>
      <c r="I497" s="3">
        <f>Query1[[#This Row],[Shares]]*Query1[[#This Row],[Adj Close]]</f>
        <v>1127585.8978875328</v>
      </c>
      <c r="J497" s="3">
        <f>IF(ROW()&lt;3, Dashboard!$E$7, IF(Query1[[#This Row],[Month]]&lt;&gt;H496,J496*(1+Dashboard!$E$4)+Dashboard!$E$5,J496))</f>
        <v>680014.11284390127</v>
      </c>
      <c r="K497">
        <f>IF(ROW()&lt;3, 0,IF(Query1[[#This Row],[Month]]&lt;&gt;H496,IF((J497-I497&gt;0),J497-I497,0),0))</f>
        <v>0</v>
      </c>
      <c r="L497" s="2">
        <f t="shared" si="7"/>
        <v>3592.2989655359538</v>
      </c>
      <c r="M497">
        <f>IF(ROW()&lt;3, 0, IF(Query1[[#This Row],[Month]]&lt;&gt;H496, Dashboard!$J$5,0))</f>
        <v>0</v>
      </c>
      <c r="N497" s="2">
        <f>IF(ROW()&lt;3, Query1[[#This Row],[Shares]], IF(Query1[[#This Row],[Month]]&lt;&gt;H496, N496+Query1[[#This Row],[Fix Top Up]]/Query1[[#This Row],[Adj Close]], N496))</f>
        <v>3355.1320164549729</v>
      </c>
      <c r="O497">
        <f>IF(AND(Query1[[#This Row],[avg]]&gt;0, Query1[[#This Row],[Month]]&lt;&gt;H496),
    IF(Query1[[#This Row],[Adj Close]]&gt;Query1[[#This Row],[avg]],
       Dashboard!$L$5-Dashboard!$E$6,
       Dashboard!$L$5+Dashboard!$E$6
    ), 0
)</f>
        <v>0</v>
      </c>
      <c r="P497" s="2">
        <f>IF(ROW()&lt;3, Query1[[#This Row],[Shares]], IF(Query1[[#This Row],[Month]]&lt;&gt;H496, P496+Query1[[#This Row],[Enhanced top up]]/Query1[[#This Row],[Adj Close]], P496))</f>
        <v>3345.3519709195557</v>
      </c>
      <c r="Q497" s="2">
        <f>IFERROR(AVERAGE(
  IF(ROW()&gt;20, INDEX(G:G, ROW()-20), 0) :
  INDEX(G:G, ROW())
),0)</f>
        <v>323.22777012416293</v>
      </c>
    </row>
    <row r="498" spans="1:17" x14ac:dyDescent="0.4">
      <c r="A498" s="1">
        <v>44550</v>
      </c>
      <c r="B498">
        <v>320.04998779296875</v>
      </c>
      <c r="C498">
        <v>322.79998779296875</v>
      </c>
      <c r="D498">
        <v>317.57000732421875</v>
      </c>
      <c r="E498">
        <v>319.91000366210938</v>
      </c>
      <c r="F498">
        <v>28326500</v>
      </c>
      <c r="G498">
        <v>310.11880493164063</v>
      </c>
      <c r="H498" s="2">
        <f>MONTH(Query1[[#This Row],[Date]])</f>
        <v>12</v>
      </c>
      <c r="I498" s="3">
        <f>Query1[[#This Row],[Shares]]*Query1[[#This Row],[Adj Close]]</f>
        <v>1114039.4621491788</v>
      </c>
      <c r="J498" s="3">
        <f>IF(ROW()&lt;3, Dashboard!$E$7, IF(Query1[[#This Row],[Month]]&lt;&gt;H497,J497*(1+Dashboard!$E$4)+Dashboard!$E$5,J497))</f>
        <v>680014.11284390127</v>
      </c>
      <c r="K498">
        <f>IF(ROW()&lt;3, 0,IF(Query1[[#This Row],[Month]]&lt;&gt;H497,IF((J498-I498&gt;0),J498-I498,0),0))</f>
        <v>0</v>
      </c>
      <c r="L498" s="2">
        <f t="shared" si="7"/>
        <v>3592.2989655359538</v>
      </c>
      <c r="M498">
        <f>IF(ROW()&lt;3, 0, IF(Query1[[#This Row],[Month]]&lt;&gt;H497, Dashboard!$J$5,0))</f>
        <v>0</v>
      </c>
      <c r="N498" s="2">
        <f>IF(ROW()&lt;3, Query1[[#This Row],[Shares]], IF(Query1[[#This Row],[Month]]&lt;&gt;H497, N497+Query1[[#This Row],[Fix Top Up]]/Query1[[#This Row],[Adj Close]], N497))</f>
        <v>3355.1320164549729</v>
      </c>
      <c r="O498">
        <f>IF(AND(Query1[[#This Row],[avg]]&gt;0, Query1[[#This Row],[Month]]&lt;&gt;H497),
    IF(Query1[[#This Row],[Adj Close]]&gt;Query1[[#This Row],[avg]],
       Dashboard!$L$5-Dashboard!$E$6,
       Dashboard!$L$5+Dashboard!$E$6
    ), 0
)</f>
        <v>0</v>
      </c>
      <c r="P498" s="2">
        <f>IF(ROW()&lt;3, Query1[[#This Row],[Shares]], IF(Query1[[#This Row],[Month]]&lt;&gt;H497, P497+Query1[[#This Row],[Enhanced top up]]/Query1[[#This Row],[Adj Close]], P497))</f>
        <v>3345.3519709195557</v>
      </c>
      <c r="Q498" s="2">
        <f>IFERROR(AVERAGE(
  IF(ROW()&gt;20, INDEX(G:G, ROW()-20), 0) :
  INDEX(G:G, ROW())
),0)</f>
        <v>322.24176170712428</v>
      </c>
    </row>
    <row r="499" spans="1:17" x14ac:dyDescent="0.4">
      <c r="A499" s="1">
        <v>44551</v>
      </c>
      <c r="B499">
        <v>323.29000854492188</v>
      </c>
      <c r="C499">
        <v>327.73001098632813</v>
      </c>
      <c r="D499">
        <v>319.79998779296875</v>
      </c>
      <c r="E499">
        <v>327.29000854492188</v>
      </c>
      <c r="F499">
        <v>24740600</v>
      </c>
      <c r="G499">
        <v>317.27291870117188</v>
      </c>
      <c r="H499" s="2">
        <f>MONTH(Query1[[#This Row],[Date]])</f>
        <v>12</v>
      </c>
      <c r="I499" s="3">
        <f>Query1[[#This Row],[Shares]]*Query1[[#This Row],[Adj Close]]</f>
        <v>1139739.1776427925</v>
      </c>
      <c r="J499" s="3">
        <f>IF(ROW()&lt;3, Dashboard!$E$7, IF(Query1[[#This Row],[Month]]&lt;&gt;H498,J498*(1+Dashboard!$E$4)+Dashboard!$E$5,J498))</f>
        <v>680014.11284390127</v>
      </c>
      <c r="K499">
        <f>IF(ROW()&lt;3, 0,IF(Query1[[#This Row],[Month]]&lt;&gt;H498,IF((J499-I499&gt;0),J499-I499,0),0))</f>
        <v>0</v>
      </c>
      <c r="L499" s="2">
        <f t="shared" si="7"/>
        <v>3592.2989655359538</v>
      </c>
      <c r="M499">
        <f>IF(ROW()&lt;3, 0, IF(Query1[[#This Row],[Month]]&lt;&gt;H498, Dashboard!$J$5,0))</f>
        <v>0</v>
      </c>
      <c r="N499" s="2">
        <f>IF(ROW()&lt;3, Query1[[#This Row],[Shares]], IF(Query1[[#This Row],[Month]]&lt;&gt;H498, N498+Query1[[#This Row],[Fix Top Up]]/Query1[[#This Row],[Adj Close]], N498))</f>
        <v>3355.1320164549729</v>
      </c>
      <c r="O499">
        <f>IF(AND(Query1[[#This Row],[avg]]&gt;0, Query1[[#This Row],[Month]]&lt;&gt;H498),
    IF(Query1[[#This Row],[Adj Close]]&gt;Query1[[#This Row],[avg]],
       Dashboard!$L$5-Dashboard!$E$6,
       Dashboard!$L$5+Dashboard!$E$6
    ), 0
)</f>
        <v>0</v>
      </c>
      <c r="P499" s="2">
        <f>IF(ROW()&lt;3, Query1[[#This Row],[Shares]], IF(Query1[[#This Row],[Month]]&lt;&gt;H498, P498+Query1[[#This Row],[Enhanced top up]]/Query1[[#This Row],[Adj Close]], P498))</f>
        <v>3345.3519709195557</v>
      </c>
      <c r="Q499" s="2">
        <f>IFERROR(AVERAGE(
  IF(ROW()&gt;20, INDEX(G:G, ROW()-20), 0) :
  INDEX(G:G, ROW())
),0)</f>
        <v>321.51148768833707</v>
      </c>
    </row>
    <row r="500" spans="1:17" x14ac:dyDescent="0.4">
      <c r="A500" s="1">
        <v>44552</v>
      </c>
      <c r="B500">
        <v>328.29998779296875</v>
      </c>
      <c r="C500">
        <v>333.6099853515625</v>
      </c>
      <c r="D500">
        <v>325.75</v>
      </c>
      <c r="E500">
        <v>333.20001220703125</v>
      </c>
      <c r="F500">
        <v>24831500</v>
      </c>
      <c r="G500">
        <v>323.00204467773438</v>
      </c>
      <c r="H500" s="2">
        <f>MONTH(Query1[[#This Row],[Date]])</f>
        <v>12</v>
      </c>
      <c r="I500" s="3">
        <f>Query1[[#This Row],[Shares]]*Query1[[#This Row],[Adj Close]]</f>
        <v>1160319.9109618231</v>
      </c>
      <c r="J500" s="3">
        <f>IF(ROW()&lt;3, Dashboard!$E$7, IF(Query1[[#This Row],[Month]]&lt;&gt;H499,J499*(1+Dashboard!$E$4)+Dashboard!$E$5,J499))</f>
        <v>680014.11284390127</v>
      </c>
      <c r="K500">
        <f>IF(ROW()&lt;3, 0,IF(Query1[[#This Row],[Month]]&lt;&gt;H499,IF((J500-I500&gt;0),J500-I500,0),0))</f>
        <v>0</v>
      </c>
      <c r="L500" s="2">
        <f t="shared" si="7"/>
        <v>3592.2989655359538</v>
      </c>
      <c r="M500">
        <f>IF(ROW()&lt;3, 0, IF(Query1[[#This Row],[Month]]&lt;&gt;H499, Dashboard!$J$5,0))</f>
        <v>0</v>
      </c>
      <c r="N500" s="2">
        <f>IF(ROW()&lt;3, Query1[[#This Row],[Shares]], IF(Query1[[#This Row],[Month]]&lt;&gt;H499, N499+Query1[[#This Row],[Fix Top Up]]/Query1[[#This Row],[Adj Close]], N499))</f>
        <v>3355.1320164549729</v>
      </c>
      <c r="O500">
        <f>IF(AND(Query1[[#This Row],[avg]]&gt;0, Query1[[#This Row],[Month]]&lt;&gt;H499),
    IF(Query1[[#This Row],[Adj Close]]&gt;Query1[[#This Row],[avg]],
       Dashboard!$L$5-Dashboard!$E$6,
       Dashboard!$L$5+Dashboard!$E$6
    ), 0
)</f>
        <v>0</v>
      </c>
      <c r="P500" s="2">
        <f>IF(ROW()&lt;3, Query1[[#This Row],[Shares]], IF(Query1[[#This Row],[Month]]&lt;&gt;H499, P499+Query1[[#This Row],[Enhanced top up]]/Query1[[#This Row],[Adj Close]], P499))</f>
        <v>3345.3519709195557</v>
      </c>
      <c r="Q500" s="2">
        <f>IFERROR(AVERAGE(
  IF(ROW()&gt;20, INDEX(G:G, ROW()-20), 0) :
  INDEX(G:G, ROW())
),0)</f>
        <v>321.20543561662947</v>
      </c>
    </row>
    <row r="501" spans="1:17" x14ac:dyDescent="0.4">
      <c r="A501" s="1">
        <v>44553</v>
      </c>
      <c r="B501">
        <v>332.75</v>
      </c>
      <c r="C501">
        <v>336.3900146484375</v>
      </c>
      <c r="D501">
        <v>332.73001098632813</v>
      </c>
      <c r="E501">
        <v>334.69000244140625</v>
      </c>
      <c r="F501">
        <v>19617800</v>
      </c>
      <c r="G501">
        <v>324.44647216796875</v>
      </c>
      <c r="H501" s="2">
        <f>MONTH(Query1[[#This Row],[Date]])</f>
        <v>12</v>
      </c>
      <c r="I501" s="3">
        <f>Query1[[#This Row],[Shares]]*Query1[[#This Row],[Adj Close]]</f>
        <v>1165508.7263407838</v>
      </c>
      <c r="J501" s="3">
        <f>IF(ROW()&lt;3, Dashboard!$E$7, IF(Query1[[#This Row],[Month]]&lt;&gt;H500,J500*(1+Dashboard!$E$4)+Dashboard!$E$5,J500))</f>
        <v>680014.11284390127</v>
      </c>
      <c r="K501">
        <f>IF(ROW()&lt;3, 0,IF(Query1[[#This Row],[Month]]&lt;&gt;H500,IF((J501-I501&gt;0),J501-I501,0),0))</f>
        <v>0</v>
      </c>
      <c r="L501" s="2">
        <f t="shared" si="7"/>
        <v>3592.2989655359538</v>
      </c>
      <c r="M501">
        <f>IF(ROW()&lt;3, 0, IF(Query1[[#This Row],[Month]]&lt;&gt;H500, Dashboard!$J$5,0))</f>
        <v>0</v>
      </c>
      <c r="N501" s="2">
        <f>IF(ROW()&lt;3, Query1[[#This Row],[Shares]], IF(Query1[[#This Row],[Month]]&lt;&gt;H500, N500+Query1[[#This Row],[Fix Top Up]]/Query1[[#This Row],[Adj Close]], N500))</f>
        <v>3355.1320164549729</v>
      </c>
      <c r="O501">
        <f>IF(AND(Query1[[#This Row],[avg]]&gt;0, Query1[[#This Row],[Month]]&lt;&gt;H500),
    IF(Query1[[#This Row],[Adj Close]]&gt;Query1[[#This Row],[avg]],
       Dashboard!$L$5-Dashboard!$E$6,
       Dashboard!$L$5+Dashboard!$E$6
    ), 0
)</f>
        <v>0</v>
      </c>
      <c r="P501" s="2">
        <f>IF(ROW()&lt;3, Query1[[#This Row],[Shares]], IF(Query1[[#This Row],[Month]]&lt;&gt;H500, P500+Query1[[#This Row],[Enhanced top up]]/Query1[[#This Row],[Adj Close]], P500))</f>
        <v>3345.3519709195557</v>
      </c>
      <c r="Q501" s="2">
        <f>IFERROR(AVERAGE(
  IF(ROW()&gt;20, INDEX(G:G, ROW()-20), 0) :
  INDEX(G:G, ROW())
),0)</f>
        <v>321.06741478329616</v>
      </c>
    </row>
    <row r="502" spans="1:17" x14ac:dyDescent="0.4">
      <c r="A502" s="1">
        <v>44557</v>
      </c>
      <c r="B502">
        <v>335.45999145507813</v>
      </c>
      <c r="C502">
        <v>342.48001098632813</v>
      </c>
      <c r="D502">
        <v>335.42999267578125</v>
      </c>
      <c r="E502">
        <v>342.45001220703125</v>
      </c>
      <c r="F502">
        <v>19947000</v>
      </c>
      <c r="G502">
        <v>331.96893310546875</v>
      </c>
      <c r="H502" s="2">
        <f>MONTH(Query1[[#This Row],[Date]])</f>
        <v>12</v>
      </c>
      <c r="I502" s="3">
        <f>Query1[[#This Row],[Shares]]*Query1[[#This Row],[Adj Close]]</f>
        <v>1192531.6549848497</v>
      </c>
      <c r="J502" s="3">
        <f>IF(ROW()&lt;3, Dashboard!$E$7, IF(Query1[[#This Row],[Month]]&lt;&gt;H501,J501*(1+Dashboard!$E$4)+Dashboard!$E$5,J501))</f>
        <v>680014.11284390127</v>
      </c>
      <c r="K502">
        <f>IF(ROW()&lt;3, 0,IF(Query1[[#This Row],[Month]]&lt;&gt;H501,IF((J502-I502&gt;0),J502-I502,0),0))</f>
        <v>0</v>
      </c>
      <c r="L502" s="2">
        <f t="shared" si="7"/>
        <v>3592.2989655359538</v>
      </c>
      <c r="M502">
        <f>IF(ROW()&lt;3, 0, IF(Query1[[#This Row],[Month]]&lt;&gt;H501, Dashboard!$J$5,0))</f>
        <v>0</v>
      </c>
      <c r="N502" s="2">
        <f>IF(ROW()&lt;3, Query1[[#This Row],[Shares]], IF(Query1[[#This Row],[Month]]&lt;&gt;H501, N501+Query1[[#This Row],[Fix Top Up]]/Query1[[#This Row],[Adj Close]], N501))</f>
        <v>3355.1320164549729</v>
      </c>
      <c r="O502">
        <f>IF(AND(Query1[[#This Row],[avg]]&gt;0, Query1[[#This Row],[Month]]&lt;&gt;H501),
    IF(Query1[[#This Row],[Adj Close]]&gt;Query1[[#This Row],[avg]],
       Dashboard!$L$5-Dashboard!$E$6,
       Dashboard!$L$5+Dashboard!$E$6
    ), 0
)</f>
        <v>0</v>
      </c>
      <c r="P502" s="2">
        <f>IF(ROW()&lt;3, Query1[[#This Row],[Shares]], IF(Query1[[#This Row],[Month]]&lt;&gt;H501, P501+Query1[[#This Row],[Enhanced top up]]/Query1[[#This Row],[Adj Close]], P501))</f>
        <v>3345.3519709195557</v>
      </c>
      <c r="Q502" s="2">
        <f>IFERROR(AVERAGE(
  IF(ROW()&gt;20, INDEX(G:G, ROW()-20), 0) :
  INDEX(G:G, ROW())
),0)</f>
        <v>321.27699061802457</v>
      </c>
    </row>
    <row r="503" spans="1:17" x14ac:dyDescent="0.4">
      <c r="A503" s="1">
        <v>44558</v>
      </c>
      <c r="B503">
        <v>343.14999389648438</v>
      </c>
      <c r="C503">
        <v>343.80999755859375</v>
      </c>
      <c r="D503">
        <v>340.32000732421875</v>
      </c>
      <c r="E503">
        <v>341.25</v>
      </c>
      <c r="F503">
        <v>15661500</v>
      </c>
      <c r="G503">
        <v>330.8056640625</v>
      </c>
      <c r="H503" s="2">
        <f>MONTH(Query1[[#This Row],[Date]])</f>
        <v>12</v>
      </c>
      <c r="I503" s="3">
        <f>Query1[[#This Row],[Shares]]*Query1[[#This Row],[Adj Close]]</f>
        <v>1188352.8448051531</v>
      </c>
      <c r="J503" s="3">
        <f>IF(ROW()&lt;3, Dashboard!$E$7, IF(Query1[[#This Row],[Month]]&lt;&gt;H502,J502*(1+Dashboard!$E$4)+Dashboard!$E$5,J502))</f>
        <v>680014.11284390127</v>
      </c>
      <c r="K503">
        <f>IF(ROW()&lt;3, 0,IF(Query1[[#This Row],[Month]]&lt;&gt;H502,IF((J503-I503&gt;0),J503-I503,0),0))</f>
        <v>0</v>
      </c>
      <c r="L503" s="2">
        <f t="shared" si="7"/>
        <v>3592.2989655359538</v>
      </c>
      <c r="M503">
        <f>IF(ROW()&lt;3, 0, IF(Query1[[#This Row],[Month]]&lt;&gt;H502, Dashboard!$J$5,0))</f>
        <v>0</v>
      </c>
      <c r="N503" s="2">
        <f>IF(ROW()&lt;3, Query1[[#This Row],[Shares]], IF(Query1[[#This Row],[Month]]&lt;&gt;H502, N502+Query1[[#This Row],[Fix Top Up]]/Query1[[#This Row],[Adj Close]], N502))</f>
        <v>3355.1320164549729</v>
      </c>
      <c r="O503">
        <f>IF(AND(Query1[[#This Row],[avg]]&gt;0, Query1[[#This Row],[Month]]&lt;&gt;H502),
    IF(Query1[[#This Row],[Adj Close]]&gt;Query1[[#This Row],[avg]],
       Dashboard!$L$5-Dashboard!$E$6,
       Dashboard!$L$5+Dashboard!$E$6
    ), 0
)</f>
        <v>0</v>
      </c>
      <c r="P503" s="2">
        <f>IF(ROW()&lt;3, Query1[[#This Row],[Shares]], IF(Query1[[#This Row],[Month]]&lt;&gt;H502, P502+Query1[[#This Row],[Enhanced top up]]/Query1[[#This Row],[Adj Close]], P502))</f>
        <v>3345.3519709195557</v>
      </c>
      <c r="Q503" s="2">
        <f>IFERROR(AVERAGE(
  IF(ROW()&gt;20, INDEX(G:G, ROW()-20), 0) :
  INDEX(G:G, ROW())
),0)</f>
        <v>321.81107875279019</v>
      </c>
    </row>
    <row r="504" spans="1:17" x14ac:dyDescent="0.4">
      <c r="A504" s="1">
        <v>44559</v>
      </c>
      <c r="B504">
        <v>341.29998779296875</v>
      </c>
      <c r="C504">
        <v>344.29998779296875</v>
      </c>
      <c r="D504">
        <v>339.67999267578125</v>
      </c>
      <c r="E504">
        <v>341.95001220703125</v>
      </c>
      <c r="F504">
        <v>15042000</v>
      </c>
      <c r="G504">
        <v>331.48422241210938</v>
      </c>
      <c r="H504" s="2">
        <f>MONTH(Query1[[#This Row],[Date]])</f>
        <v>12</v>
      </c>
      <c r="I504" s="3">
        <f>Query1[[#This Row],[Shares]]*Query1[[#This Row],[Adj Close]]</f>
        <v>1190790.4292625105</v>
      </c>
      <c r="J504" s="3">
        <f>IF(ROW()&lt;3, Dashboard!$E$7, IF(Query1[[#This Row],[Month]]&lt;&gt;H503,J503*(1+Dashboard!$E$4)+Dashboard!$E$5,J503))</f>
        <v>680014.11284390127</v>
      </c>
      <c r="K504">
        <f>IF(ROW()&lt;3, 0,IF(Query1[[#This Row],[Month]]&lt;&gt;H503,IF((J504-I504&gt;0),J504-I504,0),0))</f>
        <v>0</v>
      </c>
      <c r="L504" s="2">
        <f t="shared" si="7"/>
        <v>3592.2989655359538</v>
      </c>
      <c r="M504">
        <f>IF(ROW()&lt;3, 0, IF(Query1[[#This Row],[Month]]&lt;&gt;H503, Dashboard!$J$5,0))</f>
        <v>0</v>
      </c>
      <c r="N504" s="2">
        <f>IF(ROW()&lt;3, Query1[[#This Row],[Shares]], IF(Query1[[#This Row],[Month]]&lt;&gt;H503, N503+Query1[[#This Row],[Fix Top Up]]/Query1[[#This Row],[Adj Close]], N503))</f>
        <v>3355.1320164549729</v>
      </c>
      <c r="O504">
        <f>IF(AND(Query1[[#This Row],[avg]]&gt;0, Query1[[#This Row],[Month]]&lt;&gt;H503),
    IF(Query1[[#This Row],[Adj Close]]&gt;Query1[[#This Row],[avg]],
       Dashboard!$L$5-Dashboard!$E$6,
       Dashboard!$L$5+Dashboard!$E$6
    ), 0
)</f>
        <v>0</v>
      </c>
      <c r="P504" s="2">
        <f>IF(ROW()&lt;3, Query1[[#This Row],[Shares]], IF(Query1[[#This Row],[Month]]&lt;&gt;H503, P503+Query1[[#This Row],[Enhanced top up]]/Query1[[#This Row],[Adj Close]], P503))</f>
        <v>3345.3519709195557</v>
      </c>
      <c r="Q504" s="2">
        <f>IFERROR(AVERAGE(
  IF(ROW()&gt;20, INDEX(G:G, ROW()-20), 0) :
  INDEX(G:G, ROW())
),0)</f>
        <v>322.05665515718005</v>
      </c>
    </row>
    <row r="505" spans="1:17" x14ac:dyDescent="0.4">
      <c r="A505" s="1">
        <v>44560</v>
      </c>
      <c r="B505">
        <v>341.91000366210938</v>
      </c>
      <c r="C505">
        <v>343.1300048828125</v>
      </c>
      <c r="D505">
        <v>338.82000732421875</v>
      </c>
      <c r="E505">
        <v>339.32000732421875</v>
      </c>
      <c r="F505">
        <v>15994500</v>
      </c>
      <c r="G505">
        <v>328.93472290039063</v>
      </c>
      <c r="H505" s="2">
        <f>MONTH(Query1[[#This Row],[Date]])</f>
        <v>12</v>
      </c>
      <c r="I505" s="3">
        <f>Query1[[#This Row],[Shares]]*Query1[[#This Row],[Adj Close]]</f>
        <v>1181631.8648039289</v>
      </c>
      <c r="J505" s="3">
        <f>IF(ROW()&lt;3, Dashboard!$E$7, IF(Query1[[#This Row],[Month]]&lt;&gt;H504,J504*(1+Dashboard!$E$4)+Dashboard!$E$5,J504))</f>
        <v>680014.11284390127</v>
      </c>
      <c r="K505">
        <f>IF(ROW()&lt;3, 0,IF(Query1[[#This Row],[Month]]&lt;&gt;H504,IF((J505-I505&gt;0),J505-I505,0),0))</f>
        <v>0</v>
      </c>
      <c r="L505" s="2">
        <f t="shared" si="7"/>
        <v>3592.2989655359538</v>
      </c>
      <c r="M505">
        <f>IF(ROW()&lt;3, 0, IF(Query1[[#This Row],[Month]]&lt;&gt;H504, Dashboard!$J$5,0))</f>
        <v>0</v>
      </c>
      <c r="N505" s="2">
        <f>IF(ROW()&lt;3, Query1[[#This Row],[Shares]], IF(Query1[[#This Row],[Month]]&lt;&gt;H504, N504+Query1[[#This Row],[Fix Top Up]]/Query1[[#This Row],[Adj Close]], N504))</f>
        <v>3355.1320164549729</v>
      </c>
      <c r="O505">
        <f>IF(AND(Query1[[#This Row],[avg]]&gt;0, Query1[[#This Row],[Month]]&lt;&gt;H504),
    IF(Query1[[#This Row],[Adj Close]]&gt;Query1[[#This Row],[avg]],
       Dashboard!$L$5-Dashboard!$E$6,
       Dashboard!$L$5+Dashboard!$E$6
    ), 0
)</f>
        <v>0</v>
      </c>
      <c r="P505" s="2">
        <f>IF(ROW()&lt;3, Query1[[#This Row],[Shares]], IF(Query1[[#This Row],[Month]]&lt;&gt;H504, P504+Query1[[#This Row],[Enhanced top up]]/Query1[[#This Row],[Adj Close]], P504))</f>
        <v>3345.3519709195557</v>
      </c>
      <c r="Q505" s="2">
        <f>IFERROR(AVERAGE(
  IF(ROW()&gt;20, INDEX(G:G, ROW()-20), 0) :
  INDEX(G:G, ROW())
),0)</f>
        <v>322.45964704241072</v>
      </c>
    </row>
    <row r="506" spans="1:17" x14ac:dyDescent="0.4">
      <c r="A506" s="1">
        <v>44561</v>
      </c>
      <c r="B506">
        <v>338.510009765625</v>
      </c>
      <c r="C506">
        <v>339.3599853515625</v>
      </c>
      <c r="D506">
        <v>335.85000610351563</v>
      </c>
      <c r="E506">
        <v>336.32000732421875</v>
      </c>
      <c r="F506">
        <v>18000800</v>
      </c>
      <c r="G506">
        <v>326.02658081054688</v>
      </c>
      <c r="H506" s="2">
        <f>MONTH(Query1[[#This Row],[Date]])</f>
        <v>12</v>
      </c>
      <c r="I506" s="3">
        <f>Query1[[#This Row],[Shares]]*Query1[[#This Row],[Adj Close]]</f>
        <v>1171184.9489829517</v>
      </c>
      <c r="J506" s="3">
        <f>IF(ROW()&lt;3, Dashboard!$E$7, IF(Query1[[#This Row],[Month]]&lt;&gt;H505,J505*(1+Dashboard!$E$4)+Dashboard!$E$5,J505))</f>
        <v>680014.11284390127</v>
      </c>
      <c r="K506">
        <f>IF(ROW()&lt;3, 0,IF(Query1[[#This Row],[Month]]&lt;&gt;H505,IF((J506-I506&gt;0),J506-I506,0),0))</f>
        <v>0</v>
      </c>
      <c r="L506" s="2">
        <f t="shared" si="7"/>
        <v>3592.2989655359538</v>
      </c>
      <c r="M506">
        <f>IF(ROW()&lt;3, 0, IF(Query1[[#This Row],[Month]]&lt;&gt;H505, Dashboard!$J$5,0))</f>
        <v>0</v>
      </c>
      <c r="N506" s="2">
        <f>IF(ROW()&lt;3, Query1[[#This Row],[Shares]], IF(Query1[[#This Row],[Month]]&lt;&gt;H505, N505+Query1[[#This Row],[Fix Top Up]]/Query1[[#This Row],[Adj Close]], N505))</f>
        <v>3355.1320164549729</v>
      </c>
      <c r="O506">
        <f>IF(AND(Query1[[#This Row],[avg]]&gt;0, Query1[[#This Row],[Month]]&lt;&gt;H505),
    IF(Query1[[#This Row],[Adj Close]]&gt;Query1[[#This Row],[avg]],
       Dashboard!$L$5-Dashboard!$E$6,
       Dashboard!$L$5+Dashboard!$E$6
    ), 0
)</f>
        <v>0</v>
      </c>
      <c r="P506" s="2">
        <f>IF(ROW()&lt;3, Query1[[#This Row],[Shares]], IF(Query1[[#This Row],[Month]]&lt;&gt;H505, P505+Query1[[#This Row],[Enhanced top up]]/Query1[[#This Row],[Adj Close]], P505))</f>
        <v>3345.3519709195557</v>
      </c>
      <c r="Q506" s="2">
        <f>IFERROR(AVERAGE(
  IF(ROW()&gt;20, INDEX(G:G, ROW()-20), 0) :
  INDEX(G:G, ROW())
),0)</f>
        <v>322.74769374302457</v>
      </c>
    </row>
    <row r="507" spans="1:17" x14ac:dyDescent="0.4">
      <c r="A507" s="1">
        <v>44564</v>
      </c>
      <c r="B507">
        <v>335.35000610351563</v>
      </c>
      <c r="C507">
        <v>338</v>
      </c>
      <c r="D507">
        <v>329.77999877929688</v>
      </c>
      <c r="E507">
        <v>334.75</v>
      </c>
      <c r="F507">
        <v>28865100</v>
      </c>
      <c r="G507">
        <v>324.504638671875</v>
      </c>
      <c r="H507" s="2">
        <f>MONTH(Query1[[#This Row],[Date]])</f>
        <v>1</v>
      </c>
      <c r="I507" s="3">
        <f>Query1[[#This Row],[Shares]]*Query1[[#This Row],[Adj Close]]</f>
        <v>1165717.6778125949</v>
      </c>
      <c r="J507" s="3">
        <f>IF(ROW()&lt;3, Dashboard!$E$7, IF(Query1[[#This Row],[Month]]&lt;&gt;H506,J506*(1+Dashboard!$E$4)+Dashboard!$E$5,J506))</f>
        <v>688814.25397234026</v>
      </c>
      <c r="K507">
        <f>IF(ROW()&lt;3, 0,IF(Query1[[#This Row],[Month]]&lt;&gt;H506,IF((J507-I507&gt;0),J507-I507,0),0))</f>
        <v>0</v>
      </c>
      <c r="L507" s="2">
        <f t="shared" si="7"/>
        <v>3592.2989655359538</v>
      </c>
      <c r="M507">
        <f>IF(ROW()&lt;3, 0, IF(Query1[[#This Row],[Month]]&lt;&gt;H506, Dashboard!$J$5,0))</f>
        <v>773.47399999999971</v>
      </c>
      <c r="N507" s="2">
        <f>IF(ROW()&lt;3, Query1[[#This Row],[Shares]], IF(Query1[[#This Row],[Month]]&lt;&gt;H506, N506+Query1[[#This Row],[Fix Top Up]]/Query1[[#This Row],[Adj Close]], N506))</f>
        <v>3357.5155694395025</v>
      </c>
      <c r="O507">
        <f>IF(AND(Query1[[#This Row],[avg]]&gt;0, Query1[[#This Row],[Month]]&lt;&gt;H506),
    IF(Query1[[#This Row],[Adj Close]]&gt;Query1[[#This Row],[avg]],
       Dashboard!$L$5-Dashboard!$E$6,
       Dashboard!$L$5+Dashboard!$E$6
    ), 0
)</f>
        <v>390.14066666666668</v>
      </c>
      <c r="P507" s="2">
        <f>IF(ROW()&lt;3, Query1[[#This Row],[Shares]], IF(Query1[[#This Row],[Month]]&lt;&gt;H506, P506+Query1[[#This Row],[Enhanced top up]]/Query1[[#This Row],[Adj Close]], P506))</f>
        <v>3346.554236219255</v>
      </c>
      <c r="Q507" s="2">
        <f>IFERROR(AVERAGE(
  IF(ROW()&gt;20, INDEX(G:G, ROW()-20), 0) :
  INDEX(G:G, ROW())
),0)</f>
        <v>322.99050467354908</v>
      </c>
    </row>
    <row r="508" spans="1:17" x14ac:dyDescent="0.4">
      <c r="A508" s="1">
        <v>44565</v>
      </c>
      <c r="B508">
        <v>334.82998657226563</v>
      </c>
      <c r="C508">
        <v>335.20001220703125</v>
      </c>
      <c r="D508">
        <v>326.1199951171875</v>
      </c>
      <c r="E508">
        <v>329.010009765625</v>
      </c>
      <c r="F508">
        <v>32674300</v>
      </c>
      <c r="G508">
        <v>318.94021606445313</v>
      </c>
      <c r="H508" s="2">
        <f>MONTH(Query1[[#This Row],[Date]])</f>
        <v>1</v>
      </c>
      <c r="I508" s="3">
        <f>Query1[[#This Row],[Shares]]*Query1[[#This Row],[Adj Close]]</f>
        <v>1145728.6082361485</v>
      </c>
      <c r="J508" s="3">
        <f>IF(ROW()&lt;3, Dashboard!$E$7, IF(Query1[[#This Row],[Month]]&lt;&gt;H507,J507*(1+Dashboard!$E$4)+Dashboard!$E$5,J507))</f>
        <v>688814.25397234026</v>
      </c>
      <c r="K508">
        <f>IF(ROW()&lt;3, 0,IF(Query1[[#This Row],[Month]]&lt;&gt;H507,IF((J508-I508&gt;0),J508-I508,0),0))</f>
        <v>0</v>
      </c>
      <c r="L508" s="2">
        <f t="shared" si="7"/>
        <v>3592.2989655359538</v>
      </c>
      <c r="M508">
        <f>IF(ROW()&lt;3, 0, IF(Query1[[#This Row],[Month]]&lt;&gt;H507, Dashboard!$J$5,0))</f>
        <v>0</v>
      </c>
      <c r="N508" s="2">
        <f>IF(ROW()&lt;3, Query1[[#This Row],[Shares]], IF(Query1[[#This Row],[Month]]&lt;&gt;H507, N507+Query1[[#This Row],[Fix Top Up]]/Query1[[#This Row],[Adj Close]], N507))</f>
        <v>3357.5155694395025</v>
      </c>
      <c r="O508">
        <f>IF(AND(Query1[[#This Row],[avg]]&gt;0, Query1[[#This Row],[Month]]&lt;&gt;H507),
    IF(Query1[[#This Row],[Adj Close]]&gt;Query1[[#This Row],[avg]],
       Dashboard!$L$5-Dashboard!$E$6,
       Dashboard!$L$5+Dashboard!$E$6
    ), 0
)</f>
        <v>0</v>
      </c>
      <c r="P508" s="2">
        <f>IF(ROW()&lt;3, Query1[[#This Row],[Shares]], IF(Query1[[#This Row],[Month]]&lt;&gt;H507, P507+Query1[[#This Row],[Enhanced top up]]/Query1[[#This Row],[Adj Close]], P507))</f>
        <v>3346.554236219255</v>
      </c>
      <c r="Q508" s="2">
        <f>IFERROR(AVERAGE(
  IF(ROW()&gt;20, INDEX(G:G, ROW()-20), 0) :
  INDEX(G:G, ROW())
),0)</f>
        <v>323.26747058686755</v>
      </c>
    </row>
    <row r="509" spans="1:17" x14ac:dyDescent="0.4">
      <c r="A509" s="1">
        <v>44566</v>
      </c>
      <c r="B509">
        <v>325.8599853515625</v>
      </c>
      <c r="C509">
        <v>326.07000732421875</v>
      </c>
      <c r="D509">
        <v>315.98001098632813</v>
      </c>
      <c r="E509">
        <v>316.3800048828125</v>
      </c>
      <c r="F509">
        <v>40054300</v>
      </c>
      <c r="G509">
        <v>306.69686889648438</v>
      </c>
      <c r="H509" s="2">
        <f>MONTH(Query1[[#This Row],[Date]])</f>
        <v>1</v>
      </c>
      <c r="I509" s="3">
        <f>Query1[[#This Row],[Shares]]*Query1[[#This Row],[Adj Close]]</f>
        <v>1101746.8448699568</v>
      </c>
      <c r="J509" s="3">
        <f>IF(ROW()&lt;3, Dashboard!$E$7, IF(Query1[[#This Row],[Month]]&lt;&gt;H508,J508*(1+Dashboard!$E$4)+Dashboard!$E$5,J508))</f>
        <v>688814.25397234026</v>
      </c>
      <c r="K509">
        <f>IF(ROW()&lt;3, 0,IF(Query1[[#This Row],[Month]]&lt;&gt;H508,IF((J509-I509&gt;0),J509-I509,0),0))</f>
        <v>0</v>
      </c>
      <c r="L509" s="2">
        <f t="shared" si="7"/>
        <v>3592.2989655359538</v>
      </c>
      <c r="M509">
        <f>IF(ROW()&lt;3, 0, IF(Query1[[#This Row],[Month]]&lt;&gt;H508, Dashboard!$J$5,0))</f>
        <v>0</v>
      </c>
      <c r="N509" s="2">
        <f>IF(ROW()&lt;3, Query1[[#This Row],[Shares]], IF(Query1[[#This Row],[Month]]&lt;&gt;H508, N508+Query1[[#This Row],[Fix Top Up]]/Query1[[#This Row],[Adj Close]], N508))</f>
        <v>3357.5155694395025</v>
      </c>
      <c r="O509">
        <f>IF(AND(Query1[[#This Row],[avg]]&gt;0, Query1[[#This Row],[Month]]&lt;&gt;H508),
    IF(Query1[[#This Row],[Adj Close]]&gt;Query1[[#This Row],[avg]],
       Dashboard!$L$5-Dashboard!$E$6,
       Dashboard!$L$5+Dashboard!$E$6
    ), 0
)</f>
        <v>0</v>
      </c>
      <c r="P509" s="2">
        <f>IF(ROW()&lt;3, Query1[[#This Row],[Shares]], IF(Query1[[#This Row],[Month]]&lt;&gt;H508, P508+Query1[[#This Row],[Enhanced top up]]/Query1[[#This Row],[Adj Close]], P508))</f>
        <v>3346.554236219255</v>
      </c>
      <c r="Q509" s="2">
        <f>IFERROR(AVERAGE(
  IF(ROW()&gt;20, INDEX(G:G, ROW()-20), 0) :
  INDEX(G:G, ROW())
),0)</f>
        <v>322.81463041759673</v>
      </c>
    </row>
    <row r="510" spans="1:17" x14ac:dyDescent="0.4">
      <c r="A510" s="1">
        <v>44567</v>
      </c>
      <c r="B510">
        <v>313.14999389648438</v>
      </c>
      <c r="C510">
        <v>318.70001220703125</v>
      </c>
      <c r="D510">
        <v>311.489990234375</v>
      </c>
      <c r="E510">
        <v>313.8800048828125</v>
      </c>
      <c r="F510">
        <v>39646100</v>
      </c>
      <c r="G510">
        <v>304.27337646484375</v>
      </c>
      <c r="H510" s="2">
        <f>MONTH(Query1[[#This Row],[Date]])</f>
        <v>1</v>
      </c>
      <c r="I510" s="3">
        <f>Query1[[#This Row],[Shares]]*Query1[[#This Row],[Adj Close]]</f>
        <v>1093040.93551479</v>
      </c>
      <c r="J510" s="3">
        <f>IF(ROW()&lt;3, Dashboard!$E$7, IF(Query1[[#This Row],[Month]]&lt;&gt;H509,J509*(1+Dashboard!$E$4)+Dashboard!$E$5,J509))</f>
        <v>688814.25397234026</v>
      </c>
      <c r="K510">
        <f>IF(ROW()&lt;3, 0,IF(Query1[[#This Row],[Month]]&lt;&gt;H509,IF((J510-I510&gt;0),J510-I510,0),0))</f>
        <v>0</v>
      </c>
      <c r="L510" s="2">
        <f t="shared" si="7"/>
        <v>3592.2989655359538</v>
      </c>
      <c r="M510">
        <f>IF(ROW()&lt;3, 0, IF(Query1[[#This Row],[Month]]&lt;&gt;H509, Dashboard!$J$5,0))</f>
        <v>0</v>
      </c>
      <c r="N510" s="2">
        <f>IF(ROW()&lt;3, Query1[[#This Row],[Shares]], IF(Query1[[#This Row],[Month]]&lt;&gt;H509, N509+Query1[[#This Row],[Fix Top Up]]/Query1[[#This Row],[Adj Close]], N509))</f>
        <v>3357.5155694395025</v>
      </c>
      <c r="O510">
        <f>IF(AND(Query1[[#This Row],[avg]]&gt;0, Query1[[#This Row],[Month]]&lt;&gt;H509),
    IF(Query1[[#This Row],[Adj Close]]&gt;Query1[[#This Row],[avg]],
       Dashboard!$L$5-Dashboard!$E$6,
       Dashboard!$L$5+Dashboard!$E$6
    ), 0
)</f>
        <v>0</v>
      </c>
      <c r="P510" s="2">
        <f>IF(ROW()&lt;3, Query1[[#This Row],[Shares]], IF(Query1[[#This Row],[Month]]&lt;&gt;H509, P509+Query1[[#This Row],[Enhanced top up]]/Query1[[#This Row],[Adj Close]], P509))</f>
        <v>3346.554236219255</v>
      </c>
      <c r="Q510" s="2">
        <f>IFERROR(AVERAGE(
  IF(ROW()&gt;20, INDEX(G:G, ROW()-20), 0) :
  INDEX(G:G, ROW())
),0)</f>
        <v>321.84339250837053</v>
      </c>
    </row>
    <row r="511" spans="1:17" x14ac:dyDescent="0.4">
      <c r="A511" s="1">
        <v>44568</v>
      </c>
      <c r="B511">
        <v>314.14999389648438</v>
      </c>
      <c r="C511">
        <v>316.5</v>
      </c>
      <c r="D511">
        <v>310.08999633789063</v>
      </c>
      <c r="E511">
        <v>314.04000854492188</v>
      </c>
      <c r="F511">
        <v>32720000</v>
      </c>
      <c r="G511">
        <v>304.428466796875</v>
      </c>
      <c r="H511" s="2">
        <f>MONTH(Query1[[#This Row],[Date]])</f>
        <v>1</v>
      </c>
      <c r="I511" s="3">
        <f>Query1[[#This Row],[Shares]]*Query1[[#This Row],[Adj Close]]</f>
        <v>1093598.0663541106</v>
      </c>
      <c r="J511" s="3">
        <f>IF(ROW()&lt;3, Dashboard!$E$7, IF(Query1[[#This Row],[Month]]&lt;&gt;H510,J510*(1+Dashboard!$E$4)+Dashboard!$E$5,J510))</f>
        <v>688814.25397234026</v>
      </c>
      <c r="K511">
        <f>IF(ROW()&lt;3, 0,IF(Query1[[#This Row],[Month]]&lt;&gt;H510,IF((J511-I511&gt;0),J511-I511,0),0))</f>
        <v>0</v>
      </c>
      <c r="L511" s="2">
        <f t="shared" si="7"/>
        <v>3592.2989655359538</v>
      </c>
      <c r="M511">
        <f>IF(ROW()&lt;3, 0, IF(Query1[[#This Row],[Month]]&lt;&gt;H510, Dashboard!$J$5,0))</f>
        <v>0</v>
      </c>
      <c r="N511" s="2">
        <f>IF(ROW()&lt;3, Query1[[#This Row],[Shares]], IF(Query1[[#This Row],[Month]]&lt;&gt;H510, N510+Query1[[#This Row],[Fix Top Up]]/Query1[[#This Row],[Adj Close]], N510))</f>
        <v>3357.5155694395025</v>
      </c>
      <c r="O511">
        <f>IF(AND(Query1[[#This Row],[avg]]&gt;0, Query1[[#This Row],[Month]]&lt;&gt;H510),
    IF(Query1[[#This Row],[Adj Close]]&gt;Query1[[#This Row],[avg]],
       Dashboard!$L$5-Dashboard!$E$6,
       Dashboard!$L$5+Dashboard!$E$6
    ), 0
)</f>
        <v>0</v>
      </c>
      <c r="P511" s="2">
        <f>IF(ROW()&lt;3, Query1[[#This Row],[Shares]], IF(Query1[[#This Row],[Month]]&lt;&gt;H510, P510+Query1[[#This Row],[Enhanced top up]]/Query1[[#This Row],[Adj Close]], P510))</f>
        <v>3346.554236219255</v>
      </c>
      <c r="Q511" s="2">
        <f>IFERROR(AVERAGE(
  IF(ROW()&gt;20, INDEX(G:G, ROW()-20), 0) :
  INDEX(G:G, ROW())
),0)</f>
        <v>320.87722778320313</v>
      </c>
    </row>
    <row r="512" spans="1:17" x14ac:dyDescent="0.4">
      <c r="A512" s="1">
        <v>44571</v>
      </c>
      <c r="B512">
        <v>309.489990234375</v>
      </c>
      <c r="C512">
        <v>314.72000122070313</v>
      </c>
      <c r="D512">
        <v>304.69000244140625</v>
      </c>
      <c r="E512">
        <v>314.26998901367188</v>
      </c>
      <c r="F512">
        <v>44289500</v>
      </c>
      <c r="G512">
        <v>304.65139770507813</v>
      </c>
      <c r="H512" s="2">
        <f>MONTH(Query1[[#This Row],[Date]])</f>
        <v>1</v>
      </c>
      <c r="I512" s="3">
        <f>Query1[[#This Row],[Shares]]*Query1[[#This Row],[Adj Close]]</f>
        <v>1094398.9008250346</v>
      </c>
      <c r="J512" s="3">
        <f>IF(ROW()&lt;3, Dashboard!$E$7, IF(Query1[[#This Row],[Month]]&lt;&gt;H511,J511*(1+Dashboard!$E$4)+Dashboard!$E$5,J511))</f>
        <v>688814.25397234026</v>
      </c>
      <c r="K512">
        <f>IF(ROW()&lt;3, 0,IF(Query1[[#This Row],[Month]]&lt;&gt;H511,IF((J512-I512&gt;0),J512-I512,0),0))</f>
        <v>0</v>
      </c>
      <c r="L512" s="2">
        <f t="shared" si="7"/>
        <v>3592.2989655359538</v>
      </c>
      <c r="M512">
        <f>IF(ROW()&lt;3, 0, IF(Query1[[#This Row],[Month]]&lt;&gt;H511, Dashboard!$J$5,0))</f>
        <v>0</v>
      </c>
      <c r="N512" s="2">
        <f>IF(ROW()&lt;3, Query1[[#This Row],[Shares]], IF(Query1[[#This Row],[Month]]&lt;&gt;H511, N511+Query1[[#This Row],[Fix Top Up]]/Query1[[#This Row],[Adj Close]], N511))</f>
        <v>3357.5155694395025</v>
      </c>
      <c r="O512">
        <f>IF(AND(Query1[[#This Row],[avg]]&gt;0, Query1[[#This Row],[Month]]&lt;&gt;H511),
    IF(Query1[[#This Row],[Adj Close]]&gt;Query1[[#This Row],[avg]],
       Dashboard!$L$5-Dashboard!$E$6,
       Dashboard!$L$5+Dashboard!$E$6
    ), 0
)</f>
        <v>0</v>
      </c>
      <c r="P512" s="2">
        <f>IF(ROW()&lt;3, Query1[[#This Row],[Shares]], IF(Query1[[#This Row],[Month]]&lt;&gt;H511, P511+Query1[[#This Row],[Enhanced top up]]/Query1[[#This Row],[Adj Close]], P511))</f>
        <v>3346.554236219255</v>
      </c>
      <c r="Q512" s="2">
        <f>IFERROR(AVERAGE(
  IF(ROW()&gt;20, INDEX(G:G, ROW()-20), 0) :
  INDEX(G:G, ROW())
),0)</f>
        <v>320.0080028715588</v>
      </c>
    </row>
    <row r="513" spans="1:17" x14ac:dyDescent="0.4">
      <c r="A513" s="1">
        <v>44572</v>
      </c>
      <c r="B513">
        <v>313.3800048828125</v>
      </c>
      <c r="C513">
        <v>316.6099853515625</v>
      </c>
      <c r="D513">
        <v>309.8900146484375</v>
      </c>
      <c r="E513">
        <v>314.98001098632813</v>
      </c>
      <c r="F513">
        <v>29386800</v>
      </c>
      <c r="G513">
        <v>305.33966064453125</v>
      </c>
      <c r="H513" s="2">
        <f>MONTH(Query1[[#This Row],[Date]])</f>
        <v>1</v>
      </c>
      <c r="I513" s="3">
        <f>Query1[[#This Row],[Shares]]*Query1[[#This Row],[Adj Close]]</f>
        <v>1096871.3470704488</v>
      </c>
      <c r="J513" s="3">
        <f>IF(ROW()&lt;3, Dashboard!$E$7, IF(Query1[[#This Row],[Month]]&lt;&gt;H512,J512*(1+Dashboard!$E$4)+Dashboard!$E$5,J512))</f>
        <v>688814.25397234026</v>
      </c>
      <c r="K513">
        <f>IF(ROW()&lt;3, 0,IF(Query1[[#This Row],[Month]]&lt;&gt;H512,IF((J513-I513&gt;0),J513-I513,0),0))</f>
        <v>0</v>
      </c>
      <c r="L513" s="2">
        <f t="shared" si="7"/>
        <v>3592.2989655359538</v>
      </c>
      <c r="M513">
        <f>IF(ROW()&lt;3, 0, IF(Query1[[#This Row],[Month]]&lt;&gt;H512, Dashboard!$J$5,0))</f>
        <v>0</v>
      </c>
      <c r="N513" s="2">
        <f>IF(ROW()&lt;3, Query1[[#This Row],[Shares]], IF(Query1[[#This Row],[Month]]&lt;&gt;H512, N512+Query1[[#This Row],[Fix Top Up]]/Query1[[#This Row],[Adj Close]], N512))</f>
        <v>3357.5155694395025</v>
      </c>
      <c r="O513">
        <f>IF(AND(Query1[[#This Row],[avg]]&gt;0, Query1[[#This Row],[Month]]&lt;&gt;H512),
    IF(Query1[[#This Row],[Adj Close]]&gt;Query1[[#This Row],[avg]],
       Dashboard!$L$5-Dashboard!$E$6,
       Dashboard!$L$5+Dashboard!$E$6
    ), 0
)</f>
        <v>0</v>
      </c>
      <c r="P513" s="2">
        <f>IF(ROW()&lt;3, Query1[[#This Row],[Shares]], IF(Query1[[#This Row],[Month]]&lt;&gt;H512, P512+Query1[[#This Row],[Enhanced top up]]/Query1[[#This Row],[Adj Close]], P512))</f>
        <v>3346.554236219255</v>
      </c>
      <c r="Q513" s="2">
        <f>IFERROR(AVERAGE(
  IF(ROW()&gt;20, INDEX(G:G, ROW()-20), 0) :
  INDEX(G:G, ROW())
),0)</f>
        <v>318.7357860746838</v>
      </c>
    </row>
    <row r="514" spans="1:17" x14ac:dyDescent="0.4">
      <c r="A514" s="1">
        <v>44573</v>
      </c>
      <c r="B514">
        <v>319.67001342773438</v>
      </c>
      <c r="C514">
        <v>323.41000366210938</v>
      </c>
      <c r="D514">
        <v>317.07998657226563</v>
      </c>
      <c r="E514">
        <v>318.26998901367188</v>
      </c>
      <c r="F514">
        <v>34372200</v>
      </c>
      <c r="G514">
        <v>308.52896118164063</v>
      </c>
      <c r="H514" s="2">
        <f>MONTH(Query1[[#This Row],[Date]])</f>
        <v>1</v>
      </c>
      <c r="I514" s="3">
        <f>Query1[[#This Row],[Shares]]*Query1[[#This Row],[Adj Close]]</f>
        <v>1108328.26809069</v>
      </c>
      <c r="J514" s="3">
        <f>IF(ROW()&lt;3, Dashboard!$E$7, IF(Query1[[#This Row],[Month]]&lt;&gt;H513,J513*(1+Dashboard!$E$4)+Dashboard!$E$5,J513))</f>
        <v>688814.25397234026</v>
      </c>
      <c r="K514">
        <f>IF(ROW()&lt;3, 0,IF(Query1[[#This Row],[Month]]&lt;&gt;H513,IF((J514-I514&gt;0),J514-I514,0),0))</f>
        <v>0</v>
      </c>
      <c r="L514" s="2">
        <f t="shared" ref="L514:L577" si="8">IF(ROW()&lt;3, J514/G514, L513+K513/G513)</f>
        <v>3592.2989655359538</v>
      </c>
      <c r="M514">
        <f>IF(ROW()&lt;3, 0, IF(Query1[[#This Row],[Month]]&lt;&gt;H513, Dashboard!$J$5,0))</f>
        <v>0</v>
      </c>
      <c r="N514" s="2">
        <f>IF(ROW()&lt;3, Query1[[#This Row],[Shares]], IF(Query1[[#This Row],[Month]]&lt;&gt;H513, N513+Query1[[#This Row],[Fix Top Up]]/Query1[[#This Row],[Adj Close]], N513))</f>
        <v>3357.5155694395025</v>
      </c>
      <c r="O514">
        <f>IF(AND(Query1[[#This Row],[avg]]&gt;0, Query1[[#This Row],[Month]]&lt;&gt;H513),
    IF(Query1[[#This Row],[Adj Close]]&gt;Query1[[#This Row],[avg]],
       Dashboard!$L$5-Dashboard!$E$6,
       Dashboard!$L$5+Dashboard!$E$6
    ), 0
)</f>
        <v>0</v>
      </c>
      <c r="P514" s="2">
        <f>IF(ROW()&lt;3, Query1[[#This Row],[Shares]], IF(Query1[[#This Row],[Month]]&lt;&gt;H513, P513+Query1[[#This Row],[Enhanced top up]]/Query1[[#This Row],[Adj Close]], P513))</f>
        <v>3346.554236219255</v>
      </c>
      <c r="Q514" s="2">
        <f>IFERROR(AVERAGE(
  IF(ROW()&gt;20, INDEX(G:G, ROW()-20), 0) :
  INDEX(G:G, ROW())
),0)</f>
        <v>317.76039050874255</v>
      </c>
    </row>
    <row r="515" spans="1:17" x14ac:dyDescent="0.4">
      <c r="A515" s="1">
        <v>44574</v>
      </c>
      <c r="B515">
        <v>320.47000122070313</v>
      </c>
      <c r="C515">
        <v>320.8800048828125</v>
      </c>
      <c r="D515">
        <v>304</v>
      </c>
      <c r="E515">
        <v>304.79998779296875</v>
      </c>
      <c r="F515">
        <v>45366000</v>
      </c>
      <c r="G515">
        <v>295.47128295898438</v>
      </c>
      <c r="H515" s="2">
        <f>MONTH(Query1[[#This Row],[Date]])</f>
        <v>1</v>
      </c>
      <c r="I515" s="3">
        <f>Query1[[#This Row],[Shares]]*Query1[[#This Row],[Adj Close]]</f>
        <v>1061421.1841191407</v>
      </c>
      <c r="J515" s="3">
        <f>IF(ROW()&lt;3, Dashboard!$E$7, IF(Query1[[#This Row],[Month]]&lt;&gt;H514,J514*(1+Dashboard!$E$4)+Dashboard!$E$5,J514))</f>
        <v>688814.25397234026</v>
      </c>
      <c r="K515">
        <f>IF(ROW()&lt;3, 0,IF(Query1[[#This Row],[Month]]&lt;&gt;H514,IF((J515-I515&gt;0),J515-I515,0),0))</f>
        <v>0</v>
      </c>
      <c r="L515" s="2">
        <f t="shared" si="8"/>
        <v>3592.2989655359538</v>
      </c>
      <c r="M515">
        <f>IF(ROW()&lt;3, 0, IF(Query1[[#This Row],[Month]]&lt;&gt;H514, Dashboard!$J$5,0))</f>
        <v>0</v>
      </c>
      <c r="N515" s="2">
        <f>IF(ROW()&lt;3, Query1[[#This Row],[Shares]], IF(Query1[[#This Row],[Month]]&lt;&gt;H514, N514+Query1[[#This Row],[Fix Top Up]]/Query1[[#This Row],[Adj Close]], N514))</f>
        <v>3357.5155694395025</v>
      </c>
      <c r="O515">
        <f>IF(AND(Query1[[#This Row],[avg]]&gt;0, Query1[[#This Row],[Month]]&lt;&gt;H514),
    IF(Query1[[#This Row],[Adj Close]]&gt;Query1[[#This Row],[avg]],
       Dashboard!$L$5-Dashboard!$E$6,
       Dashboard!$L$5+Dashboard!$E$6
    ), 0
)</f>
        <v>0</v>
      </c>
      <c r="P515" s="2">
        <f>IF(ROW()&lt;3, Query1[[#This Row],[Shares]], IF(Query1[[#This Row],[Month]]&lt;&gt;H514, P514+Query1[[#This Row],[Enhanced top up]]/Query1[[#This Row],[Adj Close]], P514))</f>
        <v>3346.554236219255</v>
      </c>
      <c r="Q515" s="2">
        <f>IFERROR(AVERAGE(
  IF(ROW()&gt;20, INDEX(G:G, ROW()-20), 0) :
  INDEX(G:G, ROW())
),0)</f>
        <v>316.67374674479169</v>
      </c>
    </row>
    <row r="516" spans="1:17" x14ac:dyDescent="0.4">
      <c r="A516" s="1">
        <v>44575</v>
      </c>
      <c r="B516">
        <v>304.25</v>
      </c>
      <c r="C516">
        <v>310.82000732421875</v>
      </c>
      <c r="D516">
        <v>303.75</v>
      </c>
      <c r="E516">
        <v>310.20001220703125</v>
      </c>
      <c r="F516">
        <v>39846400</v>
      </c>
      <c r="G516">
        <v>300.70599365234375</v>
      </c>
      <c r="H516" s="2">
        <f>MONTH(Query1[[#This Row],[Date]])</f>
        <v>1</v>
      </c>
      <c r="I516" s="3">
        <f>Query1[[#This Row],[Shares]]*Query1[[#This Row],[Adj Close]]</f>
        <v>1080225.8299277755</v>
      </c>
      <c r="J516" s="3">
        <f>IF(ROW()&lt;3, Dashboard!$E$7, IF(Query1[[#This Row],[Month]]&lt;&gt;H515,J515*(1+Dashboard!$E$4)+Dashboard!$E$5,J515))</f>
        <v>688814.25397234026</v>
      </c>
      <c r="K516">
        <f>IF(ROW()&lt;3, 0,IF(Query1[[#This Row],[Month]]&lt;&gt;H515,IF((J516-I516&gt;0),J516-I516,0),0))</f>
        <v>0</v>
      </c>
      <c r="L516" s="2">
        <f t="shared" si="8"/>
        <v>3592.2989655359538</v>
      </c>
      <c r="M516">
        <f>IF(ROW()&lt;3, 0, IF(Query1[[#This Row],[Month]]&lt;&gt;H515, Dashboard!$J$5,0))</f>
        <v>0</v>
      </c>
      <c r="N516" s="2">
        <f>IF(ROW()&lt;3, Query1[[#This Row],[Shares]], IF(Query1[[#This Row],[Month]]&lt;&gt;H515, N515+Query1[[#This Row],[Fix Top Up]]/Query1[[#This Row],[Adj Close]], N515))</f>
        <v>3357.5155694395025</v>
      </c>
      <c r="O516">
        <f>IF(AND(Query1[[#This Row],[avg]]&gt;0, Query1[[#This Row],[Month]]&lt;&gt;H515),
    IF(Query1[[#This Row],[Adj Close]]&gt;Query1[[#This Row],[avg]],
       Dashboard!$L$5-Dashboard!$E$6,
       Dashboard!$L$5+Dashboard!$E$6
    ), 0
)</f>
        <v>0</v>
      </c>
      <c r="P516" s="2">
        <f>IF(ROW()&lt;3, Query1[[#This Row],[Shares]], IF(Query1[[#This Row],[Month]]&lt;&gt;H515, P515+Query1[[#This Row],[Enhanced top up]]/Query1[[#This Row],[Adj Close]], P515))</f>
        <v>3346.554236219255</v>
      </c>
      <c r="Q516" s="2">
        <f>IFERROR(AVERAGE(
  IF(ROW()&gt;20, INDEX(G:G, ROW()-20), 0) :
  INDEX(G:G, ROW())
),0)</f>
        <v>315.54509626116072</v>
      </c>
    </row>
    <row r="517" spans="1:17" x14ac:dyDescent="0.4">
      <c r="A517" s="1">
        <v>44579</v>
      </c>
      <c r="B517">
        <v>304.07000732421875</v>
      </c>
      <c r="C517">
        <v>309.79998779296875</v>
      </c>
      <c r="D517">
        <v>301.739990234375</v>
      </c>
      <c r="E517">
        <v>302.64999389648438</v>
      </c>
      <c r="F517">
        <v>42333200</v>
      </c>
      <c r="G517">
        <v>293.38702392578125</v>
      </c>
      <c r="H517" s="2">
        <f>MONTH(Query1[[#This Row],[Date]])</f>
        <v>1</v>
      </c>
      <c r="I517" s="3">
        <f>Query1[[#This Row],[Shares]]*Query1[[#This Row],[Adj Close]]</f>
        <v>1053933.9025502561</v>
      </c>
      <c r="J517" s="3">
        <f>IF(ROW()&lt;3, Dashboard!$E$7, IF(Query1[[#This Row],[Month]]&lt;&gt;H516,J516*(1+Dashboard!$E$4)+Dashboard!$E$5,J516))</f>
        <v>688814.25397234026</v>
      </c>
      <c r="K517">
        <f>IF(ROW()&lt;3, 0,IF(Query1[[#This Row],[Month]]&lt;&gt;H516,IF((J517-I517&gt;0),J517-I517,0),0))</f>
        <v>0</v>
      </c>
      <c r="L517" s="2">
        <f t="shared" si="8"/>
        <v>3592.2989655359538</v>
      </c>
      <c r="M517">
        <f>IF(ROW()&lt;3, 0, IF(Query1[[#This Row],[Month]]&lt;&gt;H516, Dashboard!$J$5,0))</f>
        <v>0</v>
      </c>
      <c r="N517" s="2">
        <f>IF(ROW()&lt;3, Query1[[#This Row],[Shares]], IF(Query1[[#This Row],[Month]]&lt;&gt;H516, N516+Query1[[#This Row],[Fix Top Up]]/Query1[[#This Row],[Adj Close]], N516))</f>
        <v>3357.5155694395025</v>
      </c>
      <c r="O517">
        <f>IF(AND(Query1[[#This Row],[avg]]&gt;0, Query1[[#This Row],[Month]]&lt;&gt;H516),
    IF(Query1[[#This Row],[Adj Close]]&gt;Query1[[#This Row],[avg]],
       Dashboard!$L$5-Dashboard!$E$6,
       Dashboard!$L$5+Dashboard!$E$6
    ), 0
)</f>
        <v>0</v>
      </c>
      <c r="P517" s="2">
        <f>IF(ROW()&lt;3, Query1[[#This Row],[Shares]], IF(Query1[[#This Row],[Month]]&lt;&gt;H516, P516+Query1[[#This Row],[Enhanced top up]]/Query1[[#This Row],[Adj Close]], P516))</f>
        <v>3346.554236219255</v>
      </c>
      <c r="Q517" s="2">
        <f>IFERROR(AVERAGE(
  IF(ROW()&gt;20, INDEX(G:G, ROW()-20), 0) :
  INDEX(G:G, ROW())
),0)</f>
        <v>314.51800101143971</v>
      </c>
    </row>
    <row r="518" spans="1:17" x14ac:dyDescent="0.4">
      <c r="A518" s="1">
        <v>44580</v>
      </c>
      <c r="B518">
        <v>306.29000854492188</v>
      </c>
      <c r="C518">
        <v>313.91000366210938</v>
      </c>
      <c r="D518">
        <v>302.70001220703125</v>
      </c>
      <c r="E518">
        <v>303.32998657226563</v>
      </c>
      <c r="F518">
        <v>45933900</v>
      </c>
      <c r="G518">
        <v>294.04623413085938</v>
      </c>
      <c r="H518" s="2">
        <f>MONTH(Query1[[#This Row],[Date]])</f>
        <v>1</v>
      </c>
      <c r="I518" s="3">
        <f>Query1[[#This Row],[Shares]]*Query1[[#This Row],[Adj Close]]</f>
        <v>1056301.9826880291</v>
      </c>
      <c r="J518" s="3">
        <f>IF(ROW()&lt;3, Dashboard!$E$7, IF(Query1[[#This Row],[Month]]&lt;&gt;H517,J517*(1+Dashboard!$E$4)+Dashboard!$E$5,J517))</f>
        <v>688814.25397234026</v>
      </c>
      <c r="K518">
        <f>IF(ROW()&lt;3, 0,IF(Query1[[#This Row],[Month]]&lt;&gt;H517,IF((J518-I518&gt;0),J518-I518,0),0))</f>
        <v>0</v>
      </c>
      <c r="L518" s="2">
        <f t="shared" si="8"/>
        <v>3592.2989655359538</v>
      </c>
      <c r="M518">
        <f>IF(ROW()&lt;3, 0, IF(Query1[[#This Row],[Month]]&lt;&gt;H517, Dashboard!$J$5,0))</f>
        <v>0</v>
      </c>
      <c r="N518" s="2">
        <f>IF(ROW()&lt;3, Query1[[#This Row],[Shares]], IF(Query1[[#This Row],[Month]]&lt;&gt;H517, N517+Query1[[#This Row],[Fix Top Up]]/Query1[[#This Row],[Adj Close]], N517))</f>
        <v>3357.5155694395025</v>
      </c>
      <c r="O518">
        <f>IF(AND(Query1[[#This Row],[avg]]&gt;0, Query1[[#This Row],[Month]]&lt;&gt;H517),
    IF(Query1[[#This Row],[Adj Close]]&gt;Query1[[#This Row],[avg]],
       Dashboard!$L$5-Dashboard!$E$6,
       Dashboard!$L$5+Dashboard!$E$6
    ), 0
)</f>
        <v>0</v>
      </c>
      <c r="P518" s="2">
        <f>IF(ROW()&lt;3, Query1[[#This Row],[Shares]], IF(Query1[[#This Row],[Month]]&lt;&gt;H517, P517+Query1[[#This Row],[Enhanced top up]]/Query1[[#This Row],[Adj Close]], P517))</f>
        <v>3346.554236219255</v>
      </c>
      <c r="Q518" s="2">
        <f>IFERROR(AVERAGE(
  IF(ROW()&gt;20, INDEX(G:G, ROW()-20), 0) :
  INDEX(G:G, ROW())
),0)</f>
        <v>313.57307070777529</v>
      </c>
    </row>
    <row r="519" spans="1:17" x14ac:dyDescent="0.4">
      <c r="A519" s="1">
        <v>44581</v>
      </c>
      <c r="B519">
        <v>309.07000732421875</v>
      </c>
      <c r="C519">
        <v>311.64999389648438</v>
      </c>
      <c r="D519">
        <v>301.1400146484375</v>
      </c>
      <c r="E519">
        <v>301.60000610351563</v>
      </c>
      <c r="F519">
        <v>35380700</v>
      </c>
      <c r="G519">
        <v>292.36920166015625</v>
      </c>
      <c r="H519" s="2">
        <f>MONTH(Query1[[#This Row],[Date]])</f>
        <v>1</v>
      </c>
      <c r="I519" s="3">
        <f>Query1[[#This Row],[Shares]]*Query1[[#This Row],[Adj Close]]</f>
        <v>1050277.5806783519</v>
      </c>
      <c r="J519" s="3">
        <f>IF(ROW()&lt;3, Dashboard!$E$7, IF(Query1[[#This Row],[Month]]&lt;&gt;H518,J518*(1+Dashboard!$E$4)+Dashboard!$E$5,J518))</f>
        <v>688814.25397234026</v>
      </c>
      <c r="K519">
        <f>IF(ROW()&lt;3, 0,IF(Query1[[#This Row],[Month]]&lt;&gt;H518,IF((J519-I519&gt;0),J519-I519,0),0))</f>
        <v>0</v>
      </c>
      <c r="L519" s="2">
        <f t="shared" si="8"/>
        <v>3592.2989655359538</v>
      </c>
      <c r="M519">
        <f>IF(ROW()&lt;3, 0, IF(Query1[[#This Row],[Month]]&lt;&gt;H518, Dashboard!$J$5,0))</f>
        <v>0</v>
      </c>
      <c r="N519" s="2">
        <f>IF(ROW()&lt;3, Query1[[#This Row],[Shares]], IF(Query1[[#This Row],[Month]]&lt;&gt;H518, N518+Query1[[#This Row],[Fix Top Up]]/Query1[[#This Row],[Adj Close]], N518))</f>
        <v>3357.5155694395025</v>
      </c>
      <c r="O519">
        <f>IF(AND(Query1[[#This Row],[avg]]&gt;0, Query1[[#This Row],[Month]]&lt;&gt;H518),
    IF(Query1[[#This Row],[Adj Close]]&gt;Query1[[#This Row],[avg]],
       Dashboard!$L$5-Dashboard!$E$6,
       Dashboard!$L$5+Dashboard!$E$6
    ), 0
)</f>
        <v>0</v>
      </c>
      <c r="P519" s="2">
        <f>IF(ROW()&lt;3, Query1[[#This Row],[Shares]], IF(Query1[[#This Row],[Month]]&lt;&gt;H518, P518+Query1[[#This Row],[Enhanced top up]]/Query1[[#This Row],[Adj Close]], P518))</f>
        <v>3346.554236219255</v>
      </c>
      <c r="Q519" s="2">
        <f>IFERROR(AVERAGE(
  IF(ROW()&gt;20, INDEX(G:G, ROW()-20), 0) :
  INDEX(G:G, ROW())
),0)</f>
        <v>312.7278515043713</v>
      </c>
    </row>
    <row r="520" spans="1:17" x14ac:dyDescent="0.4">
      <c r="A520" s="1">
        <v>44582</v>
      </c>
      <c r="B520">
        <v>302.69000244140625</v>
      </c>
      <c r="C520">
        <v>304.1099853515625</v>
      </c>
      <c r="D520">
        <v>295.6099853515625</v>
      </c>
      <c r="E520">
        <v>296.02999877929688</v>
      </c>
      <c r="F520">
        <v>57984400</v>
      </c>
      <c r="G520">
        <v>286.9697265625</v>
      </c>
      <c r="H520" s="2">
        <f>MONTH(Query1[[#This Row],[Date]])</f>
        <v>1</v>
      </c>
      <c r="I520" s="3">
        <f>Query1[[#This Row],[Shares]]*Query1[[#This Row],[Adj Close]]</f>
        <v>1030881.0518706043</v>
      </c>
      <c r="J520" s="3">
        <f>IF(ROW()&lt;3, Dashboard!$E$7, IF(Query1[[#This Row],[Month]]&lt;&gt;H519,J519*(1+Dashboard!$E$4)+Dashboard!$E$5,J519))</f>
        <v>688814.25397234026</v>
      </c>
      <c r="K520">
        <f>IF(ROW()&lt;3, 0,IF(Query1[[#This Row],[Month]]&lt;&gt;H519,IF((J520-I520&gt;0),J520-I520,0),0))</f>
        <v>0</v>
      </c>
      <c r="L520" s="2">
        <f t="shared" si="8"/>
        <v>3592.2989655359538</v>
      </c>
      <c r="M520">
        <f>IF(ROW()&lt;3, 0, IF(Query1[[#This Row],[Month]]&lt;&gt;H519, Dashboard!$J$5,0))</f>
        <v>0</v>
      </c>
      <c r="N520" s="2">
        <f>IF(ROW()&lt;3, Query1[[#This Row],[Shares]], IF(Query1[[#This Row],[Month]]&lt;&gt;H519, N519+Query1[[#This Row],[Fix Top Up]]/Query1[[#This Row],[Adj Close]], N519))</f>
        <v>3357.5155694395025</v>
      </c>
      <c r="O520">
        <f>IF(AND(Query1[[#This Row],[avg]]&gt;0, Query1[[#This Row],[Month]]&lt;&gt;H519),
    IF(Query1[[#This Row],[Adj Close]]&gt;Query1[[#This Row],[avg]],
       Dashboard!$L$5-Dashboard!$E$6,
       Dashboard!$L$5+Dashboard!$E$6
    ), 0
)</f>
        <v>0</v>
      </c>
      <c r="P520" s="2">
        <f>IF(ROW()&lt;3, Query1[[#This Row],[Shares]], IF(Query1[[#This Row],[Month]]&lt;&gt;H519, P519+Query1[[#This Row],[Enhanced top up]]/Query1[[#This Row],[Adj Close]], P519))</f>
        <v>3346.554236219255</v>
      </c>
      <c r="Q520" s="2">
        <f>IFERROR(AVERAGE(
  IF(ROW()&gt;20, INDEX(G:G, ROW()-20), 0) :
  INDEX(G:G, ROW())
),0)</f>
        <v>311.28484235491072</v>
      </c>
    </row>
    <row r="521" spans="1:17" x14ac:dyDescent="0.4">
      <c r="A521" s="1">
        <v>44585</v>
      </c>
      <c r="B521">
        <v>292.20001220703125</v>
      </c>
      <c r="C521">
        <v>297.1099853515625</v>
      </c>
      <c r="D521">
        <v>276.04998779296875</v>
      </c>
      <c r="E521">
        <v>296.3699951171875</v>
      </c>
      <c r="F521">
        <v>85731500</v>
      </c>
      <c r="G521">
        <v>287.29928588867188</v>
      </c>
      <c r="H521" s="2">
        <f>MONTH(Query1[[#This Row],[Date]])</f>
        <v>1</v>
      </c>
      <c r="I521" s="3">
        <f>Query1[[#This Row],[Shares]]*Query1[[#This Row],[Adj Close]]</f>
        <v>1032064.9274970943</v>
      </c>
      <c r="J521" s="3">
        <f>IF(ROW()&lt;3, Dashboard!$E$7, IF(Query1[[#This Row],[Month]]&lt;&gt;H520,J520*(1+Dashboard!$E$4)+Dashboard!$E$5,J520))</f>
        <v>688814.25397234026</v>
      </c>
      <c r="K521">
        <f>IF(ROW()&lt;3, 0,IF(Query1[[#This Row],[Month]]&lt;&gt;H520,IF((J521-I521&gt;0),J521-I521,0),0))</f>
        <v>0</v>
      </c>
      <c r="L521" s="2">
        <f t="shared" si="8"/>
        <v>3592.2989655359538</v>
      </c>
      <c r="M521">
        <f>IF(ROW()&lt;3, 0, IF(Query1[[#This Row],[Month]]&lt;&gt;H520, Dashboard!$J$5,0))</f>
        <v>0</v>
      </c>
      <c r="N521" s="2">
        <f>IF(ROW()&lt;3, Query1[[#This Row],[Shares]], IF(Query1[[#This Row],[Month]]&lt;&gt;H520, N520+Query1[[#This Row],[Fix Top Up]]/Query1[[#This Row],[Adj Close]], N520))</f>
        <v>3357.5155694395025</v>
      </c>
      <c r="O521">
        <f>IF(AND(Query1[[#This Row],[avg]]&gt;0, Query1[[#This Row],[Month]]&lt;&gt;H520),
    IF(Query1[[#This Row],[Adj Close]]&gt;Query1[[#This Row],[avg]],
       Dashboard!$L$5-Dashboard!$E$6,
       Dashboard!$L$5+Dashboard!$E$6
    ), 0
)</f>
        <v>0</v>
      </c>
      <c r="P521" s="2">
        <f>IF(ROW()&lt;3, Query1[[#This Row],[Shares]], IF(Query1[[#This Row],[Month]]&lt;&gt;H520, P520+Query1[[#This Row],[Enhanced top up]]/Query1[[#This Row],[Adj Close]], P520))</f>
        <v>3346.554236219255</v>
      </c>
      <c r="Q521" s="2">
        <f>IFERROR(AVERAGE(
  IF(ROW()&gt;20, INDEX(G:G, ROW()-20), 0) :
  INDEX(G:G, ROW())
),0)</f>
        <v>309.58471098400298</v>
      </c>
    </row>
    <row r="522" spans="1:17" x14ac:dyDescent="0.4">
      <c r="A522" s="1">
        <v>44586</v>
      </c>
      <c r="B522">
        <v>291.51998901367188</v>
      </c>
      <c r="C522">
        <v>294.989990234375</v>
      </c>
      <c r="D522">
        <v>285.17001342773438</v>
      </c>
      <c r="E522">
        <v>288.489990234375</v>
      </c>
      <c r="F522">
        <v>72848600</v>
      </c>
      <c r="G522">
        <v>279.660400390625</v>
      </c>
      <c r="H522" s="2">
        <f>MONTH(Query1[[#This Row],[Date]])</f>
        <v>1</v>
      </c>
      <c r="I522" s="3">
        <f>Query1[[#This Row],[Shares]]*Query1[[#This Row],[Adj Close]]</f>
        <v>1004623.7670246129</v>
      </c>
      <c r="J522" s="3">
        <f>IF(ROW()&lt;3, Dashboard!$E$7, IF(Query1[[#This Row],[Month]]&lt;&gt;H521,J521*(1+Dashboard!$E$4)+Dashboard!$E$5,J521))</f>
        <v>688814.25397234026</v>
      </c>
      <c r="K522">
        <f>IF(ROW()&lt;3, 0,IF(Query1[[#This Row],[Month]]&lt;&gt;H521,IF((J522-I522&gt;0),J522-I522,0),0))</f>
        <v>0</v>
      </c>
      <c r="L522" s="2">
        <f t="shared" si="8"/>
        <v>3592.2989655359538</v>
      </c>
      <c r="M522">
        <f>IF(ROW()&lt;3, 0, IF(Query1[[#This Row],[Month]]&lt;&gt;H521, Dashboard!$J$5,0))</f>
        <v>0</v>
      </c>
      <c r="N522" s="2">
        <f>IF(ROW()&lt;3, Query1[[#This Row],[Shares]], IF(Query1[[#This Row],[Month]]&lt;&gt;H521, N521+Query1[[#This Row],[Fix Top Up]]/Query1[[#This Row],[Adj Close]], N521))</f>
        <v>3357.5155694395025</v>
      </c>
      <c r="O522">
        <f>IF(AND(Query1[[#This Row],[avg]]&gt;0, Query1[[#This Row],[Month]]&lt;&gt;H521),
    IF(Query1[[#This Row],[Adj Close]]&gt;Query1[[#This Row],[avg]],
       Dashboard!$L$5-Dashboard!$E$6,
       Dashboard!$L$5+Dashboard!$E$6
    ), 0
)</f>
        <v>0</v>
      </c>
      <c r="P522" s="2">
        <f>IF(ROW()&lt;3, Query1[[#This Row],[Shares]], IF(Query1[[#This Row],[Month]]&lt;&gt;H521, P521+Query1[[#This Row],[Enhanced top up]]/Query1[[#This Row],[Adj Close]], P521))</f>
        <v>3346.554236219255</v>
      </c>
      <c r="Q522" s="2">
        <f>IFERROR(AVERAGE(
  IF(ROW()&gt;20, INDEX(G:G, ROW()-20), 0) :
  INDEX(G:G, ROW())
),0)</f>
        <v>307.45204089936755</v>
      </c>
    </row>
    <row r="523" spans="1:17" x14ac:dyDescent="0.4">
      <c r="A523" s="1">
        <v>44587</v>
      </c>
      <c r="B523">
        <v>307.989990234375</v>
      </c>
      <c r="C523">
        <v>308.5</v>
      </c>
      <c r="D523">
        <v>293.02999877929688</v>
      </c>
      <c r="E523">
        <v>296.70999145507813</v>
      </c>
      <c r="F523">
        <v>90428900</v>
      </c>
      <c r="G523">
        <v>287.62884521484375</v>
      </c>
      <c r="H523" s="2">
        <f>MONTH(Query1[[#This Row],[Date]])</f>
        <v>1</v>
      </c>
      <c r="I523" s="3">
        <f>Query1[[#This Row],[Shares]]*Query1[[#This Row],[Adj Close]]</f>
        <v>1033248.8031235841</v>
      </c>
      <c r="J523" s="3">
        <f>IF(ROW()&lt;3, Dashboard!$E$7, IF(Query1[[#This Row],[Month]]&lt;&gt;H522,J522*(1+Dashboard!$E$4)+Dashboard!$E$5,J522))</f>
        <v>688814.25397234026</v>
      </c>
      <c r="K523">
        <f>IF(ROW()&lt;3, 0,IF(Query1[[#This Row],[Month]]&lt;&gt;H522,IF((J523-I523&gt;0),J523-I523,0),0))</f>
        <v>0</v>
      </c>
      <c r="L523" s="2">
        <f t="shared" si="8"/>
        <v>3592.2989655359538</v>
      </c>
      <c r="M523">
        <f>IF(ROW()&lt;3, 0, IF(Query1[[#This Row],[Month]]&lt;&gt;H522, Dashboard!$J$5,0))</f>
        <v>0</v>
      </c>
      <c r="N523" s="2">
        <f>IF(ROW()&lt;3, Query1[[#This Row],[Shares]], IF(Query1[[#This Row],[Month]]&lt;&gt;H522, N522+Query1[[#This Row],[Fix Top Up]]/Query1[[#This Row],[Adj Close]], N522))</f>
        <v>3357.5155694395025</v>
      </c>
      <c r="O523">
        <f>IF(AND(Query1[[#This Row],[avg]]&gt;0, Query1[[#This Row],[Month]]&lt;&gt;H522),
    IF(Query1[[#This Row],[Adj Close]]&gt;Query1[[#This Row],[avg]],
       Dashboard!$L$5-Dashboard!$E$6,
       Dashboard!$L$5+Dashboard!$E$6
    ), 0
)</f>
        <v>0</v>
      </c>
      <c r="P523" s="2">
        <f>IF(ROW()&lt;3, Query1[[#This Row],[Shares]], IF(Query1[[#This Row],[Month]]&lt;&gt;H522, P522+Query1[[#This Row],[Enhanced top up]]/Query1[[#This Row],[Adj Close]], P522))</f>
        <v>3346.554236219255</v>
      </c>
      <c r="Q523" s="2">
        <f>IFERROR(AVERAGE(
  IF(ROW()&gt;20, INDEX(G:G, ROW()-20), 0) :
  INDEX(G:G, ROW())
),0)</f>
        <v>305.34060814267116</v>
      </c>
    </row>
    <row r="524" spans="1:17" x14ac:dyDescent="0.4">
      <c r="A524" s="1">
        <v>44588</v>
      </c>
      <c r="B524">
        <v>302.66000366210938</v>
      </c>
      <c r="C524">
        <v>307.29998779296875</v>
      </c>
      <c r="D524">
        <v>297.92999267578125</v>
      </c>
      <c r="E524">
        <v>299.83999633789063</v>
      </c>
      <c r="F524">
        <v>53481300</v>
      </c>
      <c r="G524">
        <v>290.66302490234375</v>
      </c>
      <c r="H524" s="2">
        <f>MONTH(Query1[[#This Row],[Date]])</f>
        <v>1</v>
      </c>
      <c r="I524" s="3">
        <f>Query1[[#This Row],[Shares]]*Query1[[#This Row],[Adj Close]]</f>
        <v>1044148.4836762407</v>
      </c>
      <c r="J524" s="3">
        <f>IF(ROW()&lt;3, Dashboard!$E$7, IF(Query1[[#This Row],[Month]]&lt;&gt;H523,J523*(1+Dashboard!$E$4)+Dashboard!$E$5,J523))</f>
        <v>688814.25397234026</v>
      </c>
      <c r="K524">
        <f>IF(ROW()&lt;3, 0,IF(Query1[[#This Row],[Month]]&lt;&gt;H523,IF((J524-I524&gt;0),J524-I524,0),0))</f>
        <v>0</v>
      </c>
      <c r="L524" s="2">
        <f t="shared" si="8"/>
        <v>3592.2989655359538</v>
      </c>
      <c r="M524">
        <f>IF(ROW()&lt;3, 0, IF(Query1[[#This Row],[Month]]&lt;&gt;H523, Dashboard!$J$5,0))</f>
        <v>0</v>
      </c>
      <c r="N524" s="2">
        <f>IF(ROW()&lt;3, Query1[[#This Row],[Shares]], IF(Query1[[#This Row],[Month]]&lt;&gt;H523, N523+Query1[[#This Row],[Fix Top Up]]/Query1[[#This Row],[Adj Close]], N523))</f>
        <v>3357.5155694395025</v>
      </c>
      <c r="O524">
        <f>IF(AND(Query1[[#This Row],[avg]]&gt;0, Query1[[#This Row],[Month]]&lt;&gt;H523),
    IF(Query1[[#This Row],[Adj Close]]&gt;Query1[[#This Row],[avg]],
       Dashboard!$L$5-Dashboard!$E$6,
       Dashboard!$L$5+Dashboard!$E$6
    ), 0
)</f>
        <v>0</v>
      </c>
      <c r="P524" s="2">
        <f>IF(ROW()&lt;3, Query1[[#This Row],[Shares]], IF(Query1[[#This Row],[Month]]&lt;&gt;H523, P523+Query1[[#This Row],[Enhanced top up]]/Query1[[#This Row],[Adj Close]], P523))</f>
        <v>3346.554236219255</v>
      </c>
      <c r="Q524" s="2">
        <f>IFERROR(AVERAGE(
  IF(ROW()&gt;20, INDEX(G:G, ROW()-20), 0) :
  INDEX(G:G, ROW())
),0)</f>
        <v>303.42905389694943</v>
      </c>
    </row>
    <row r="525" spans="1:17" x14ac:dyDescent="0.4">
      <c r="A525" s="1">
        <v>44589</v>
      </c>
      <c r="B525">
        <v>300.23001098632813</v>
      </c>
      <c r="C525">
        <v>308.48001098632813</v>
      </c>
      <c r="D525">
        <v>294.45001220703125</v>
      </c>
      <c r="E525">
        <v>308.260009765625</v>
      </c>
      <c r="F525">
        <v>49743700</v>
      </c>
      <c r="G525">
        <v>298.82534790039063</v>
      </c>
      <c r="H525" s="2">
        <f>MONTH(Query1[[#This Row],[Date]])</f>
        <v>1</v>
      </c>
      <c r="I525" s="3">
        <f>Query1[[#This Row],[Shares]]*Query1[[#This Row],[Adj Close]]</f>
        <v>1073469.9881384948</v>
      </c>
      <c r="J525" s="3">
        <f>IF(ROW()&lt;3, Dashboard!$E$7, IF(Query1[[#This Row],[Month]]&lt;&gt;H524,J524*(1+Dashboard!$E$4)+Dashboard!$E$5,J524))</f>
        <v>688814.25397234026</v>
      </c>
      <c r="K525">
        <f>IF(ROW()&lt;3, 0,IF(Query1[[#This Row],[Month]]&lt;&gt;H524,IF((J525-I525&gt;0),J525-I525,0),0))</f>
        <v>0</v>
      </c>
      <c r="L525" s="2">
        <f t="shared" si="8"/>
        <v>3592.2989655359538</v>
      </c>
      <c r="M525">
        <f>IF(ROW()&lt;3, 0, IF(Query1[[#This Row],[Month]]&lt;&gt;H524, Dashboard!$J$5,0))</f>
        <v>0</v>
      </c>
      <c r="N525" s="2">
        <f>IF(ROW()&lt;3, Query1[[#This Row],[Shares]], IF(Query1[[#This Row],[Month]]&lt;&gt;H524, N524+Query1[[#This Row],[Fix Top Up]]/Query1[[#This Row],[Adj Close]], N524))</f>
        <v>3357.5155694395025</v>
      </c>
      <c r="O525">
        <f>IF(AND(Query1[[#This Row],[avg]]&gt;0, Query1[[#This Row],[Month]]&lt;&gt;H524),
    IF(Query1[[#This Row],[Adj Close]]&gt;Query1[[#This Row],[avg]],
       Dashboard!$L$5-Dashboard!$E$6,
       Dashboard!$L$5+Dashboard!$E$6
    ), 0
)</f>
        <v>0</v>
      </c>
      <c r="P525" s="2">
        <f>IF(ROW()&lt;3, Query1[[#This Row],[Shares]], IF(Query1[[#This Row],[Month]]&lt;&gt;H524, P524+Query1[[#This Row],[Enhanced top up]]/Query1[[#This Row],[Adj Close]], P524))</f>
        <v>3346.554236219255</v>
      </c>
      <c r="Q525" s="2">
        <f>IFERROR(AVERAGE(
  IF(ROW()&gt;20, INDEX(G:G, ROW()-20), 0) :
  INDEX(G:G, ROW())
),0)</f>
        <v>301.87386939639134</v>
      </c>
    </row>
    <row r="526" spans="1:17" x14ac:dyDescent="0.4">
      <c r="A526" s="1">
        <v>44592</v>
      </c>
      <c r="B526">
        <v>308.95001220703125</v>
      </c>
      <c r="C526">
        <v>312.3800048828125</v>
      </c>
      <c r="D526">
        <v>306.3699951171875</v>
      </c>
      <c r="E526">
        <v>310.98001098632813</v>
      </c>
      <c r="F526">
        <v>46444500</v>
      </c>
      <c r="G526">
        <v>301.46206665039063</v>
      </c>
      <c r="H526" s="2">
        <f>MONTH(Query1[[#This Row],[Date]])</f>
        <v>1</v>
      </c>
      <c r="I526" s="3">
        <f>Query1[[#This Row],[Shares]]*Query1[[#This Row],[Adj Close]]</f>
        <v>1082941.870176529</v>
      </c>
      <c r="J526" s="3">
        <f>IF(ROW()&lt;3, Dashboard!$E$7, IF(Query1[[#This Row],[Month]]&lt;&gt;H525,J525*(1+Dashboard!$E$4)+Dashboard!$E$5,J525))</f>
        <v>688814.25397234026</v>
      </c>
      <c r="K526">
        <f>IF(ROW()&lt;3, 0,IF(Query1[[#This Row],[Month]]&lt;&gt;H525,IF((J526-I526&gt;0),J526-I526,0),0))</f>
        <v>0</v>
      </c>
      <c r="L526" s="2">
        <f t="shared" si="8"/>
        <v>3592.2989655359538</v>
      </c>
      <c r="M526">
        <f>IF(ROW()&lt;3, 0, IF(Query1[[#This Row],[Month]]&lt;&gt;H525, Dashboard!$J$5,0))</f>
        <v>0</v>
      </c>
      <c r="N526" s="2">
        <f>IF(ROW()&lt;3, Query1[[#This Row],[Shares]], IF(Query1[[#This Row],[Month]]&lt;&gt;H525, N525+Query1[[#This Row],[Fix Top Up]]/Query1[[#This Row],[Adj Close]], N525))</f>
        <v>3357.5155694395025</v>
      </c>
      <c r="O526">
        <f>IF(AND(Query1[[#This Row],[avg]]&gt;0, Query1[[#This Row],[Month]]&lt;&gt;H525),
    IF(Query1[[#This Row],[Adj Close]]&gt;Query1[[#This Row],[avg]],
       Dashboard!$L$5-Dashboard!$E$6,
       Dashboard!$L$5+Dashboard!$E$6
    ), 0
)</f>
        <v>0</v>
      </c>
      <c r="P526" s="2">
        <f>IF(ROW()&lt;3, Query1[[#This Row],[Shares]], IF(Query1[[#This Row],[Month]]&lt;&gt;H525, P525+Query1[[#This Row],[Enhanced top up]]/Query1[[#This Row],[Adj Close]], P525))</f>
        <v>3346.554236219255</v>
      </c>
      <c r="Q526" s="2">
        <f>IFERROR(AVERAGE(
  IF(ROW()&gt;20, INDEX(G:G, ROW()-20), 0) :
  INDEX(G:G, ROW())
),0)</f>
        <v>300.56564767020092</v>
      </c>
    </row>
    <row r="527" spans="1:17" x14ac:dyDescent="0.4">
      <c r="A527" s="1">
        <v>44593</v>
      </c>
      <c r="B527">
        <v>310.41000366210938</v>
      </c>
      <c r="C527">
        <v>310.6300048828125</v>
      </c>
      <c r="D527">
        <v>305.1300048828125</v>
      </c>
      <c r="E527">
        <v>308.760009765625</v>
      </c>
      <c r="F527">
        <v>40950400</v>
      </c>
      <c r="G527">
        <v>299.31011962890625</v>
      </c>
      <c r="H527" s="2">
        <f>MONTH(Query1[[#This Row],[Date]])</f>
        <v>2</v>
      </c>
      <c r="I527" s="3">
        <f>Query1[[#This Row],[Shares]]*Query1[[#This Row],[Adj Close]]</f>
        <v>1075211.4331173624</v>
      </c>
      <c r="J527" s="3">
        <f>IF(ROW()&lt;3, Dashboard!$E$7, IF(Query1[[#This Row],[Month]]&lt;&gt;H526,J526*(1+Dashboard!$E$4)+Dashboard!$E$5,J526))</f>
        <v>697702.39651206369</v>
      </c>
      <c r="K527">
        <f>IF(ROW()&lt;3, 0,IF(Query1[[#This Row],[Month]]&lt;&gt;H526,IF((J527-I527&gt;0),J527-I527,0),0))</f>
        <v>0</v>
      </c>
      <c r="L527" s="2">
        <f t="shared" si="8"/>
        <v>3592.2989655359538</v>
      </c>
      <c r="M527">
        <f>IF(ROW()&lt;3, 0, IF(Query1[[#This Row],[Month]]&lt;&gt;H526, Dashboard!$J$5,0))</f>
        <v>773.47399999999971</v>
      </c>
      <c r="N527" s="2">
        <f>IF(ROW()&lt;3, Query1[[#This Row],[Shares]], IF(Query1[[#This Row],[Month]]&lt;&gt;H526, N526+Query1[[#This Row],[Fix Top Up]]/Query1[[#This Row],[Adj Close]], N526))</f>
        <v>3360.0997587110146</v>
      </c>
      <c r="O527">
        <f>IF(AND(Query1[[#This Row],[avg]]&gt;0, Query1[[#This Row],[Month]]&lt;&gt;H526),
    IF(Query1[[#This Row],[Adj Close]]&gt;Query1[[#This Row],[avg]],
       Dashboard!$L$5-Dashboard!$E$6,
       Dashboard!$L$5+Dashboard!$E$6
    ), 0
)</f>
        <v>390.14066666666668</v>
      </c>
      <c r="P527" s="2">
        <f>IF(ROW()&lt;3, Query1[[#This Row],[Shares]], IF(Query1[[#This Row],[Month]]&lt;&gt;H526, P526+Query1[[#This Row],[Enhanced top up]]/Query1[[#This Row],[Adj Close]], P526))</f>
        <v>3347.8577025609557</v>
      </c>
      <c r="Q527" s="2">
        <f>IFERROR(AVERAGE(
  IF(ROW()&gt;20, INDEX(G:G, ROW()-20), 0) :
  INDEX(G:G, ROW())
),0)</f>
        <v>299.2934352329799</v>
      </c>
    </row>
    <row r="528" spans="1:17" x14ac:dyDescent="0.4">
      <c r="A528" s="1">
        <v>44594</v>
      </c>
      <c r="B528">
        <v>309.6300048828125</v>
      </c>
      <c r="C528">
        <v>315.1199951171875</v>
      </c>
      <c r="D528">
        <v>308.8800048828125</v>
      </c>
      <c r="E528">
        <v>313.45999145507813</v>
      </c>
      <c r="F528">
        <v>36636000</v>
      </c>
      <c r="G528">
        <v>303.8662109375</v>
      </c>
      <c r="H528" s="2">
        <f>MONTH(Query1[[#This Row],[Date]])</f>
        <v>2</v>
      </c>
      <c r="I528" s="3">
        <f>Query1[[#This Row],[Shares]]*Query1[[#This Row],[Adj Close]]</f>
        <v>1091578.2752121112</v>
      </c>
      <c r="J528" s="3">
        <f>IF(ROW()&lt;3, Dashboard!$E$7, IF(Query1[[#This Row],[Month]]&lt;&gt;H527,J527*(1+Dashboard!$E$4)+Dashboard!$E$5,J527))</f>
        <v>697702.39651206369</v>
      </c>
      <c r="K528">
        <f>IF(ROW()&lt;3, 0,IF(Query1[[#This Row],[Month]]&lt;&gt;H527,IF((J528-I528&gt;0),J528-I528,0),0))</f>
        <v>0</v>
      </c>
      <c r="L528" s="2">
        <f t="shared" si="8"/>
        <v>3592.2989655359538</v>
      </c>
      <c r="M528">
        <f>IF(ROW()&lt;3, 0, IF(Query1[[#This Row],[Month]]&lt;&gt;H527, Dashboard!$J$5,0))</f>
        <v>0</v>
      </c>
      <c r="N528" s="2">
        <f>IF(ROW()&lt;3, Query1[[#This Row],[Shares]], IF(Query1[[#This Row],[Month]]&lt;&gt;H527, N527+Query1[[#This Row],[Fix Top Up]]/Query1[[#This Row],[Adj Close]], N527))</f>
        <v>3360.0997587110146</v>
      </c>
      <c r="O528">
        <f>IF(AND(Query1[[#This Row],[avg]]&gt;0, Query1[[#This Row],[Month]]&lt;&gt;H527),
    IF(Query1[[#This Row],[Adj Close]]&gt;Query1[[#This Row],[avg]],
       Dashboard!$L$5-Dashboard!$E$6,
       Dashboard!$L$5+Dashboard!$E$6
    ), 0
)</f>
        <v>0</v>
      </c>
      <c r="P528" s="2">
        <f>IF(ROW()&lt;3, Query1[[#This Row],[Shares]], IF(Query1[[#This Row],[Month]]&lt;&gt;H527, P527+Query1[[#This Row],[Enhanced top up]]/Query1[[#This Row],[Adj Close]], P527))</f>
        <v>3347.8577025609557</v>
      </c>
      <c r="Q528" s="2">
        <f>IFERROR(AVERAGE(
  IF(ROW()&gt;20, INDEX(G:G, ROW()-20), 0) :
  INDEX(G:G, ROW())
),0)</f>
        <v>298.31065295991442</v>
      </c>
    </row>
    <row r="529" spans="1:17" x14ac:dyDescent="0.4">
      <c r="A529" s="1">
        <v>44595</v>
      </c>
      <c r="B529">
        <v>309.489990234375</v>
      </c>
      <c r="C529">
        <v>311.23001098632813</v>
      </c>
      <c r="D529">
        <v>299.95999145507813</v>
      </c>
      <c r="E529">
        <v>301.25</v>
      </c>
      <c r="F529">
        <v>43730000</v>
      </c>
      <c r="G529">
        <v>292.02993774414063</v>
      </c>
      <c r="H529" s="2">
        <f>MONTH(Query1[[#This Row],[Date]])</f>
        <v>2</v>
      </c>
      <c r="I529" s="3">
        <f>Query1[[#This Row],[Shares]]*Query1[[#This Row],[Adj Close]]</f>
        <v>1049058.8432638054</v>
      </c>
      <c r="J529" s="3">
        <f>IF(ROW()&lt;3, Dashboard!$E$7, IF(Query1[[#This Row],[Month]]&lt;&gt;H528,J528*(1+Dashboard!$E$4)+Dashboard!$E$5,J528))</f>
        <v>697702.39651206369</v>
      </c>
      <c r="K529">
        <f>IF(ROW()&lt;3, 0,IF(Query1[[#This Row],[Month]]&lt;&gt;H528,IF((J529-I529&gt;0),J529-I529,0),0))</f>
        <v>0</v>
      </c>
      <c r="L529" s="2">
        <f t="shared" si="8"/>
        <v>3592.2989655359538</v>
      </c>
      <c r="M529">
        <f>IF(ROW()&lt;3, 0, IF(Query1[[#This Row],[Month]]&lt;&gt;H528, Dashboard!$J$5,0))</f>
        <v>0</v>
      </c>
      <c r="N529" s="2">
        <f>IF(ROW()&lt;3, Query1[[#This Row],[Shares]], IF(Query1[[#This Row],[Month]]&lt;&gt;H528, N528+Query1[[#This Row],[Fix Top Up]]/Query1[[#This Row],[Adj Close]], N528))</f>
        <v>3360.0997587110146</v>
      </c>
      <c r="O529">
        <f>IF(AND(Query1[[#This Row],[avg]]&gt;0, Query1[[#This Row],[Month]]&lt;&gt;H528),
    IF(Query1[[#This Row],[Adj Close]]&gt;Query1[[#This Row],[avg]],
       Dashboard!$L$5-Dashboard!$E$6,
       Dashboard!$L$5+Dashboard!$E$6
    ), 0
)</f>
        <v>0</v>
      </c>
      <c r="P529" s="2">
        <f>IF(ROW()&lt;3, Query1[[#This Row],[Shares]], IF(Query1[[#This Row],[Month]]&lt;&gt;H528, P528+Query1[[#This Row],[Enhanced top up]]/Query1[[#This Row],[Adj Close]], P528))</f>
        <v>3347.8577025609557</v>
      </c>
      <c r="Q529" s="2">
        <f>IFERROR(AVERAGE(
  IF(ROW()&gt;20, INDEX(G:G, ROW()-20), 0) :
  INDEX(G:G, ROW())
),0)</f>
        <v>297.02921113513764</v>
      </c>
    </row>
    <row r="530" spans="1:17" x14ac:dyDescent="0.4">
      <c r="A530" s="1">
        <v>44596</v>
      </c>
      <c r="B530">
        <v>300.20999145507813</v>
      </c>
      <c r="C530">
        <v>308.79998779296875</v>
      </c>
      <c r="D530">
        <v>299.97000122070313</v>
      </c>
      <c r="E530">
        <v>305.94000244140625</v>
      </c>
      <c r="F530">
        <v>35096500</v>
      </c>
      <c r="G530">
        <v>296.57638549804688</v>
      </c>
      <c r="H530" s="2">
        <f>MONTH(Query1[[#This Row],[Date]])</f>
        <v>2</v>
      </c>
      <c r="I530" s="3">
        <f>Query1[[#This Row],[Shares]]*Query1[[#This Row],[Adj Close]]</f>
        <v>1065391.042827026</v>
      </c>
      <c r="J530" s="3">
        <f>IF(ROW()&lt;3, Dashboard!$E$7, IF(Query1[[#This Row],[Month]]&lt;&gt;H529,J529*(1+Dashboard!$E$4)+Dashboard!$E$5,J529))</f>
        <v>697702.39651206369</v>
      </c>
      <c r="K530">
        <f>IF(ROW()&lt;3, 0,IF(Query1[[#This Row],[Month]]&lt;&gt;H529,IF((J530-I530&gt;0),J530-I530,0),0))</f>
        <v>0</v>
      </c>
      <c r="L530" s="2">
        <f t="shared" si="8"/>
        <v>3592.2989655359538</v>
      </c>
      <c r="M530">
        <f>IF(ROW()&lt;3, 0, IF(Query1[[#This Row],[Month]]&lt;&gt;H529, Dashboard!$J$5,0))</f>
        <v>0</v>
      </c>
      <c r="N530" s="2">
        <f>IF(ROW()&lt;3, Query1[[#This Row],[Shares]], IF(Query1[[#This Row],[Month]]&lt;&gt;H529, N529+Query1[[#This Row],[Fix Top Up]]/Query1[[#This Row],[Adj Close]], N529))</f>
        <v>3360.0997587110146</v>
      </c>
      <c r="O530">
        <f>IF(AND(Query1[[#This Row],[avg]]&gt;0, Query1[[#This Row],[Month]]&lt;&gt;H529),
    IF(Query1[[#This Row],[Adj Close]]&gt;Query1[[#This Row],[avg]],
       Dashboard!$L$5-Dashboard!$E$6,
       Dashboard!$L$5+Dashboard!$E$6
    ), 0
)</f>
        <v>0</v>
      </c>
      <c r="P530" s="2">
        <f>IF(ROW()&lt;3, Query1[[#This Row],[Shares]], IF(Query1[[#This Row],[Month]]&lt;&gt;H529, P529+Query1[[#This Row],[Enhanced top up]]/Query1[[#This Row],[Adj Close]], P529))</f>
        <v>3347.8577025609557</v>
      </c>
      <c r="Q530" s="2">
        <f>IFERROR(AVERAGE(
  IF(ROW()&gt;20, INDEX(G:G, ROW()-20), 0) :
  INDEX(G:G, ROW())
),0)</f>
        <v>296.54728335425966</v>
      </c>
    </row>
    <row r="531" spans="1:17" x14ac:dyDescent="0.4">
      <c r="A531" s="1">
        <v>44599</v>
      </c>
      <c r="B531">
        <v>306.17001342773438</v>
      </c>
      <c r="C531">
        <v>307.83999633789063</v>
      </c>
      <c r="D531">
        <v>299.89999389648438</v>
      </c>
      <c r="E531">
        <v>300.95001220703125</v>
      </c>
      <c r="F531">
        <v>28533300</v>
      </c>
      <c r="G531">
        <v>291.73907470703125</v>
      </c>
      <c r="H531" s="2">
        <f>MONTH(Query1[[#This Row],[Date]])</f>
        <v>2</v>
      </c>
      <c r="I531" s="3">
        <f>Query1[[#This Row],[Shares]]*Query1[[#This Row],[Adj Close]]</f>
        <v>1048013.9762764847</v>
      </c>
      <c r="J531" s="3">
        <f>IF(ROW()&lt;3, Dashboard!$E$7, IF(Query1[[#This Row],[Month]]&lt;&gt;H530,J530*(1+Dashboard!$E$4)+Dashboard!$E$5,J530))</f>
        <v>697702.39651206369</v>
      </c>
      <c r="K531">
        <f>IF(ROW()&lt;3, 0,IF(Query1[[#This Row],[Month]]&lt;&gt;H530,IF((J531-I531&gt;0),J531-I531,0),0))</f>
        <v>0</v>
      </c>
      <c r="L531" s="2">
        <f t="shared" si="8"/>
        <v>3592.2989655359538</v>
      </c>
      <c r="M531">
        <f>IF(ROW()&lt;3, 0, IF(Query1[[#This Row],[Month]]&lt;&gt;H530, Dashboard!$J$5,0))</f>
        <v>0</v>
      </c>
      <c r="N531" s="2">
        <f>IF(ROW()&lt;3, Query1[[#This Row],[Shares]], IF(Query1[[#This Row],[Month]]&lt;&gt;H530, N530+Query1[[#This Row],[Fix Top Up]]/Query1[[#This Row],[Adj Close]], N530))</f>
        <v>3360.0997587110146</v>
      </c>
      <c r="O531">
        <f>IF(AND(Query1[[#This Row],[avg]]&gt;0, Query1[[#This Row],[Month]]&lt;&gt;H530),
    IF(Query1[[#This Row],[Adj Close]]&gt;Query1[[#This Row],[avg]],
       Dashboard!$L$5-Dashboard!$E$6,
       Dashboard!$L$5+Dashboard!$E$6
    ), 0
)</f>
        <v>0</v>
      </c>
      <c r="P531" s="2">
        <f>IF(ROW()&lt;3, Query1[[#This Row],[Shares]], IF(Query1[[#This Row],[Month]]&lt;&gt;H530, P530+Query1[[#This Row],[Enhanced top up]]/Query1[[#This Row],[Adj Close]], P530))</f>
        <v>3347.8577025609557</v>
      </c>
      <c r="Q531" s="2">
        <f>IFERROR(AVERAGE(
  IF(ROW()&gt;20, INDEX(G:G, ROW()-20), 0) :
  INDEX(G:G, ROW())
),0)</f>
        <v>295.95041184198288</v>
      </c>
    </row>
    <row r="532" spans="1:17" x14ac:dyDescent="0.4">
      <c r="A532" s="1">
        <v>44600</v>
      </c>
      <c r="B532">
        <v>301.25</v>
      </c>
      <c r="C532">
        <v>305.55999755859375</v>
      </c>
      <c r="D532">
        <v>299.95001220703125</v>
      </c>
      <c r="E532">
        <v>304.55999755859375</v>
      </c>
      <c r="F532">
        <v>32421200</v>
      </c>
      <c r="G532">
        <v>295.23861694335938</v>
      </c>
      <c r="H532" s="2">
        <f>MONTH(Query1[[#This Row],[Date]])</f>
        <v>2</v>
      </c>
      <c r="I532" s="3">
        <f>Query1[[#This Row],[Shares]]*Query1[[#This Row],[Adj Close]]</f>
        <v>1060585.3782318956</v>
      </c>
      <c r="J532" s="3">
        <f>IF(ROW()&lt;3, Dashboard!$E$7, IF(Query1[[#This Row],[Month]]&lt;&gt;H531,J531*(1+Dashboard!$E$4)+Dashboard!$E$5,J531))</f>
        <v>697702.39651206369</v>
      </c>
      <c r="K532">
        <f>IF(ROW()&lt;3, 0,IF(Query1[[#This Row],[Month]]&lt;&gt;H531,IF((J532-I532&gt;0),J532-I532,0),0))</f>
        <v>0</v>
      </c>
      <c r="L532" s="2">
        <f t="shared" si="8"/>
        <v>3592.2989655359538</v>
      </c>
      <c r="M532">
        <f>IF(ROW()&lt;3, 0, IF(Query1[[#This Row],[Month]]&lt;&gt;H531, Dashboard!$J$5,0))</f>
        <v>0</v>
      </c>
      <c r="N532" s="2">
        <f>IF(ROW()&lt;3, Query1[[#This Row],[Shares]], IF(Query1[[#This Row],[Month]]&lt;&gt;H531, N531+Query1[[#This Row],[Fix Top Up]]/Query1[[#This Row],[Adj Close]], N531))</f>
        <v>3360.0997587110146</v>
      </c>
      <c r="O532">
        <f>IF(AND(Query1[[#This Row],[avg]]&gt;0, Query1[[#This Row],[Month]]&lt;&gt;H531),
    IF(Query1[[#This Row],[Adj Close]]&gt;Query1[[#This Row],[avg]],
       Dashboard!$L$5-Dashboard!$E$6,
       Dashboard!$L$5+Dashboard!$E$6
    ), 0
)</f>
        <v>0</v>
      </c>
      <c r="P532" s="2">
        <f>IF(ROW()&lt;3, Query1[[#This Row],[Shares]], IF(Query1[[#This Row],[Month]]&lt;&gt;H531, P531+Query1[[#This Row],[Enhanced top up]]/Query1[[#This Row],[Adj Close]], P531))</f>
        <v>3347.8577025609557</v>
      </c>
      <c r="Q532" s="2">
        <f>IFERROR(AVERAGE(
  IF(ROW()&gt;20, INDEX(G:G, ROW()-20), 0) :
  INDEX(G:G, ROW())
),0)</f>
        <v>295.51279994419644</v>
      </c>
    </row>
    <row r="533" spans="1:17" x14ac:dyDescent="0.4">
      <c r="A533" s="1">
        <v>44601</v>
      </c>
      <c r="B533">
        <v>309.8699951171875</v>
      </c>
      <c r="C533">
        <v>311.92999267578125</v>
      </c>
      <c r="D533">
        <v>307.3900146484375</v>
      </c>
      <c r="E533">
        <v>311.20999145507813</v>
      </c>
      <c r="F533">
        <v>31284700</v>
      </c>
      <c r="G533">
        <v>301.68505859375</v>
      </c>
      <c r="H533" s="2">
        <f>MONTH(Query1[[#This Row],[Date]])</f>
        <v>2</v>
      </c>
      <c r="I533" s="3">
        <f>Query1[[#This Row],[Shares]]*Query1[[#This Row],[Adj Close]]</f>
        <v>1083742.9239039817</v>
      </c>
      <c r="J533" s="3">
        <f>IF(ROW()&lt;3, Dashboard!$E$7, IF(Query1[[#This Row],[Month]]&lt;&gt;H532,J532*(1+Dashboard!$E$4)+Dashboard!$E$5,J532))</f>
        <v>697702.39651206369</v>
      </c>
      <c r="K533">
        <f>IF(ROW()&lt;3, 0,IF(Query1[[#This Row],[Month]]&lt;&gt;H532,IF((J533-I533&gt;0),J533-I533,0),0))</f>
        <v>0</v>
      </c>
      <c r="L533" s="2">
        <f t="shared" si="8"/>
        <v>3592.2989655359538</v>
      </c>
      <c r="M533">
        <f>IF(ROW()&lt;3, 0, IF(Query1[[#This Row],[Month]]&lt;&gt;H532, Dashboard!$J$5,0))</f>
        <v>0</v>
      </c>
      <c r="N533" s="2">
        <f>IF(ROW()&lt;3, Query1[[#This Row],[Shares]], IF(Query1[[#This Row],[Month]]&lt;&gt;H532, N532+Query1[[#This Row],[Fix Top Up]]/Query1[[#This Row],[Adj Close]], N532))</f>
        <v>3360.0997587110146</v>
      </c>
      <c r="O533">
        <f>IF(AND(Query1[[#This Row],[avg]]&gt;0, Query1[[#This Row],[Month]]&lt;&gt;H532),
    IF(Query1[[#This Row],[Adj Close]]&gt;Query1[[#This Row],[avg]],
       Dashboard!$L$5-Dashboard!$E$6,
       Dashboard!$L$5+Dashboard!$E$6
    ), 0
)</f>
        <v>0</v>
      </c>
      <c r="P533" s="2">
        <f>IF(ROW()&lt;3, Query1[[#This Row],[Shares]], IF(Query1[[#This Row],[Month]]&lt;&gt;H532, P532+Query1[[#This Row],[Enhanced top up]]/Query1[[#This Row],[Adj Close]], P532))</f>
        <v>3347.8577025609557</v>
      </c>
      <c r="Q533" s="2">
        <f>IFERROR(AVERAGE(
  IF(ROW()&gt;20, INDEX(G:G, ROW()-20), 0) :
  INDEX(G:G, ROW())
),0)</f>
        <v>295.37154570079986</v>
      </c>
    </row>
    <row r="534" spans="1:17" x14ac:dyDescent="0.4">
      <c r="A534" s="1">
        <v>44602</v>
      </c>
      <c r="B534">
        <v>304.04000854492188</v>
      </c>
      <c r="C534">
        <v>309.1199951171875</v>
      </c>
      <c r="D534">
        <v>300.70001220703125</v>
      </c>
      <c r="E534">
        <v>302.3800048828125</v>
      </c>
      <c r="F534">
        <v>45386200</v>
      </c>
      <c r="G534">
        <v>293.12539672851563</v>
      </c>
      <c r="H534" s="2">
        <f>MONTH(Query1[[#This Row],[Date]])</f>
        <v>2</v>
      </c>
      <c r="I534" s="3">
        <f>Query1[[#This Row],[Shares]]*Query1[[#This Row],[Adj Close]]</f>
        <v>1052994.0594401627</v>
      </c>
      <c r="J534" s="3">
        <f>IF(ROW()&lt;3, Dashboard!$E$7, IF(Query1[[#This Row],[Month]]&lt;&gt;H533,J533*(1+Dashboard!$E$4)+Dashboard!$E$5,J533))</f>
        <v>697702.39651206369</v>
      </c>
      <c r="K534">
        <f>IF(ROW()&lt;3, 0,IF(Query1[[#This Row],[Month]]&lt;&gt;H533,IF((J534-I534&gt;0),J534-I534,0),0))</f>
        <v>0</v>
      </c>
      <c r="L534" s="2">
        <f t="shared" si="8"/>
        <v>3592.2989655359538</v>
      </c>
      <c r="M534">
        <f>IF(ROW()&lt;3, 0, IF(Query1[[#This Row],[Month]]&lt;&gt;H533, Dashboard!$J$5,0))</f>
        <v>0</v>
      </c>
      <c r="N534" s="2">
        <f>IF(ROW()&lt;3, Query1[[#This Row],[Shares]], IF(Query1[[#This Row],[Month]]&lt;&gt;H533, N533+Query1[[#This Row],[Fix Top Up]]/Query1[[#This Row],[Adj Close]], N533))</f>
        <v>3360.0997587110146</v>
      </c>
      <c r="O534">
        <f>IF(AND(Query1[[#This Row],[avg]]&gt;0, Query1[[#This Row],[Month]]&lt;&gt;H533),
    IF(Query1[[#This Row],[Adj Close]]&gt;Query1[[#This Row],[avg]],
       Dashboard!$L$5-Dashboard!$E$6,
       Dashboard!$L$5+Dashboard!$E$6
    ), 0
)</f>
        <v>0</v>
      </c>
      <c r="P534" s="2">
        <f>IF(ROW()&lt;3, Query1[[#This Row],[Shares]], IF(Query1[[#This Row],[Month]]&lt;&gt;H533, P533+Query1[[#This Row],[Enhanced top up]]/Query1[[#This Row],[Adj Close]], P533))</f>
        <v>3347.8577025609557</v>
      </c>
      <c r="Q534" s="2">
        <f>IFERROR(AVERAGE(
  IF(ROW()&gt;20, INDEX(G:G, ROW()-20), 0) :
  INDEX(G:G, ROW())
),0)</f>
        <v>294.78991408575149</v>
      </c>
    </row>
    <row r="535" spans="1:17" x14ac:dyDescent="0.4">
      <c r="A535" s="1">
        <v>44603</v>
      </c>
      <c r="B535">
        <v>303.19000244140625</v>
      </c>
      <c r="C535">
        <v>304.29000854492188</v>
      </c>
      <c r="D535">
        <v>294.22000122070313</v>
      </c>
      <c r="E535">
        <v>295.04000854492188</v>
      </c>
      <c r="F535">
        <v>39175600</v>
      </c>
      <c r="G535">
        <v>286.010009765625</v>
      </c>
      <c r="H535" s="2">
        <f>MONTH(Query1[[#This Row],[Date]])</f>
        <v>2</v>
      </c>
      <c r="I535" s="3">
        <f>Query1[[#This Row],[Shares]]*Query1[[#This Row],[Adj Close]]</f>
        <v>1027433.4622139827</v>
      </c>
      <c r="J535" s="3">
        <f>IF(ROW()&lt;3, Dashboard!$E$7, IF(Query1[[#This Row],[Month]]&lt;&gt;H534,J534*(1+Dashboard!$E$4)+Dashboard!$E$5,J534))</f>
        <v>697702.39651206369</v>
      </c>
      <c r="K535">
        <f>IF(ROW()&lt;3, 0,IF(Query1[[#This Row],[Month]]&lt;&gt;H534,IF((J535-I535&gt;0),J535-I535,0),0))</f>
        <v>0</v>
      </c>
      <c r="L535" s="2">
        <f t="shared" si="8"/>
        <v>3592.2989655359538</v>
      </c>
      <c r="M535">
        <f>IF(ROW()&lt;3, 0, IF(Query1[[#This Row],[Month]]&lt;&gt;H534, Dashboard!$J$5,0))</f>
        <v>0</v>
      </c>
      <c r="N535" s="2">
        <f>IF(ROW()&lt;3, Query1[[#This Row],[Shares]], IF(Query1[[#This Row],[Month]]&lt;&gt;H534, N534+Query1[[#This Row],[Fix Top Up]]/Query1[[#This Row],[Adj Close]], N534))</f>
        <v>3360.0997587110146</v>
      </c>
      <c r="O535">
        <f>IF(AND(Query1[[#This Row],[avg]]&gt;0, Query1[[#This Row],[Month]]&lt;&gt;H534),
    IF(Query1[[#This Row],[Adj Close]]&gt;Query1[[#This Row],[avg]],
       Dashboard!$L$5-Dashboard!$E$6,
       Dashboard!$L$5+Dashboard!$E$6
    ), 0
)</f>
        <v>0</v>
      </c>
      <c r="P535" s="2">
        <f>IF(ROW()&lt;3, Query1[[#This Row],[Shares]], IF(Query1[[#This Row],[Month]]&lt;&gt;H534, P534+Query1[[#This Row],[Enhanced top up]]/Query1[[#This Row],[Adj Close]], P534))</f>
        <v>3347.8577025609557</v>
      </c>
      <c r="Q535" s="2">
        <f>IFERROR(AVERAGE(
  IF(ROW()&gt;20, INDEX(G:G, ROW()-20), 0) :
  INDEX(G:G, ROW())
),0)</f>
        <v>293.7175830659412</v>
      </c>
    </row>
    <row r="536" spans="1:17" x14ac:dyDescent="0.4">
      <c r="A536" s="1">
        <v>44606</v>
      </c>
      <c r="B536">
        <v>293.76998901367188</v>
      </c>
      <c r="C536">
        <v>296.760009765625</v>
      </c>
      <c r="D536">
        <v>291.35000610351563</v>
      </c>
      <c r="E536">
        <v>295</v>
      </c>
      <c r="F536">
        <v>36359500</v>
      </c>
      <c r="G536">
        <v>285.97113037109375</v>
      </c>
      <c r="H536" s="2">
        <f>MONTH(Query1[[#This Row],[Date]])</f>
        <v>2</v>
      </c>
      <c r="I536" s="3">
        <f>Query1[[#This Row],[Shares]]*Query1[[#This Row],[Adj Close]]</f>
        <v>1027293.7958052275</v>
      </c>
      <c r="J536" s="3">
        <f>IF(ROW()&lt;3, Dashboard!$E$7, IF(Query1[[#This Row],[Month]]&lt;&gt;H535,J535*(1+Dashboard!$E$4)+Dashboard!$E$5,J535))</f>
        <v>697702.39651206369</v>
      </c>
      <c r="K536">
        <f>IF(ROW()&lt;3, 0,IF(Query1[[#This Row],[Month]]&lt;&gt;H535,IF((J536-I536&gt;0),J536-I536,0),0))</f>
        <v>0</v>
      </c>
      <c r="L536" s="2">
        <f t="shared" si="8"/>
        <v>3592.2989655359538</v>
      </c>
      <c r="M536">
        <f>IF(ROW()&lt;3, 0, IF(Query1[[#This Row],[Month]]&lt;&gt;H535, Dashboard!$J$5,0))</f>
        <v>0</v>
      </c>
      <c r="N536" s="2">
        <f>IF(ROW()&lt;3, Query1[[#This Row],[Shares]], IF(Query1[[#This Row],[Month]]&lt;&gt;H535, N535+Query1[[#This Row],[Fix Top Up]]/Query1[[#This Row],[Adj Close]], N535))</f>
        <v>3360.0997587110146</v>
      </c>
      <c r="O536">
        <f>IF(AND(Query1[[#This Row],[avg]]&gt;0, Query1[[#This Row],[Month]]&lt;&gt;H535),
    IF(Query1[[#This Row],[Adj Close]]&gt;Query1[[#This Row],[avg]],
       Dashboard!$L$5-Dashboard!$E$6,
       Dashboard!$L$5+Dashboard!$E$6
    ), 0
)</f>
        <v>0</v>
      </c>
      <c r="P536" s="2">
        <f>IF(ROW()&lt;3, Query1[[#This Row],[Shares]], IF(Query1[[#This Row],[Month]]&lt;&gt;H535, P535+Query1[[#This Row],[Enhanced top up]]/Query1[[#This Row],[Adj Close]], P535))</f>
        <v>3347.8577025609557</v>
      </c>
      <c r="Q536" s="2">
        <f>IFERROR(AVERAGE(
  IF(ROW()&gt;20, INDEX(G:G, ROW()-20), 0) :
  INDEX(G:G, ROW())
),0)</f>
        <v>293.26519484747024</v>
      </c>
    </row>
    <row r="537" spans="1:17" x14ac:dyDescent="0.4">
      <c r="A537" s="1">
        <v>44607</v>
      </c>
      <c r="B537">
        <v>300.010009765625</v>
      </c>
      <c r="C537">
        <v>300.79998779296875</v>
      </c>
      <c r="D537">
        <v>297.01998901367188</v>
      </c>
      <c r="E537">
        <v>300.47000122070313</v>
      </c>
      <c r="F537">
        <v>27058300</v>
      </c>
      <c r="G537">
        <v>291.2738037109375</v>
      </c>
      <c r="H537" s="2">
        <f>MONTH(Query1[[#This Row],[Date]])</f>
        <v>2</v>
      </c>
      <c r="I537" s="3">
        <f>Query1[[#This Row],[Shares]]*Query1[[#This Row],[Adj Close]]</f>
        <v>1046342.5837585232</v>
      </c>
      <c r="J537" s="3">
        <f>IF(ROW()&lt;3, Dashboard!$E$7, IF(Query1[[#This Row],[Month]]&lt;&gt;H536,J536*(1+Dashboard!$E$4)+Dashboard!$E$5,J536))</f>
        <v>697702.39651206369</v>
      </c>
      <c r="K537">
        <f>IF(ROW()&lt;3, 0,IF(Query1[[#This Row],[Month]]&lt;&gt;H536,IF((J537-I537&gt;0),J537-I537,0),0))</f>
        <v>0</v>
      </c>
      <c r="L537" s="2">
        <f t="shared" si="8"/>
        <v>3592.2989655359538</v>
      </c>
      <c r="M537">
        <f>IF(ROW()&lt;3, 0, IF(Query1[[#This Row],[Month]]&lt;&gt;H536, Dashboard!$J$5,0))</f>
        <v>0</v>
      </c>
      <c r="N537" s="2">
        <f>IF(ROW()&lt;3, Query1[[#This Row],[Shares]], IF(Query1[[#This Row],[Month]]&lt;&gt;H536, N536+Query1[[#This Row],[Fix Top Up]]/Query1[[#This Row],[Adj Close]], N536))</f>
        <v>3360.0997587110146</v>
      </c>
      <c r="O537">
        <f>IF(AND(Query1[[#This Row],[avg]]&gt;0, Query1[[#This Row],[Month]]&lt;&gt;H536),
    IF(Query1[[#This Row],[Adj Close]]&gt;Query1[[#This Row],[avg]],
       Dashboard!$L$5-Dashboard!$E$6,
       Dashboard!$L$5+Dashboard!$E$6
    ), 0
)</f>
        <v>0</v>
      </c>
      <c r="P537" s="2">
        <f>IF(ROW()&lt;3, Query1[[#This Row],[Shares]], IF(Query1[[#This Row],[Month]]&lt;&gt;H536, P536+Query1[[#This Row],[Enhanced top up]]/Query1[[#This Row],[Adj Close]], P536))</f>
        <v>3347.8577025609557</v>
      </c>
      <c r="Q537" s="2">
        <f>IFERROR(AVERAGE(
  IF(ROW()&gt;20, INDEX(G:G, ROW()-20), 0) :
  INDEX(G:G, ROW())
),0)</f>
        <v>292.81604294549851</v>
      </c>
    </row>
    <row r="538" spans="1:17" x14ac:dyDescent="0.4">
      <c r="A538" s="1">
        <v>44608</v>
      </c>
      <c r="B538">
        <v>298.3699951171875</v>
      </c>
      <c r="C538">
        <v>300.8699951171875</v>
      </c>
      <c r="D538">
        <v>293.67999267578125</v>
      </c>
      <c r="E538">
        <v>299.5</v>
      </c>
      <c r="F538">
        <v>29982100</v>
      </c>
      <c r="G538">
        <v>290.93374633789063</v>
      </c>
      <c r="H538" s="2">
        <f>MONTH(Query1[[#This Row],[Date]])</f>
        <v>2</v>
      </c>
      <c r="I538" s="3">
        <f>Query1[[#This Row],[Shares]]*Query1[[#This Row],[Adj Close]]</f>
        <v>1045120.9960091041</v>
      </c>
      <c r="J538" s="3">
        <f>IF(ROW()&lt;3, Dashboard!$E$7, IF(Query1[[#This Row],[Month]]&lt;&gt;H537,J537*(1+Dashboard!$E$4)+Dashboard!$E$5,J537))</f>
        <v>697702.39651206369</v>
      </c>
      <c r="K538">
        <f>IF(ROW()&lt;3, 0,IF(Query1[[#This Row],[Month]]&lt;&gt;H537,IF((J538-I538&gt;0),J538-I538,0),0))</f>
        <v>0</v>
      </c>
      <c r="L538" s="2">
        <f t="shared" si="8"/>
        <v>3592.2989655359538</v>
      </c>
      <c r="M538">
        <f>IF(ROW()&lt;3, 0, IF(Query1[[#This Row],[Month]]&lt;&gt;H537, Dashboard!$J$5,0))</f>
        <v>0</v>
      </c>
      <c r="N538" s="2">
        <f>IF(ROW()&lt;3, Query1[[#This Row],[Shares]], IF(Query1[[#This Row],[Month]]&lt;&gt;H537, N537+Query1[[#This Row],[Fix Top Up]]/Query1[[#This Row],[Adj Close]], N537))</f>
        <v>3360.0997587110146</v>
      </c>
      <c r="O538">
        <f>IF(AND(Query1[[#This Row],[avg]]&gt;0, Query1[[#This Row],[Month]]&lt;&gt;H537),
    IF(Query1[[#This Row],[Adj Close]]&gt;Query1[[#This Row],[avg]],
       Dashboard!$L$5-Dashboard!$E$6,
       Dashboard!$L$5+Dashboard!$E$6
    ), 0
)</f>
        <v>0</v>
      </c>
      <c r="P538" s="2">
        <f>IF(ROW()&lt;3, Query1[[#This Row],[Shares]], IF(Query1[[#This Row],[Month]]&lt;&gt;H537, P537+Query1[[#This Row],[Enhanced top up]]/Query1[[#This Row],[Adj Close]], P537))</f>
        <v>3347.8577025609557</v>
      </c>
      <c r="Q538" s="2">
        <f>IFERROR(AVERAGE(
  IF(ROW()&gt;20, INDEX(G:G, ROW()-20), 0) :
  INDEX(G:G, ROW())
),0)</f>
        <v>292.69922020321803</v>
      </c>
    </row>
    <row r="539" spans="1:17" x14ac:dyDescent="0.4">
      <c r="A539" s="1">
        <v>44609</v>
      </c>
      <c r="B539">
        <v>296.3599853515625</v>
      </c>
      <c r="C539">
        <v>296.79998779296875</v>
      </c>
      <c r="D539">
        <v>290</v>
      </c>
      <c r="E539">
        <v>290.73001098632813</v>
      </c>
      <c r="F539">
        <v>32461600</v>
      </c>
      <c r="G539">
        <v>282.4146728515625</v>
      </c>
      <c r="H539" s="2">
        <f>MONTH(Query1[[#This Row],[Date]])</f>
        <v>2</v>
      </c>
      <c r="I539" s="3">
        <f>Query1[[#This Row],[Shares]]*Query1[[#This Row],[Adj Close]]</f>
        <v>1014517.9371368428</v>
      </c>
      <c r="J539" s="3">
        <f>IF(ROW()&lt;3, Dashboard!$E$7, IF(Query1[[#This Row],[Month]]&lt;&gt;H538,J538*(1+Dashboard!$E$4)+Dashboard!$E$5,J538))</f>
        <v>697702.39651206369</v>
      </c>
      <c r="K539">
        <f>IF(ROW()&lt;3, 0,IF(Query1[[#This Row],[Month]]&lt;&gt;H538,IF((J539-I539&gt;0),J539-I539,0),0))</f>
        <v>0</v>
      </c>
      <c r="L539" s="2">
        <f t="shared" si="8"/>
        <v>3592.2989655359538</v>
      </c>
      <c r="M539">
        <f>IF(ROW()&lt;3, 0, IF(Query1[[#This Row],[Month]]&lt;&gt;H538, Dashboard!$J$5,0))</f>
        <v>0</v>
      </c>
      <c r="N539" s="2">
        <f>IF(ROW()&lt;3, Query1[[#This Row],[Shares]], IF(Query1[[#This Row],[Month]]&lt;&gt;H538, N538+Query1[[#This Row],[Fix Top Up]]/Query1[[#This Row],[Adj Close]], N538))</f>
        <v>3360.0997587110146</v>
      </c>
      <c r="O539">
        <f>IF(AND(Query1[[#This Row],[avg]]&gt;0, Query1[[#This Row],[Month]]&lt;&gt;H538),
    IF(Query1[[#This Row],[Adj Close]]&gt;Query1[[#This Row],[avg]],
       Dashboard!$L$5-Dashboard!$E$6,
       Dashboard!$L$5+Dashboard!$E$6
    ), 0
)</f>
        <v>0</v>
      </c>
      <c r="P539" s="2">
        <f>IF(ROW()&lt;3, Query1[[#This Row],[Shares]], IF(Query1[[#This Row],[Month]]&lt;&gt;H538, P538+Query1[[#This Row],[Enhanced top up]]/Query1[[#This Row],[Adj Close]], P538))</f>
        <v>3347.8577025609557</v>
      </c>
      <c r="Q539" s="2">
        <f>IFERROR(AVERAGE(
  IF(ROW()&gt;20, INDEX(G:G, ROW()-20), 0) :
  INDEX(G:G, ROW())
),0)</f>
        <v>292.14533633277529</v>
      </c>
    </row>
    <row r="540" spans="1:17" x14ac:dyDescent="0.4">
      <c r="A540" s="1">
        <v>44610</v>
      </c>
      <c r="B540">
        <v>293.04998779296875</v>
      </c>
      <c r="C540">
        <v>293.8599853515625</v>
      </c>
      <c r="D540">
        <v>286.30999755859375</v>
      </c>
      <c r="E540">
        <v>287.92999267578125</v>
      </c>
      <c r="F540">
        <v>34264000</v>
      </c>
      <c r="G540">
        <v>279.69467163085938</v>
      </c>
      <c r="H540" s="2">
        <f>MONTH(Query1[[#This Row],[Date]])</f>
        <v>2</v>
      </c>
      <c r="I540" s="3">
        <f>Query1[[#This Row],[Shares]]*Query1[[#This Row],[Adj Close]]</f>
        <v>1004746.8795654544</v>
      </c>
      <c r="J540" s="3">
        <f>IF(ROW()&lt;3, Dashboard!$E$7, IF(Query1[[#This Row],[Month]]&lt;&gt;H539,J539*(1+Dashboard!$E$4)+Dashboard!$E$5,J539))</f>
        <v>697702.39651206369</v>
      </c>
      <c r="K540">
        <f>IF(ROW()&lt;3, 0,IF(Query1[[#This Row],[Month]]&lt;&gt;H539,IF((J540-I540&gt;0),J540-I540,0),0))</f>
        <v>0</v>
      </c>
      <c r="L540" s="2">
        <f t="shared" si="8"/>
        <v>3592.2989655359538</v>
      </c>
      <c r="M540">
        <f>IF(ROW()&lt;3, 0, IF(Query1[[#This Row],[Month]]&lt;&gt;H539, Dashboard!$J$5,0))</f>
        <v>0</v>
      </c>
      <c r="N540" s="2">
        <f>IF(ROW()&lt;3, Query1[[#This Row],[Shares]], IF(Query1[[#This Row],[Month]]&lt;&gt;H539, N539+Query1[[#This Row],[Fix Top Up]]/Query1[[#This Row],[Adj Close]], N539))</f>
        <v>3360.0997587110146</v>
      </c>
      <c r="O540">
        <f>IF(AND(Query1[[#This Row],[avg]]&gt;0, Query1[[#This Row],[Month]]&lt;&gt;H539),
    IF(Query1[[#This Row],[Adj Close]]&gt;Query1[[#This Row],[avg]],
       Dashboard!$L$5-Dashboard!$E$6,
       Dashboard!$L$5+Dashboard!$E$6
    ), 0
)</f>
        <v>0</v>
      </c>
      <c r="P540" s="2">
        <f>IF(ROW()&lt;3, Query1[[#This Row],[Shares]], IF(Query1[[#This Row],[Month]]&lt;&gt;H539, P539+Query1[[#This Row],[Enhanced top up]]/Query1[[#This Row],[Adj Close]], P539))</f>
        <v>3347.8577025609557</v>
      </c>
      <c r="Q540" s="2">
        <f>IFERROR(AVERAGE(
  IF(ROW()&gt;20, INDEX(G:G, ROW()-20), 0) :
  INDEX(G:G, ROW())
),0)</f>
        <v>291.54178728376115</v>
      </c>
    </row>
    <row r="541" spans="1:17" x14ac:dyDescent="0.4">
      <c r="A541" s="1">
        <v>44614</v>
      </c>
      <c r="B541">
        <v>285</v>
      </c>
      <c r="C541">
        <v>291.54000854492188</v>
      </c>
      <c r="D541">
        <v>284.5</v>
      </c>
      <c r="E541">
        <v>287.72000122070313</v>
      </c>
      <c r="F541">
        <v>41736100</v>
      </c>
      <c r="G541">
        <v>279.49069213867188</v>
      </c>
      <c r="H541" s="2">
        <f>MONTH(Query1[[#This Row],[Date]])</f>
        <v>2</v>
      </c>
      <c r="I541" s="3">
        <f>Query1[[#This Row],[Shares]]*Query1[[#This Row],[Adj Close]]</f>
        <v>1004014.1242466787</v>
      </c>
      <c r="J541" s="3">
        <f>IF(ROW()&lt;3, Dashboard!$E$7, IF(Query1[[#This Row],[Month]]&lt;&gt;H540,J540*(1+Dashboard!$E$4)+Dashboard!$E$5,J540))</f>
        <v>697702.39651206369</v>
      </c>
      <c r="K541">
        <f>IF(ROW()&lt;3, 0,IF(Query1[[#This Row],[Month]]&lt;&gt;H540,IF((J541-I541&gt;0),J541-I541,0),0))</f>
        <v>0</v>
      </c>
      <c r="L541" s="2">
        <f t="shared" si="8"/>
        <v>3592.2989655359538</v>
      </c>
      <c r="M541">
        <f>IF(ROW()&lt;3, 0, IF(Query1[[#This Row],[Month]]&lt;&gt;H540, Dashboard!$J$5,0))</f>
        <v>0</v>
      </c>
      <c r="N541" s="2">
        <f>IF(ROW()&lt;3, Query1[[#This Row],[Shares]], IF(Query1[[#This Row],[Month]]&lt;&gt;H540, N540+Query1[[#This Row],[Fix Top Up]]/Query1[[#This Row],[Adj Close]], N540))</f>
        <v>3360.0997587110146</v>
      </c>
      <c r="O541">
        <f>IF(AND(Query1[[#This Row],[avg]]&gt;0, Query1[[#This Row],[Month]]&lt;&gt;H540),
    IF(Query1[[#This Row],[Adj Close]]&gt;Query1[[#This Row],[avg]],
       Dashboard!$L$5-Dashboard!$E$6,
       Dashboard!$L$5+Dashboard!$E$6
    ), 0
)</f>
        <v>0</v>
      </c>
      <c r="P541" s="2">
        <f>IF(ROW()&lt;3, Query1[[#This Row],[Shares]], IF(Query1[[#This Row],[Month]]&lt;&gt;H540, P540+Query1[[#This Row],[Enhanced top up]]/Query1[[#This Row],[Adj Close]], P540))</f>
        <v>3347.8577025609557</v>
      </c>
      <c r="Q541" s="2">
        <f>IFERROR(AVERAGE(
  IF(ROW()&gt;20, INDEX(G:G, ROW()-20), 0) :
  INDEX(G:G, ROW())
),0)</f>
        <v>291.18564278738842</v>
      </c>
    </row>
    <row r="542" spans="1:17" x14ac:dyDescent="0.4">
      <c r="A542" s="1">
        <v>44615</v>
      </c>
      <c r="B542">
        <v>290.17999267578125</v>
      </c>
      <c r="C542">
        <v>291.70001220703125</v>
      </c>
      <c r="D542">
        <v>280.10000610351563</v>
      </c>
      <c r="E542">
        <v>280.26998901367188</v>
      </c>
      <c r="F542">
        <v>37811200</v>
      </c>
      <c r="G542">
        <v>272.25384521484375</v>
      </c>
      <c r="H542" s="2">
        <f>MONTH(Query1[[#This Row],[Date]])</f>
        <v>2</v>
      </c>
      <c r="I542" s="3">
        <f>Query1[[#This Row],[Shares]]*Query1[[#This Row],[Adj Close]]</f>
        <v>978017.20652846887</v>
      </c>
      <c r="J542" s="3">
        <f>IF(ROW()&lt;3, Dashboard!$E$7, IF(Query1[[#This Row],[Month]]&lt;&gt;H541,J541*(1+Dashboard!$E$4)+Dashboard!$E$5,J541))</f>
        <v>697702.39651206369</v>
      </c>
      <c r="K542">
        <f>IF(ROW()&lt;3, 0,IF(Query1[[#This Row],[Month]]&lt;&gt;H541,IF((J542-I542&gt;0),J542-I542,0),0))</f>
        <v>0</v>
      </c>
      <c r="L542" s="2">
        <f t="shared" si="8"/>
        <v>3592.2989655359538</v>
      </c>
      <c r="M542">
        <f>IF(ROW()&lt;3, 0, IF(Query1[[#This Row],[Month]]&lt;&gt;H541, Dashboard!$J$5,0))</f>
        <v>0</v>
      </c>
      <c r="N542" s="2">
        <f>IF(ROW()&lt;3, Query1[[#This Row],[Shares]], IF(Query1[[#This Row],[Month]]&lt;&gt;H541, N541+Query1[[#This Row],[Fix Top Up]]/Query1[[#This Row],[Adj Close]], N541))</f>
        <v>3360.0997587110146</v>
      </c>
      <c r="O542">
        <f>IF(AND(Query1[[#This Row],[avg]]&gt;0, Query1[[#This Row],[Month]]&lt;&gt;H541),
    IF(Query1[[#This Row],[Adj Close]]&gt;Query1[[#This Row],[avg]],
       Dashboard!$L$5-Dashboard!$E$6,
       Dashboard!$L$5+Dashboard!$E$6
    ), 0
)</f>
        <v>0</v>
      </c>
      <c r="P542" s="2">
        <f>IF(ROW()&lt;3, Query1[[#This Row],[Shares]], IF(Query1[[#This Row],[Month]]&lt;&gt;H541, P541+Query1[[#This Row],[Enhanced top up]]/Query1[[#This Row],[Adj Close]], P541))</f>
        <v>3347.8577025609557</v>
      </c>
      <c r="Q542" s="2">
        <f>IFERROR(AVERAGE(
  IF(ROW()&gt;20, INDEX(G:G, ROW()-20), 0) :
  INDEX(G:G, ROW())
),0)</f>
        <v>290.46919323149183</v>
      </c>
    </row>
    <row r="543" spans="1:17" x14ac:dyDescent="0.4">
      <c r="A543" s="1">
        <v>44616</v>
      </c>
      <c r="B543">
        <v>272.510009765625</v>
      </c>
      <c r="C543">
        <v>295.16000366210938</v>
      </c>
      <c r="D543">
        <v>271.51998901367188</v>
      </c>
      <c r="E543">
        <v>294.58999633789063</v>
      </c>
      <c r="F543">
        <v>56989700</v>
      </c>
      <c r="G543">
        <v>286.16421508789063</v>
      </c>
      <c r="H543" s="2">
        <f>MONTH(Query1[[#This Row],[Date]])</f>
        <v>2</v>
      </c>
      <c r="I543" s="3">
        <f>Query1[[#This Row],[Shares]]*Query1[[#This Row],[Adj Close]]</f>
        <v>1027987.4138336377</v>
      </c>
      <c r="J543" s="3">
        <f>IF(ROW()&lt;3, Dashboard!$E$7, IF(Query1[[#This Row],[Month]]&lt;&gt;H542,J542*(1+Dashboard!$E$4)+Dashboard!$E$5,J542))</f>
        <v>697702.39651206369</v>
      </c>
      <c r="K543">
        <f>IF(ROW()&lt;3, 0,IF(Query1[[#This Row],[Month]]&lt;&gt;H542,IF((J543-I543&gt;0),J543-I543,0),0))</f>
        <v>0</v>
      </c>
      <c r="L543" s="2">
        <f t="shared" si="8"/>
        <v>3592.2989655359538</v>
      </c>
      <c r="M543">
        <f>IF(ROW()&lt;3, 0, IF(Query1[[#This Row],[Month]]&lt;&gt;H542, Dashboard!$J$5,0))</f>
        <v>0</v>
      </c>
      <c r="N543" s="2">
        <f>IF(ROW()&lt;3, Query1[[#This Row],[Shares]], IF(Query1[[#This Row],[Month]]&lt;&gt;H542, N542+Query1[[#This Row],[Fix Top Up]]/Query1[[#This Row],[Adj Close]], N542))</f>
        <v>3360.0997587110146</v>
      </c>
      <c r="O543">
        <f>IF(AND(Query1[[#This Row],[avg]]&gt;0, Query1[[#This Row],[Month]]&lt;&gt;H542),
    IF(Query1[[#This Row],[Adj Close]]&gt;Query1[[#This Row],[avg]],
       Dashboard!$L$5-Dashboard!$E$6,
       Dashboard!$L$5+Dashboard!$E$6
    ), 0
)</f>
        <v>0</v>
      </c>
      <c r="P543" s="2">
        <f>IF(ROW()&lt;3, Query1[[#This Row],[Shares]], IF(Query1[[#This Row],[Month]]&lt;&gt;H542, P542+Query1[[#This Row],[Enhanced top up]]/Query1[[#This Row],[Adj Close]], P542))</f>
        <v>3347.8577025609557</v>
      </c>
      <c r="Q543" s="2">
        <f>IFERROR(AVERAGE(
  IF(ROW()&gt;20, INDEX(G:G, ROW()-20), 0) :
  INDEX(G:G, ROW())
),0)</f>
        <v>290.77889869326634</v>
      </c>
    </row>
    <row r="544" spans="1:17" x14ac:dyDescent="0.4">
      <c r="A544" s="1">
        <v>44617</v>
      </c>
      <c r="B544">
        <v>295.1400146484375</v>
      </c>
      <c r="C544">
        <v>297.6300048828125</v>
      </c>
      <c r="D544">
        <v>291.64999389648438</v>
      </c>
      <c r="E544">
        <v>297.30999755859375</v>
      </c>
      <c r="F544">
        <v>32546700</v>
      </c>
      <c r="G544">
        <v>288.80636596679688</v>
      </c>
      <c r="H544" s="2">
        <f>MONTH(Query1[[#This Row],[Date]])</f>
        <v>2</v>
      </c>
      <c r="I544" s="3">
        <f>Query1[[#This Row],[Shares]]*Query1[[#This Row],[Adj Close]]</f>
        <v>1037478.8097027225</v>
      </c>
      <c r="J544" s="3">
        <f>IF(ROW()&lt;3, Dashboard!$E$7, IF(Query1[[#This Row],[Month]]&lt;&gt;H543,J543*(1+Dashboard!$E$4)+Dashboard!$E$5,J543))</f>
        <v>697702.39651206369</v>
      </c>
      <c r="K544">
        <f>IF(ROW()&lt;3, 0,IF(Query1[[#This Row],[Month]]&lt;&gt;H543,IF((J544-I544&gt;0),J544-I544,0),0))</f>
        <v>0</v>
      </c>
      <c r="L544" s="2">
        <f t="shared" si="8"/>
        <v>3592.2989655359538</v>
      </c>
      <c r="M544">
        <f>IF(ROW()&lt;3, 0, IF(Query1[[#This Row],[Month]]&lt;&gt;H543, Dashboard!$J$5,0))</f>
        <v>0</v>
      </c>
      <c r="N544" s="2">
        <f>IF(ROW()&lt;3, Query1[[#This Row],[Shares]], IF(Query1[[#This Row],[Month]]&lt;&gt;H543, N543+Query1[[#This Row],[Fix Top Up]]/Query1[[#This Row],[Adj Close]], N543))</f>
        <v>3360.0997587110146</v>
      </c>
      <c r="O544">
        <f>IF(AND(Query1[[#This Row],[avg]]&gt;0, Query1[[#This Row],[Month]]&lt;&gt;H543),
    IF(Query1[[#This Row],[Adj Close]]&gt;Query1[[#This Row],[avg]],
       Dashboard!$L$5-Dashboard!$E$6,
       Dashboard!$L$5+Dashboard!$E$6
    ), 0
)</f>
        <v>0</v>
      </c>
      <c r="P544" s="2">
        <f>IF(ROW()&lt;3, Query1[[#This Row],[Shares]], IF(Query1[[#This Row],[Month]]&lt;&gt;H543, P543+Query1[[#This Row],[Enhanced top up]]/Query1[[#This Row],[Adj Close]], P543))</f>
        <v>3347.8577025609557</v>
      </c>
      <c r="Q544" s="2">
        <f>IFERROR(AVERAGE(
  IF(ROW()&gt;20, INDEX(G:G, ROW()-20), 0) :
  INDEX(G:G, ROW())
),0)</f>
        <v>290.83497111002606</v>
      </c>
    </row>
    <row r="545" spans="1:17" x14ac:dyDescent="0.4">
      <c r="A545" s="1">
        <v>44620</v>
      </c>
      <c r="B545">
        <v>294.30999755859375</v>
      </c>
      <c r="C545">
        <v>299.1400146484375</v>
      </c>
      <c r="D545">
        <v>293</v>
      </c>
      <c r="E545">
        <v>298.79000854492188</v>
      </c>
      <c r="F545">
        <v>34627500</v>
      </c>
      <c r="G545">
        <v>290.24417114257813</v>
      </c>
      <c r="H545" s="2">
        <f>MONTH(Query1[[#This Row],[Date]])</f>
        <v>2</v>
      </c>
      <c r="I545" s="3">
        <f>Query1[[#This Row],[Shares]]*Query1[[#This Row],[Adj Close]]</f>
        <v>1042643.8357483237</v>
      </c>
      <c r="J545" s="3">
        <f>IF(ROW()&lt;3, Dashboard!$E$7, IF(Query1[[#This Row],[Month]]&lt;&gt;H544,J544*(1+Dashboard!$E$4)+Dashboard!$E$5,J544))</f>
        <v>697702.39651206369</v>
      </c>
      <c r="K545">
        <f>IF(ROW()&lt;3, 0,IF(Query1[[#This Row],[Month]]&lt;&gt;H544,IF((J545-I545&gt;0),J545-I545,0),0))</f>
        <v>0</v>
      </c>
      <c r="L545" s="2">
        <f t="shared" si="8"/>
        <v>3592.2989655359538</v>
      </c>
      <c r="M545">
        <f>IF(ROW()&lt;3, 0, IF(Query1[[#This Row],[Month]]&lt;&gt;H544, Dashboard!$J$5,0))</f>
        <v>0</v>
      </c>
      <c r="N545" s="2">
        <f>IF(ROW()&lt;3, Query1[[#This Row],[Shares]], IF(Query1[[#This Row],[Month]]&lt;&gt;H544, N544+Query1[[#This Row],[Fix Top Up]]/Query1[[#This Row],[Adj Close]], N544))</f>
        <v>3360.0997587110146</v>
      </c>
      <c r="O545">
        <f>IF(AND(Query1[[#This Row],[avg]]&gt;0, Query1[[#This Row],[Month]]&lt;&gt;H544),
    IF(Query1[[#This Row],[Adj Close]]&gt;Query1[[#This Row],[avg]],
       Dashboard!$L$5-Dashboard!$E$6,
       Dashboard!$L$5+Dashboard!$E$6
    ), 0
)</f>
        <v>0</v>
      </c>
      <c r="P545" s="2">
        <f>IF(ROW()&lt;3, Query1[[#This Row],[Shares]], IF(Query1[[#This Row],[Month]]&lt;&gt;H544, P544+Query1[[#This Row],[Enhanced top up]]/Query1[[#This Row],[Adj Close]], P544))</f>
        <v>3347.8577025609557</v>
      </c>
      <c r="Q545" s="2">
        <f>IFERROR(AVERAGE(
  IF(ROW()&gt;20, INDEX(G:G, ROW()-20), 0) :
  INDEX(G:G, ROW())
),0)</f>
        <v>290.81502569289432</v>
      </c>
    </row>
    <row r="546" spans="1:17" x14ac:dyDescent="0.4">
      <c r="A546" s="1">
        <v>44621</v>
      </c>
      <c r="B546">
        <v>296.39999389648438</v>
      </c>
      <c r="C546">
        <v>299.97000122070313</v>
      </c>
      <c r="D546">
        <v>292.14999389648438</v>
      </c>
      <c r="E546">
        <v>294.95001220703125</v>
      </c>
      <c r="F546">
        <v>31217800</v>
      </c>
      <c r="G546">
        <v>286.51394653320313</v>
      </c>
      <c r="H546" s="2">
        <f>MONTH(Query1[[#This Row],[Date]])</f>
        <v>3</v>
      </c>
      <c r="I546" s="3">
        <f>Query1[[#This Row],[Shares]]*Query1[[#This Row],[Adj Close]]</f>
        <v>1029243.7537428492</v>
      </c>
      <c r="J546" s="3">
        <f>IF(ROW()&lt;3, Dashboard!$E$7, IF(Query1[[#This Row],[Month]]&lt;&gt;H545,J545*(1+Dashboard!$E$4)+Dashboard!$E$5,J545))</f>
        <v>706679.42047718435</v>
      </c>
      <c r="K546">
        <f>IF(ROW()&lt;3, 0,IF(Query1[[#This Row],[Month]]&lt;&gt;H545,IF((J546-I546&gt;0),J546-I546,0),0))</f>
        <v>0</v>
      </c>
      <c r="L546" s="2">
        <f t="shared" si="8"/>
        <v>3592.2989655359538</v>
      </c>
      <c r="M546">
        <f>IF(ROW()&lt;3, 0, IF(Query1[[#This Row],[Month]]&lt;&gt;H545, Dashboard!$J$5,0))</f>
        <v>773.47399999999971</v>
      </c>
      <c r="N546" s="2">
        <f>IF(ROW()&lt;3, Query1[[#This Row],[Shares]], IF(Query1[[#This Row],[Month]]&lt;&gt;H545, N545+Query1[[#This Row],[Fix Top Up]]/Query1[[#This Row],[Adj Close]], N545))</f>
        <v>3362.7993620265215</v>
      </c>
      <c r="O546">
        <f>IF(AND(Query1[[#This Row],[avg]]&gt;0, Query1[[#This Row],[Month]]&lt;&gt;H545),
    IF(Query1[[#This Row],[Adj Close]]&gt;Query1[[#This Row],[avg]],
       Dashboard!$L$5-Dashboard!$E$6,
       Dashboard!$L$5+Dashboard!$E$6
    ), 0
)</f>
        <v>1390.1406666666667</v>
      </c>
      <c r="P546" s="2">
        <f>IF(ROW()&lt;3, Query1[[#This Row],[Shares]], IF(Query1[[#This Row],[Month]]&lt;&gt;H545, P545+Query1[[#This Row],[Enhanced top up]]/Query1[[#This Row],[Adj Close]], P545))</f>
        <v>3352.7096152984936</v>
      </c>
      <c r="Q546" s="2">
        <f>IFERROR(AVERAGE(
  IF(ROW()&gt;20, INDEX(G:G, ROW()-20), 0) :
  INDEX(G:G, ROW())
),0)</f>
        <v>290.22876848493303</v>
      </c>
    </row>
    <row r="547" spans="1:17" x14ac:dyDescent="0.4">
      <c r="A547" s="1">
        <v>44622</v>
      </c>
      <c r="B547">
        <v>295.3599853515625</v>
      </c>
      <c r="C547">
        <v>301.47000122070313</v>
      </c>
      <c r="D547">
        <v>293.70001220703125</v>
      </c>
      <c r="E547">
        <v>300.19000244140625</v>
      </c>
      <c r="F547">
        <v>31873000</v>
      </c>
      <c r="G547">
        <v>291.60403442382813</v>
      </c>
      <c r="H547" s="2">
        <f>MONTH(Query1[[#This Row],[Date]])</f>
        <v>3</v>
      </c>
      <c r="I547" s="3">
        <f>Query1[[#This Row],[Shares]]*Query1[[#This Row],[Adj Close]]</f>
        <v>1047528.8712068284</v>
      </c>
      <c r="J547" s="3">
        <f>IF(ROW()&lt;3, Dashboard!$E$7, IF(Query1[[#This Row],[Month]]&lt;&gt;H546,J546*(1+Dashboard!$E$4)+Dashboard!$E$5,J546))</f>
        <v>706679.42047718435</v>
      </c>
      <c r="K547">
        <f>IF(ROW()&lt;3, 0,IF(Query1[[#This Row],[Month]]&lt;&gt;H546,IF((J547-I547&gt;0),J547-I547,0),0))</f>
        <v>0</v>
      </c>
      <c r="L547" s="2">
        <f t="shared" si="8"/>
        <v>3592.2989655359538</v>
      </c>
      <c r="M547">
        <f>IF(ROW()&lt;3, 0, IF(Query1[[#This Row],[Month]]&lt;&gt;H546, Dashboard!$J$5,0))</f>
        <v>0</v>
      </c>
      <c r="N547" s="2">
        <f>IF(ROW()&lt;3, Query1[[#This Row],[Shares]], IF(Query1[[#This Row],[Month]]&lt;&gt;H546, N546+Query1[[#This Row],[Fix Top Up]]/Query1[[#This Row],[Adj Close]], N546))</f>
        <v>3362.7993620265215</v>
      </c>
      <c r="O547">
        <f>IF(AND(Query1[[#This Row],[avg]]&gt;0, Query1[[#This Row],[Month]]&lt;&gt;H546),
    IF(Query1[[#This Row],[Adj Close]]&gt;Query1[[#This Row],[avg]],
       Dashboard!$L$5-Dashboard!$E$6,
       Dashboard!$L$5+Dashboard!$E$6
    ), 0
)</f>
        <v>0</v>
      </c>
      <c r="P547" s="2">
        <f>IF(ROW()&lt;3, Query1[[#This Row],[Shares]], IF(Query1[[#This Row],[Month]]&lt;&gt;H546, P546+Query1[[#This Row],[Enhanced top up]]/Query1[[#This Row],[Adj Close]], P546))</f>
        <v>3352.7096152984936</v>
      </c>
      <c r="Q547" s="2">
        <f>IFERROR(AVERAGE(
  IF(ROW()&gt;20, INDEX(G:G, ROW()-20), 0) :
  INDEX(G:G, ROW())
),0)</f>
        <v>289.75933837890625</v>
      </c>
    </row>
    <row r="548" spans="1:17" x14ac:dyDescent="0.4">
      <c r="A548" s="1">
        <v>44623</v>
      </c>
      <c r="B548">
        <v>302.8900146484375</v>
      </c>
      <c r="C548">
        <v>303.1300048828125</v>
      </c>
      <c r="D548">
        <v>294.04998779296875</v>
      </c>
      <c r="E548">
        <v>295.92001342773438</v>
      </c>
      <c r="F548">
        <v>27314500</v>
      </c>
      <c r="G548">
        <v>287.45611572265625</v>
      </c>
      <c r="H548" s="2">
        <f>MONTH(Query1[[#This Row],[Date]])</f>
        <v>3</v>
      </c>
      <c r="I548" s="3">
        <f>Query1[[#This Row],[Shares]]*Query1[[#This Row],[Adj Close]]</f>
        <v>1032628.3071474815</v>
      </c>
      <c r="J548" s="3">
        <f>IF(ROW()&lt;3, Dashboard!$E$7, IF(Query1[[#This Row],[Month]]&lt;&gt;H547,J547*(1+Dashboard!$E$4)+Dashboard!$E$5,J547))</f>
        <v>706679.42047718435</v>
      </c>
      <c r="K548">
        <f>IF(ROW()&lt;3, 0,IF(Query1[[#This Row],[Month]]&lt;&gt;H547,IF((J548-I548&gt;0),J548-I548,0),0))</f>
        <v>0</v>
      </c>
      <c r="L548" s="2">
        <f t="shared" si="8"/>
        <v>3592.2989655359538</v>
      </c>
      <c r="M548">
        <f>IF(ROW()&lt;3, 0, IF(Query1[[#This Row],[Month]]&lt;&gt;H547, Dashboard!$J$5,0))</f>
        <v>0</v>
      </c>
      <c r="N548" s="2">
        <f>IF(ROW()&lt;3, Query1[[#This Row],[Shares]], IF(Query1[[#This Row],[Month]]&lt;&gt;H547, N547+Query1[[#This Row],[Fix Top Up]]/Query1[[#This Row],[Adj Close]], N547))</f>
        <v>3362.7993620265215</v>
      </c>
      <c r="O548">
        <f>IF(AND(Query1[[#This Row],[avg]]&gt;0, Query1[[#This Row],[Month]]&lt;&gt;H547),
    IF(Query1[[#This Row],[Adj Close]]&gt;Query1[[#This Row],[avg]],
       Dashboard!$L$5-Dashboard!$E$6,
       Dashboard!$L$5+Dashboard!$E$6
    ), 0
)</f>
        <v>0</v>
      </c>
      <c r="P548" s="2">
        <f>IF(ROW()&lt;3, Query1[[#This Row],[Shares]], IF(Query1[[#This Row],[Month]]&lt;&gt;H547, P547+Query1[[#This Row],[Enhanced top up]]/Query1[[#This Row],[Adj Close]], P547))</f>
        <v>3352.7096152984936</v>
      </c>
      <c r="Q548" s="2">
        <f>IFERROR(AVERAGE(
  IF(ROW()&gt;20, INDEX(G:G, ROW()-20), 0) :
  INDEX(G:G, ROW())
),0)</f>
        <v>289.19486200241818</v>
      </c>
    </row>
    <row r="549" spans="1:17" x14ac:dyDescent="0.4">
      <c r="A549" s="1">
        <v>44624</v>
      </c>
      <c r="B549">
        <v>294.29000854492188</v>
      </c>
      <c r="C549">
        <v>295.66000366210938</v>
      </c>
      <c r="D549">
        <v>287.17001342773438</v>
      </c>
      <c r="E549">
        <v>289.8599853515625</v>
      </c>
      <c r="F549">
        <v>32356500</v>
      </c>
      <c r="G549">
        <v>281.56951904296875</v>
      </c>
      <c r="H549" s="2">
        <f>MONTH(Query1[[#This Row],[Date]])</f>
        <v>3</v>
      </c>
      <c r="I549" s="3">
        <f>Query1[[#This Row],[Shares]]*Query1[[#This Row],[Adj Close]]</f>
        <v>1011481.8919845127</v>
      </c>
      <c r="J549" s="3">
        <f>IF(ROW()&lt;3, Dashboard!$E$7, IF(Query1[[#This Row],[Month]]&lt;&gt;H548,J548*(1+Dashboard!$E$4)+Dashboard!$E$5,J548))</f>
        <v>706679.42047718435</v>
      </c>
      <c r="K549">
        <f>IF(ROW()&lt;3, 0,IF(Query1[[#This Row],[Month]]&lt;&gt;H548,IF((J549-I549&gt;0),J549-I549,0),0))</f>
        <v>0</v>
      </c>
      <c r="L549" s="2">
        <f t="shared" si="8"/>
        <v>3592.2989655359538</v>
      </c>
      <c r="M549">
        <f>IF(ROW()&lt;3, 0, IF(Query1[[#This Row],[Month]]&lt;&gt;H548, Dashboard!$J$5,0))</f>
        <v>0</v>
      </c>
      <c r="N549" s="2">
        <f>IF(ROW()&lt;3, Query1[[#This Row],[Shares]], IF(Query1[[#This Row],[Month]]&lt;&gt;H548, N548+Query1[[#This Row],[Fix Top Up]]/Query1[[#This Row],[Adj Close]], N548))</f>
        <v>3362.7993620265215</v>
      </c>
      <c r="O549">
        <f>IF(AND(Query1[[#This Row],[avg]]&gt;0, Query1[[#This Row],[Month]]&lt;&gt;H548),
    IF(Query1[[#This Row],[Adj Close]]&gt;Query1[[#This Row],[avg]],
       Dashboard!$L$5-Dashboard!$E$6,
       Dashboard!$L$5+Dashboard!$E$6
    ), 0
)</f>
        <v>0</v>
      </c>
      <c r="P549" s="2">
        <f>IF(ROW()&lt;3, Query1[[#This Row],[Shares]], IF(Query1[[#This Row],[Month]]&lt;&gt;H548, P548+Query1[[#This Row],[Enhanced top up]]/Query1[[#This Row],[Adj Close]], P548))</f>
        <v>3352.7096152984936</v>
      </c>
      <c r="Q549" s="2">
        <f>IFERROR(AVERAGE(
  IF(ROW()&gt;20, INDEX(G:G, ROW()-20), 0) :
  INDEX(G:G, ROW())
),0)</f>
        <v>288.13311476934524</v>
      </c>
    </row>
    <row r="550" spans="1:17" x14ac:dyDescent="0.4">
      <c r="A550" s="1">
        <v>44627</v>
      </c>
      <c r="B550">
        <v>288.52999877929688</v>
      </c>
      <c r="C550">
        <v>289.69000244140625</v>
      </c>
      <c r="D550">
        <v>278.52999877929688</v>
      </c>
      <c r="E550">
        <v>278.91000366210938</v>
      </c>
      <c r="F550">
        <v>43157200</v>
      </c>
      <c r="G550">
        <v>270.93270874023438</v>
      </c>
      <c r="H550" s="2">
        <f>MONTH(Query1[[#This Row],[Date]])</f>
        <v>3</v>
      </c>
      <c r="I550" s="3">
        <f>Query1[[#This Row],[Shares]]*Query1[[#This Row],[Adj Close]]</f>
        <v>973271.28933739779</v>
      </c>
      <c r="J550" s="3">
        <f>IF(ROW()&lt;3, Dashboard!$E$7, IF(Query1[[#This Row],[Month]]&lt;&gt;H549,J549*(1+Dashboard!$E$4)+Dashboard!$E$5,J549))</f>
        <v>706679.42047718435</v>
      </c>
      <c r="K550">
        <f>IF(ROW()&lt;3, 0,IF(Query1[[#This Row],[Month]]&lt;&gt;H549,IF((J550-I550&gt;0),J550-I550,0),0))</f>
        <v>0</v>
      </c>
      <c r="L550" s="2">
        <f t="shared" si="8"/>
        <v>3592.2989655359538</v>
      </c>
      <c r="M550">
        <f>IF(ROW()&lt;3, 0, IF(Query1[[#This Row],[Month]]&lt;&gt;H549, Dashboard!$J$5,0))</f>
        <v>0</v>
      </c>
      <c r="N550" s="2">
        <f>IF(ROW()&lt;3, Query1[[#This Row],[Shares]], IF(Query1[[#This Row],[Month]]&lt;&gt;H549, N549+Query1[[#This Row],[Fix Top Up]]/Query1[[#This Row],[Adj Close]], N549))</f>
        <v>3362.7993620265215</v>
      </c>
      <c r="O550">
        <f>IF(AND(Query1[[#This Row],[avg]]&gt;0, Query1[[#This Row],[Month]]&lt;&gt;H549),
    IF(Query1[[#This Row],[Adj Close]]&gt;Query1[[#This Row],[avg]],
       Dashboard!$L$5-Dashboard!$E$6,
       Dashboard!$L$5+Dashboard!$E$6
    ), 0
)</f>
        <v>0</v>
      </c>
      <c r="P550" s="2">
        <f>IF(ROW()&lt;3, Query1[[#This Row],[Shares]], IF(Query1[[#This Row],[Month]]&lt;&gt;H549, P549+Query1[[#This Row],[Enhanced top up]]/Query1[[#This Row],[Adj Close]], P549))</f>
        <v>3352.7096152984936</v>
      </c>
      <c r="Q550" s="2">
        <f>IFERROR(AVERAGE(
  IF(ROW()&gt;20, INDEX(G:G, ROW()-20), 0) :
  INDEX(G:G, ROW())
),0)</f>
        <v>287.12848481677827</v>
      </c>
    </row>
    <row r="551" spans="1:17" x14ac:dyDescent="0.4">
      <c r="A551" s="1">
        <v>44628</v>
      </c>
      <c r="B551">
        <v>277.79998779296875</v>
      </c>
      <c r="C551">
        <v>283.95999145507813</v>
      </c>
      <c r="D551">
        <v>270</v>
      </c>
      <c r="E551">
        <v>275.85000610351563</v>
      </c>
      <c r="F551">
        <v>48159500</v>
      </c>
      <c r="G551">
        <v>267.96023559570313</v>
      </c>
      <c r="H551" s="2">
        <f>MONTH(Query1[[#This Row],[Date]])</f>
        <v>3</v>
      </c>
      <c r="I551" s="3">
        <f>Query1[[#This Row],[Shares]]*Query1[[#This Row],[Adj Close]]</f>
        <v>962593.27713521477</v>
      </c>
      <c r="J551" s="3">
        <f>IF(ROW()&lt;3, Dashboard!$E$7, IF(Query1[[#This Row],[Month]]&lt;&gt;H550,J550*(1+Dashboard!$E$4)+Dashboard!$E$5,J550))</f>
        <v>706679.42047718435</v>
      </c>
      <c r="K551">
        <f>IF(ROW()&lt;3, 0,IF(Query1[[#This Row],[Month]]&lt;&gt;H550,IF((J551-I551&gt;0),J551-I551,0),0))</f>
        <v>0</v>
      </c>
      <c r="L551" s="2">
        <f t="shared" si="8"/>
        <v>3592.2989655359538</v>
      </c>
      <c r="M551">
        <f>IF(ROW()&lt;3, 0, IF(Query1[[#This Row],[Month]]&lt;&gt;H550, Dashboard!$J$5,0))</f>
        <v>0</v>
      </c>
      <c r="N551" s="2">
        <f>IF(ROW()&lt;3, Query1[[#This Row],[Shares]], IF(Query1[[#This Row],[Month]]&lt;&gt;H550, N550+Query1[[#This Row],[Fix Top Up]]/Query1[[#This Row],[Adj Close]], N550))</f>
        <v>3362.7993620265215</v>
      </c>
      <c r="O551">
        <f>IF(AND(Query1[[#This Row],[avg]]&gt;0, Query1[[#This Row],[Month]]&lt;&gt;H550),
    IF(Query1[[#This Row],[Adj Close]]&gt;Query1[[#This Row],[avg]],
       Dashboard!$L$5-Dashboard!$E$6,
       Dashboard!$L$5+Dashboard!$E$6
    ), 0
)</f>
        <v>0</v>
      </c>
      <c r="P551" s="2">
        <f>IF(ROW()&lt;3, Query1[[#This Row],[Shares]], IF(Query1[[#This Row],[Month]]&lt;&gt;H550, P550+Query1[[#This Row],[Enhanced top up]]/Query1[[#This Row],[Adj Close]], P550))</f>
        <v>3352.7096152984936</v>
      </c>
      <c r="Q551" s="2">
        <f>IFERROR(AVERAGE(
  IF(ROW()&gt;20, INDEX(G:G, ROW()-20), 0) :
  INDEX(G:G, ROW())
),0)</f>
        <v>285.76581101190476</v>
      </c>
    </row>
    <row r="552" spans="1:17" x14ac:dyDescent="0.4">
      <c r="A552" s="1">
        <v>44629</v>
      </c>
      <c r="B552">
        <v>283.44000244140625</v>
      </c>
      <c r="C552">
        <v>289.60000610351563</v>
      </c>
      <c r="D552">
        <v>280.77999877929688</v>
      </c>
      <c r="E552">
        <v>288.5</v>
      </c>
      <c r="F552">
        <v>35204500</v>
      </c>
      <c r="G552">
        <v>280.24835205078125</v>
      </c>
      <c r="H552" s="2">
        <f>MONTH(Query1[[#This Row],[Date]])</f>
        <v>3</v>
      </c>
      <c r="I552" s="3">
        <f>Query1[[#This Row],[Shares]]*Query1[[#This Row],[Adj Close]]</f>
        <v>1006735.8651651773</v>
      </c>
      <c r="J552" s="3">
        <f>IF(ROW()&lt;3, Dashboard!$E$7, IF(Query1[[#This Row],[Month]]&lt;&gt;H551,J551*(1+Dashboard!$E$4)+Dashboard!$E$5,J551))</f>
        <v>706679.42047718435</v>
      </c>
      <c r="K552">
        <f>IF(ROW()&lt;3, 0,IF(Query1[[#This Row],[Month]]&lt;&gt;H551,IF((J552-I552&gt;0),J552-I552,0),0))</f>
        <v>0</v>
      </c>
      <c r="L552" s="2">
        <f t="shared" si="8"/>
        <v>3592.2989655359538</v>
      </c>
      <c r="M552">
        <f>IF(ROW()&lt;3, 0, IF(Query1[[#This Row],[Month]]&lt;&gt;H551, Dashboard!$J$5,0))</f>
        <v>0</v>
      </c>
      <c r="N552" s="2">
        <f>IF(ROW()&lt;3, Query1[[#This Row],[Shares]], IF(Query1[[#This Row],[Month]]&lt;&gt;H551, N551+Query1[[#This Row],[Fix Top Up]]/Query1[[#This Row],[Adj Close]], N551))</f>
        <v>3362.7993620265215</v>
      </c>
      <c r="O552">
        <f>IF(AND(Query1[[#This Row],[avg]]&gt;0, Query1[[#This Row],[Month]]&lt;&gt;H551),
    IF(Query1[[#This Row],[Adj Close]]&gt;Query1[[#This Row],[avg]],
       Dashboard!$L$5-Dashboard!$E$6,
       Dashboard!$L$5+Dashboard!$E$6
    ), 0
)</f>
        <v>0</v>
      </c>
      <c r="P552" s="2">
        <f>IF(ROW()&lt;3, Query1[[#This Row],[Shares]], IF(Query1[[#This Row],[Month]]&lt;&gt;H551, P551+Query1[[#This Row],[Enhanced top up]]/Query1[[#This Row],[Adj Close]], P551))</f>
        <v>3352.7096152984936</v>
      </c>
      <c r="Q552" s="2">
        <f>IFERROR(AVERAGE(
  IF(ROW()&gt;20, INDEX(G:G, ROW()-20), 0) :
  INDEX(G:G, ROW())
),0)</f>
        <v>285.21863374255952</v>
      </c>
    </row>
    <row r="553" spans="1:17" x14ac:dyDescent="0.4">
      <c r="A553" s="1">
        <v>44630</v>
      </c>
      <c r="B553">
        <v>283.01998901367188</v>
      </c>
      <c r="C553">
        <v>286.60000610351563</v>
      </c>
      <c r="D553">
        <v>280.57998657226563</v>
      </c>
      <c r="E553">
        <v>285.58999633789063</v>
      </c>
      <c r="F553">
        <v>30628000</v>
      </c>
      <c r="G553">
        <v>277.421630859375</v>
      </c>
      <c r="H553" s="2">
        <f>MONTH(Query1[[#This Row],[Date]])</f>
        <v>3</v>
      </c>
      <c r="I553" s="3">
        <f>Query1[[#This Row],[Shares]]*Query1[[#This Row],[Adj Close]]</f>
        <v>996581.43755343009</v>
      </c>
      <c r="J553" s="3">
        <f>IF(ROW()&lt;3, Dashboard!$E$7, IF(Query1[[#This Row],[Month]]&lt;&gt;H552,J552*(1+Dashboard!$E$4)+Dashboard!$E$5,J552))</f>
        <v>706679.42047718435</v>
      </c>
      <c r="K553">
        <f>IF(ROW()&lt;3, 0,IF(Query1[[#This Row],[Month]]&lt;&gt;H552,IF((J553-I553&gt;0),J553-I553,0),0))</f>
        <v>0</v>
      </c>
      <c r="L553" s="2">
        <f t="shared" si="8"/>
        <v>3592.2989655359538</v>
      </c>
      <c r="M553">
        <f>IF(ROW()&lt;3, 0, IF(Query1[[#This Row],[Month]]&lt;&gt;H552, Dashboard!$J$5,0))</f>
        <v>0</v>
      </c>
      <c r="N553" s="2">
        <f>IF(ROW()&lt;3, Query1[[#This Row],[Shares]], IF(Query1[[#This Row],[Month]]&lt;&gt;H552, N552+Query1[[#This Row],[Fix Top Up]]/Query1[[#This Row],[Adj Close]], N552))</f>
        <v>3362.7993620265215</v>
      </c>
      <c r="O553">
        <f>IF(AND(Query1[[#This Row],[avg]]&gt;0, Query1[[#This Row],[Month]]&lt;&gt;H552),
    IF(Query1[[#This Row],[Adj Close]]&gt;Query1[[#This Row],[avg]],
       Dashboard!$L$5-Dashboard!$E$6,
       Dashboard!$L$5+Dashboard!$E$6
    ), 0
)</f>
        <v>0</v>
      </c>
      <c r="P553" s="2">
        <f>IF(ROW()&lt;3, Query1[[#This Row],[Shares]], IF(Query1[[#This Row],[Month]]&lt;&gt;H552, P552+Query1[[#This Row],[Enhanced top up]]/Query1[[#This Row],[Adj Close]], P552))</f>
        <v>3352.7096152984936</v>
      </c>
      <c r="Q553" s="2">
        <f>IFERROR(AVERAGE(
  IF(ROW()&gt;20, INDEX(G:G, ROW()-20), 0) :
  INDEX(G:G, ROW())
),0)</f>
        <v>284.37020583379837</v>
      </c>
    </row>
    <row r="554" spans="1:17" x14ac:dyDescent="0.4">
      <c r="A554" s="1">
        <v>44631</v>
      </c>
      <c r="B554">
        <v>287.95999145507813</v>
      </c>
      <c r="C554">
        <v>289.510009765625</v>
      </c>
      <c r="D554">
        <v>279.42999267578125</v>
      </c>
      <c r="E554">
        <v>280.07000732421875</v>
      </c>
      <c r="F554">
        <v>27209300</v>
      </c>
      <c r="G554">
        <v>272.05953979492188</v>
      </c>
      <c r="H554" s="2">
        <f>MONTH(Query1[[#This Row],[Date]])</f>
        <v>3</v>
      </c>
      <c r="I554" s="3">
        <f>Query1[[#This Row],[Shares]]*Query1[[#This Row],[Adj Close]]</f>
        <v>977319.20336948556</v>
      </c>
      <c r="J554" s="3">
        <f>IF(ROW()&lt;3, Dashboard!$E$7, IF(Query1[[#This Row],[Month]]&lt;&gt;H553,J553*(1+Dashboard!$E$4)+Dashboard!$E$5,J553))</f>
        <v>706679.42047718435</v>
      </c>
      <c r="K554">
        <f>IF(ROW()&lt;3, 0,IF(Query1[[#This Row],[Month]]&lt;&gt;H553,IF((J554-I554&gt;0),J554-I554,0),0))</f>
        <v>0</v>
      </c>
      <c r="L554" s="2">
        <f t="shared" si="8"/>
        <v>3592.2989655359538</v>
      </c>
      <c r="M554">
        <f>IF(ROW()&lt;3, 0, IF(Query1[[#This Row],[Month]]&lt;&gt;H553, Dashboard!$J$5,0))</f>
        <v>0</v>
      </c>
      <c r="N554" s="2">
        <f>IF(ROW()&lt;3, Query1[[#This Row],[Shares]], IF(Query1[[#This Row],[Month]]&lt;&gt;H553, N553+Query1[[#This Row],[Fix Top Up]]/Query1[[#This Row],[Adj Close]], N553))</f>
        <v>3362.7993620265215</v>
      </c>
      <c r="O554">
        <f>IF(AND(Query1[[#This Row],[avg]]&gt;0, Query1[[#This Row],[Month]]&lt;&gt;H553),
    IF(Query1[[#This Row],[Adj Close]]&gt;Query1[[#This Row],[avg]],
       Dashboard!$L$5-Dashboard!$E$6,
       Dashboard!$L$5+Dashboard!$E$6
    ), 0
)</f>
        <v>0</v>
      </c>
      <c r="P554" s="2">
        <f>IF(ROW()&lt;3, Query1[[#This Row],[Shares]], IF(Query1[[#This Row],[Month]]&lt;&gt;H553, P553+Query1[[#This Row],[Enhanced top up]]/Query1[[#This Row],[Adj Close]], P553))</f>
        <v>3352.7096152984936</v>
      </c>
      <c r="Q554" s="2">
        <f>IFERROR(AVERAGE(
  IF(ROW()&gt;20, INDEX(G:G, ROW()-20), 0) :
  INDEX(G:G, ROW())
),0)</f>
        <v>282.95946684337798</v>
      </c>
    </row>
    <row r="555" spans="1:17" x14ac:dyDescent="0.4">
      <c r="A555" s="1">
        <v>44634</v>
      </c>
      <c r="B555">
        <v>280.33999633789063</v>
      </c>
      <c r="C555">
        <v>285.39999389648438</v>
      </c>
      <c r="D555">
        <v>275.82000732421875</v>
      </c>
      <c r="E555">
        <v>276.44000244140625</v>
      </c>
      <c r="F555">
        <v>30660700</v>
      </c>
      <c r="G555">
        <v>268.53329467773438</v>
      </c>
      <c r="H555" s="2">
        <f>MONTH(Query1[[#This Row],[Date]])</f>
        <v>3</v>
      </c>
      <c r="I555" s="3">
        <f>Query1[[#This Row],[Shares]]*Query1[[#This Row],[Adj Close]]</f>
        <v>964651.87668278662</v>
      </c>
      <c r="J555" s="3">
        <f>IF(ROW()&lt;3, Dashboard!$E$7, IF(Query1[[#This Row],[Month]]&lt;&gt;H554,J554*(1+Dashboard!$E$4)+Dashboard!$E$5,J554))</f>
        <v>706679.42047718435</v>
      </c>
      <c r="K555">
        <f>IF(ROW()&lt;3, 0,IF(Query1[[#This Row],[Month]]&lt;&gt;H554,IF((J555-I555&gt;0),J555-I555,0),0))</f>
        <v>0</v>
      </c>
      <c r="L555" s="2">
        <f t="shared" si="8"/>
        <v>3592.2989655359538</v>
      </c>
      <c r="M555">
        <f>IF(ROW()&lt;3, 0, IF(Query1[[#This Row],[Month]]&lt;&gt;H554, Dashboard!$J$5,0))</f>
        <v>0</v>
      </c>
      <c r="N555" s="2">
        <f>IF(ROW()&lt;3, Query1[[#This Row],[Shares]], IF(Query1[[#This Row],[Month]]&lt;&gt;H554, N554+Query1[[#This Row],[Fix Top Up]]/Query1[[#This Row],[Adj Close]], N554))</f>
        <v>3362.7993620265215</v>
      </c>
      <c r="O555">
        <f>IF(AND(Query1[[#This Row],[avg]]&gt;0, Query1[[#This Row],[Month]]&lt;&gt;H554),
    IF(Query1[[#This Row],[Adj Close]]&gt;Query1[[#This Row],[avg]],
       Dashboard!$L$5-Dashboard!$E$6,
       Dashboard!$L$5+Dashboard!$E$6
    ), 0
)</f>
        <v>0</v>
      </c>
      <c r="P555" s="2">
        <f>IF(ROW()&lt;3, Query1[[#This Row],[Shares]], IF(Query1[[#This Row],[Month]]&lt;&gt;H554, P554+Query1[[#This Row],[Enhanced top up]]/Query1[[#This Row],[Adj Close]], P554))</f>
        <v>3352.7096152984936</v>
      </c>
      <c r="Q555" s="2">
        <f>IFERROR(AVERAGE(
  IF(ROW()&gt;20, INDEX(G:G, ROW()-20), 0) :
  INDEX(G:G, ROW())
),0)</f>
        <v>281.78841436476932</v>
      </c>
    </row>
    <row r="556" spans="1:17" x14ac:dyDescent="0.4">
      <c r="A556" s="1">
        <v>44635</v>
      </c>
      <c r="B556">
        <v>280.35000610351563</v>
      </c>
      <c r="C556">
        <v>287.82000732421875</v>
      </c>
      <c r="D556">
        <v>278.73001098632813</v>
      </c>
      <c r="E556">
        <v>287.14999389648438</v>
      </c>
      <c r="F556">
        <v>34245100</v>
      </c>
      <c r="G556">
        <v>278.93698120117188</v>
      </c>
      <c r="H556" s="2">
        <f>MONTH(Query1[[#This Row],[Date]])</f>
        <v>3</v>
      </c>
      <c r="I556" s="3">
        <f>Query1[[#This Row],[Shares]]*Query1[[#This Row],[Adj Close]]</f>
        <v>1002025.0290186915</v>
      </c>
      <c r="J556" s="3">
        <f>IF(ROW()&lt;3, Dashboard!$E$7, IF(Query1[[#This Row],[Month]]&lt;&gt;H555,J555*(1+Dashboard!$E$4)+Dashboard!$E$5,J555))</f>
        <v>706679.42047718435</v>
      </c>
      <c r="K556">
        <f>IF(ROW()&lt;3, 0,IF(Query1[[#This Row],[Month]]&lt;&gt;H555,IF((J556-I556&gt;0),J556-I556,0),0))</f>
        <v>0</v>
      </c>
      <c r="L556" s="2">
        <f t="shared" si="8"/>
        <v>3592.2989655359538</v>
      </c>
      <c r="M556">
        <f>IF(ROW()&lt;3, 0, IF(Query1[[#This Row],[Month]]&lt;&gt;H555, Dashboard!$J$5,0))</f>
        <v>0</v>
      </c>
      <c r="N556" s="2">
        <f>IF(ROW()&lt;3, Query1[[#This Row],[Shares]], IF(Query1[[#This Row],[Month]]&lt;&gt;H555, N555+Query1[[#This Row],[Fix Top Up]]/Query1[[#This Row],[Adj Close]], N555))</f>
        <v>3362.7993620265215</v>
      </c>
      <c r="O556">
        <f>IF(AND(Query1[[#This Row],[avg]]&gt;0, Query1[[#This Row],[Month]]&lt;&gt;H555),
    IF(Query1[[#This Row],[Adj Close]]&gt;Query1[[#This Row],[avg]],
       Dashboard!$L$5-Dashboard!$E$6,
       Dashboard!$L$5+Dashboard!$E$6
    ), 0
)</f>
        <v>0</v>
      </c>
      <c r="P556" s="2">
        <f>IF(ROW()&lt;3, Query1[[#This Row],[Shares]], IF(Query1[[#This Row],[Month]]&lt;&gt;H555, P555+Query1[[#This Row],[Enhanced top up]]/Query1[[#This Row],[Adj Close]], P555))</f>
        <v>3352.7096152984936</v>
      </c>
      <c r="Q556" s="2">
        <f>IFERROR(AVERAGE(
  IF(ROW()&gt;20, INDEX(G:G, ROW()-20), 0) :
  INDEX(G:G, ROW())
),0)</f>
        <v>281.45160348074779</v>
      </c>
    </row>
    <row r="557" spans="1:17" x14ac:dyDescent="0.4">
      <c r="A557" s="1">
        <v>44636</v>
      </c>
      <c r="B557">
        <v>289.1099853515625</v>
      </c>
      <c r="C557">
        <v>294.57000732421875</v>
      </c>
      <c r="D557">
        <v>283.20001220703125</v>
      </c>
      <c r="E557">
        <v>294.3900146484375</v>
      </c>
      <c r="F557">
        <v>37826300</v>
      </c>
      <c r="G557">
        <v>285.97000122070313</v>
      </c>
      <c r="H557" s="2">
        <f>MONTH(Query1[[#This Row],[Date]])</f>
        <v>3</v>
      </c>
      <c r="I557" s="3">
        <f>Query1[[#This Row],[Shares]]*Query1[[#This Row],[Adj Close]]</f>
        <v>1027289.7395594473</v>
      </c>
      <c r="J557" s="3">
        <f>IF(ROW()&lt;3, Dashboard!$E$7, IF(Query1[[#This Row],[Month]]&lt;&gt;H556,J556*(1+Dashboard!$E$4)+Dashboard!$E$5,J556))</f>
        <v>706679.42047718435</v>
      </c>
      <c r="K557">
        <f>IF(ROW()&lt;3, 0,IF(Query1[[#This Row],[Month]]&lt;&gt;H556,IF((J557-I557&gt;0),J557-I557,0),0))</f>
        <v>0</v>
      </c>
      <c r="L557" s="2">
        <f t="shared" si="8"/>
        <v>3592.2989655359538</v>
      </c>
      <c r="M557">
        <f>IF(ROW()&lt;3, 0, IF(Query1[[#This Row],[Month]]&lt;&gt;H556, Dashboard!$J$5,0))</f>
        <v>0</v>
      </c>
      <c r="N557" s="2">
        <f>IF(ROW()&lt;3, Query1[[#This Row],[Shares]], IF(Query1[[#This Row],[Month]]&lt;&gt;H556, N556+Query1[[#This Row],[Fix Top Up]]/Query1[[#This Row],[Adj Close]], N556))</f>
        <v>3362.7993620265215</v>
      </c>
      <c r="O557">
        <f>IF(AND(Query1[[#This Row],[avg]]&gt;0, Query1[[#This Row],[Month]]&lt;&gt;H556),
    IF(Query1[[#This Row],[Adj Close]]&gt;Query1[[#This Row],[avg]],
       Dashboard!$L$5-Dashboard!$E$6,
       Dashboard!$L$5+Dashboard!$E$6
    ), 0
)</f>
        <v>0</v>
      </c>
      <c r="P557" s="2">
        <f>IF(ROW()&lt;3, Query1[[#This Row],[Shares]], IF(Query1[[#This Row],[Month]]&lt;&gt;H556, P556+Query1[[#This Row],[Enhanced top up]]/Query1[[#This Row],[Adj Close]], P556))</f>
        <v>3352.7096152984936</v>
      </c>
      <c r="Q557" s="2">
        <f>IFERROR(AVERAGE(
  IF(ROW()&gt;20, INDEX(G:G, ROW()-20), 0) :
  INDEX(G:G, ROW())
),0)</f>
        <v>281.45154971168154</v>
      </c>
    </row>
    <row r="558" spans="1:17" x14ac:dyDescent="0.4">
      <c r="A558" s="1">
        <v>44637</v>
      </c>
      <c r="B558">
        <v>293.29000854492188</v>
      </c>
      <c r="C558">
        <v>295.6099853515625</v>
      </c>
      <c r="D558">
        <v>289.3699951171875</v>
      </c>
      <c r="E558">
        <v>295.22000122070313</v>
      </c>
      <c r="F558">
        <v>30816600</v>
      </c>
      <c r="G558">
        <v>286.77618408203125</v>
      </c>
      <c r="H558" s="2">
        <f>MONTH(Query1[[#This Row],[Date]])</f>
        <v>3</v>
      </c>
      <c r="I558" s="3">
        <f>Query1[[#This Row],[Shares]]*Query1[[#This Row],[Adj Close]]</f>
        <v>1030185.7894182291</v>
      </c>
      <c r="J558" s="3">
        <f>IF(ROW()&lt;3, Dashboard!$E$7, IF(Query1[[#This Row],[Month]]&lt;&gt;H557,J557*(1+Dashboard!$E$4)+Dashboard!$E$5,J557))</f>
        <v>706679.42047718435</v>
      </c>
      <c r="K558">
        <f>IF(ROW()&lt;3, 0,IF(Query1[[#This Row],[Month]]&lt;&gt;H557,IF((J558-I558&gt;0),J558-I558,0),0))</f>
        <v>0</v>
      </c>
      <c r="L558" s="2">
        <f t="shared" si="8"/>
        <v>3592.2989655359538</v>
      </c>
      <c r="M558">
        <f>IF(ROW()&lt;3, 0, IF(Query1[[#This Row],[Month]]&lt;&gt;H557, Dashboard!$J$5,0))</f>
        <v>0</v>
      </c>
      <c r="N558" s="2">
        <f>IF(ROW()&lt;3, Query1[[#This Row],[Shares]], IF(Query1[[#This Row],[Month]]&lt;&gt;H557, N557+Query1[[#This Row],[Fix Top Up]]/Query1[[#This Row],[Adj Close]], N557))</f>
        <v>3362.7993620265215</v>
      </c>
      <c r="O558">
        <f>IF(AND(Query1[[#This Row],[avg]]&gt;0, Query1[[#This Row],[Month]]&lt;&gt;H557),
    IF(Query1[[#This Row],[Adj Close]]&gt;Query1[[#This Row],[avg]],
       Dashboard!$L$5-Dashboard!$E$6,
       Dashboard!$L$5+Dashboard!$E$6
    ), 0
)</f>
        <v>0</v>
      </c>
      <c r="P558" s="2">
        <f>IF(ROW()&lt;3, Query1[[#This Row],[Shares]], IF(Query1[[#This Row],[Month]]&lt;&gt;H557, P557+Query1[[#This Row],[Enhanced top up]]/Query1[[#This Row],[Adj Close]], P557))</f>
        <v>3352.7096152984936</v>
      </c>
      <c r="Q558" s="2">
        <f>IFERROR(AVERAGE(
  IF(ROW()&gt;20, INDEX(G:G, ROW()-20), 0) :
  INDEX(G:G, ROW())
),0)</f>
        <v>281.23737734840029</v>
      </c>
    </row>
    <row r="559" spans="1:17" x14ac:dyDescent="0.4">
      <c r="A559" s="1">
        <v>44638</v>
      </c>
      <c r="B559">
        <v>295.3699951171875</v>
      </c>
      <c r="C559">
        <v>301</v>
      </c>
      <c r="D559">
        <v>292.73001098632813</v>
      </c>
      <c r="E559">
        <v>300.42999267578125</v>
      </c>
      <c r="F559">
        <v>43390600</v>
      </c>
      <c r="G559">
        <v>291.837158203125</v>
      </c>
      <c r="H559" s="2">
        <f>MONTH(Query1[[#This Row],[Date]])</f>
        <v>3</v>
      </c>
      <c r="I559" s="3">
        <f>Query1[[#This Row],[Shares]]*Query1[[#This Row],[Adj Close]]</f>
        <v>1048366.3215180384</v>
      </c>
      <c r="J559" s="3">
        <f>IF(ROW()&lt;3, Dashboard!$E$7, IF(Query1[[#This Row],[Month]]&lt;&gt;H558,J558*(1+Dashboard!$E$4)+Dashboard!$E$5,J558))</f>
        <v>706679.42047718435</v>
      </c>
      <c r="K559">
        <f>IF(ROW()&lt;3, 0,IF(Query1[[#This Row],[Month]]&lt;&gt;H558,IF((J559-I559&gt;0),J559-I559,0),0))</f>
        <v>0</v>
      </c>
      <c r="L559" s="2">
        <f t="shared" si="8"/>
        <v>3592.2989655359538</v>
      </c>
      <c r="M559">
        <f>IF(ROW()&lt;3, 0, IF(Query1[[#This Row],[Month]]&lt;&gt;H558, Dashboard!$J$5,0))</f>
        <v>0</v>
      </c>
      <c r="N559" s="2">
        <f>IF(ROW()&lt;3, Query1[[#This Row],[Shares]], IF(Query1[[#This Row],[Month]]&lt;&gt;H558, N558+Query1[[#This Row],[Fix Top Up]]/Query1[[#This Row],[Adj Close]], N558))</f>
        <v>3362.7993620265215</v>
      </c>
      <c r="O559">
        <f>IF(AND(Query1[[#This Row],[avg]]&gt;0, Query1[[#This Row],[Month]]&lt;&gt;H558),
    IF(Query1[[#This Row],[Adj Close]]&gt;Query1[[#This Row],[avg]],
       Dashboard!$L$5-Dashboard!$E$6,
       Dashboard!$L$5+Dashboard!$E$6
    ), 0
)</f>
        <v>0</v>
      </c>
      <c r="P559" s="2">
        <f>IF(ROW()&lt;3, Query1[[#This Row],[Shares]], IF(Query1[[#This Row],[Month]]&lt;&gt;H558, P558+Query1[[#This Row],[Enhanced top up]]/Query1[[#This Row],[Adj Close]], P558))</f>
        <v>3352.7096152984936</v>
      </c>
      <c r="Q559" s="2">
        <f>IFERROR(AVERAGE(
  IF(ROW()&gt;20, INDEX(G:G, ROW()-20), 0) :
  INDEX(G:G, ROW())
),0)</f>
        <v>281.28039696103053</v>
      </c>
    </row>
    <row r="560" spans="1:17" x14ac:dyDescent="0.4">
      <c r="A560" s="1">
        <v>44641</v>
      </c>
      <c r="B560">
        <v>298.8900146484375</v>
      </c>
      <c r="C560">
        <v>300.1400146484375</v>
      </c>
      <c r="D560">
        <v>294.89999389648438</v>
      </c>
      <c r="E560">
        <v>299.16000366210938</v>
      </c>
      <c r="F560">
        <v>28351200</v>
      </c>
      <c r="G560">
        <v>290.60354614257813</v>
      </c>
      <c r="H560" s="2">
        <f>MONTH(Query1[[#This Row],[Date]])</f>
        <v>3</v>
      </c>
      <c r="I560" s="3">
        <f>Query1[[#This Row],[Shares]]*Query1[[#This Row],[Adj Close]]</f>
        <v>1043934.8181890632</v>
      </c>
      <c r="J560" s="3">
        <f>IF(ROW()&lt;3, Dashboard!$E$7, IF(Query1[[#This Row],[Month]]&lt;&gt;H559,J559*(1+Dashboard!$E$4)+Dashboard!$E$5,J559))</f>
        <v>706679.42047718435</v>
      </c>
      <c r="K560">
        <f>IF(ROW()&lt;3, 0,IF(Query1[[#This Row],[Month]]&lt;&gt;H559,IF((J560-I560&gt;0),J560-I560,0),0))</f>
        <v>0</v>
      </c>
      <c r="L560" s="2">
        <f t="shared" si="8"/>
        <v>3592.2989655359538</v>
      </c>
      <c r="M560">
        <f>IF(ROW()&lt;3, 0, IF(Query1[[#This Row],[Month]]&lt;&gt;H559, Dashboard!$J$5,0))</f>
        <v>0</v>
      </c>
      <c r="N560" s="2">
        <f>IF(ROW()&lt;3, Query1[[#This Row],[Shares]], IF(Query1[[#This Row],[Month]]&lt;&gt;H559, N559+Query1[[#This Row],[Fix Top Up]]/Query1[[#This Row],[Adj Close]], N559))</f>
        <v>3362.7993620265215</v>
      </c>
      <c r="O560">
        <f>IF(AND(Query1[[#This Row],[avg]]&gt;0, Query1[[#This Row],[Month]]&lt;&gt;H559),
    IF(Query1[[#This Row],[Adj Close]]&gt;Query1[[#This Row],[avg]],
       Dashboard!$L$5-Dashboard!$E$6,
       Dashboard!$L$5+Dashboard!$E$6
    ), 0
)</f>
        <v>0</v>
      </c>
      <c r="P560" s="2">
        <f>IF(ROW()&lt;3, Query1[[#This Row],[Shares]], IF(Query1[[#This Row],[Month]]&lt;&gt;H559, P559+Query1[[#This Row],[Enhanced top up]]/Query1[[#This Row],[Adj Close]], P559))</f>
        <v>3352.7096152984936</v>
      </c>
      <c r="Q560" s="2">
        <f>IFERROR(AVERAGE(
  IF(ROW()&gt;20, INDEX(G:G, ROW()-20), 0) :
  INDEX(G:G, ROW())
),0)</f>
        <v>281.67034330822173</v>
      </c>
    </row>
    <row r="561" spans="1:17" x14ac:dyDescent="0.4">
      <c r="A561" s="1">
        <v>44642</v>
      </c>
      <c r="B561">
        <v>299.79998779296875</v>
      </c>
      <c r="C561">
        <v>305</v>
      </c>
      <c r="D561">
        <v>298.76998901367188</v>
      </c>
      <c r="E561">
        <v>304.05999755859375</v>
      </c>
      <c r="F561">
        <v>27599700</v>
      </c>
      <c r="G561">
        <v>295.36331176757813</v>
      </c>
      <c r="H561" s="2">
        <f>MONTH(Query1[[#This Row],[Date]])</f>
        <v>3</v>
      </c>
      <c r="I561" s="3">
        <f>Query1[[#This Row],[Shares]]*Query1[[#This Row],[Adj Close]]</f>
        <v>1061033.3193199444</v>
      </c>
      <c r="J561" s="3">
        <f>IF(ROW()&lt;3, Dashboard!$E$7, IF(Query1[[#This Row],[Month]]&lt;&gt;H560,J560*(1+Dashboard!$E$4)+Dashboard!$E$5,J560))</f>
        <v>706679.42047718435</v>
      </c>
      <c r="K561">
        <f>IF(ROW()&lt;3, 0,IF(Query1[[#This Row],[Month]]&lt;&gt;H560,IF((J561-I561&gt;0),J561-I561,0),0))</f>
        <v>0</v>
      </c>
      <c r="L561" s="2">
        <f t="shared" si="8"/>
        <v>3592.2989655359538</v>
      </c>
      <c r="M561">
        <f>IF(ROW()&lt;3, 0, IF(Query1[[#This Row],[Month]]&lt;&gt;H560, Dashboard!$J$5,0))</f>
        <v>0</v>
      </c>
      <c r="N561" s="2">
        <f>IF(ROW()&lt;3, Query1[[#This Row],[Shares]], IF(Query1[[#This Row],[Month]]&lt;&gt;H560, N560+Query1[[#This Row],[Fix Top Up]]/Query1[[#This Row],[Adj Close]], N560))</f>
        <v>3362.7993620265215</v>
      </c>
      <c r="O561">
        <f>IF(AND(Query1[[#This Row],[avg]]&gt;0, Query1[[#This Row],[Month]]&lt;&gt;H560),
    IF(Query1[[#This Row],[Adj Close]]&gt;Query1[[#This Row],[avg]],
       Dashboard!$L$5-Dashboard!$E$6,
       Dashboard!$L$5+Dashboard!$E$6
    ), 0
)</f>
        <v>0</v>
      </c>
      <c r="P561" s="2">
        <f>IF(ROW()&lt;3, Query1[[#This Row],[Shares]], IF(Query1[[#This Row],[Month]]&lt;&gt;H560, P560+Query1[[#This Row],[Enhanced top up]]/Query1[[#This Row],[Adj Close]], P560))</f>
        <v>3352.7096152984936</v>
      </c>
      <c r="Q561" s="2">
        <f>IFERROR(AVERAGE(
  IF(ROW()&gt;20, INDEX(G:G, ROW()-20), 0) :
  INDEX(G:G, ROW())
),0)</f>
        <v>282.41646902901783</v>
      </c>
    </row>
    <row r="562" spans="1:17" x14ac:dyDescent="0.4">
      <c r="A562" s="1">
        <v>44643</v>
      </c>
      <c r="B562">
        <v>300.510009765625</v>
      </c>
      <c r="C562">
        <v>303.23001098632813</v>
      </c>
      <c r="D562">
        <v>297.72000122070313</v>
      </c>
      <c r="E562">
        <v>299.489990234375</v>
      </c>
      <c r="F562">
        <v>25715400</v>
      </c>
      <c r="G562">
        <v>290.92410278320313</v>
      </c>
      <c r="H562" s="2">
        <f>MONTH(Query1[[#This Row],[Date]])</f>
        <v>3</v>
      </c>
      <c r="I562" s="3">
        <f>Query1[[#This Row],[Shares]]*Query1[[#This Row],[Adj Close]]</f>
        <v>1045086.353477576</v>
      </c>
      <c r="J562" s="3">
        <f>IF(ROW()&lt;3, Dashboard!$E$7, IF(Query1[[#This Row],[Month]]&lt;&gt;H561,J561*(1+Dashboard!$E$4)+Dashboard!$E$5,J561))</f>
        <v>706679.42047718435</v>
      </c>
      <c r="K562">
        <f>IF(ROW()&lt;3, 0,IF(Query1[[#This Row],[Month]]&lt;&gt;H561,IF((J562-I562&gt;0),J562-I562,0),0))</f>
        <v>0</v>
      </c>
      <c r="L562" s="2">
        <f t="shared" si="8"/>
        <v>3592.2989655359538</v>
      </c>
      <c r="M562">
        <f>IF(ROW()&lt;3, 0, IF(Query1[[#This Row],[Month]]&lt;&gt;H561, Dashboard!$J$5,0))</f>
        <v>0</v>
      </c>
      <c r="N562" s="2">
        <f>IF(ROW()&lt;3, Query1[[#This Row],[Shares]], IF(Query1[[#This Row],[Month]]&lt;&gt;H561, N561+Query1[[#This Row],[Fix Top Up]]/Query1[[#This Row],[Adj Close]], N561))</f>
        <v>3362.7993620265215</v>
      </c>
      <c r="O562">
        <f>IF(AND(Query1[[#This Row],[avg]]&gt;0, Query1[[#This Row],[Month]]&lt;&gt;H561),
    IF(Query1[[#This Row],[Adj Close]]&gt;Query1[[#This Row],[avg]],
       Dashboard!$L$5-Dashboard!$E$6,
       Dashboard!$L$5+Dashboard!$E$6
    ), 0
)</f>
        <v>0</v>
      </c>
      <c r="P562" s="2">
        <f>IF(ROW()&lt;3, Query1[[#This Row],[Shares]], IF(Query1[[#This Row],[Month]]&lt;&gt;H561, P561+Query1[[#This Row],[Enhanced top up]]/Query1[[#This Row],[Adj Close]], P561))</f>
        <v>3352.7096152984936</v>
      </c>
      <c r="Q562" s="2">
        <f>IFERROR(AVERAGE(
  IF(ROW()&gt;20, INDEX(G:G, ROW()-20), 0) :
  INDEX(G:G, ROW())
),0)</f>
        <v>282.96091715494794</v>
      </c>
    </row>
    <row r="563" spans="1:17" x14ac:dyDescent="0.4">
      <c r="A563" s="1">
        <v>44644</v>
      </c>
      <c r="B563">
        <v>299.1400146484375</v>
      </c>
      <c r="C563">
        <v>304.20001220703125</v>
      </c>
      <c r="D563">
        <v>298.32000732421875</v>
      </c>
      <c r="E563">
        <v>304.10000610351563</v>
      </c>
      <c r="F563">
        <v>24484500</v>
      </c>
      <c r="G563">
        <v>295.40225219726563</v>
      </c>
      <c r="H563" s="2">
        <f>MONTH(Query1[[#This Row],[Date]])</f>
        <v>3</v>
      </c>
      <c r="I563" s="3">
        <f>Query1[[#This Row],[Shares]]*Query1[[#This Row],[Adj Close]]</f>
        <v>1061173.2049852281</v>
      </c>
      <c r="J563" s="3">
        <f>IF(ROW()&lt;3, Dashboard!$E$7, IF(Query1[[#This Row],[Month]]&lt;&gt;H562,J562*(1+Dashboard!$E$4)+Dashboard!$E$5,J562))</f>
        <v>706679.42047718435</v>
      </c>
      <c r="K563">
        <f>IF(ROW()&lt;3, 0,IF(Query1[[#This Row],[Month]]&lt;&gt;H562,IF((J563-I563&gt;0),J563-I563,0),0))</f>
        <v>0</v>
      </c>
      <c r="L563" s="2">
        <f t="shared" si="8"/>
        <v>3592.2989655359538</v>
      </c>
      <c r="M563">
        <f>IF(ROW()&lt;3, 0, IF(Query1[[#This Row],[Month]]&lt;&gt;H562, Dashboard!$J$5,0))</f>
        <v>0</v>
      </c>
      <c r="N563" s="2">
        <f>IF(ROW()&lt;3, Query1[[#This Row],[Shares]], IF(Query1[[#This Row],[Month]]&lt;&gt;H562, N562+Query1[[#This Row],[Fix Top Up]]/Query1[[#This Row],[Adj Close]], N562))</f>
        <v>3362.7993620265215</v>
      </c>
      <c r="O563">
        <f>IF(AND(Query1[[#This Row],[avg]]&gt;0, Query1[[#This Row],[Month]]&lt;&gt;H562),
    IF(Query1[[#This Row],[Adj Close]]&gt;Query1[[#This Row],[avg]],
       Dashboard!$L$5-Dashboard!$E$6,
       Dashboard!$L$5+Dashboard!$E$6
    ), 0
)</f>
        <v>0</v>
      </c>
      <c r="P563" s="2">
        <f>IF(ROW()&lt;3, Query1[[#This Row],[Shares]], IF(Query1[[#This Row],[Month]]&lt;&gt;H562, P562+Query1[[#This Row],[Enhanced top up]]/Query1[[#This Row],[Adj Close]], P562))</f>
        <v>3352.7096152984936</v>
      </c>
      <c r="Q563" s="2">
        <f>IFERROR(AVERAGE(
  IF(ROW()&gt;20, INDEX(G:G, ROW()-20), 0) :
  INDEX(G:G, ROW())
),0)</f>
        <v>284.06322224934894</v>
      </c>
    </row>
    <row r="564" spans="1:17" x14ac:dyDescent="0.4">
      <c r="A564" s="1">
        <v>44645</v>
      </c>
      <c r="B564">
        <v>305.23001098632813</v>
      </c>
      <c r="C564">
        <v>305.5</v>
      </c>
      <c r="D564">
        <v>299.29000854492188</v>
      </c>
      <c r="E564">
        <v>303.67999267578125</v>
      </c>
      <c r="F564">
        <v>22566500</v>
      </c>
      <c r="G564">
        <v>294.99423217773438</v>
      </c>
      <c r="H564" s="2">
        <f>MONTH(Query1[[#This Row],[Date]])</f>
        <v>3</v>
      </c>
      <c r="I564" s="3">
        <f>Query1[[#This Row],[Shares]]*Query1[[#This Row],[Adj Close]]</f>
        <v>1059707.4750911482</v>
      </c>
      <c r="J564" s="3">
        <f>IF(ROW()&lt;3, Dashboard!$E$7, IF(Query1[[#This Row],[Month]]&lt;&gt;H563,J563*(1+Dashboard!$E$4)+Dashboard!$E$5,J563))</f>
        <v>706679.42047718435</v>
      </c>
      <c r="K564">
        <f>IF(ROW()&lt;3, 0,IF(Query1[[#This Row],[Month]]&lt;&gt;H563,IF((J564-I564&gt;0),J564-I564,0),0))</f>
        <v>0</v>
      </c>
      <c r="L564" s="2">
        <f t="shared" si="8"/>
        <v>3592.2989655359538</v>
      </c>
      <c r="M564">
        <f>IF(ROW()&lt;3, 0, IF(Query1[[#This Row],[Month]]&lt;&gt;H563, Dashboard!$J$5,0))</f>
        <v>0</v>
      </c>
      <c r="N564" s="2">
        <f>IF(ROW()&lt;3, Query1[[#This Row],[Shares]], IF(Query1[[#This Row],[Month]]&lt;&gt;H563, N563+Query1[[#This Row],[Fix Top Up]]/Query1[[#This Row],[Adj Close]], N563))</f>
        <v>3362.7993620265215</v>
      </c>
      <c r="O564">
        <f>IF(AND(Query1[[#This Row],[avg]]&gt;0, Query1[[#This Row],[Month]]&lt;&gt;H563),
    IF(Query1[[#This Row],[Adj Close]]&gt;Query1[[#This Row],[avg]],
       Dashboard!$L$5-Dashboard!$E$6,
       Dashboard!$L$5+Dashboard!$E$6
    ), 0
)</f>
        <v>0</v>
      </c>
      <c r="P564" s="2">
        <f>IF(ROW()&lt;3, Query1[[#This Row],[Shares]], IF(Query1[[#This Row],[Month]]&lt;&gt;H563, P563+Query1[[#This Row],[Enhanced top up]]/Query1[[#This Row],[Adj Close]], P563))</f>
        <v>3352.7096152984936</v>
      </c>
      <c r="Q564" s="2">
        <f>IFERROR(AVERAGE(
  IF(ROW()&gt;20, INDEX(G:G, ROW()-20), 0) :
  INDEX(G:G, ROW())
),0)</f>
        <v>284.48369925362721</v>
      </c>
    </row>
    <row r="565" spans="1:17" x14ac:dyDescent="0.4">
      <c r="A565" s="1">
        <v>44648</v>
      </c>
      <c r="B565">
        <v>304.32998657226563</v>
      </c>
      <c r="C565">
        <v>310.79998779296875</v>
      </c>
      <c r="D565">
        <v>304.32998657226563</v>
      </c>
      <c r="E565">
        <v>310.70001220703125</v>
      </c>
      <c r="F565">
        <v>29578200</v>
      </c>
      <c r="G565">
        <v>301.81344604492188</v>
      </c>
      <c r="H565" s="2">
        <f>MONTH(Query1[[#This Row],[Date]])</f>
        <v>3</v>
      </c>
      <c r="I565" s="3">
        <f>Query1[[#This Row],[Shares]]*Query1[[#This Row],[Adj Close]]</f>
        <v>1084204.1300120142</v>
      </c>
      <c r="J565" s="3">
        <f>IF(ROW()&lt;3, Dashboard!$E$7, IF(Query1[[#This Row],[Month]]&lt;&gt;H564,J564*(1+Dashboard!$E$4)+Dashboard!$E$5,J564))</f>
        <v>706679.42047718435</v>
      </c>
      <c r="K565">
        <f>IF(ROW()&lt;3, 0,IF(Query1[[#This Row],[Month]]&lt;&gt;H564,IF((J565-I565&gt;0),J565-I565,0),0))</f>
        <v>0</v>
      </c>
      <c r="L565" s="2">
        <f t="shared" si="8"/>
        <v>3592.2989655359538</v>
      </c>
      <c r="M565">
        <f>IF(ROW()&lt;3, 0, IF(Query1[[#This Row],[Month]]&lt;&gt;H564, Dashboard!$J$5,0))</f>
        <v>0</v>
      </c>
      <c r="N565" s="2">
        <f>IF(ROW()&lt;3, Query1[[#This Row],[Shares]], IF(Query1[[#This Row],[Month]]&lt;&gt;H564, N564+Query1[[#This Row],[Fix Top Up]]/Query1[[#This Row],[Adj Close]], N564))</f>
        <v>3362.7993620265215</v>
      </c>
      <c r="O565">
        <f>IF(AND(Query1[[#This Row],[avg]]&gt;0, Query1[[#This Row],[Month]]&lt;&gt;H564),
    IF(Query1[[#This Row],[Adj Close]]&gt;Query1[[#This Row],[avg]],
       Dashboard!$L$5-Dashboard!$E$6,
       Dashboard!$L$5+Dashboard!$E$6
    ), 0
)</f>
        <v>0</v>
      </c>
      <c r="P565" s="2">
        <f>IF(ROW()&lt;3, Query1[[#This Row],[Shares]], IF(Query1[[#This Row],[Month]]&lt;&gt;H564, P564+Query1[[#This Row],[Enhanced top up]]/Query1[[#This Row],[Adj Close]], P564))</f>
        <v>3352.7096152984936</v>
      </c>
      <c r="Q565" s="2">
        <f>IFERROR(AVERAGE(
  IF(ROW()&gt;20, INDEX(G:G, ROW()-20), 0) :
  INDEX(G:G, ROW())
),0)</f>
        <v>285.10308401925221</v>
      </c>
    </row>
    <row r="566" spans="1:17" x14ac:dyDescent="0.4">
      <c r="A566" s="1">
        <v>44649</v>
      </c>
      <c r="B566">
        <v>313.91000366210938</v>
      </c>
      <c r="C566">
        <v>315.82000732421875</v>
      </c>
      <c r="D566">
        <v>309.04998779296875</v>
      </c>
      <c r="E566">
        <v>315.41000366210938</v>
      </c>
      <c r="F566">
        <v>30393400</v>
      </c>
      <c r="G566">
        <v>306.3887939453125</v>
      </c>
      <c r="H566" s="2">
        <f>MONTH(Query1[[#This Row],[Date]])</f>
        <v>3</v>
      </c>
      <c r="I566" s="3">
        <f>Query1[[#This Row],[Shares]]*Query1[[#This Row],[Adj Close]]</f>
        <v>1100640.1475415546</v>
      </c>
      <c r="J566" s="3">
        <f>IF(ROW()&lt;3, Dashboard!$E$7, IF(Query1[[#This Row],[Month]]&lt;&gt;H565,J565*(1+Dashboard!$E$4)+Dashboard!$E$5,J565))</f>
        <v>706679.42047718435</v>
      </c>
      <c r="K566">
        <f>IF(ROW()&lt;3, 0,IF(Query1[[#This Row],[Month]]&lt;&gt;H565,IF((J566-I566&gt;0),J566-I566,0),0))</f>
        <v>0</v>
      </c>
      <c r="L566" s="2">
        <f t="shared" si="8"/>
        <v>3592.2989655359538</v>
      </c>
      <c r="M566">
        <f>IF(ROW()&lt;3, 0, IF(Query1[[#This Row],[Month]]&lt;&gt;H565, Dashboard!$J$5,0))</f>
        <v>0</v>
      </c>
      <c r="N566" s="2">
        <f>IF(ROW()&lt;3, Query1[[#This Row],[Shares]], IF(Query1[[#This Row],[Month]]&lt;&gt;H565, N565+Query1[[#This Row],[Fix Top Up]]/Query1[[#This Row],[Adj Close]], N565))</f>
        <v>3362.7993620265215</v>
      </c>
      <c r="O566">
        <f>IF(AND(Query1[[#This Row],[avg]]&gt;0, Query1[[#This Row],[Month]]&lt;&gt;H565),
    IF(Query1[[#This Row],[Adj Close]]&gt;Query1[[#This Row],[avg]],
       Dashboard!$L$5-Dashboard!$E$6,
       Dashboard!$L$5+Dashboard!$E$6
    ), 0
)</f>
        <v>0</v>
      </c>
      <c r="P566" s="2">
        <f>IF(ROW()&lt;3, Query1[[#This Row],[Shares]], IF(Query1[[#This Row],[Month]]&lt;&gt;H565, P565+Query1[[#This Row],[Enhanced top up]]/Query1[[#This Row],[Adj Close]], P565))</f>
        <v>3352.7096152984936</v>
      </c>
      <c r="Q566" s="2">
        <f>IFERROR(AVERAGE(
  IF(ROW()&gt;20, INDEX(G:G, ROW()-20), 0) :
  INDEX(G:G, ROW())
),0)</f>
        <v>285.87187558128721</v>
      </c>
    </row>
    <row r="567" spans="1:17" x14ac:dyDescent="0.4">
      <c r="A567" s="1">
        <v>44650</v>
      </c>
      <c r="B567">
        <v>313.760009765625</v>
      </c>
      <c r="C567">
        <v>315.95001220703125</v>
      </c>
      <c r="D567">
        <v>311.57998657226563</v>
      </c>
      <c r="E567">
        <v>313.8599853515625</v>
      </c>
      <c r="F567">
        <v>28163600</v>
      </c>
      <c r="G567">
        <v>304.883056640625</v>
      </c>
      <c r="H567" s="2">
        <f>MONTH(Query1[[#This Row],[Date]])</f>
        <v>3</v>
      </c>
      <c r="I567" s="3">
        <f>Query1[[#This Row],[Shares]]*Query1[[#This Row],[Adj Close]]</f>
        <v>1095231.0889795567</v>
      </c>
      <c r="J567" s="3">
        <f>IF(ROW()&lt;3, Dashboard!$E$7, IF(Query1[[#This Row],[Month]]&lt;&gt;H566,J566*(1+Dashboard!$E$4)+Dashboard!$E$5,J566))</f>
        <v>706679.42047718435</v>
      </c>
      <c r="K567">
        <f>IF(ROW()&lt;3, 0,IF(Query1[[#This Row],[Month]]&lt;&gt;H566,IF((J567-I567&gt;0),J567-I567,0),0))</f>
        <v>0</v>
      </c>
      <c r="L567" s="2">
        <f t="shared" si="8"/>
        <v>3592.2989655359538</v>
      </c>
      <c r="M567">
        <f>IF(ROW()&lt;3, 0, IF(Query1[[#This Row],[Month]]&lt;&gt;H566, Dashboard!$J$5,0))</f>
        <v>0</v>
      </c>
      <c r="N567" s="2">
        <f>IF(ROW()&lt;3, Query1[[#This Row],[Shares]], IF(Query1[[#This Row],[Month]]&lt;&gt;H566, N566+Query1[[#This Row],[Fix Top Up]]/Query1[[#This Row],[Adj Close]], N566))</f>
        <v>3362.7993620265215</v>
      </c>
      <c r="O567">
        <f>IF(AND(Query1[[#This Row],[avg]]&gt;0, Query1[[#This Row],[Month]]&lt;&gt;H566),
    IF(Query1[[#This Row],[Adj Close]]&gt;Query1[[#This Row],[avg]],
       Dashboard!$L$5-Dashboard!$E$6,
       Dashboard!$L$5+Dashboard!$E$6
    ), 0
)</f>
        <v>0</v>
      </c>
      <c r="P567" s="2">
        <f>IF(ROW()&lt;3, Query1[[#This Row],[Shares]], IF(Query1[[#This Row],[Month]]&lt;&gt;H566, P566+Query1[[#This Row],[Enhanced top up]]/Query1[[#This Row],[Adj Close]], P566))</f>
        <v>3352.7096152984936</v>
      </c>
      <c r="Q567" s="2">
        <f>IFERROR(AVERAGE(
  IF(ROW()&gt;20, INDEX(G:G, ROW()-20), 0) :
  INDEX(G:G, ROW())
),0)</f>
        <v>286.74659511021207</v>
      </c>
    </row>
    <row r="568" spans="1:17" x14ac:dyDescent="0.4">
      <c r="A568" s="1">
        <v>44651</v>
      </c>
      <c r="B568">
        <v>313.89999389648438</v>
      </c>
      <c r="C568">
        <v>315.1400146484375</v>
      </c>
      <c r="D568">
        <v>307.8900146484375</v>
      </c>
      <c r="E568">
        <v>308.30999755859375</v>
      </c>
      <c r="F568">
        <v>33422100</v>
      </c>
      <c r="G568">
        <v>299.49185180664063</v>
      </c>
      <c r="H568" s="2">
        <f>MONTH(Query1[[#This Row],[Date]])</f>
        <v>3</v>
      </c>
      <c r="I568" s="3">
        <f>Query1[[#This Row],[Shares]]*Query1[[#This Row],[Adj Close]]</f>
        <v>1075864.2694314423</v>
      </c>
      <c r="J568" s="3">
        <f>IF(ROW()&lt;3, Dashboard!$E$7, IF(Query1[[#This Row],[Month]]&lt;&gt;H567,J567*(1+Dashboard!$E$4)+Dashboard!$E$5,J567))</f>
        <v>706679.42047718435</v>
      </c>
      <c r="K568">
        <f>IF(ROW()&lt;3, 0,IF(Query1[[#This Row],[Month]]&lt;&gt;H567,IF((J568-I568&gt;0),J568-I568,0),0))</f>
        <v>0</v>
      </c>
      <c r="L568" s="2">
        <f t="shared" si="8"/>
        <v>3592.2989655359538</v>
      </c>
      <c r="M568">
        <f>IF(ROW()&lt;3, 0, IF(Query1[[#This Row],[Month]]&lt;&gt;H567, Dashboard!$J$5,0))</f>
        <v>0</v>
      </c>
      <c r="N568" s="2">
        <f>IF(ROW()&lt;3, Query1[[#This Row],[Shares]], IF(Query1[[#This Row],[Month]]&lt;&gt;H567, N567+Query1[[#This Row],[Fix Top Up]]/Query1[[#This Row],[Adj Close]], N567))</f>
        <v>3362.7993620265215</v>
      </c>
      <c r="O568">
        <f>IF(AND(Query1[[#This Row],[avg]]&gt;0, Query1[[#This Row],[Month]]&lt;&gt;H567),
    IF(Query1[[#This Row],[Adj Close]]&gt;Query1[[#This Row],[avg]],
       Dashboard!$L$5-Dashboard!$E$6,
       Dashboard!$L$5+Dashboard!$E$6
    ), 0
)</f>
        <v>0</v>
      </c>
      <c r="P568" s="2">
        <f>IF(ROW()&lt;3, Query1[[#This Row],[Shares]], IF(Query1[[#This Row],[Month]]&lt;&gt;H567, P567+Query1[[#This Row],[Enhanced top up]]/Query1[[#This Row],[Adj Close]], P567))</f>
        <v>3352.7096152984936</v>
      </c>
      <c r="Q568" s="2">
        <f>IFERROR(AVERAGE(
  IF(ROW()&gt;20, INDEX(G:G, ROW()-20), 0) :
  INDEX(G:G, ROW())
),0)</f>
        <v>287.12220546177457</v>
      </c>
    </row>
    <row r="569" spans="1:17" x14ac:dyDescent="0.4">
      <c r="A569" s="1">
        <v>44652</v>
      </c>
      <c r="B569">
        <v>309.3699951171875</v>
      </c>
      <c r="C569">
        <v>310.1300048828125</v>
      </c>
      <c r="D569">
        <v>305.54000854492188</v>
      </c>
      <c r="E569">
        <v>309.42001342773438</v>
      </c>
      <c r="F569">
        <v>27110500</v>
      </c>
      <c r="G569">
        <v>300.57003784179688</v>
      </c>
      <c r="H569" s="2">
        <f>MONTH(Query1[[#This Row],[Date]])</f>
        <v>4</v>
      </c>
      <c r="I569" s="3">
        <f>Query1[[#This Row],[Shares]]*Query1[[#This Row],[Adj Close]]</f>
        <v>1079737.4360101894</v>
      </c>
      <c r="J569" s="3">
        <f>IF(ROW()&lt;3, Dashboard!$E$7, IF(Query1[[#This Row],[Month]]&lt;&gt;H568,J568*(1+Dashboard!$E$4)+Dashboard!$E$5,J568))</f>
        <v>715746.21468195622</v>
      </c>
      <c r="K569">
        <f>IF(ROW()&lt;3, 0,IF(Query1[[#This Row],[Month]]&lt;&gt;H568,IF((J569-I569&gt;0),J569-I569,0),0))</f>
        <v>0</v>
      </c>
      <c r="L569" s="2">
        <f t="shared" si="8"/>
        <v>3592.2989655359538</v>
      </c>
      <c r="M569">
        <f>IF(ROW()&lt;3, 0, IF(Query1[[#This Row],[Month]]&lt;&gt;H568, Dashboard!$J$5,0))</f>
        <v>773.47399999999971</v>
      </c>
      <c r="N569" s="2">
        <f>IF(ROW()&lt;3, Query1[[#This Row],[Shares]], IF(Query1[[#This Row],[Month]]&lt;&gt;H568, N568+Query1[[#This Row],[Fix Top Up]]/Query1[[#This Row],[Adj Close]], N568))</f>
        <v>3365.3727189903552</v>
      </c>
      <c r="O569">
        <f>IF(AND(Query1[[#This Row],[avg]]&gt;0, Query1[[#This Row],[Month]]&lt;&gt;H568),
    IF(Query1[[#This Row],[Adj Close]]&gt;Query1[[#This Row],[avg]],
       Dashboard!$L$5-Dashboard!$E$6,
       Dashboard!$L$5+Dashboard!$E$6
    ), 0
)</f>
        <v>390.14066666666668</v>
      </c>
      <c r="P569" s="2">
        <f>IF(ROW()&lt;3, Query1[[#This Row],[Shares]], IF(Query1[[#This Row],[Month]]&lt;&gt;H568, P568+Query1[[#This Row],[Enhanced top up]]/Query1[[#This Row],[Adj Close]], P568))</f>
        <v>3354.0076178188647</v>
      </c>
      <c r="Q569" s="2">
        <f>IFERROR(AVERAGE(
  IF(ROW()&gt;20, INDEX(G:G, ROW()-20), 0) :
  INDEX(G:G, ROW())
),0)</f>
        <v>287.74667794363842</v>
      </c>
    </row>
    <row r="570" spans="1:17" x14ac:dyDescent="0.4">
      <c r="A570" s="1">
        <v>44655</v>
      </c>
      <c r="B570">
        <v>310.08999633789063</v>
      </c>
      <c r="C570">
        <v>315.1099853515625</v>
      </c>
      <c r="D570">
        <v>309.70999145507813</v>
      </c>
      <c r="E570">
        <v>314.97000122070313</v>
      </c>
      <c r="F570">
        <v>24289600</v>
      </c>
      <c r="G570">
        <v>305.96136474609375</v>
      </c>
      <c r="H570" s="2">
        <f>MONTH(Query1[[#This Row],[Date]])</f>
        <v>4</v>
      </c>
      <c r="I570" s="3">
        <f>Query1[[#This Row],[Shares]]*Query1[[#This Row],[Adj Close]]</f>
        <v>1099104.6940713613</v>
      </c>
      <c r="J570" s="3">
        <f>IF(ROW()&lt;3, Dashboard!$E$7, IF(Query1[[#This Row],[Month]]&lt;&gt;H569,J569*(1+Dashboard!$E$4)+Dashboard!$E$5,J569))</f>
        <v>715746.21468195622</v>
      </c>
      <c r="K570">
        <f>IF(ROW()&lt;3, 0,IF(Query1[[#This Row],[Month]]&lt;&gt;H569,IF((J570-I570&gt;0),J570-I570,0),0))</f>
        <v>0</v>
      </c>
      <c r="L570" s="2">
        <f t="shared" si="8"/>
        <v>3592.2989655359538</v>
      </c>
      <c r="M570">
        <f>IF(ROW()&lt;3, 0, IF(Query1[[#This Row],[Month]]&lt;&gt;H569, Dashboard!$J$5,0))</f>
        <v>0</v>
      </c>
      <c r="N570" s="2">
        <f>IF(ROW()&lt;3, Query1[[#This Row],[Shares]], IF(Query1[[#This Row],[Month]]&lt;&gt;H569, N569+Query1[[#This Row],[Fix Top Up]]/Query1[[#This Row],[Adj Close]], N569))</f>
        <v>3365.3727189903552</v>
      </c>
      <c r="O570">
        <f>IF(AND(Query1[[#This Row],[avg]]&gt;0, Query1[[#This Row],[Month]]&lt;&gt;H569),
    IF(Query1[[#This Row],[Adj Close]]&gt;Query1[[#This Row],[avg]],
       Dashboard!$L$5-Dashboard!$E$6,
       Dashboard!$L$5+Dashboard!$E$6
    ), 0
)</f>
        <v>0</v>
      </c>
      <c r="P570" s="2">
        <f>IF(ROW()&lt;3, Query1[[#This Row],[Shares]], IF(Query1[[#This Row],[Month]]&lt;&gt;H569, P569+Query1[[#This Row],[Enhanced top up]]/Query1[[#This Row],[Adj Close]], P569))</f>
        <v>3354.0076178188647</v>
      </c>
      <c r="Q570" s="2">
        <f>IFERROR(AVERAGE(
  IF(ROW()&gt;20, INDEX(G:G, ROW()-20), 0) :
  INDEX(G:G, ROW())
),0)</f>
        <v>288.90819440569197</v>
      </c>
    </row>
    <row r="571" spans="1:17" x14ac:dyDescent="0.4">
      <c r="A571" s="1">
        <v>44656</v>
      </c>
      <c r="B571">
        <v>313.26998901367188</v>
      </c>
      <c r="C571">
        <v>314.8699951171875</v>
      </c>
      <c r="D571">
        <v>309.8699951171875</v>
      </c>
      <c r="E571">
        <v>310.8800048828125</v>
      </c>
      <c r="F571">
        <v>23156700</v>
      </c>
      <c r="G571">
        <v>301.98831176757813</v>
      </c>
      <c r="H571" s="2">
        <f>MONTH(Query1[[#This Row],[Date]])</f>
        <v>4</v>
      </c>
      <c r="I571" s="3">
        <f>Query1[[#This Row],[Shares]]*Query1[[#This Row],[Adj Close]]</f>
        <v>1084832.29996662</v>
      </c>
      <c r="J571" s="3">
        <f>IF(ROW()&lt;3, Dashboard!$E$7, IF(Query1[[#This Row],[Month]]&lt;&gt;H570,J570*(1+Dashboard!$E$4)+Dashboard!$E$5,J570))</f>
        <v>715746.21468195622</v>
      </c>
      <c r="K571">
        <f>IF(ROW()&lt;3, 0,IF(Query1[[#This Row],[Month]]&lt;&gt;H570,IF((J571-I571&gt;0),J571-I571,0),0))</f>
        <v>0</v>
      </c>
      <c r="L571" s="2">
        <f t="shared" si="8"/>
        <v>3592.2989655359538</v>
      </c>
      <c r="M571">
        <f>IF(ROW()&lt;3, 0, IF(Query1[[#This Row],[Month]]&lt;&gt;H570, Dashboard!$J$5,0))</f>
        <v>0</v>
      </c>
      <c r="N571" s="2">
        <f>IF(ROW()&lt;3, Query1[[#This Row],[Shares]], IF(Query1[[#This Row],[Month]]&lt;&gt;H570, N570+Query1[[#This Row],[Fix Top Up]]/Query1[[#This Row],[Adj Close]], N570))</f>
        <v>3365.3727189903552</v>
      </c>
      <c r="O571">
        <f>IF(AND(Query1[[#This Row],[avg]]&gt;0, Query1[[#This Row],[Month]]&lt;&gt;H570),
    IF(Query1[[#This Row],[Adj Close]]&gt;Query1[[#This Row],[avg]],
       Dashboard!$L$5-Dashboard!$E$6,
       Dashboard!$L$5+Dashboard!$E$6
    ), 0
)</f>
        <v>0</v>
      </c>
      <c r="P571" s="2">
        <f>IF(ROW()&lt;3, Query1[[#This Row],[Shares]], IF(Query1[[#This Row],[Month]]&lt;&gt;H570, P570+Query1[[#This Row],[Enhanced top up]]/Query1[[#This Row],[Adj Close]], P570))</f>
        <v>3354.0076178188647</v>
      </c>
      <c r="Q571" s="2">
        <f>IFERROR(AVERAGE(
  IF(ROW()&gt;20, INDEX(G:G, ROW()-20), 0) :
  INDEX(G:G, ROW())
),0)</f>
        <v>290.38703264508928</v>
      </c>
    </row>
    <row r="572" spans="1:17" x14ac:dyDescent="0.4">
      <c r="A572" s="1">
        <v>44657</v>
      </c>
      <c r="B572">
        <v>305.19000244140625</v>
      </c>
      <c r="C572">
        <v>307</v>
      </c>
      <c r="D572">
        <v>296.70999145507813</v>
      </c>
      <c r="E572">
        <v>299.5</v>
      </c>
      <c r="F572">
        <v>40110400</v>
      </c>
      <c r="G572">
        <v>290.93374633789063</v>
      </c>
      <c r="H572" s="2">
        <f>MONTH(Query1[[#This Row],[Date]])</f>
        <v>4</v>
      </c>
      <c r="I572" s="3">
        <f>Query1[[#This Row],[Shares]]*Query1[[#This Row],[Adj Close]]</f>
        <v>1045120.9960091041</v>
      </c>
      <c r="J572" s="3">
        <f>IF(ROW()&lt;3, Dashboard!$E$7, IF(Query1[[#This Row],[Month]]&lt;&gt;H571,J571*(1+Dashboard!$E$4)+Dashboard!$E$5,J571))</f>
        <v>715746.21468195622</v>
      </c>
      <c r="K572">
        <f>IF(ROW()&lt;3, 0,IF(Query1[[#This Row],[Month]]&lt;&gt;H571,IF((J572-I572&gt;0),J572-I572,0),0))</f>
        <v>0</v>
      </c>
      <c r="L572" s="2">
        <f t="shared" si="8"/>
        <v>3592.2989655359538</v>
      </c>
      <c r="M572">
        <f>IF(ROW()&lt;3, 0, IF(Query1[[#This Row],[Month]]&lt;&gt;H571, Dashboard!$J$5,0))</f>
        <v>0</v>
      </c>
      <c r="N572" s="2">
        <f>IF(ROW()&lt;3, Query1[[#This Row],[Shares]], IF(Query1[[#This Row],[Month]]&lt;&gt;H571, N571+Query1[[#This Row],[Fix Top Up]]/Query1[[#This Row],[Adj Close]], N571))</f>
        <v>3365.3727189903552</v>
      </c>
      <c r="O572">
        <f>IF(AND(Query1[[#This Row],[avg]]&gt;0, Query1[[#This Row],[Month]]&lt;&gt;H571),
    IF(Query1[[#This Row],[Adj Close]]&gt;Query1[[#This Row],[avg]],
       Dashboard!$L$5-Dashboard!$E$6,
       Dashboard!$L$5+Dashboard!$E$6
    ), 0
)</f>
        <v>0</v>
      </c>
      <c r="P572" s="2">
        <f>IF(ROW()&lt;3, Query1[[#This Row],[Shares]], IF(Query1[[#This Row],[Month]]&lt;&gt;H571, P571+Query1[[#This Row],[Enhanced top up]]/Query1[[#This Row],[Adj Close]], P571))</f>
        <v>3354.0076178188647</v>
      </c>
      <c r="Q572" s="2">
        <f>IFERROR(AVERAGE(
  IF(ROW()&gt;20, INDEX(G:G, ROW()-20), 0) :
  INDEX(G:G, ROW())
),0)</f>
        <v>291.48100934709822</v>
      </c>
    </row>
    <row r="573" spans="1:17" x14ac:dyDescent="0.4">
      <c r="A573" s="1">
        <v>44658</v>
      </c>
      <c r="B573">
        <v>296.66000366210938</v>
      </c>
      <c r="C573">
        <v>303.64999389648438</v>
      </c>
      <c r="D573">
        <v>296.35000610351563</v>
      </c>
      <c r="E573">
        <v>301.3699951171875</v>
      </c>
      <c r="F573">
        <v>31411200</v>
      </c>
      <c r="G573">
        <v>292.75030517578125</v>
      </c>
      <c r="H573" s="2">
        <f>MONTH(Query1[[#This Row],[Date]])</f>
        <v>4</v>
      </c>
      <c r="I573" s="3">
        <f>Query1[[#This Row],[Shares]]*Query1[[#This Row],[Adj Close]]</f>
        <v>1051646.6184432937</v>
      </c>
      <c r="J573" s="3">
        <f>IF(ROW()&lt;3, Dashboard!$E$7, IF(Query1[[#This Row],[Month]]&lt;&gt;H572,J572*(1+Dashboard!$E$4)+Dashboard!$E$5,J572))</f>
        <v>715746.21468195622</v>
      </c>
      <c r="K573">
        <f>IF(ROW()&lt;3, 0,IF(Query1[[#This Row],[Month]]&lt;&gt;H572,IF((J573-I573&gt;0),J573-I573,0),0))</f>
        <v>0</v>
      </c>
      <c r="L573" s="2">
        <f t="shared" si="8"/>
        <v>3592.2989655359538</v>
      </c>
      <c r="M573">
        <f>IF(ROW()&lt;3, 0, IF(Query1[[#This Row],[Month]]&lt;&gt;H572, Dashboard!$J$5,0))</f>
        <v>0</v>
      </c>
      <c r="N573" s="2">
        <f>IF(ROW()&lt;3, Query1[[#This Row],[Shares]], IF(Query1[[#This Row],[Month]]&lt;&gt;H572, N572+Query1[[#This Row],[Fix Top Up]]/Query1[[#This Row],[Adj Close]], N572))</f>
        <v>3365.3727189903552</v>
      </c>
      <c r="O573">
        <f>IF(AND(Query1[[#This Row],[avg]]&gt;0, Query1[[#This Row],[Month]]&lt;&gt;H572),
    IF(Query1[[#This Row],[Adj Close]]&gt;Query1[[#This Row],[avg]],
       Dashboard!$L$5-Dashboard!$E$6,
       Dashboard!$L$5+Dashboard!$E$6
    ), 0
)</f>
        <v>0</v>
      </c>
      <c r="P573" s="2">
        <f>IF(ROW()&lt;3, Query1[[#This Row],[Shares]], IF(Query1[[#This Row],[Month]]&lt;&gt;H572, P572+Query1[[#This Row],[Enhanced top up]]/Query1[[#This Row],[Adj Close]], P572))</f>
        <v>3354.0076178188647</v>
      </c>
      <c r="Q573" s="2">
        <f>IFERROR(AVERAGE(
  IF(ROW()&gt;20, INDEX(G:G, ROW()-20), 0) :
  INDEX(G:G, ROW())
),0)</f>
        <v>292.0763404482887</v>
      </c>
    </row>
    <row r="574" spans="1:17" x14ac:dyDescent="0.4">
      <c r="A574" s="1">
        <v>44659</v>
      </c>
      <c r="B574">
        <v>300.44000244140625</v>
      </c>
      <c r="C574">
        <v>301.1199951171875</v>
      </c>
      <c r="D574">
        <v>296.27999877929688</v>
      </c>
      <c r="E574">
        <v>296.97000122070313</v>
      </c>
      <c r="F574">
        <v>24361900</v>
      </c>
      <c r="G574">
        <v>288.4761962890625</v>
      </c>
      <c r="H574" s="2">
        <f>MONTH(Query1[[#This Row],[Date]])</f>
        <v>4</v>
      </c>
      <c r="I574" s="3">
        <f>Query1[[#This Row],[Shares]]*Query1[[#This Row],[Adj Close]]</f>
        <v>1036292.741510946</v>
      </c>
      <c r="J574" s="3">
        <f>IF(ROW()&lt;3, Dashboard!$E$7, IF(Query1[[#This Row],[Month]]&lt;&gt;H573,J573*(1+Dashboard!$E$4)+Dashboard!$E$5,J573))</f>
        <v>715746.21468195622</v>
      </c>
      <c r="K574">
        <f>IF(ROW()&lt;3, 0,IF(Query1[[#This Row],[Month]]&lt;&gt;H573,IF((J574-I574&gt;0),J574-I574,0),0))</f>
        <v>0</v>
      </c>
      <c r="L574" s="2">
        <f t="shared" si="8"/>
        <v>3592.2989655359538</v>
      </c>
      <c r="M574">
        <f>IF(ROW()&lt;3, 0, IF(Query1[[#This Row],[Month]]&lt;&gt;H573, Dashboard!$J$5,0))</f>
        <v>0</v>
      </c>
      <c r="N574" s="2">
        <f>IF(ROW()&lt;3, Query1[[#This Row],[Shares]], IF(Query1[[#This Row],[Month]]&lt;&gt;H573, N573+Query1[[#This Row],[Fix Top Up]]/Query1[[#This Row],[Adj Close]], N573))</f>
        <v>3365.3727189903552</v>
      </c>
      <c r="O574">
        <f>IF(AND(Query1[[#This Row],[avg]]&gt;0, Query1[[#This Row],[Month]]&lt;&gt;H573),
    IF(Query1[[#This Row],[Adj Close]]&gt;Query1[[#This Row],[avg]],
       Dashboard!$L$5-Dashboard!$E$6,
       Dashboard!$L$5+Dashboard!$E$6
    ), 0
)</f>
        <v>0</v>
      </c>
      <c r="P574" s="2">
        <f>IF(ROW()&lt;3, Query1[[#This Row],[Shares]], IF(Query1[[#This Row],[Month]]&lt;&gt;H573, P573+Query1[[#This Row],[Enhanced top up]]/Query1[[#This Row],[Adj Close]], P573))</f>
        <v>3354.0076178188647</v>
      </c>
      <c r="Q574" s="2">
        <f>IFERROR(AVERAGE(
  IF(ROW()&gt;20, INDEX(G:G, ROW()-20), 0) :
  INDEX(G:G, ROW())
),0)</f>
        <v>292.60274832589283</v>
      </c>
    </row>
    <row r="575" spans="1:17" x14ac:dyDescent="0.4">
      <c r="A575" s="1">
        <v>44662</v>
      </c>
      <c r="B575">
        <v>291.79000854492188</v>
      </c>
      <c r="C575">
        <v>292.6099853515625</v>
      </c>
      <c r="D575">
        <v>285</v>
      </c>
      <c r="E575">
        <v>285.260009765625</v>
      </c>
      <c r="F575">
        <v>34569300</v>
      </c>
      <c r="G575">
        <v>277.10110473632813</v>
      </c>
      <c r="H575" s="2">
        <f>MONTH(Query1[[#This Row],[Date]])</f>
        <v>4</v>
      </c>
      <c r="I575" s="3">
        <f>Query1[[#This Row],[Shares]]*Query1[[#This Row],[Adj Close]]</f>
        <v>995430.01189318148</v>
      </c>
      <c r="J575" s="3">
        <f>IF(ROW()&lt;3, Dashboard!$E$7, IF(Query1[[#This Row],[Month]]&lt;&gt;H574,J574*(1+Dashboard!$E$4)+Dashboard!$E$5,J574))</f>
        <v>715746.21468195622</v>
      </c>
      <c r="K575">
        <f>IF(ROW()&lt;3, 0,IF(Query1[[#This Row],[Month]]&lt;&gt;H574,IF((J575-I575&gt;0),J575-I575,0),0))</f>
        <v>0</v>
      </c>
      <c r="L575" s="2">
        <f t="shared" si="8"/>
        <v>3592.2989655359538</v>
      </c>
      <c r="M575">
        <f>IF(ROW()&lt;3, 0, IF(Query1[[#This Row],[Month]]&lt;&gt;H574, Dashboard!$J$5,0))</f>
        <v>0</v>
      </c>
      <c r="N575" s="2">
        <f>IF(ROW()&lt;3, Query1[[#This Row],[Shares]], IF(Query1[[#This Row],[Month]]&lt;&gt;H574, N574+Query1[[#This Row],[Fix Top Up]]/Query1[[#This Row],[Adj Close]], N574))</f>
        <v>3365.3727189903552</v>
      </c>
      <c r="O575">
        <f>IF(AND(Query1[[#This Row],[avg]]&gt;0, Query1[[#This Row],[Month]]&lt;&gt;H574),
    IF(Query1[[#This Row],[Adj Close]]&gt;Query1[[#This Row],[avg]],
       Dashboard!$L$5-Dashboard!$E$6,
       Dashboard!$L$5+Dashboard!$E$6
    ), 0
)</f>
        <v>0</v>
      </c>
      <c r="P575" s="2">
        <f>IF(ROW()&lt;3, Query1[[#This Row],[Shares]], IF(Query1[[#This Row],[Month]]&lt;&gt;H574, P574+Query1[[#This Row],[Enhanced top up]]/Query1[[#This Row],[Adj Close]], P574))</f>
        <v>3354.0076178188647</v>
      </c>
      <c r="Q575" s="2">
        <f>IFERROR(AVERAGE(
  IF(ROW()&gt;20, INDEX(G:G, ROW()-20), 0) :
  INDEX(G:G, ROW())
),0)</f>
        <v>292.84282284691221</v>
      </c>
    </row>
    <row r="576" spans="1:17" x14ac:dyDescent="0.4">
      <c r="A576" s="1">
        <v>44663</v>
      </c>
      <c r="B576">
        <v>289.239990234375</v>
      </c>
      <c r="C576">
        <v>290.739990234375</v>
      </c>
      <c r="D576">
        <v>280.489990234375</v>
      </c>
      <c r="E576">
        <v>282.05999755859375</v>
      </c>
      <c r="F576">
        <v>30966700</v>
      </c>
      <c r="G576">
        <v>273.99261474609375</v>
      </c>
      <c r="H576" s="2">
        <f>MONTH(Query1[[#This Row],[Date]])</f>
        <v>4</v>
      </c>
      <c r="I576" s="3">
        <f>Query1[[#This Row],[Shares]]*Query1[[#This Row],[Adj Close]]</f>
        <v>984263.38651688374</v>
      </c>
      <c r="J576" s="3">
        <f>IF(ROW()&lt;3, Dashboard!$E$7, IF(Query1[[#This Row],[Month]]&lt;&gt;H575,J575*(1+Dashboard!$E$4)+Dashboard!$E$5,J575))</f>
        <v>715746.21468195622</v>
      </c>
      <c r="K576">
        <f>IF(ROW()&lt;3, 0,IF(Query1[[#This Row],[Month]]&lt;&gt;H575,IF((J576-I576&gt;0),J576-I576,0),0))</f>
        <v>0</v>
      </c>
      <c r="L576" s="2">
        <f t="shared" si="8"/>
        <v>3592.2989655359538</v>
      </c>
      <c r="M576">
        <f>IF(ROW()&lt;3, 0, IF(Query1[[#This Row],[Month]]&lt;&gt;H575, Dashboard!$J$5,0))</f>
        <v>0</v>
      </c>
      <c r="N576" s="2">
        <f>IF(ROW()&lt;3, Query1[[#This Row],[Shares]], IF(Query1[[#This Row],[Month]]&lt;&gt;H575, N575+Query1[[#This Row],[Fix Top Up]]/Query1[[#This Row],[Adj Close]], N575))</f>
        <v>3365.3727189903552</v>
      </c>
      <c r="O576">
        <f>IF(AND(Query1[[#This Row],[avg]]&gt;0, Query1[[#This Row],[Month]]&lt;&gt;H575),
    IF(Query1[[#This Row],[Adj Close]]&gt;Query1[[#This Row],[avg]],
       Dashboard!$L$5-Dashboard!$E$6,
       Dashboard!$L$5+Dashboard!$E$6
    ), 0
)</f>
        <v>0</v>
      </c>
      <c r="P576" s="2">
        <f>IF(ROW()&lt;3, Query1[[#This Row],[Shares]], IF(Query1[[#This Row],[Month]]&lt;&gt;H575, P575+Query1[[#This Row],[Enhanced top up]]/Query1[[#This Row],[Adj Close]], P575))</f>
        <v>3354.0076178188647</v>
      </c>
      <c r="Q576" s="2">
        <f>IFERROR(AVERAGE(
  IF(ROW()&gt;20, INDEX(G:G, ROW()-20), 0) :
  INDEX(G:G, ROW())
),0)</f>
        <v>293.10279046921505</v>
      </c>
    </row>
    <row r="577" spans="1:17" x14ac:dyDescent="0.4">
      <c r="A577" s="1">
        <v>44664</v>
      </c>
      <c r="B577">
        <v>282.73001098632813</v>
      </c>
      <c r="C577">
        <v>288.57998657226563</v>
      </c>
      <c r="D577">
        <v>281.29998779296875</v>
      </c>
      <c r="E577">
        <v>287.6199951171875</v>
      </c>
      <c r="F577">
        <v>21907200</v>
      </c>
      <c r="G577">
        <v>279.39358520507813</v>
      </c>
      <c r="H577" s="2">
        <f>MONTH(Query1[[#This Row],[Date]])</f>
        <v>4</v>
      </c>
      <c r="I577" s="3">
        <f>Query1[[#This Row],[Shares]]*Query1[[#This Row],[Adj Close]]</f>
        <v>1003665.2871095835</v>
      </c>
      <c r="J577" s="3">
        <f>IF(ROW()&lt;3, Dashboard!$E$7, IF(Query1[[#This Row],[Month]]&lt;&gt;H576,J576*(1+Dashboard!$E$4)+Dashboard!$E$5,J576))</f>
        <v>715746.21468195622</v>
      </c>
      <c r="K577">
        <f>IF(ROW()&lt;3, 0,IF(Query1[[#This Row],[Month]]&lt;&gt;H576,IF((J577-I577&gt;0),J577-I577,0),0))</f>
        <v>0</v>
      </c>
      <c r="L577" s="2">
        <f t="shared" si="8"/>
        <v>3592.2989655359538</v>
      </c>
      <c r="M577">
        <f>IF(ROW()&lt;3, 0, IF(Query1[[#This Row],[Month]]&lt;&gt;H576, Dashboard!$J$5,0))</f>
        <v>0</v>
      </c>
      <c r="N577" s="2">
        <f>IF(ROW()&lt;3, Query1[[#This Row],[Shares]], IF(Query1[[#This Row],[Month]]&lt;&gt;H576, N576+Query1[[#This Row],[Fix Top Up]]/Query1[[#This Row],[Adj Close]], N576))</f>
        <v>3365.3727189903552</v>
      </c>
      <c r="O577">
        <f>IF(AND(Query1[[#This Row],[avg]]&gt;0, Query1[[#This Row],[Month]]&lt;&gt;H576),
    IF(Query1[[#This Row],[Adj Close]]&gt;Query1[[#This Row],[avg]],
       Dashboard!$L$5-Dashboard!$E$6,
       Dashboard!$L$5+Dashboard!$E$6
    ), 0
)</f>
        <v>0</v>
      </c>
      <c r="P577" s="2">
        <f>IF(ROW()&lt;3, Query1[[#This Row],[Shares]], IF(Query1[[#This Row],[Month]]&lt;&gt;H576, P576+Query1[[#This Row],[Enhanced top up]]/Query1[[#This Row],[Adj Close]], P576))</f>
        <v>3354.0076178188647</v>
      </c>
      <c r="Q577" s="2">
        <f>IFERROR(AVERAGE(
  IF(ROW()&gt;20, INDEX(G:G, ROW()-20), 0) :
  INDEX(G:G, ROW())
),0)</f>
        <v>293.1245335170201</v>
      </c>
    </row>
    <row r="578" spans="1:17" x14ac:dyDescent="0.4">
      <c r="A578" s="1">
        <v>44665</v>
      </c>
      <c r="B578">
        <v>288.08999633789063</v>
      </c>
      <c r="C578">
        <v>288.30999755859375</v>
      </c>
      <c r="D578">
        <v>279.32000732421875</v>
      </c>
      <c r="E578">
        <v>279.82998657226563</v>
      </c>
      <c r="F578">
        <v>28221600</v>
      </c>
      <c r="G578">
        <v>271.82638549804688</v>
      </c>
      <c r="H578" s="2">
        <f>MONTH(Query1[[#This Row],[Date]])</f>
        <v>4</v>
      </c>
      <c r="I578" s="3">
        <f>Query1[[#This Row],[Shares]]*Query1[[#This Row],[Adj Close]]</f>
        <v>976481.64343001123</v>
      </c>
      <c r="J578" s="3">
        <f>IF(ROW()&lt;3, Dashboard!$E$7, IF(Query1[[#This Row],[Month]]&lt;&gt;H577,J577*(1+Dashboard!$E$4)+Dashboard!$E$5,J577))</f>
        <v>715746.21468195622</v>
      </c>
      <c r="K578">
        <f>IF(ROW()&lt;3, 0,IF(Query1[[#This Row],[Month]]&lt;&gt;H577,IF((J578-I578&gt;0),J578-I578,0),0))</f>
        <v>0</v>
      </c>
      <c r="L578" s="2">
        <f t="shared" ref="L578:L641" si="9">IF(ROW()&lt;3, J578/G578, L577+K577/G577)</f>
        <v>3592.2989655359538</v>
      </c>
      <c r="M578">
        <f>IF(ROW()&lt;3, 0, IF(Query1[[#This Row],[Month]]&lt;&gt;H577, Dashboard!$J$5,0))</f>
        <v>0</v>
      </c>
      <c r="N578" s="2">
        <f>IF(ROW()&lt;3, Query1[[#This Row],[Shares]], IF(Query1[[#This Row],[Month]]&lt;&gt;H577, N577+Query1[[#This Row],[Fix Top Up]]/Query1[[#This Row],[Adj Close]], N577))</f>
        <v>3365.3727189903552</v>
      </c>
      <c r="O578">
        <f>IF(AND(Query1[[#This Row],[avg]]&gt;0, Query1[[#This Row],[Month]]&lt;&gt;H577),
    IF(Query1[[#This Row],[Adj Close]]&gt;Query1[[#This Row],[avg]],
       Dashboard!$L$5-Dashboard!$E$6,
       Dashboard!$L$5+Dashboard!$E$6
    ), 0
)</f>
        <v>0</v>
      </c>
      <c r="P578" s="2">
        <f>IF(ROW()&lt;3, Query1[[#This Row],[Shares]], IF(Query1[[#This Row],[Month]]&lt;&gt;H577, P577+Query1[[#This Row],[Enhanced top up]]/Query1[[#This Row],[Adj Close]], P577))</f>
        <v>3354.0076178188647</v>
      </c>
      <c r="Q578" s="2">
        <f>IFERROR(AVERAGE(
  IF(ROW()&gt;20, INDEX(G:G, ROW()-20), 0) :
  INDEX(G:G, ROW())
),0)</f>
        <v>292.4510280064174</v>
      </c>
    </row>
    <row r="579" spans="1:17" x14ac:dyDescent="0.4">
      <c r="A579" s="1">
        <v>44669</v>
      </c>
      <c r="B579">
        <v>278.91000366210938</v>
      </c>
      <c r="C579">
        <v>282.45999145507813</v>
      </c>
      <c r="D579">
        <v>278.33999633789063</v>
      </c>
      <c r="E579">
        <v>280.51998901367188</v>
      </c>
      <c r="F579">
        <v>20778000</v>
      </c>
      <c r="G579">
        <v>272.49664306640625</v>
      </c>
      <c r="H579" s="2">
        <f>MONTH(Query1[[#This Row],[Date]])</f>
        <v>4</v>
      </c>
      <c r="I579" s="3">
        <f>Query1[[#This Row],[Shares]]*Query1[[#This Row],[Adj Close]]</f>
        <v>978889.40899947123</v>
      </c>
      <c r="J579" s="3">
        <f>IF(ROW()&lt;3, Dashboard!$E$7, IF(Query1[[#This Row],[Month]]&lt;&gt;H578,J578*(1+Dashboard!$E$4)+Dashboard!$E$5,J578))</f>
        <v>715746.21468195622</v>
      </c>
      <c r="K579">
        <f>IF(ROW()&lt;3, 0,IF(Query1[[#This Row],[Month]]&lt;&gt;H578,IF((J579-I579&gt;0),J579-I579,0),0))</f>
        <v>0</v>
      </c>
      <c r="L579" s="2">
        <f t="shared" si="9"/>
        <v>3592.2989655359538</v>
      </c>
      <c r="M579">
        <f>IF(ROW()&lt;3, 0, IF(Query1[[#This Row],[Month]]&lt;&gt;H578, Dashboard!$J$5,0))</f>
        <v>0</v>
      </c>
      <c r="N579" s="2">
        <f>IF(ROW()&lt;3, Query1[[#This Row],[Shares]], IF(Query1[[#This Row],[Month]]&lt;&gt;H578, N578+Query1[[#This Row],[Fix Top Up]]/Query1[[#This Row],[Adj Close]], N578))</f>
        <v>3365.3727189903552</v>
      </c>
      <c r="O579">
        <f>IF(AND(Query1[[#This Row],[avg]]&gt;0, Query1[[#This Row],[Month]]&lt;&gt;H578),
    IF(Query1[[#This Row],[Adj Close]]&gt;Query1[[#This Row],[avg]],
       Dashboard!$L$5-Dashboard!$E$6,
       Dashboard!$L$5+Dashboard!$E$6
    ), 0
)</f>
        <v>0</v>
      </c>
      <c r="P579" s="2">
        <f>IF(ROW()&lt;3, Query1[[#This Row],[Shares]], IF(Query1[[#This Row],[Month]]&lt;&gt;H578, P578+Query1[[#This Row],[Enhanced top up]]/Query1[[#This Row],[Adj Close]], P578))</f>
        <v>3354.0076178188647</v>
      </c>
      <c r="Q579" s="2">
        <f>IFERROR(AVERAGE(
  IF(ROW()&gt;20, INDEX(G:G, ROW()-20), 0) :
  INDEX(G:G, ROW())
),0)</f>
        <v>291.7710498628162</v>
      </c>
    </row>
    <row r="580" spans="1:17" x14ac:dyDescent="0.4">
      <c r="A580" s="1">
        <v>44670</v>
      </c>
      <c r="B580">
        <v>279.3800048828125</v>
      </c>
      <c r="C580">
        <v>286.17001342773438</v>
      </c>
      <c r="D580">
        <v>278.41000366210938</v>
      </c>
      <c r="E580">
        <v>285.29998779296875</v>
      </c>
      <c r="F580">
        <v>22297700</v>
      </c>
      <c r="G580">
        <v>277.13992309570313</v>
      </c>
      <c r="H580" s="2">
        <f>MONTH(Query1[[#This Row],[Date]])</f>
        <v>4</v>
      </c>
      <c r="I580" s="3">
        <f>Query1[[#This Row],[Shares]]*Query1[[#This Row],[Adj Close]]</f>
        <v>995569.45904540818</v>
      </c>
      <c r="J580" s="3">
        <f>IF(ROW()&lt;3, Dashboard!$E$7, IF(Query1[[#This Row],[Month]]&lt;&gt;H579,J579*(1+Dashboard!$E$4)+Dashboard!$E$5,J579))</f>
        <v>715746.21468195622</v>
      </c>
      <c r="K580">
        <f>IF(ROW()&lt;3, 0,IF(Query1[[#This Row],[Month]]&lt;&gt;H579,IF((J580-I580&gt;0),J580-I580,0),0))</f>
        <v>0</v>
      </c>
      <c r="L580" s="2">
        <f t="shared" si="9"/>
        <v>3592.2989655359538</v>
      </c>
      <c r="M580">
        <f>IF(ROW()&lt;3, 0, IF(Query1[[#This Row],[Month]]&lt;&gt;H579, Dashboard!$J$5,0))</f>
        <v>0</v>
      </c>
      <c r="N580" s="2">
        <f>IF(ROW()&lt;3, Query1[[#This Row],[Shares]], IF(Query1[[#This Row],[Month]]&lt;&gt;H579, N579+Query1[[#This Row],[Fix Top Up]]/Query1[[#This Row],[Adj Close]], N579))</f>
        <v>3365.3727189903552</v>
      </c>
      <c r="O580">
        <f>IF(AND(Query1[[#This Row],[avg]]&gt;0, Query1[[#This Row],[Month]]&lt;&gt;H579),
    IF(Query1[[#This Row],[Adj Close]]&gt;Query1[[#This Row],[avg]],
       Dashboard!$L$5-Dashboard!$E$6,
       Dashboard!$L$5+Dashboard!$E$6
    ), 0
)</f>
        <v>0</v>
      </c>
      <c r="P580" s="2">
        <f>IF(ROW()&lt;3, Query1[[#This Row],[Shares]], IF(Query1[[#This Row],[Month]]&lt;&gt;H579, P579+Query1[[#This Row],[Enhanced top up]]/Query1[[#This Row],[Adj Close]], P579))</f>
        <v>3354.0076178188647</v>
      </c>
      <c r="Q580" s="2">
        <f>IFERROR(AVERAGE(
  IF(ROW()&gt;20, INDEX(G:G, ROW()-20), 0) :
  INDEX(G:G, ROW())
),0)</f>
        <v>291.07118152436755</v>
      </c>
    </row>
    <row r="581" spans="1:17" x14ac:dyDescent="0.4">
      <c r="A581" s="1">
        <v>44671</v>
      </c>
      <c r="B581">
        <v>289.39999389648438</v>
      </c>
      <c r="C581">
        <v>289.70001220703125</v>
      </c>
      <c r="D581">
        <v>285.3699951171875</v>
      </c>
      <c r="E581">
        <v>286.3599853515625</v>
      </c>
      <c r="F581">
        <v>22906700</v>
      </c>
      <c r="G581">
        <v>278.169677734375</v>
      </c>
      <c r="H581" s="2">
        <f>MONTH(Query1[[#This Row],[Date]])</f>
        <v>4</v>
      </c>
      <c r="I581" s="3">
        <f>Query1[[#This Row],[Shares]]*Query1[[#This Row],[Adj Close]]</f>
        <v>999268.645568665</v>
      </c>
      <c r="J581" s="3">
        <f>IF(ROW()&lt;3, Dashboard!$E$7, IF(Query1[[#This Row],[Month]]&lt;&gt;H580,J580*(1+Dashboard!$E$4)+Dashboard!$E$5,J580))</f>
        <v>715746.21468195622</v>
      </c>
      <c r="K581">
        <f>IF(ROW()&lt;3, 0,IF(Query1[[#This Row],[Month]]&lt;&gt;H580,IF((J581-I581&gt;0),J581-I581,0),0))</f>
        <v>0</v>
      </c>
      <c r="L581" s="2">
        <f t="shared" si="9"/>
        <v>3592.2989655359538</v>
      </c>
      <c r="M581">
        <f>IF(ROW()&lt;3, 0, IF(Query1[[#This Row],[Month]]&lt;&gt;H580, Dashboard!$J$5,0))</f>
        <v>0</v>
      </c>
      <c r="N581" s="2">
        <f>IF(ROW()&lt;3, Query1[[#This Row],[Shares]], IF(Query1[[#This Row],[Month]]&lt;&gt;H580, N580+Query1[[#This Row],[Fix Top Up]]/Query1[[#This Row],[Adj Close]], N580))</f>
        <v>3365.3727189903552</v>
      </c>
      <c r="O581">
        <f>IF(AND(Query1[[#This Row],[avg]]&gt;0, Query1[[#This Row],[Month]]&lt;&gt;H580),
    IF(Query1[[#This Row],[Adj Close]]&gt;Query1[[#This Row],[avg]],
       Dashboard!$L$5-Dashboard!$E$6,
       Dashboard!$L$5+Dashboard!$E$6
    ), 0
)</f>
        <v>0</v>
      </c>
      <c r="P581" s="2">
        <f>IF(ROW()&lt;3, Query1[[#This Row],[Shares]], IF(Query1[[#This Row],[Month]]&lt;&gt;H580, P580+Query1[[#This Row],[Enhanced top up]]/Query1[[#This Row],[Adj Close]], P580))</f>
        <v>3354.0076178188647</v>
      </c>
      <c r="Q581" s="2">
        <f>IFERROR(AVERAGE(
  IF(ROW()&gt;20, INDEX(G:G, ROW()-20), 0) :
  INDEX(G:G, ROW())
),0)</f>
        <v>290.47909255254837</v>
      </c>
    </row>
    <row r="582" spans="1:17" x14ac:dyDescent="0.4">
      <c r="A582" s="1">
        <v>44672</v>
      </c>
      <c r="B582">
        <v>288.57998657226563</v>
      </c>
      <c r="C582">
        <v>293.29998779296875</v>
      </c>
      <c r="D582">
        <v>280.05999755859375</v>
      </c>
      <c r="E582">
        <v>280.80999755859375</v>
      </c>
      <c r="F582">
        <v>29454600</v>
      </c>
      <c r="G582">
        <v>272.77835083007813</v>
      </c>
      <c r="H582" s="2">
        <f>MONTH(Query1[[#This Row],[Date]])</f>
        <v>4</v>
      </c>
      <c r="I582" s="3">
        <f>Query1[[#This Row],[Shares]]*Query1[[#This Row],[Adj Close]]</f>
        <v>979901.38750749314</v>
      </c>
      <c r="J582" s="3">
        <f>IF(ROW()&lt;3, Dashboard!$E$7, IF(Query1[[#This Row],[Month]]&lt;&gt;H581,J581*(1+Dashboard!$E$4)+Dashboard!$E$5,J581))</f>
        <v>715746.21468195622</v>
      </c>
      <c r="K582">
        <f>IF(ROW()&lt;3, 0,IF(Query1[[#This Row],[Month]]&lt;&gt;H581,IF((J582-I582&gt;0),J582-I582,0),0))</f>
        <v>0</v>
      </c>
      <c r="L582" s="2">
        <f t="shared" si="9"/>
        <v>3592.2989655359538</v>
      </c>
      <c r="M582">
        <f>IF(ROW()&lt;3, 0, IF(Query1[[#This Row],[Month]]&lt;&gt;H581, Dashboard!$J$5,0))</f>
        <v>0</v>
      </c>
      <c r="N582" s="2">
        <f>IF(ROW()&lt;3, Query1[[#This Row],[Shares]], IF(Query1[[#This Row],[Month]]&lt;&gt;H581, N581+Query1[[#This Row],[Fix Top Up]]/Query1[[#This Row],[Adj Close]], N581))</f>
        <v>3365.3727189903552</v>
      </c>
      <c r="O582">
        <f>IF(AND(Query1[[#This Row],[avg]]&gt;0, Query1[[#This Row],[Month]]&lt;&gt;H581),
    IF(Query1[[#This Row],[Adj Close]]&gt;Query1[[#This Row],[avg]],
       Dashboard!$L$5-Dashboard!$E$6,
       Dashboard!$L$5+Dashboard!$E$6
    ), 0
)</f>
        <v>0</v>
      </c>
      <c r="P582" s="2">
        <f>IF(ROW()&lt;3, Query1[[#This Row],[Shares]], IF(Query1[[#This Row],[Month]]&lt;&gt;H581, P581+Query1[[#This Row],[Enhanced top up]]/Query1[[#This Row],[Adj Close]], P581))</f>
        <v>3354.0076178188647</v>
      </c>
      <c r="Q582" s="2">
        <f>IFERROR(AVERAGE(
  IF(ROW()&gt;20, INDEX(G:G, ROW()-20), 0) :
  INDEX(G:G, ROW())
),0)</f>
        <v>289.4036182221912</v>
      </c>
    </row>
    <row r="583" spans="1:17" x14ac:dyDescent="0.4">
      <c r="A583" s="1">
        <v>44673</v>
      </c>
      <c r="B583">
        <v>281.67999267578125</v>
      </c>
      <c r="C583">
        <v>283.20001220703125</v>
      </c>
      <c r="D583">
        <v>273.3800048828125</v>
      </c>
      <c r="E583">
        <v>274.02999877929688</v>
      </c>
      <c r="F583">
        <v>29405800</v>
      </c>
      <c r="G583">
        <v>266.1923828125</v>
      </c>
      <c r="H583" s="2">
        <f>MONTH(Query1[[#This Row],[Date]])</f>
        <v>4</v>
      </c>
      <c r="I583" s="3">
        <f>Query1[[#This Row],[Shares]]*Query1[[#This Row],[Adj Close]]</f>
        <v>956242.62141089432</v>
      </c>
      <c r="J583" s="3">
        <f>IF(ROW()&lt;3, Dashboard!$E$7, IF(Query1[[#This Row],[Month]]&lt;&gt;H582,J582*(1+Dashboard!$E$4)+Dashboard!$E$5,J582))</f>
        <v>715746.21468195622</v>
      </c>
      <c r="K583">
        <f>IF(ROW()&lt;3, 0,IF(Query1[[#This Row],[Month]]&lt;&gt;H582,IF((J583-I583&gt;0),J583-I583,0),0))</f>
        <v>0</v>
      </c>
      <c r="L583" s="2">
        <f t="shared" si="9"/>
        <v>3592.2989655359538</v>
      </c>
      <c r="M583">
        <f>IF(ROW()&lt;3, 0, IF(Query1[[#This Row],[Month]]&lt;&gt;H582, Dashboard!$J$5,0))</f>
        <v>0</v>
      </c>
      <c r="N583" s="2">
        <f>IF(ROW()&lt;3, Query1[[#This Row],[Shares]], IF(Query1[[#This Row],[Month]]&lt;&gt;H582, N582+Query1[[#This Row],[Fix Top Up]]/Query1[[#This Row],[Adj Close]], N582))</f>
        <v>3365.3727189903552</v>
      </c>
      <c r="O583">
        <f>IF(AND(Query1[[#This Row],[avg]]&gt;0, Query1[[#This Row],[Month]]&lt;&gt;H582),
    IF(Query1[[#This Row],[Adj Close]]&gt;Query1[[#This Row],[avg]],
       Dashboard!$L$5-Dashboard!$E$6,
       Dashboard!$L$5+Dashboard!$E$6
    ), 0
)</f>
        <v>0</v>
      </c>
      <c r="P583" s="2">
        <f>IF(ROW()&lt;3, Query1[[#This Row],[Shares]], IF(Query1[[#This Row],[Month]]&lt;&gt;H582, P582+Query1[[#This Row],[Enhanced top up]]/Query1[[#This Row],[Adj Close]], P582))</f>
        <v>3354.0076178188647</v>
      </c>
      <c r="Q583" s="2">
        <f>IFERROR(AVERAGE(
  IF(ROW()&gt;20, INDEX(G:G, ROW()-20), 0) :
  INDEX(G:G, ROW())
),0)</f>
        <v>288.22591727120533</v>
      </c>
    </row>
    <row r="584" spans="1:17" x14ac:dyDescent="0.4">
      <c r="A584" s="1">
        <v>44676</v>
      </c>
      <c r="B584">
        <v>273.29000854492188</v>
      </c>
      <c r="C584">
        <v>281.1099853515625</v>
      </c>
      <c r="D584">
        <v>270.76998901367188</v>
      </c>
      <c r="E584">
        <v>280.72000122070313</v>
      </c>
      <c r="F584">
        <v>35678900</v>
      </c>
      <c r="G584">
        <v>272.69091796875</v>
      </c>
      <c r="H584" s="2">
        <f>MONTH(Query1[[#This Row],[Date]])</f>
        <v>4</v>
      </c>
      <c r="I584" s="3">
        <f>Query1[[#This Row],[Shares]]*Query1[[#This Row],[Adj Close]]</f>
        <v>979587.30253019021</v>
      </c>
      <c r="J584" s="3">
        <f>IF(ROW()&lt;3, Dashboard!$E$7, IF(Query1[[#This Row],[Month]]&lt;&gt;H583,J583*(1+Dashboard!$E$4)+Dashboard!$E$5,J583))</f>
        <v>715746.21468195622</v>
      </c>
      <c r="K584">
        <f>IF(ROW()&lt;3, 0,IF(Query1[[#This Row],[Month]]&lt;&gt;H583,IF((J584-I584&gt;0),J584-I584,0),0))</f>
        <v>0</v>
      </c>
      <c r="L584" s="2">
        <f t="shared" si="9"/>
        <v>3592.2989655359538</v>
      </c>
      <c r="M584">
        <f>IF(ROW()&lt;3, 0, IF(Query1[[#This Row],[Month]]&lt;&gt;H583, Dashboard!$J$5,0))</f>
        <v>0</v>
      </c>
      <c r="N584" s="2">
        <f>IF(ROW()&lt;3, Query1[[#This Row],[Shares]], IF(Query1[[#This Row],[Month]]&lt;&gt;H583, N583+Query1[[#This Row],[Fix Top Up]]/Query1[[#This Row],[Adj Close]], N583))</f>
        <v>3365.3727189903552</v>
      </c>
      <c r="O584">
        <f>IF(AND(Query1[[#This Row],[avg]]&gt;0, Query1[[#This Row],[Month]]&lt;&gt;H583),
    IF(Query1[[#This Row],[Adj Close]]&gt;Query1[[#This Row],[avg]],
       Dashboard!$L$5-Dashboard!$E$6,
       Dashboard!$L$5+Dashboard!$E$6
    ), 0
)</f>
        <v>0</v>
      </c>
      <c r="P584" s="2">
        <f>IF(ROW()&lt;3, Query1[[#This Row],[Shares]], IF(Query1[[#This Row],[Month]]&lt;&gt;H583, P583+Query1[[#This Row],[Enhanced top up]]/Query1[[#This Row],[Adj Close]], P583))</f>
        <v>3354.0076178188647</v>
      </c>
      <c r="Q584" s="2">
        <f>IFERROR(AVERAGE(
  IF(ROW()&gt;20, INDEX(G:G, ROW()-20), 0) :
  INDEX(G:G, ROW())
),0)</f>
        <v>287.14442516508558</v>
      </c>
    </row>
    <row r="585" spans="1:17" x14ac:dyDescent="0.4">
      <c r="A585" s="1">
        <v>44677</v>
      </c>
      <c r="B585">
        <v>277.5</v>
      </c>
      <c r="C585">
        <v>278.3599853515625</v>
      </c>
      <c r="D585">
        <v>270</v>
      </c>
      <c r="E585">
        <v>270.22000122070313</v>
      </c>
      <c r="F585">
        <v>46518400</v>
      </c>
      <c r="G585">
        <v>262.4912109375</v>
      </c>
      <c r="H585" s="2">
        <f>MONTH(Query1[[#This Row],[Date]])</f>
        <v>4</v>
      </c>
      <c r="I585" s="3">
        <f>Query1[[#This Row],[Shares]]*Query1[[#This Row],[Adj Close]]</f>
        <v>942946.90551306109</v>
      </c>
      <c r="J585" s="3">
        <f>IF(ROW()&lt;3, Dashboard!$E$7, IF(Query1[[#This Row],[Month]]&lt;&gt;H584,J584*(1+Dashboard!$E$4)+Dashboard!$E$5,J584))</f>
        <v>715746.21468195622</v>
      </c>
      <c r="K585">
        <f>IF(ROW()&lt;3, 0,IF(Query1[[#This Row],[Month]]&lt;&gt;H584,IF((J585-I585&gt;0),J585-I585,0),0))</f>
        <v>0</v>
      </c>
      <c r="L585" s="2">
        <f t="shared" si="9"/>
        <v>3592.2989655359538</v>
      </c>
      <c r="M585">
        <f>IF(ROW()&lt;3, 0, IF(Query1[[#This Row],[Month]]&lt;&gt;H584, Dashboard!$J$5,0))</f>
        <v>0</v>
      </c>
      <c r="N585" s="2">
        <f>IF(ROW()&lt;3, Query1[[#This Row],[Shares]], IF(Query1[[#This Row],[Month]]&lt;&gt;H584, N584+Query1[[#This Row],[Fix Top Up]]/Query1[[#This Row],[Adj Close]], N584))</f>
        <v>3365.3727189903552</v>
      </c>
      <c r="O585">
        <f>IF(AND(Query1[[#This Row],[avg]]&gt;0, Query1[[#This Row],[Month]]&lt;&gt;H584),
    IF(Query1[[#This Row],[Adj Close]]&gt;Query1[[#This Row],[avg]],
       Dashboard!$L$5-Dashboard!$E$6,
       Dashboard!$L$5+Dashboard!$E$6
    ), 0
)</f>
        <v>0</v>
      </c>
      <c r="P585" s="2">
        <f>IF(ROW()&lt;3, Query1[[#This Row],[Shares]], IF(Query1[[#This Row],[Month]]&lt;&gt;H584, P584+Query1[[#This Row],[Enhanced top up]]/Query1[[#This Row],[Adj Close]], P584))</f>
        <v>3354.0076178188647</v>
      </c>
      <c r="Q585" s="2">
        <f>IFERROR(AVERAGE(
  IF(ROW()&gt;20, INDEX(G:G, ROW()-20), 0) :
  INDEX(G:G, ROW())
),0)</f>
        <v>285.59666224888394</v>
      </c>
    </row>
    <row r="586" spans="1:17" x14ac:dyDescent="0.4">
      <c r="A586" s="1">
        <v>44678</v>
      </c>
      <c r="B586">
        <v>282.10000610351563</v>
      </c>
      <c r="C586">
        <v>290.97000122070313</v>
      </c>
      <c r="D586">
        <v>279.16000366210938</v>
      </c>
      <c r="E586">
        <v>283.22000122070313</v>
      </c>
      <c r="F586">
        <v>63477700</v>
      </c>
      <c r="G586">
        <v>275.11944580078125</v>
      </c>
      <c r="H586" s="2">
        <f>MONTH(Query1[[#This Row],[Date]])</f>
        <v>4</v>
      </c>
      <c r="I586" s="3">
        <f>Query1[[#This Row],[Shares]]*Query1[[#This Row],[Adj Close]]</f>
        <v>988311.3005489714</v>
      </c>
      <c r="J586" s="3">
        <f>IF(ROW()&lt;3, Dashboard!$E$7, IF(Query1[[#This Row],[Month]]&lt;&gt;H585,J585*(1+Dashboard!$E$4)+Dashboard!$E$5,J585))</f>
        <v>715746.21468195622</v>
      </c>
      <c r="K586">
        <f>IF(ROW()&lt;3, 0,IF(Query1[[#This Row],[Month]]&lt;&gt;H585,IF((J586-I586&gt;0),J586-I586,0),0))</f>
        <v>0</v>
      </c>
      <c r="L586" s="2">
        <f t="shared" si="9"/>
        <v>3592.2989655359538</v>
      </c>
      <c r="M586">
        <f>IF(ROW()&lt;3, 0, IF(Query1[[#This Row],[Month]]&lt;&gt;H585, Dashboard!$J$5,0))</f>
        <v>0</v>
      </c>
      <c r="N586" s="2">
        <f>IF(ROW()&lt;3, Query1[[#This Row],[Shares]], IF(Query1[[#This Row],[Month]]&lt;&gt;H585, N585+Query1[[#This Row],[Fix Top Up]]/Query1[[#This Row],[Adj Close]], N585))</f>
        <v>3365.3727189903552</v>
      </c>
      <c r="O586">
        <f>IF(AND(Query1[[#This Row],[avg]]&gt;0, Query1[[#This Row],[Month]]&lt;&gt;H585),
    IF(Query1[[#This Row],[Adj Close]]&gt;Query1[[#This Row],[avg]],
       Dashboard!$L$5-Dashboard!$E$6,
       Dashboard!$L$5+Dashboard!$E$6
    ), 0
)</f>
        <v>0</v>
      </c>
      <c r="P586" s="2">
        <f>IF(ROW()&lt;3, Query1[[#This Row],[Shares]], IF(Query1[[#This Row],[Month]]&lt;&gt;H585, P585+Query1[[#This Row],[Enhanced top up]]/Query1[[#This Row],[Adj Close]], P585))</f>
        <v>3354.0076178188647</v>
      </c>
      <c r="Q586" s="2">
        <f>IFERROR(AVERAGE(
  IF(ROW()&gt;20, INDEX(G:G, ROW()-20), 0) :
  INDEX(G:G, ROW())
),0)</f>
        <v>284.32551938011534</v>
      </c>
    </row>
    <row r="587" spans="1:17" x14ac:dyDescent="0.4">
      <c r="A587" s="1">
        <v>44679</v>
      </c>
      <c r="B587">
        <v>285.19000244140625</v>
      </c>
      <c r="C587">
        <v>290.98001098632813</v>
      </c>
      <c r="D587">
        <v>281.45999145507813</v>
      </c>
      <c r="E587">
        <v>289.6300048828125</v>
      </c>
      <c r="F587">
        <v>33646600</v>
      </c>
      <c r="G587">
        <v>281.34609985351563</v>
      </c>
      <c r="H587" s="2">
        <f>MONTH(Query1[[#This Row],[Date]])</f>
        <v>4</v>
      </c>
      <c r="I587" s="3">
        <f>Query1[[#This Row],[Shares]]*Query1[[#This Row],[Adj Close]]</f>
        <v>1010679.3034613593</v>
      </c>
      <c r="J587" s="3">
        <f>IF(ROW()&lt;3, Dashboard!$E$7, IF(Query1[[#This Row],[Month]]&lt;&gt;H586,J586*(1+Dashboard!$E$4)+Dashboard!$E$5,J586))</f>
        <v>715746.21468195622</v>
      </c>
      <c r="K587">
        <f>IF(ROW()&lt;3, 0,IF(Query1[[#This Row],[Month]]&lt;&gt;H586,IF((J587-I587&gt;0),J587-I587,0),0))</f>
        <v>0</v>
      </c>
      <c r="L587" s="2">
        <f t="shared" si="9"/>
        <v>3592.2989655359538</v>
      </c>
      <c r="M587">
        <f>IF(ROW()&lt;3, 0, IF(Query1[[#This Row],[Month]]&lt;&gt;H586, Dashboard!$J$5,0))</f>
        <v>0</v>
      </c>
      <c r="N587" s="2">
        <f>IF(ROW()&lt;3, Query1[[#This Row],[Shares]], IF(Query1[[#This Row],[Month]]&lt;&gt;H586, N586+Query1[[#This Row],[Fix Top Up]]/Query1[[#This Row],[Adj Close]], N586))</f>
        <v>3365.3727189903552</v>
      </c>
      <c r="O587">
        <f>IF(AND(Query1[[#This Row],[avg]]&gt;0, Query1[[#This Row],[Month]]&lt;&gt;H586),
    IF(Query1[[#This Row],[Adj Close]]&gt;Query1[[#This Row],[avg]],
       Dashboard!$L$5-Dashboard!$E$6,
       Dashboard!$L$5+Dashboard!$E$6
    ), 0
)</f>
        <v>0</v>
      </c>
      <c r="P587" s="2">
        <f>IF(ROW()&lt;3, Query1[[#This Row],[Shares]], IF(Query1[[#This Row],[Month]]&lt;&gt;H586, P586+Query1[[#This Row],[Enhanced top up]]/Query1[[#This Row],[Adj Close]], P586))</f>
        <v>3354.0076178188647</v>
      </c>
      <c r="Q587" s="2">
        <f>IFERROR(AVERAGE(
  IF(ROW()&gt;20, INDEX(G:G, ROW()-20), 0) :
  INDEX(G:G, ROW())
),0)</f>
        <v>283.1330101376488</v>
      </c>
    </row>
    <row r="588" spans="1:17" x14ac:dyDescent="0.4">
      <c r="A588" s="1">
        <v>44680</v>
      </c>
      <c r="B588">
        <v>288.6099853515625</v>
      </c>
      <c r="C588">
        <v>289.8800048828125</v>
      </c>
      <c r="D588">
        <v>276.5</v>
      </c>
      <c r="E588">
        <v>277.51998901367188</v>
      </c>
      <c r="F588">
        <v>37073900</v>
      </c>
      <c r="G588">
        <v>269.58245849609375</v>
      </c>
      <c r="H588" s="2">
        <f>MONTH(Query1[[#This Row],[Date]])</f>
        <v>4</v>
      </c>
      <c r="I588" s="3">
        <f>Query1[[#This Row],[Shares]]*Query1[[#This Row],[Adj Close]]</f>
        <v>968420.78678215679</v>
      </c>
      <c r="J588" s="3">
        <f>IF(ROW()&lt;3, Dashboard!$E$7, IF(Query1[[#This Row],[Month]]&lt;&gt;H587,J587*(1+Dashboard!$E$4)+Dashboard!$E$5,J587))</f>
        <v>715746.21468195622</v>
      </c>
      <c r="K588">
        <f>IF(ROW()&lt;3, 0,IF(Query1[[#This Row],[Month]]&lt;&gt;H587,IF((J588-I588&gt;0),J588-I588,0),0))</f>
        <v>0</v>
      </c>
      <c r="L588" s="2">
        <f t="shared" si="9"/>
        <v>3592.2989655359538</v>
      </c>
      <c r="M588">
        <f>IF(ROW()&lt;3, 0, IF(Query1[[#This Row],[Month]]&lt;&gt;H587, Dashboard!$J$5,0))</f>
        <v>0</v>
      </c>
      <c r="N588" s="2">
        <f>IF(ROW()&lt;3, Query1[[#This Row],[Shares]], IF(Query1[[#This Row],[Month]]&lt;&gt;H587, N587+Query1[[#This Row],[Fix Top Up]]/Query1[[#This Row],[Adj Close]], N587))</f>
        <v>3365.3727189903552</v>
      </c>
      <c r="O588">
        <f>IF(AND(Query1[[#This Row],[avg]]&gt;0, Query1[[#This Row],[Month]]&lt;&gt;H587),
    IF(Query1[[#This Row],[Adj Close]]&gt;Query1[[#This Row],[avg]],
       Dashboard!$L$5-Dashboard!$E$6,
       Dashboard!$L$5+Dashboard!$E$6
    ), 0
)</f>
        <v>0</v>
      </c>
      <c r="P588" s="2">
        <f>IF(ROW()&lt;3, Query1[[#This Row],[Shares]], IF(Query1[[#This Row],[Month]]&lt;&gt;H587, P587+Query1[[#This Row],[Enhanced top up]]/Query1[[#This Row],[Adj Close]], P587))</f>
        <v>3354.0076178188647</v>
      </c>
      <c r="Q588" s="2">
        <f>IFERROR(AVERAGE(
  IF(ROW()&gt;20, INDEX(G:G, ROW()-20), 0) :
  INDEX(G:G, ROW())
),0)</f>
        <v>281.45202927362351</v>
      </c>
    </row>
    <row r="589" spans="1:17" x14ac:dyDescent="0.4">
      <c r="A589" s="1">
        <v>44683</v>
      </c>
      <c r="B589">
        <v>277.70999145507813</v>
      </c>
      <c r="C589">
        <v>284.94000244140625</v>
      </c>
      <c r="D589">
        <v>276.22000122070313</v>
      </c>
      <c r="E589">
        <v>284.47000122070313</v>
      </c>
      <c r="F589">
        <v>35151100</v>
      </c>
      <c r="G589">
        <v>276.3336181640625</v>
      </c>
      <c r="H589" s="2">
        <f>MONTH(Query1[[#This Row],[Date]])</f>
        <v>5</v>
      </c>
      <c r="I589" s="3">
        <f>Query1[[#This Row],[Shares]]*Query1[[#This Row],[Adj Close]]</f>
        <v>992672.97067356901</v>
      </c>
      <c r="J589" s="3">
        <f>IF(ROW()&lt;3, Dashboard!$E$7, IF(Query1[[#This Row],[Month]]&lt;&gt;H588,J588*(1+Dashboard!$E$4)+Dashboard!$E$5,J588))</f>
        <v>724903.67682877579</v>
      </c>
      <c r="K589">
        <f>IF(ROW()&lt;3, 0,IF(Query1[[#This Row],[Month]]&lt;&gt;H588,IF((J589-I589&gt;0),J589-I589,0),0))</f>
        <v>0</v>
      </c>
      <c r="L589" s="2">
        <f t="shared" si="9"/>
        <v>3592.2989655359538</v>
      </c>
      <c r="M589">
        <f>IF(ROW()&lt;3, 0, IF(Query1[[#This Row],[Month]]&lt;&gt;H588, Dashboard!$J$5,0))</f>
        <v>773.47399999999971</v>
      </c>
      <c r="N589" s="2">
        <f>IF(ROW()&lt;3, Query1[[#This Row],[Shares]], IF(Query1[[#This Row],[Month]]&lt;&gt;H588, N588+Query1[[#This Row],[Fix Top Up]]/Query1[[#This Row],[Adj Close]], N588))</f>
        <v>3368.1717776251276</v>
      </c>
      <c r="O589">
        <f>IF(AND(Query1[[#This Row],[avg]]&gt;0, Query1[[#This Row],[Month]]&lt;&gt;H588),
    IF(Query1[[#This Row],[Adj Close]]&gt;Query1[[#This Row],[avg]],
       Dashboard!$L$5-Dashboard!$E$6,
       Dashboard!$L$5+Dashboard!$E$6
    ), 0
)</f>
        <v>1390.1406666666667</v>
      </c>
      <c r="P589" s="2">
        <f>IF(ROW()&lt;3, Query1[[#This Row],[Shares]], IF(Query1[[#This Row],[Month]]&lt;&gt;H588, P588+Query1[[#This Row],[Enhanced top up]]/Query1[[#This Row],[Adj Close]], P588))</f>
        <v>3359.0382784959934</v>
      </c>
      <c r="Q589" s="2">
        <f>IFERROR(AVERAGE(
  IF(ROW()&gt;20, INDEX(G:G, ROW()-20), 0) :
  INDEX(G:G, ROW())
),0)</f>
        <v>280.34925624302457</v>
      </c>
    </row>
    <row r="590" spans="1:17" x14ac:dyDescent="0.4">
      <c r="A590" s="1">
        <v>44684</v>
      </c>
      <c r="B590">
        <v>283.95999145507813</v>
      </c>
      <c r="C590">
        <v>284.1300048828125</v>
      </c>
      <c r="D590">
        <v>280.14999389648438</v>
      </c>
      <c r="E590">
        <v>281.77999877929688</v>
      </c>
      <c r="F590">
        <v>25978600</v>
      </c>
      <c r="G590">
        <v>273.72067260742188</v>
      </c>
      <c r="H590" s="2">
        <f>MONTH(Query1[[#This Row],[Date]])</f>
        <v>5</v>
      </c>
      <c r="I590" s="3">
        <f>Query1[[#This Row],[Shares]]*Query1[[#This Row],[Adj Close]]</f>
        <v>983286.48905344715</v>
      </c>
      <c r="J590" s="3">
        <f>IF(ROW()&lt;3, Dashboard!$E$7, IF(Query1[[#This Row],[Month]]&lt;&gt;H589,J589*(1+Dashboard!$E$4)+Dashboard!$E$5,J589))</f>
        <v>724903.67682877579</v>
      </c>
      <c r="K590">
        <f>IF(ROW()&lt;3, 0,IF(Query1[[#This Row],[Month]]&lt;&gt;H589,IF((J590-I590&gt;0),J590-I590,0),0))</f>
        <v>0</v>
      </c>
      <c r="L590" s="2">
        <f t="shared" si="9"/>
        <v>3592.2989655359538</v>
      </c>
      <c r="M590">
        <f>IF(ROW()&lt;3, 0, IF(Query1[[#This Row],[Month]]&lt;&gt;H589, Dashboard!$J$5,0))</f>
        <v>0</v>
      </c>
      <c r="N590" s="2">
        <f>IF(ROW()&lt;3, Query1[[#This Row],[Shares]], IF(Query1[[#This Row],[Month]]&lt;&gt;H589, N589+Query1[[#This Row],[Fix Top Up]]/Query1[[#This Row],[Adj Close]], N589))</f>
        <v>3368.1717776251276</v>
      </c>
      <c r="O590">
        <f>IF(AND(Query1[[#This Row],[avg]]&gt;0, Query1[[#This Row],[Month]]&lt;&gt;H589),
    IF(Query1[[#This Row],[Adj Close]]&gt;Query1[[#This Row],[avg]],
       Dashboard!$L$5-Dashboard!$E$6,
       Dashboard!$L$5+Dashboard!$E$6
    ), 0
)</f>
        <v>0</v>
      </c>
      <c r="P590" s="2">
        <f>IF(ROW()&lt;3, Query1[[#This Row],[Shares]], IF(Query1[[#This Row],[Month]]&lt;&gt;H589, P589+Query1[[#This Row],[Enhanced top up]]/Query1[[#This Row],[Adj Close]], P589))</f>
        <v>3359.0382784959934</v>
      </c>
      <c r="Q590" s="2">
        <f>IFERROR(AVERAGE(
  IF(ROW()&gt;20, INDEX(G:G, ROW()-20), 0) :
  INDEX(G:G, ROW())
),0)</f>
        <v>279.07071504138764</v>
      </c>
    </row>
    <row r="591" spans="1:17" x14ac:dyDescent="0.4">
      <c r="A591" s="1">
        <v>44685</v>
      </c>
      <c r="B591">
        <v>282.58999633789063</v>
      </c>
      <c r="C591">
        <v>290.8800048828125</v>
      </c>
      <c r="D591">
        <v>276.73001098632813</v>
      </c>
      <c r="E591">
        <v>289.98001098632813</v>
      </c>
      <c r="F591">
        <v>33599300</v>
      </c>
      <c r="G591">
        <v>281.68609619140625</v>
      </c>
      <c r="H591" s="2">
        <f>MONTH(Query1[[#This Row],[Date]])</f>
        <v>5</v>
      </c>
      <c r="I591" s="3">
        <f>Query1[[#This Row],[Shares]]*Query1[[#This Row],[Adj Close]]</f>
        <v>1011900.6719542498</v>
      </c>
      <c r="J591" s="3">
        <f>IF(ROW()&lt;3, Dashboard!$E$7, IF(Query1[[#This Row],[Month]]&lt;&gt;H590,J590*(1+Dashboard!$E$4)+Dashboard!$E$5,J590))</f>
        <v>724903.67682877579</v>
      </c>
      <c r="K591">
        <f>IF(ROW()&lt;3, 0,IF(Query1[[#This Row],[Month]]&lt;&gt;H590,IF((J591-I591&gt;0),J591-I591,0),0))</f>
        <v>0</v>
      </c>
      <c r="L591" s="2">
        <f t="shared" si="9"/>
        <v>3592.2989655359538</v>
      </c>
      <c r="M591">
        <f>IF(ROW()&lt;3, 0, IF(Query1[[#This Row],[Month]]&lt;&gt;H590, Dashboard!$J$5,0))</f>
        <v>0</v>
      </c>
      <c r="N591" s="2">
        <f>IF(ROW()&lt;3, Query1[[#This Row],[Shares]], IF(Query1[[#This Row],[Month]]&lt;&gt;H590, N590+Query1[[#This Row],[Fix Top Up]]/Query1[[#This Row],[Adj Close]], N590))</f>
        <v>3368.1717776251276</v>
      </c>
      <c r="O591">
        <f>IF(AND(Query1[[#This Row],[avg]]&gt;0, Query1[[#This Row],[Month]]&lt;&gt;H590),
    IF(Query1[[#This Row],[Adj Close]]&gt;Query1[[#This Row],[avg]],
       Dashboard!$L$5-Dashboard!$E$6,
       Dashboard!$L$5+Dashboard!$E$6
    ), 0
)</f>
        <v>0</v>
      </c>
      <c r="P591" s="2">
        <f>IF(ROW()&lt;3, Query1[[#This Row],[Shares]], IF(Query1[[#This Row],[Month]]&lt;&gt;H590, P590+Query1[[#This Row],[Enhanced top up]]/Query1[[#This Row],[Adj Close]], P590))</f>
        <v>3359.0382784959934</v>
      </c>
      <c r="Q591" s="2">
        <f>IFERROR(AVERAGE(
  IF(ROW()&gt;20, INDEX(G:G, ROW()-20), 0) :
  INDEX(G:G, ROW())
),0)</f>
        <v>277.91474987211683</v>
      </c>
    </row>
    <row r="592" spans="1:17" x14ac:dyDescent="0.4">
      <c r="A592" s="1">
        <v>44686</v>
      </c>
      <c r="B592">
        <v>285.54000854492188</v>
      </c>
      <c r="C592">
        <v>286.35000610351563</v>
      </c>
      <c r="D592">
        <v>274.33999633789063</v>
      </c>
      <c r="E592">
        <v>277.35000610351563</v>
      </c>
      <c r="F592">
        <v>43260400</v>
      </c>
      <c r="G592">
        <v>269.41732788085938</v>
      </c>
      <c r="H592" s="2">
        <f>MONTH(Query1[[#This Row],[Date]])</f>
        <v>5</v>
      </c>
      <c r="I592" s="3">
        <f>Query1[[#This Row],[Shares]]*Query1[[#This Row],[Adj Close]]</f>
        <v>967827.58824387204</v>
      </c>
      <c r="J592" s="3">
        <f>IF(ROW()&lt;3, Dashboard!$E$7, IF(Query1[[#This Row],[Month]]&lt;&gt;H591,J591*(1+Dashboard!$E$4)+Dashboard!$E$5,J591))</f>
        <v>724903.67682877579</v>
      </c>
      <c r="K592">
        <f>IF(ROW()&lt;3, 0,IF(Query1[[#This Row],[Month]]&lt;&gt;H591,IF((J592-I592&gt;0),J592-I592,0),0))</f>
        <v>0</v>
      </c>
      <c r="L592" s="2">
        <f t="shared" si="9"/>
        <v>3592.2989655359538</v>
      </c>
      <c r="M592">
        <f>IF(ROW()&lt;3, 0, IF(Query1[[#This Row],[Month]]&lt;&gt;H591, Dashboard!$J$5,0))</f>
        <v>0</v>
      </c>
      <c r="N592" s="2">
        <f>IF(ROW()&lt;3, Query1[[#This Row],[Shares]], IF(Query1[[#This Row],[Month]]&lt;&gt;H591, N591+Query1[[#This Row],[Fix Top Up]]/Query1[[#This Row],[Adj Close]], N591))</f>
        <v>3368.1717776251276</v>
      </c>
      <c r="O592">
        <f>IF(AND(Query1[[#This Row],[avg]]&gt;0, Query1[[#This Row],[Month]]&lt;&gt;H591),
    IF(Query1[[#This Row],[Adj Close]]&gt;Query1[[#This Row],[avg]],
       Dashboard!$L$5-Dashboard!$E$6,
       Dashboard!$L$5+Dashboard!$E$6
    ), 0
)</f>
        <v>0</v>
      </c>
      <c r="P592" s="2">
        <f>IF(ROW()&lt;3, Query1[[#This Row],[Shares]], IF(Query1[[#This Row],[Month]]&lt;&gt;H591, P591+Query1[[#This Row],[Enhanced top up]]/Query1[[#This Row],[Adj Close]], P591))</f>
        <v>3359.0382784959934</v>
      </c>
      <c r="Q592" s="2">
        <f>IFERROR(AVERAGE(
  IF(ROW()&gt;20, INDEX(G:G, ROW()-20), 0) :
  INDEX(G:G, ROW())
),0)</f>
        <v>276.36375063941591</v>
      </c>
    </row>
    <row r="593" spans="1:17" x14ac:dyDescent="0.4">
      <c r="A593" s="1">
        <v>44687</v>
      </c>
      <c r="B593">
        <v>274.80999755859375</v>
      </c>
      <c r="C593">
        <v>279.25</v>
      </c>
      <c r="D593">
        <v>271.26998901367188</v>
      </c>
      <c r="E593">
        <v>274.73001098632813</v>
      </c>
      <c r="F593">
        <v>37780300</v>
      </c>
      <c r="G593">
        <v>266.872314453125</v>
      </c>
      <c r="H593" s="2">
        <f>MONTH(Query1[[#This Row],[Date]])</f>
        <v>5</v>
      </c>
      <c r="I593" s="3">
        <f>Query1[[#This Row],[Shares]]*Query1[[#This Row],[Adj Close]]</f>
        <v>958685.13914014667</v>
      </c>
      <c r="J593" s="3">
        <f>IF(ROW()&lt;3, Dashboard!$E$7, IF(Query1[[#This Row],[Month]]&lt;&gt;H592,J592*(1+Dashboard!$E$4)+Dashboard!$E$5,J592))</f>
        <v>724903.67682877579</v>
      </c>
      <c r="K593">
        <f>IF(ROW()&lt;3, 0,IF(Query1[[#This Row],[Month]]&lt;&gt;H592,IF((J593-I593&gt;0),J593-I593,0),0))</f>
        <v>0</v>
      </c>
      <c r="L593" s="2">
        <f t="shared" si="9"/>
        <v>3592.2989655359538</v>
      </c>
      <c r="M593">
        <f>IF(ROW()&lt;3, 0, IF(Query1[[#This Row],[Month]]&lt;&gt;H592, Dashboard!$J$5,0))</f>
        <v>0</v>
      </c>
      <c r="N593" s="2">
        <f>IF(ROW()&lt;3, Query1[[#This Row],[Shares]], IF(Query1[[#This Row],[Month]]&lt;&gt;H592, N592+Query1[[#This Row],[Fix Top Up]]/Query1[[#This Row],[Adj Close]], N592))</f>
        <v>3368.1717776251276</v>
      </c>
      <c r="O593">
        <f>IF(AND(Query1[[#This Row],[avg]]&gt;0, Query1[[#This Row],[Month]]&lt;&gt;H592),
    IF(Query1[[#This Row],[Adj Close]]&gt;Query1[[#This Row],[avg]],
       Dashboard!$L$5-Dashboard!$E$6,
       Dashboard!$L$5+Dashboard!$E$6
    ), 0
)</f>
        <v>0</v>
      </c>
      <c r="P593" s="2">
        <f>IF(ROW()&lt;3, Query1[[#This Row],[Shares]], IF(Query1[[#This Row],[Month]]&lt;&gt;H592, P592+Query1[[#This Row],[Enhanced top up]]/Query1[[#This Row],[Adj Close]], P592))</f>
        <v>3359.0382784959934</v>
      </c>
      <c r="Q593" s="2">
        <f>IFERROR(AVERAGE(
  IF(ROW()&gt;20, INDEX(G:G, ROW()-20), 0) :
  INDEX(G:G, ROW())
),0)</f>
        <v>275.21796816871279</v>
      </c>
    </row>
    <row r="594" spans="1:17" x14ac:dyDescent="0.4">
      <c r="A594" s="1">
        <v>44690</v>
      </c>
      <c r="B594">
        <v>270.05999755859375</v>
      </c>
      <c r="C594">
        <v>272.3599853515625</v>
      </c>
      <c r="D594">
        <v>263.32000732421875</v>
      </c>
      <c r="E594">
        <v>264.57998657226563</v>
      </c>
      <c r="F594">
        <v>47726000</v>
      </c>
      <c r="G594">
        <v>257.01254272460938</v>
      </c>
      <c r="H594" s="2">
        <f>MONTH(Query1[[#This Row],[Date]])</f>
        <v>5</v>
      </c>
      <c r="I594" s="3">
        <f>Query1[[#This Row],[Shares]]*Query1[[#This Row],[Adj Close]]</f>
        <v>923265.8913593794</v>
      </c>
      <c r="J594" s="3">
        <f>IF(ROW()&lt;3, Dashboard!$E$7, IF(Query1[[#This Row],[Month]]&lt;&gt;H593,J593*(1+Dashboard!$E$4)+Dashboard!$E$5,J593))</f>
        <v>724903.67682877579</v>
      </c>
      <c r="K594">
        <f>IF(ROW()&lt;3, 0,IF(Query1[[#This Row],[Month]]&lt;&gt;H593,IF((J594-I594&gt;0),J594-I594,0),0))</f>
        <v>0</v>
      </c>
      <c r="L594" s="2">
        <f t="shared" si="9"/>
        <v>3592.2989655359538</v>
      </c>
      <c r="M594">
        <f>IF(ROW()&lt;3, 0, IF(Query1[[#This Row],[Month]]&lt;&gt;H593, Dashboard!$J$5,0))</f>
        <v>0</v>
      </c>
      <c r="N594" s="2">
        <f>IF(ROW()&lt;3, Query1[[#This Row],[Shares]], IF(Query1[[#This Row],[Month]]&lt;&gt;H593, N593+Query1[[#This Row],[Fix Top Up]]/Query1[[#This Row],[Adj Close]], N593))</f>
        <v>3368.1717776251276</v>
      </c>
      <c r="O594">
        <f>IF(AND(Query1[[#This Row],[avg]]&gt;0, Query1[[#This Row],[Month]]&lt;&gt;H593),
    IF(Query1[[#This Row],[Adj Close]]&gt;Query1[[#This Row],[avg]],
       Dashboard!$L$5-Dashboard!$E$6,
       Dashboard!$L$5+Dashboard!$E$6
    ), 0
)</f>
        <v>0</v>
      </c>
      <c r="P594" s="2">
        <f>IF(ROW()&lt;3, Query1[[#This Row],[Shares]], IF(Query1[[#This Row],[Month]]&lt;&gt;H593, P593+Query1[[#This Row],[Enhanced top up]]/Query1[[#This Row],[Adj Close]], P593))</f>
        <v>3359.0382784959934</v>
      </c>
      <c r="Q594" s="2">
        <f>IFERROR(AVERAGE(
  IF(ROW()&gt;20, INDEX(G:G, ROW()-20), 0) :
  INDEX(G:G, ROW())
),0)</f>
        <v>273.51616995675221</v>
      </c>
    </row>
    <row r="595" spans="1:17" x14ac:dyDescent="0.4">
      <c r="A595" s="1">
        <v>44691</v>
      </c>
      <c r="B595">
        <v>271.69000244140625</v>
      </c>
      <c r="C595">
        <v>273.75</v>
      </c>
      <c r="D595">
        <v>265.07000732421875</v>
      </c>
      <c r="E595">
        <v>269.5</v>
      </c>
      <c r="F595">
        <v>39336400</v>
      </c>
      <c r="G595">
        <v>261.79180908203125</v>
      </c>
      <c r="H595" s="2">
        <f>MONTH(Query1[[#This Row],[Date]])</f>
        <v>5</v>
      </c>
      <c r="I595" s="3">
        <f>Query1[[#This Row],[Shares]]*Query1[[#This Row],[Adj Close]]</f>
        <v>940434.44495116675</v>
      </c>
      <c r="J595" s="3">
        <f>IF(ROW()&lt;3, Dashboard!$E$7, IF(Query1[[#This Row],[Month]]&lt;&gt;H594,J594*(1+Dashboard!$E$4)+Dashboard!$E$5,J594))</f>
        <v>724903.67682877579</v>
      </c>
      <c r="K595">
        <f>IF(ROW()&lt;3, 0,IF(Query1[[#This Row],[Month]]&lt;&gt;H594,IF((J595-I595&gt;0),J595-I595,0),0))</f>
        <v>0</v>
      </c>
      <c r="L595" s="2">
        <f t="shared" si="9"/>
        <v>3592.2989655359538</v>
      </c>
      <c r="M595">
        <f>IF(ROW()&lt;3, 0, IF(Query1[[#This Row],[Month]]&lt;&gt;H594, Dashboard!$J$5,0))</f>
        <v>0</v>
      </c>
      <c r="N595" s="2">
        <f>IF(ROW()&lt;3, Query1[[#This Row],[Shares]], IF(Query1[[#This Row],[Month]]&lt;&gt;H594, N594+Query1[[#This Row],[Fix Top Up]]/Query1[[#This Row],[Adj Close]], N594))</f>
        <v>3368.1717776251276</v>
      </c>
      <c r="O595">
        <f>IF(AND(Query1[[#This Row],[avg]]&gt;0, Query1[[#This Row],[Month]]&lt;&gt;H594),
    IF(Query1[[#This Row],[Adj Close]]&gt;Query1[[#This Row],[avg]],
       Dashboard!$L$5-Dashboard!$E$6,
       Dashboard!$L$5+Dashboard!$E$6
    ), 0
)</f>
        <v>0</v>
      </c>
      <c r="P595" s="2">
        <f>IF(ROW()&lt;3, Query1[[#This Row],[Shares]], IF(Query1[[#This Row],[Month]]&lt;&gt;H594, P594+Query1[[#This Row],[Enhanced top up]]/Query1[[#This Row],[Adj Close]], P594))</f>
        <v>3359.0382784959934</v>
      </c>
      <c r="Q595" s="2">
        <f>IFERROR(AVERAGE(
  IF(ROW()&gt;20, INDEX(G:G, ROW()-20), 0) :
  INDEX(G:G, ROW())
),0)</f>
        <v>272.24548485165553</v>
      </c>
    </row>
    <row r="596" spans="1:17" x14ac:dyDescent="0.4">
      <c r="A596" s="1">
        <v>44692</v>
      </c>
      <c r="B596">
        <v>265.67999267578125</v>
      </c>
      <c r="C596">
        <v>271.3599853515625</v>
      </c>
      <c r="D596">
        <v>259.29998779296875</v>
      </c>
      <c r="E596">
        <v>260.54998779296875</v>
      </c>
      <c r="F596">
        <v>48975900</v>
      </c>
      <c r="G596">
        <v>253.09779357910156</v>
      </c>
      <c r="H596" s="2">
        <f>MONTH(Query1[[#This Row],[Date]])</f>
        <v>5</v>
      </c>
      <c r="I596" s="3">
        <f>Query1[[#This Row],[Shares]]*Query1[[#This Row],[Adj Close]]</f>
        <v>909202.94205363886</v>
      </c>
      <c r="J596" s="3">
        <f>IF(ROW()&lt;3, Dashboard!$E$7, IF(Query1[[#This Row],[Month]]&lt;&gt;H595,J595*(1+Dashboard!$E$4)+Dashboard!$E$5,J595))</f>
        <v>724903.67682877579</v>
      </c>
      <c r="K596">
        <f>IF(ROW()&lt;3, 0,IF(Query1[[#This Row],[Month]]&lt;&gt;H595,IF((J596-I596&gt;0),J596-I596,0),0))</f>
        <v>0</v>
      </c>
      <c r="L596" s="2">
        <f t="shared" si="9"/>
        <v>3592.2989655359538</v>
      </c>
      <c r="M596">
        <f>IF(ROW()&lt;3, 0, IF(Query1[[#This Row],[Month]]&lt;&gt;H595, Dashboard!$J$5,0))</f>
        <v>0</v>
      </c>
      <c r="N596" s="2">
        <f>IF(ROW()&lt;3, Query1[[#This Row],[Shares]], IF(Query1[[#This Row],[Month]]&lt;&gt;H595, N595+Query1[[#This Row],[Fix Top Up]]/Query1[[#This Row],[Adj Close]], N595))</f>
        <v>3368.1717776251276</v>
      </c>
      <c r="O596">
        <f>IF(AND(Query1[[#This Row],[avg]]&gt;0, Query1[[#This Row],[Month]]&lt;&gt;H595),
    IF(Query1[[#This Row],[Adj Close]]&gt;Query1[[#This Row],[avg]],
       Dashboard!$L$5-Dashboard!$E$6,
       Dashboard!$L$5+Dashboard!$E$6
    ), 0
)</f>
        <v>0</v>
      </c>
      <c r="P596" s="2">
        <f>IF(ROW()&lt;3, Query1[[#This Row],[Shares]], IF(Query1[[#This Row],[Month]]&lt;&gt;H595, P595+Query1[[#This Row],[Enhanced top up]]/Query1[[#This Row],[Adj Close]], P595))</f>
        <v>3359.0382784959934</v>
      </c>
      <c r="Q596" s="2">
        <f>IFERROR(AVERAGE(
  IF(ROW()&gt;20, INDEX(G:G, ROW()-20), 0) :
  INDEX(G:G, ROW())
),0)</f>
        <v>271.10247003464474</v>
      </c>
    </row>
    <row r="597" spans="1:17" x14ac:dyDescent="0.4">
      <c r="A597" s="1">
        <v>44693</v>
      </c>
      <c r="B597">
        <v>257.69000244140625</v>
      </c>
      <c r="C597">
        <v>259.8800048828125</v>
      </c>
      <c r="D597">
        <v>250.02000427246094</v>
      </c>
      <c r="E597">
        <v>255.35000610351563</v>
      </c>
      <c r="F597">
        <v>51033800</v>
      </c>
      <c r="G597">
        <v>248.04658508300781</v>
      </c>
      <c r="H597" s="2">
        <f>MONTH(Query1[[#This Row],[Date]])</f>
        <v>5</v>
      </c>
      <c r="I597" s="3">
        <f>Query1[[#This Row],[Shares]]*Query1[[#This Row],[Adj Close]]</f>
        <v>891057.49099841493</v>
      </c>
      <c r="J597" s="3">
        <f>IF(ROW()&lt;3, Dashboard!$E$7, IF(Query1[[#This Row],[Month]]&lt;&gt;H596,J596*(1+Dashboard!$E$4)+Dashboard!$E$5,J596))</f>
        <v>724903.67682877579</v>
      </c>
      <c r="K597">
        <f>IF(ROW()&lt;3, 0,IF(Query1[[#This Row],[Month]]&lt;&gt;H596,IF((J597-I597&gt;0),J597-I597,0),0))</f>
        <v>0</v>
      </c>
      <c r="L597" s="2">
        <f t="shared" si="9"/>
        <v>3592.2989655359538</v>
      </c>
      <c r="M597">
        <f>IF(ROW()&lt;3, 0, IF(Query1[[#This Row],[Month]]&lt;&gt;H596, Dashboard!$J$5,0))</f>
        <v>0</v>
      </c>
      <c r="N597" s="2">
        <f>IF(ROW()&lt;3, Query1[[#This Row],[Shares]], IF(Query1[[#This Row],[Month]]&lt;&gt;H596, N596+Query1[[#This Row],[Fix Top Up]]/Query1[[#This Row],[Adj Close]], N596))</f>
        <v>3368.1717776251276</v>
      </c>
      <c r="O597">
        <f>IF(AND(Query1[[#This Row],[avg]]&gt;0, Query1[[#This Row],[Month]]&lt;&gt;H596),
    IF(Query1[[#This Row],[Adj Close]]&gt;Query1[[#This Row],[avg]],
       Dashboard!$L$5-Dashboard!$E$6,
       Dashboard!$L$5+Dashboard!$E$6
    ), 0
)</f>
        <v>0</v>
      </c>
      <c r="P597" s="2">
        <f>IF(ROW()&lt;3, Query1[[#This Row],[Shares]], IF(Query1[[#This Row],[Month]]&lt;&gt;H596, P596+Query1[[#This Row],[Enhanced top up]]/Query1[[#This Row],[Adj Close]], P596))</f>
        <v>3359.0382784959934</v>
      </c>
      <c r="Q597" s="2">
        <f>IFERROR(AVERAGE(
  IF(ROW()&gt;20, INDEX(G:G, ROW()-20), 0) :
  INDEX(G:G, ROW())
),0)</f>
        <v>269.86694481259303</v>
      </c>
    </row>
    <row r="598" spans="1:17" x14ac:dyDescent="0.4">
      <c r="A598" s="1">
        <v>44694</v>
      </c>
      <c r="B598">
        <v>257.35000610351563</v>
      </c>
      <c r="C598">
        <v>263.04000854492188</v>
      </c>
      <c r="D598">
        <v>255.35000610351563</v>
      </c>
      <c r="E598">
        <v>261.1199951171875</v>
      </c>
      <c r="F598">
        <v>34925100</v>
      </c>
      <c r="G598">
        <v>253.65151977539063</v>
      </c>
      <c r="H598" s="2">
        <f>MONTH(Query1[[#This Row],[Date]])</f>
        <v>5</v>
      </c>
      <c r="I598" s="3">
        <f>Query1[[#This Row],[Shares]]*Query1[[#This Row],[Adj Close]]</f>
        <v>911192.0920957583</v>
      </c>
      <c r="J598" s="3">
        <f>IF(ROW()&lt;3, Dashboard!$E$7, IF(Query1[[#This Row],[Month]]&lt;&gt;H597,J597*(1+Dashboard!$E$4)+Dashboard!$E$5,J597))</f>
        <v>724903.67682877579</v>
      </c>
      <c r="K598">
        <f>IF(ROW()&lt;3, 0,IF(Query1[[#This Row],[Month]]&lt;&gt;H597,IF((J598-I598&gt;0),J598-I598,0),0))</f>
        <v>0</v>
      </c>
      <c r="L598" s="2">
        <f t="shared" si="9"/>
        <v>3592.2989655359538</v>
      </c>
      <c r="M598">
        <f>IF(ROW()&lt;3, 0, IF(Query1[[#This Row],[Month]]&lt;&gt;H597, Dashboard!$J$5,0))</f>
        <v>0</v>
      </c>
      <c r="N598" s="2">
        <f>IF(ROW()&lt;3, Query1[[#This Row],[Shares]], IF(Query1[[#This Row],[Month]]&lt;&gt;H597, N597+Query1[[#This Row],[Fix Top Up]]/Query1[[#This Row],[Adj Close]], N597))</f>
        <v>3368.1717776251276</v>
      </c>
      <c r="O598">
        <f>IF(AND(Query1[[#This Row],[avg]]&gt;0, Query1[[#This Row],[Month]]&lt;&gt;H597),
    IF(Query1[[#This Row],[Adj Close]]&gt;Query1[[#This Row],[avg]],
       Dashboard!$L$5-Dashboard!$E$6,
       Dashboard!$L$5+Dashboard!$E$6
    ), 0
)</f>
        <v>0</v>
      </c>
      <c r="P598" s="2">
        <f>IF(ROW()&lt;3, Query1[[#This Row],[Shares]], IF(Query1[[#This Row],[Month]]&lt;&gt;H597, P597+Query1[[#This Row],[Enhanced top up]]/Query1[[#This Row],[Adj Close]], P597))</f>
        <v>3359.0382784959934</v>
      </c>
      <c r="Q598" s="2">
        <f>IFERROR(AVERAGE(
  IF(ROW()&gt;20, INDEX(G:G, ROW()-20), 0) :
  INDEX(G:G, ROW())
),0)</f>
        <v>268.64113217308409</v>
      </c>
    </row>
    <row r="599" spans="1:17" x14ac:dyDescent="0.4">
      <c r="A599" s="1">
        <v>44697</v>
      </c>
      <c r="B599">
        <v>259.95999145507813</v>
      </c>
      <c r="C599">
        <v>265.82000732421875</v>
      </c>
      <c r="D599">
        <v>255.77999877929688</v>
      </c>
      <c r="E599">
        <v>261.5</v>
      </c>
      <c r="F599">
        <v>32550900</v>
      </c>
      <c r="G599">
        <v>254.0206298828125</v>
      </c>
      <c r="H599" s="2">
        <f>MONTH(Query1[[#This Row],[Date]])</f>
        <v>5</v>
      </c>
      <c r="I599" s="3">
        <f>Query1[[#This Row],[Shares]]*Query1[[#This Row],[Adj Close]]</f>
        <v>912518.04595281871</v>
      </c>
      <c r="J599" s="3">
        <f>IF(ROW()&lt;3, Dashboard!$E$7, IF(Query1[[#This Row],[Month]]&lt;&gt;H598,J598*(1+Dashboard!$E$4)+Dashboard!$E$5,J598))</f>
        <v>724903.67682877579</v>
      </c>
      <c r="K599">
        <f>IF(ROW()&lt;3, 0,IF(Query1[[#This Row],[Month]]&lt;&gt;H598,IF((J599-I599&gt;0),J599-I599,0),0))</f>
        <v>0</v>
      </c>
      <c r="L599" s="2">
        <f t="shared" si="9"/>
        <v>3592.2989655359538</v>
      </c>
      <c r="M599">
        <f>IF(ROW()&lt;3, 0, IF(Query1[[#This Row],[Month]]&lt;&gt;H598, Dashboard!$J$5,0))</f>
        <v>0</v>
      </c>
      <c r="N599" s="2">
        <f>IF(ROW()&lt;3, Query1[[#This Row],[Shares]], IF(Query1[[#This Row],[Month]]&lt;&gt;H598, N598+Query1[[#This Row],[Fix Top Up]]/Query1[[#This Row],[Adj Close]], N598))</f>
        <v>3368.1717776251276</v>
      </c>
      <c r="O599">
        <f>IF(AND(Query1[[#This Row],[avg]]&gt;0, Query1[[#This Row],[Month]]&lt;&gt;H598),
    IF(Query1[[#This Row],[Adj Close]]&gt;Query1[[#This Row],[avg]],
       Dashboard!$L$5-Dashboard!$E$6,
       Dashboard!$L$5+Dashboard!$E$6
    ), 0
)</f>
        <v>0</v>
      </c>
      <c r="P599" s="2">
        <f>IF(ROW()&lt;3, Query1[[#This Row],[Shares]], IF(Query1[[#This Row],[Month]]&lt;&gt;H598, P598+Query1[[#This Row],[Enhanced top up]]/Query1[[#This Row],[Adj Close]], P598))</f>
        <v>3359.0382784959934</v>
      </c>
      <c r="Q599" s="2">
        <f>IFERROR(AVERAGE(
  IF(ROW()&gt;20, INDEX(G:G, ROW()-20), 0) :
  INDEX(G:G, ROW())
),0)</f>
        <v>267.79323904854908</v>
      </c>
    </row>
    <row r="600" spans="1:17" x14ac:dyDescent="0.4">
      <c r="A600" s="1">
        <v>44698</v>
      </c>
      <c r="B600">
        <v>266.1099853515625</v>
      </c>
      <c r="C600">
        <v>268.32998657226563</v>
      </c>
      <c r="D600">
        <v>262.45999145507813</v>
      </c>
      <c r="E600">
        <v>266.82000732421875</v>
      </c>
      <c r="F600">
        <v>28828800</v>
      </c>
      <c r="G600">
        <v>259.1884765625</v>
      </c>
      <c r="H600" s="2">
        <f>MONTH(Query1[[#This Row],[Date]])</f>
        <v>5</v>
      </c>
      <c r="I600" s="3">
        <f>Query1[[#This Row],[Shares]]*Query1[[#This Row],[Adj Close]]</f>
        <v>931082.49623430858</v>
      </c>
      <c r="J600" s="3">
        <f>IF(ROW()&lt;3, Dashboard!$E$7, IF(Query1[[#This Row],[Month]]&lt;&gt;H599,J599*(1+Dashboard!$E$4)+Dashboard!$E$5,J599))</f>
        <v>724903.67682877579</v>
      </c>
      <c r="K600">
        <f>IF(ROW()&lt;3, 0,IF(Query1[[#This Row],[Month]]&lt;&gt;H599,IF((J600-I600&gt;0),J600-I600,0),0))</f>
        <v>0</v>
      </c>
      <c r="L600" s="2">
        <f t="shared" si="9"/>
        <v>3592.2989655359538</v>
      </c>
      <c r="M600">
        <f>IF(ROW()&lt;3, 0, IF(Query1[[#This Row],[Month]]&lt;&gt;H599, Dashboard!$J$5,0))</f>
        <v>0</v>
      </c>
      <c r="N600" s="2">
        <f>IF(ROW()&lt;3, Query1[[#This Row],[Shares]], IF(Query1[[#This Row],[Month]]&lt;&gt;H599, N599+Query1[[#This Row],[Fix Top Up]]/Query1[[#This Row],[Adj Close]], N599))</f>
        <v>3368.1717776251276</v>
      </c>
      <c r="O600">
        <f>IF(AND(Query1[[#This Row],[avg]]&gt;0, Query1[[#This Row],[Month]]&lt;&gt;H599),
    IF(Query1[[#This Row],[Adj Close]]&gt;Query1[[#This Row],[avg]],
       Dashboard!$L$5-Dashboard!$E$6,
       Dashboard!$L$5+Dashboard!$E$6
    ), 0
)</f>
        <v>0</v>
      </c>
      <c r="P600" s="2">
        <f>IF(ROW()&lt;3, Query1[[#This Row],[Shares]], IF(Query1[[#This Row],[Month]]&lt;&gt;H599, P599+Query1[[#This Row],[Enhanced top up]]/Query1[[#This Row],[Adj Close]], P599))</f>
        <v>3359.0382784959934</v>
      </c>
      <c r="Q600" s="2">
        <f>IFERROR(AVERAGE(
  IF(ROW()&gt;20, INDEX(G:G, ROW()-20), 0) :
  INDEX(G:G, ROW())
),0)</f>
        <v>267.15951683407741</v>
      </c>
    </row>
    <row r="601" spans="1:17" x14ac:dyDescent="0.4">
      <c r="A601" s="1">
        <v>44699</v>
      </c>
      <c r="B601">
        <v>263</v>
      </c>
      <c r="C601">
        <v>263.60000610351563</v>
      </c>
      <c r="D601">
        <v>252.77000427246094</v>
      </c>
      <c r="E601">
        <v>254.08000183105469</v>
      </c>
      <c r="F601">
        <v>31356000</v>
      </c>
      <c r="G601">
        <v>247.38772583007813</v>
      </c>
      <c r="H601" s="2">
        <f>MONTH(Query1[[#This Row],[Date]])</f>
        <v>5</v>
      </c>
      <c r="I601" s="3">
        <f>Query1[[#This Row],[Shares]]*Query1[[#This Row],[Adj Close]]</f>
        <v>888690.67158568185</v>
      </c>
      <c r="J601" s="3">
        <f>IF(ROW()&lt;3, Dashboard!$E$7, IF(Query1[[#This Row],[Month]]&lt;&gt;H600,J600*(1+Dashboard!$E$4)+Dashboard!$E$5,J600))</f>
        <v>724903.67682877579</v>
      </c>
      <c r="K601">
        <f>IF(ROW()&lt;3, 0,IF(Query1[[#This Row],[Month]]&lt;&gt;H600,IF((J601-I601&gt;0),J601-I601,0),0))</f>
        <v>0</v>
      </c>
      <c r="L601" s="2">
        <f t="shared" si="9"/>
        <v>3592.2989655359538</v>
      </c>
      <c r="M601">
        <f>IF(ROW()&lt;3, 0, IF(Query1[[#This Row],[Month]]&lt;&gt;H600, Dashboard!$J$5,0))</f>
        <v>0</v>
      </c>
      <c r="N601" s="2">
        <f>IF(ROW()&lt;3, Query1[[#This Row],[Shares]], IF(Query1[[#This Row],[Month]]&lt;&gt;H600, N600+Query1[[#This Row],[Fix Top Up]]/Query1[[#This Row],[Adj Close]], N600))</f>
        <v>3368.1717776251276</v>
      </c>
      <c r="O601">
        <f>IF(AND(Query1[[#This Row],[avg]]&gt;0, Query1[[#This Row],[Month]]&lt;&gt;H600),
    IF(Query1[[#This Row],[Adj Close]]&gt;Query1[[#This Row],[avg]],
       Dashboard!$L$5-Dashboard!$E$6,
       Dashboard!$L$5+Dashboard!$E$6
    ), 0
)</f>
        <v>0</v>
      </c>
      <c r="P601" s="2">
        <f>IF(ROW()&lt;3, Query1[[#This Row],[Shares]], IF(Query1[[#This Row],[Month]]&lt;&gt;H600, P600+Query1[[#This Row],[Enhanced top up]]/Query1[[#This Row],[Adj Close]], P600))</f>
        <v>3359.0382784959934</v>
      </c>
      <c r="Q601" s="2">
        <f>IFERROR(AVERAGE(
  IF(ROW()&gt;20, INDEX(G:G, ROW()-20), 0) :
  INDEX(G:G, ROW())
),0)</f>
        <v>265.74274553571428</v>
      </c>
    </row>
    <row r="602" spans="1:17" x14ac:dyDescent="0.4">
      <c r="A602" s="1">
        <v>44700</v>
      </c>
      <c r="B602">
        <v>253.89999389648438</v>
      </c>
      <c r="C602">
        <v>257.67001342773438</v>
      </c>
      <c r="D602">
        <v>251.8800048828125</v>
      </c>
      <c r="E602">
        <v>253.13999938964844</v>
      </c>
      <c r="F602">
        <v>32692300</v>
      </c>
      <c r="G602">
        <v>246.47248840332031</v>
      </c>
      <c r="H602" s="2">
        <f>MONTH(Query1[[#This Row],[Date]])</f>
        <v>5</v>
      </c>
      <c r="I602" s="3">
        <f>Query1[[#This Row],[Shares]]*Query1[[#This Row],[Adj Close]]</f>
        <v>885402.86512431991</v>
      </c>
      <c r="J602" s="3">
        <f>IF(ROW()&lt;3, Dashboard!$E$7, IF(Query1[[#This Row],[Month]]&lt;&gt;H601,J601*(1+Dashboard!$E$4)+Dashboard!$E$5,J601))</f>
        <v>724903.67682877579</v>
      </c>
      <c r="K602">
        <f>IF(ROW()&lt;3, 0,IF(Query1[[#This Row],[Month]]&lt;&gt;H601,IF((J602-I602&gt;0),J602-I602,0),0))</f>
        <v>0</v>
      </c>
      <c r="L602" s="2">
        <f t="shared" si="9"/>
        <v>3592.2989655359538</v>
      </c>
      <c r="M602">
        <f>IF(ROW()&lt;3, 0, IF(Query1[[#This Row],[Month]]&lt;&gt;H601, Dashboard!$J$5,0))</f>
        <v>0</v>
      </c>
      <c r="N602" s="2">
        <f>IF(ROW()&lt;3, Query1[[#This Row],[Shares]], IF(Query1[[#This Row],[Month]]&lt;&gt;H601, N601+Query1[[#This Row],[Fix Top Up]]/Query1[[#This Row],[Adj Close]], N601))</f>
        <v>3368.1717776251276</v>
      </c>
      <c r="O602">
        <f>IF(AND(Query1[[#This Row],[avg]]&gt;0, Query1[[#This Row],[Month]]&lt;&gt;H601),
    IF(Query1[[#This Row],[Adj Close]]&gt;Query1[[#This Row],[avg]],
       Dashboard!$L$5-Dashboard!$E$6,
       Dashboard!$L$5+Dashboard!$E$6
    ), 0
)</f>
        <v>0</v>
      </c>
      <c r="P602" s="2">
        <f>IF(ROW()&lt;3, Query1[[#This Row],[Shares]], IF(Query1[[#This Row],[Month]]&lt;&gt;H601, P601+Query1[[#This Row],[Enhanced top up]]/Query1[[#This Row],[Adj Close]], P601))</f>
        <v>3359.0382784959934</v>
      </c>
      <c r="Q602" s="2">
        <f>IFERROR(AVERAGE(
  IF(ROW()&gt;20, INDEX(G:G, ROW()-20), 0) :
  INDEX(G:G, ROW())
),0)</f>
        <v>264.23335556756882</v>
      </c>
    </row>
    <row r="603" spans="1:17" x14ac:dyDescent="0.4">
      <c r="A603" s="1">
        <v>44701</v>
      </c>
      <c r="B603">
        <v>257.239990234375</v>
      </c>
      <c r="C603">
        <v>258.54000854492188</v>
      </c>
      <c r="D603">
        <v>246.44000244140625</v>
      </c>
      <c r="E603">
        <v>252.55999755859375</v>
      </c>
      <c r="F603">
        <v>39199300</v>
      </c>
      <c r="G603">
        <v>245.90777587890625</v>
      </c>
      <c r="H603" s="2">
        <f>MONTH(Query1[[#This Row],[Date]])</f>
        <v>5</v>
      </c>
      <c r="I603" s="3">
        <f>Query1[[#This Row],[Shares]]*Query1[[#This Row],[Adj Close]]</f>
        <v>883374.24890704209</v>
      </c>
      <c r="J603" s="3">
        <f>IF(ROW()&lt;3, Dashboard!$E$7, IF(Query1[[#This Row],[Month]]&lt;&gt;H602,J602*(1+Dashboard!$E$4)+Dashboard!$E$5,J602))</f>
        <v>724903.67682877579</v>
      </c>
      <c r="K603">
        <f>IF(ROW()&lt;3, 0,IF(Query1[[#This Row],[Month]]&lt;&gt;H602,IF((J603-I603&gt;0),J603-I603,0),0))</f>
        <v>0</v>
      </c>
      <c r="L603" s="2">
        <f t="shared" si="9"/>
        <v>3592.2989655359538</v>
      </c>
      <c r="M603">
        <f>IF(ROW()&lt;3, 0, IF(Query1[[#This Row],[Month]]&lt;&gt;H602, Dashboard!$J$5,0))</f>
        <v>0</v>
      </c>
      <c r="N603" s="2">
        <f>IF(ROW()&lt;3, Query1[[#This Row],[Shares]], IF(Query1[[#This Row],[Month]]&lt;&gt;H602, N602+Query1[[#This Row],[Fix Top Up]]/Query1[[#This Row],[Adj Close]], N602))</f>
        <v>3368.1717776251276</v>
      </c>
      <c r="O603">
        <f>IF(AND(Query1[[#This Row],[avg]]&gt;0, Query1[[#This Row],[Month]]&lt;&gt;H602),
    IF(Query1[[#This Row],[Adj Close]]&gt;Query1[[#This Row],[avg]],
       Dashboard!$L$5-Dashboard!$E$6,
       Dashboard!$L$5+Dashboard!$E$6
    ), 0
)</f>
        <v>0</v>
      </c>
      <c r="P603" s="2">
        <f>IF(ROW()&lt;3, Query1[[#This Row],[Shares]], IF(Query1[[#This Row],[Month]]&lt;&gt;H602, P602+Query1[[#This Row],[Enhanced top up]]/Query1[[#This Row],[Adj Close]], P602))</f>
        <v>3359.0382784959934</v>
      </c>
      <c r="Q603" s="2">
        <f>IFERROR(AVERAGE(
  IF(ROW()&gt;20, INDEX(G:G, ROW()-20), 0) :
  INDEX(G:G, ROW())
),0)</f>
        <v>262.95380437941776</v>
      </c>
    </row>
    <row r="604" spans="1:17" x14ac:dyDescent="0.4">
      <c r="A604" s="1">
        <v>44704</v>
      </c>
      <c r="B604">
        <v>255.49000549316406</v>
      </c>
      <c r="C604">
        <v>261.5</v>
      </c>
      <c r="D604">
        <v>253.42999267578125</v>
      </c>
      <c r="E604">
        <v>260.64999389648438</v>
      </c>
      <c r="F604">
        <v>33175400</v>
      </c>
      <c r="G604">
        <v>253.78468322753906</v>
      </c>
      <c r="H604" s="2">
        <f>MONTH(Query1[[#This Row],[Date]])</f>
        <v>5</v>
      </c>
      <c r="I604" s="3">
        <f>Query1[[#This Row],[Shares]]*Query1[[#This Row],[Adj Close]]</f>
        <v>911670.45502715826</v>
      </c>
      <c r="J604" s="3">
        <f>IF(ROW()&lt;3, Dashboard!$E$7, IF(Query1[[#This Row],[Month]]&lt;&gt;H603,J603*(1+Dashboard!$E$4)+Dashboard!$E$5,J603))</f>
        <v>724903.67682877579</v>
      </c>
      <c r="K604">
        <f>IF(ROW()&lt;3, 0,IF(Query1[[#This Row],[Month]]&lt;&gt;H603,IF((J604-I604&gt;0),J604-I604,0),0))</f>
        <v>0</v>
      </c>
      <c r="L604" s="2">
        <f t="shared" si="9"/>
        <v>3592.2989655359538</v>
      </c>
      <c r="M604">
        <f>IF(ROW()&lt;3, 0, IF(Query1[[#This Row],[Month]]&lt;&gt;H603, Dashboard!$J$5,0))</f>
        <v>0</v>
      </c>
      <c r="N604" s="2">
        <f>IF(ROW()&lt;3, Query1[[#This Row],[Shares]], IF(Query1[[#This Row],[Month]]&lt;&gt;H603, N603+Query1[[#This Row],[Fix Top Up]]/Query1[[#This Row],[Adj Close]], N603))</f>
        <v>3368.1717776251276</v>
      </c>
      <c r="O604">
        <f>IF(AND(Query1[[#This Row],[avg]]&gt;0, Query1[[#This Row],[Month]]&lt;&gt;H603),
    IF(Query1[[#This Row],[Adj Close]]&gt;Query1[[#This Row],[avg]],
       Dashboard!$L$5-Dashboard!$E$6,
       Dashboard!$L$5+Dashboard!$E$6
    ), 0
)</f>
        <v>0</v>
      </c>
      <c r="P604" s="2">
        <f>IF(ROW()&lt;3, Query1[[#This Row],[Shares]], IF(Query1[[#This Row],[Month]]&lt;&gt;H603, P603+Query1[[#This Row],[Enhanced top up]]/Query1[[#This Row],[Adj Close]], P603))</f>
        <v>3359.0382784959934</v>
      </c>
      <c r="Q604" s="2">
        <f>IFERROR(AVERAGE(
  IF(ROW()&gt;20, INDEX(G:G, ROW()-20), 0) :
  INDEX(G:G, ROW())
),0)</f>
        <v>262.3629615420387</v>
      </c>
    </row>
    <row r="605" spans="1:17" x14ac:dyDescent="0.4">
      <c r="A605" s="1">
        <v>44705</v>
      </c>
      <c r="B605">
        <v>257.8900146484375</v>
      </c>
      <c r="C605">
        <v>261.32998657226563</v>
      </c>
      <c r="D605">
        <v>253.5</v>
      </c>
      <c r="E605">
        <v>259.6199951171875</v>
      </c>
      <c r="F605">
        <v>29043900</v>
      </c>
      <c r="G605">
        <v>252.78178405761719</v>
      </c>
      <c r="H605" s="2">
        <f>MONTH(Query1[[#This Row],[Date]])</f>
        <v>5</v>
      </c>
      <c r="I605" s="3">
        <f>Query1[[#This Row],[Shares]]*Query1[[#This Row],[Adj Close]]</f>
        <v>908067.74137651105</v>
      </c>
      <c r="J605" s="3">
        <f>IF(ROW()&lt;3, Dashboard!$E$7, IF(Query1[[#This Row],[Month]]&lt;&gt;H604,J604*(1+Dashboard!$E$4)+Dashboard!$E$5,J604))</f>
        <v>724903.67682877579</v>
      </c>
      <c r="K605">
        <f>IF(ROW()&lt;3, 0,IF(Query1[[#This Row],[Month]]&lt;&gt;H604,IF((J605-I605&gt;0),J605-I605,0),0))</f>
        <v>0</v>
      </c>
      <c r="L605" s="2">
        <f t="shared" si="9"/>
        <v>3592.2989655359538</v>
      </c>
      <c r="M605">
        <f>IF(ROW()&lt;3, 0, IF(Query1[[#This Row],[Month]]&lt;&gt;H604, Dashboard!$J$5,0))</f>
        <v>0</v>
      </c>
      <c r="N605" s="2">
        <f>IF(ROW()&lt;3, Query1[[#This Row],[Shares]], IF(Query1[[#This Row],[Month]]&lt;&gt;H604, N604+Query1[[#This Row],[Fix Top Up]]/Query1[[#This Row],[Adj Close]], N604))</f>
        <v>3368.1717776251276</v>
      </c>
      <c r="O605">
        <f>IF(AND(Query1[[#This Row],[avg]]&gt;0, Query1[[#This Row],[Month]]&lt;&gt;H604),
    IF(Query1[[#This Row],[Adj Close]]&gt;Query1[[#This Row],[avg]],
       Dashboard!$L$5-Dashboard!$E$6,
       Dashboard!$L$5+Dashboard!$E$6
    ), 0
)</f>
        <v>0</v>
      </c>
      <c r="P605" s="2">
        <f>IF(ROW()&lt;3, Query1[[#This Row],[Shares]], IF(Query1[[#This Row],[Month]]&lt;&gt;H604, P604+Query1[[#This Row],[Enhanced top up]]/Query1[[#This Row],[Adj Close]], P604))</f>
        <v>3359.0382784959934</v>
      </c>
      <c r="Q605" s="2">
        <f>IFERROR(AVERAGE(
  IF(ROW()&gt;20, INDEX(G:G, ROW()-20), 0) :
  INDEX(G:G, ROW())
),0)</f>
        <v>261.41490754627046</v>
      </c>
    </row>
    <row r="606" spans="1:17" x14ac:dyDescent="0.4">
      <c r="A606" s="1">
        <v>44706</v>
      </c>
      <c r="B606">
        <v>258.1400146484375</v>
      </c>
      <c r="C606">
        <v>264.57998657226563</v>
      </c>
      <c r="D606">
        <v>257.1300048828125</v>
      </c>
      <c r="E606">
        <v>262.51998901367188</v>
      </c>
      <c r="F606">
        <v>28547900</v>
      </c>
      <c r="G606">
        <v>255.60545349121094</v>
      </c>
      <c r="H606" s="2">
        <f>MONTH(Query1[[#This Row],[Date]])</f>
        <v>5</v>
      </c>
      <c r="I606" s="3">
        <f>Query1[[#This Row],[Shares]]*Query1[[#This Row],[Adj Close]]</f>
        <v>918211.20616182545</v>
      </c>
      <c r="J606" s="3">
        <f>IF(ROW()&lt;3, Dashboard!$E$7, IF(Query1[[#This Row],[Month]]&lt;&gt;H605,J605*(1+Dashboard!$E$4)+Dashboard!$E$5,J605))</f>
        <v>724903.67682877579</v>
      </c>
      <c r="K606">
        <f>IF(ROW()&lt;3, 0,IF(Query1[[#This Row],[Month]]&lt;&gt;H605,IF((J606-I606&gt;0),J606-I606,0),0))</f>
        <v>0</v>
      </c>
      <c r="L606" s="2">
        <f t="shared" si="9"/>
        <v>3592.2989655359538</v>
      </c>
      <c r="M606">
        <f>IF(ROW()&lt;3, 0, IF(Query1[[#This Row],[Month]]&lt;&gt;H605, Dashboard!$J$5,0))</f>
        <v>0</v>
      </c>
      <c r="N606" s="2">
        <f>IF(ROW()&lt;3, Query1[[#This Row],[Shares]], IF(Query1[[#This Row],[Month]]&lt;&gt;H605, N605+Query1[[#This Row],[Fix Top Up]]/Query1[[#This Row],[Adj Close]], N605))</f>
        <v>3368.1717776251276</v>
      </c>
      <c r="O606">
        <f>IF(AND(Query1[[#This Row],[avg]]&gt;0, Query1[[#This Row],[Month]]&lt;&gt;H605),
    IF(Query1[[#This Row],[Adj Close]]&gt;Query1[[#This Row],[avg]],
       Dashboard!$L$5-Dashboard!$E$6,
       Dashboard!$L$5+Dashboard!$E$6
    ), 0
)</f>
        <v>0</v>
      </c>
      <c r="P606" s="2">
        <f>IF(ROW()&lt;3, Query1[[#This Row],[Shares]], IF(Query1[[#This Row],[Month]]&lt;&gt;H605, P605+Query1[[#This Row],[Enhanced top up]]/Query1[[#This Row],[Adj Close]], P605))</f>
        <v>3359.0382784959934</v>
      </c>
      <c r="Q606" s="2">
        <f>IFERROR(AVERAGE(
  IF(ROW()&gt;20, INDEX(G:G, ROW()-20), 0) :
  INDEX(G:G, ROW())
),0)</f>
        <v>261.0870143345424</v>
      </c>
    </row>
    <row r="607" spans="1:17" x14ac:dyDescent="0.4">
      <c r="A607" s="1">
        <v>44707</v>
      </c>
      <c r="B607">
        <v>262.26998901367188</v>
      </c>
      <c r="C607">
        <v>267.1099853515625</v>
      </c>
      <c r="D607">
        <v>261.42999267578125</v>
      </c>
      <c r="E607">
        <v>265.89999389648438</v>
      </c>
      <c r="F607">
        <v>25002100</v>
      </c>
      <c r="G607">
        <v>258.8963623046875</v>
      </c>
      <c r="H607" s="2">
        <f>MONTH(Query1[[#This Row],[Date]])</f>
        <v>5</v>
      </c>
      <c r="I607" s="3">
        <f>Query1[[#This Row],[Shares]]*Query1[[#This Row],[Adj Close]]</f>
        <v>930033.13448815036</v>
      </c>
      <c r="J607" s="3">
        <f>IF(ROW()&lt;3, Dashboard!$E$7, IF(Query1[[#This Row],[Month]]&lt;&gt;H606,J606*(1+Dashboard!$E$4)+Dashboard!$E$5,J606))</f>
        <v>724903.67682877579</v>
      </c>
      <c r="K607">
        <f>IF(ROW()&lt;3, 0,IF(Query1[[#This Row],[Month]]&lt;&gt;H606,IF((J607-I607&gt;0),J607-I607,0),0))</f>
        <v>0</v>
      </c>
      <c r="L607" s="2">
        <f t="shared" si="9"/>
        <v>3592.2989655359538</v>
      </c>
      <c r="M607">
        <f>IF(ROW()&lt;3, 0, IF(Query1[[#This Row],[Month]]&lt;&gt;H606, Dashboard!$J$5,0))</f>
        <v>0</v>
      </c>
      <c r="N607" s="2">
        <f>IF(ROW()&lt;3, Query1[[#This Row],[Shares]], IF(Query1[[#This Row],[Month]]&lt;&gt;H606, N606+Query1[[#This Row],[Fix Top Up]]/Query1[[#This Row],[Adj Close]], N606))</f>
        <v>3368.1717776251276</v>
      </c>
      <c r="O607">
        <f>IF(AND(Query1[[#This Row],[avg]]&gt;0, Query1[[#This Row],[Month]]&lt;&gt;H606),
    IF(Query1[[#This Row],[Adj Close]]&gt;Query1[[#This Row],[avg]],
       Dashboard!$L$5-Dashboard!$E$6,
       Dashboard!$L$5+Dashboard!$E$6
    ), 0
)</f>
        <v>0</v>
      </c>
      <c r="P607" s="2">
        <f>IF(ROW()&lt;3, Query1[[#This Row],[Shares]], IF(Query1[[#This Row],[Month]]&lt;&gt;H606, P606+Query1[[#This Row],[Enhanced top up]]/Query1[[#This Row],[Adj Close]], P606))</f>
        <v>3359.0382784959934</v>
      </c>
      <c r="Q607" s="2">
        <f>IFERROR(AVERAGE(
  IF(ROW()&gt;20, INDEX(G:G, ROW()-20), 0) :
  INDEX(G:G, ROW())
),0)</f>
        <v>260.31448654901413</v>
      </c>
    </row>
    <row r="608" spans="1:17" x14ac:dyDescent="0.4">
      <c r="A608" s="1">
        <v>44708</v>
      </c>
      <c r="B608">
        <v>268.48001098632813</v>
      </c>
      <c r="C608">
        <v>273.33999633789063</v>
      </c>
      <c r="D608">
        <v>267.55999755859375</v>
      </c>
      <c r="E608">
        <v>273.239990234375</v>
      </c>
      <c r="F608">
        <v>26910800</v>
      </c>
      <c r="G608">
        <v>266.0430908203125</v>
      </c>
      <c r="H608" s="2">
        <f>MONTH(Query1[[#This Row],[Date]])</f>
        <v>5</v>
      </c>
      <c r="I608" s="3">
        <f>Query1[[#This Row],[Shares]]*Query1[[#This Row],[Adj Close]]</f>
        <v>955706.31994179636</v>
      </c>
      <c r="J608" s="3">
        <f>IF(ROW()&lt;3, Dashboard!$E$7, IF(Query1[[#This Row],[Month]]&lt;&gt;H607,J607*(1+Dashboard!$E$4)+Dashboard!$E$5,J607))</f>
        <v>724903.67682877579</v>
      </c>
      <c r="K608">
        <f>IF(ROW()&lt;3, 0,IF(Query1[[#This Row],[Month]]&lt;&gt;H607,IF((J608-I608&gt;0),J608-I608,0),0))</f>
        <v>0</v>
      </c>
      <c r="L608" s="2">
        <f t="shared" si="9"/>
        <v>3592.2989655359538</v>
      </c>
      <c r="M608">
        <f>IF(ROW()&lt;3, 0, IF(Query1[[#This Row],[Month]]&lt;&gt;H607, Dashboard!$J$5,0))</f>
        <v>0</v>
      </c>
      <c r="N608" s="2">
        <f>IF(ROW()&lt;3, Query1[[#This Row],[Shares]], IF(Query1[[#This Row],[Month]]&lt;&gt;H607, N607+Query1[[#This Row],[Fix Top Up]]/Query1[[#This Row],[Adj Close]], N607))</f>
        <v>3368.1717776251276</v>
      </c>
      <c r="O608">
        <f>IF(AND(Query1[[#This Row],[avg]]&gt;0, Query1[[#This Row],[Month]]&lt;&gt;H607),
    IF(Query1[[#This Row],[Adj Close]]&gt;Query1[[#This Row],[avg]],
       Dashboard!$L$5-Dashboard!$E$6,
       Dashboard!$L$5+Dashboard!$E$6
    ), 0
)</f>
        <v>0</v>
      </c>
      <c r="P608" s="2">
        <f>IF(ROW()&lt;3, Query1[[#This Row],[Shares]], IF(Query1[[#This Row],[Month]]&lt;&gt;H607, P607+Query1[[#This Row],[Enhanced top up]]/Query1[[#This Row],[Adj Close]], P607))</f>
        <v>3359.0382784959934</v>
      </c>
      <c r="Q608" s="2">
        <f>IFERROR(AVERAGE(
  IF(ROW()&gt;20, INDEX(G:G, ROW()-20), 0) :
  INDEX(G:G, ROW())
),0)</f>
        <v>259.58577183314731</v>
      </c>
    </row>
    <row r="609" spans="1:17" x14ac:dyDescent="0.4">
      <c r="A609" s="1">
        <v>44712</v>
      </c>
      <c r="B609">
        <v>272.52999877929688</v>
      </c>
      <c r="C609">
        <v>274.76998901367188</v>
      </c>
      <c r="D609">
        <v>268.92999267578125</v>
      </c>
      <c r="E609">
        <v>271.8699951171875</v>
      </c>
      <c r="F609">
        <v>37827700</v>
      </c>
      <c r="G609">
        <v>264.70916748046875</v>
      </c>
      <c r="H609" s="2">
        <f>MONTH(Query1[[#This Row],[Date]])</f>
        <v>5</v>
      </c>
      <c r="I609" s="3">
        <f>Query1[[#This Row],[Shares]]*Query1[[#This Row],[Adj Close]]</f>
        <v>950914.46850797138</v>
      </c>
      <c r="J609" s="3">
        <f>IF(ROW()&lt;3, Dashboard!$E$7, IF(Query1[[#This Row],[Month]]&lt;&gt;H608,J608*(1+Dashboard!$E$4)+Dashboard!$E$5,J608))</f>
        <v>724903.67682877579</v>
      </c>
      <c r="K609">
        <f>IF(ROW()&lt;3, 0,IF(Query1[[#This Row],[Month]]&lt;&gt;H608,IF((J609-I609&gt;0),J609-I609,0),0))</f>
        <v>0</v>
      </c>
      <c r="L609" s="2">
        <f t="shared" si="9"/>
        <v>3592.2989655359538</v>
      </c>
      <c r="M609">
        <f>IF(ROW()&lt;3, 0, IF(Query1[[#This Row],[Month]]&lt;&gt;H608, Dashboard!$J$5,0))</f>
        <v>0</v>
      </c>
      <c r="N609" s="2">
        <f>IF(ROW()&lt;3, Query1[[#This Row],[Shares]], IF(Query1[[#This Row],[Month]]&lt;&gt;H608, N608+Query1[[#This Row],[Fix Top Up]]/Query1[[#This Row],[Adj Close]], N608))</f>
        <v>3368.1717776251276</v>
      </c>
      <c r="O609">
        <f>IF(AND(Query1[[#This Row],[avg]]&gt;0, Query1[[#This Row],[Month]]&lt;&gt;H608),
    IF(Query1[[#This Row],[Adj Close]]&gt;Query1[[#This Row],[avg]],
       Dashboard!$L$5-Dashboard!$E$6,
       Dashboard!$L$5+Dashboard!$E$6
    ), 0
)</f>
        <v>0</v>
      </c>
      <c r="P609" s="2">
        <f>IF(ROW()&lt;3, Query1[[#This Row],[Shares]], IF(Query1[[#This Row],[Month]]&lt;&gt;H608, P608+Query1[[#This Row],[Enhanced top up]]/Query1[[#This Row],[Adj Close]], P608))</f>
        <v>3359.0382784959934</v>
      </c>
      <c r="Q609" s="2">
        <f>IFERROR(AVERAGE(
  IF(ROW()&gt;20, INDEX(G:G, ROW()-20), 0) :
  INDEX(G:G, ROW())
),0)</f>
        <v>259.35371035621279</v>
      </c>
    </row>
    <row r="610" spans="1:17" x14ac:dyDescent="0.4">
      <c r="A610" s="1">
        <v>44713</v>
      </c>
      <c r="B610">
        <v>275.20001220703125</v>
      </c>
      <c r="C610">
        <v>277.69000244140625</v>
      </c>
      <c r="D610">
        <v>270.04000854492188</v>
      </c>
      <c r="E610">
        <v>272.42001342773438</v>
      </c>
      <c r="F610">
        <v>25292200</v>
      </c>
      <c r="G610">
        <v>265.24468994140625</v>
      </c>
      <c r="H610" s="2">
        <f>MONTH(Query1[[#This Row],[Date]])</f>
        <v>6</v>
      </c>
      <c r="I610" s="3">
        <f>Query1[[#This Row],[Shares]]*Query1[[#This Row],[Adj Close]]</f>
        <v>952838.22529041849</v>
      </c>
      <c r="J610" s="3">
        <f>IF(ROW()&lt;3, Dashboard!$E$7, IF(Query1[[#This Row],[Month]]&lt;&gt;H609,J609*(1+Dashboard!$E$4)+Dashboard!$E$5,J609))</f>
        <v>734152.71359706356</v>
      </c>
      <c r="K610">
        <f>IF(ROW()&lt;3, 0,IF(Query1[[#This Row],[Month]]&lt;&gt;H609,IF((J610-I610&gt;0),J610-I610,0),0))</f>
        <v>0</v>
      </c>
      <c r="L610" s="2">
        <f t="shared" si="9"/>
        <v>3592.2989655359538</v>
      </c>
      <c r="M610">
        <f>IF(ROW()&lt;3, 0, IF(Query1[[#This Row],[Month]]&lt;&gt;H609, Dashboard!$J$5,0))</f>
        <v>773.47399999999971</v>
      </c>
      <c r="N610" s="2">
        <f>IF(ROW()&lt;3, Query1[[#This Row],[Shares]], IF(Query1[[#This Row],[Month]]&lt;&gt;H609, N609+Query1[[#This Row],[Fix Top Up]]/Query1[[#This Row],[Adj Close]], N609))</f>
        <v>3371.0878548524261</v>
      </c>
      <c r="O610">
        <f>IF(AND(Query1[[#This Row],[avg]]&gt;0, Query1[[#This Row],[Month]]&lt;&gt;H609),
    IF(Query1[[#This Row],[Adj Close]]&gt;Query1[[#This Row],[avg]],
       Dashboard!$L$5-Dashboard!$E$6,
       Dashboard!$L$5+Dashboard!$E$6
    ), 0
)</f>
        <v>390.14066666666668</v>
      </c>
      <c r="P610" s="2">
        <f>IF(ROW()&lt;3, Query1[[#This Row],[Shares]], IF(Query1[[#This Row],[Month]]&lt;&gt;H609, P609+Query1[[#This Row],[Enhanced top up]]/Query1[[#This Row],[Adj Close]], P609))</f>
        <v>3360.5091492861038</v>
      </c>
      <c r="Q610" s="2">
        <f>IFERROR(AVERAGE(
  IF(ROW()&gt;20, INDEX(G:G, ROW()-20), 0) :
  INDEX(G:G, ROW())
),0)</f>
        <v>258.82566615513394</v>
      </c>
    </row>
    <row r="611" spans="1:17" x14ac:dyDescent="0.4">
      <c r="A611" s="1">
        <v>44714</v>
      </c>
      <c r="B611">
        <v>264.45001220703125</v>
      </c>
      <c r="C611">
        <v>274.64999389648438</v>
      </c>
      <c r="D611">
        <v>261.60000610351563</v>
      </c>
      <c r="E611">
        <v>274.57998657226563</v>
      </c>
      <c r="F611">
        <v>44008200</v>
      </c>
      <c r="G611">
        <v>267.3477783203125</v>
      </c>
      <c r="H611" s="2">
        <f>MONTH(Query1[[#This Row],[Date]])</f>
        <v>6</v>
      </c>
      <c r="I611" s="3">
        <f>Query1[[#This Row],[Shares]]*Query1[[#This Row],[Adj Close]]</f>
        <v>960393.14749839413</v>
      </c>
      <c r="J611" s="3">
        <f>IF(ROW()&lt;3, Dashboard!$E$7, IF(Query1[[#This Row],[Month]]&lt;&gt;H610,J610*(1+Dashboard!$E$4)+Dashboard!$E$5,J610))</f>
        <v>734152.71359706356</v>
      </c>
      <c r="K611">
        <f>IF(ROW()&lt;3, 0,IF(Query1[[#This Row],[Month]]&lt;&gt;H610,IF((J611-I611&gt;0),J611-I611,0),0))</f>
        <v>0</v>
      </c>
      <c r="L611" s="2">
        <f t="shared" si="9"/>
        <v>3592.2989655359538</v>
      </c>
      <c r="M611">
        <f>IF(ROW()&lt;3, 0, IF(Query1[[#This Row],[Month]]&lt;&gt;H610, Dashboard!$J$5,0))</f>
        <v>0</v>
      </c>
      <c r="N611" s="2">
        <f>IF(ROW()&lt;3, Query1[[#This Row],[Shares]], IF(Query1[[#This Row],[Month]]&lt;&gt;H610, N610+Query1[[#This Row],[Fix Top Up]]/Query1[[#This Row],[Adj Close]], N610))</f>
        <v>3371.0878548524261</v>
      </c>
      <c r="O611">
        <f>IF(AND(Query1[[#This Row],[avg]]&gt;0, Query1[[#This Row],[Month]]&lt;&gt;H610),
    IF(Query1[[#This Row],[Adj Close]]&gt;Query1[[#This Row],[avg]],
       Dashboard!$L$5-Dashboard!$E$6,
       Dashboard!$L$5+Dashboard!$E$6
    ), 0
)</f>
        <v>0</v>
      </c>
      <c r="P611" s="2">
        <f>IF(ROW()&lt;3, Query1[[#This Row],[Shares]], IF(Query1[[#This Row],[Month]]&lt;&gt;H610, P610+Query1[[#This Row],[Enhanced top up]]/Query1[[#This Row],[Adj Close]], P610))</f>
        <v>3360.5091492861038</v>
      </c>
      <c r="Q611" s="2">
        <f>IFERROR(AVERAGE(
  IF(ROW()&gt;20, INDEX(G:G, ROW()-20), 0) :
  INDEX(G:G, ROW())
),0)</f>
        <v>258.5221949986049</v>
      </c>
    </row>
    <row r="612" spans="1:17" x14ac:dyDescent="0.4">
      <c r="A612" s="1">
        <v>44715</v>
      </c>
      <c r="B612">
        <v>270.30999755859375</v>
      </c>
      <c r="C612">
        <v>273.45001220703125</v>
      </c>
      <c r="D612">
        <v>268.41000366210938</v>
      </c>
      <c r="E612">
        <v>270.01998901367188</v>
      </c>
      <c r="F612">
        <v>28059000</v>
      </c>
      <c r="G612">
        <v>262.9078369140625</v>
      </c>
      <c r="H612" s="2">
        <f>MONTH(Query1[[#This Row],[Date]])</f>
        <v>6</v>
      </c>
      <c r="I612" s="3">
        <f>Query1[[#This Row],[Shares]]*Query1[[#This Row],[Adj Close]]</f>
        <v>944443.55057768198</v>
      </c>
      <c r="J612" s="3">
        <f>IF(ROW()&lt;3, Dashboard!$E$7, IF(Query1[[#This Row],[Month]]&lt;&gt;H611,J611*(1+Dashboard!$E$4)+Dashboard!$E$5,J611))</f>
        <v>734152.71359706356</v>
      </c>
      <c r="K612">
        <f>IF(ROW()&lt;3, 0,IF(Query1[[#This Row],[Month]]&lt;&gt;H611,IF((J612-I612&gt;0),J612-I612,0),0))</f>
        <v>0</v>
      </c>
      <c r="L612" s="2">
        <f t="shared" si="9"/>
        <v>3592.2989655359538</v>
      </c>
      <c r="M612">
        <f>IF(ROW()&lt;3, 0, IF(Query1[[#This Row],[Month]]&lt;&gt;H611, Dashboard!$J$5,0))</f>
        <v>0</v>
      </c>
      <c r="N612" s="2">
        <f>IF(ROW()&lt;3, Query1[[#This Row],[Shares]], IF(Query1[[#This Row],[Month]]&lt;&gt;H611, N611+Query1[[#This Row],[Fix Top Up]]/Query1[[#This Row],[Adj Close]], N611))</f>
        <v>3371.0878548524261</v>
      </c>
      <c r="O612">
        <f>IF(AND(Query1[[#This Row],[avg]]&gt;0, Query1[[#This Row],[Month]]&lt;&gt;H611),
    IF(Query1[[#This Row],[Adj Close]]&gt;Query1[[#This Row],[avg]],
       Dashboard!$L$5-Dashboard!$E$6,
       Dashboard!$L$5+Dashboard!$E$6
    ), 0
)</f>
        <v>0</v>
      </c>
      <c r="P612" s="2">
        <f>IF(ROW()&lt;3, Query1[[#This Row],[Shares]], IF(Query1[[#This Row],[Month]]&lt;&gt;H611, P611+Query1[[#This Row],[Enhanced top up]]/Query1[[#This Row],[Adj Close]], P611))</f>
        <v>3360.5091492861038</v>
      </c>
      <c r="Q612" s="2">
        <f>IFERROR(AVERAGE(
  IF(ROW()&gt;20, INDEX(G:G, ROW()-20), 0) :
  INDEX(G:G, ROW())
),0)</f>
        <v>257.62799217587428</v>
      </c>
    </row>
    <row r="613" spans="1:17" x14ac:dyDescent="0.4">
      <c r="A613" s="1">
        <v>44718</v>
      </c>
      <c r="B613">
        <v>272.05999755859375</v>
      </c>
      <c r="C613">
        <v>274.17999267578125</v>
      </c>
      <c r="D613">
        <v>267.22000122070313</v>
      </c>
      <c r="E613">
        <v>268.75</v>
      </c>
      <c r="F613">
        <v>22400300</v>
      </c>
      <c r="G613">
        <v>261.67135620117188</v>
      </c>
      <c r="H613" s="2">
        <f>MONTH(Query1[[#This Row],[Date]])</f>
        <v>6</v>
      </c>
      <c r="I613" s="3">
        <f>Query1[[#This Row],[Shares]]*Query1[[#This Row],[Adj Close]]</f>
        <v>940001.74219185987</v>
      </c>
      <c r="J613" s="3">
        <f>IF(ROW()&lt;3, Dashboard!$E$7, IF(Query1[[#This Row],[Month]]&lt;&gt;H612,J612*(1+Dashboard!$E$4)+Dashboard!$E$5,J612))</f>
        <v>734152.71359706356</v>
      </c>
      <c r="K613">
        <f>IF(ROW()&lt;3, 0,IF(Query1[[#This Row],[Month]]&lt;&gt;H612,IF((J613-I613&gt;0),J613-I613,0),0))</f>
        <v>0</v>
      </c>
      <c r="L613" s="2">
        <f t="shared" si="9"/>
        <v>3592.2989655359538</v>
      </c>
      <c r="M613">
        <f>IF(ROW()&lt;3, 0, IF(Query1[[#This Row],[Month]]&lt;&gt;H612, Dashboard!$J$5,0))</f>
        <v>0</v>
      </c>
      <c r="N613" s="2">
        <f>IF(ROW()&lt;3, Query1[[#This Row],[Shares]], IF(Query1[[#This Row],[Month]]&lt;&gt;H612, N612+Query1[[#This Row],[Fix Top Up]]/Query1[[#This Row],[Adj Close]], N612))</f>
        <v>3371.0878548524261</v>
      </c>
      <c r="O613">
        <f>IF(AND(Query1[[#This Row],[avg]]&gt;0, Query1[[#This Row],[Month]]&lt;&gt;H612),
    IF(Query1[[#This Row],[Adj Close]]&gt;Query1[[#This Row],[avg]],
       Dashboard!$L$5-Dashboard!$E$6,
       Dashboard!$L$5+Dashboard!$E$6
    ), 0
)</f>
        <v>0</v>
      </c>
      <c r="P613" s="2">
        <f>IF(ROW()&lt;3, Query1[[#This Row],[Shares]], IF(Query1[[#This Row],[Month]]&lt;&gt;H612, P612+Query1[[#This Row],[Enhanced top up]]/Query1[[#This Row],[Adj Close]], P612))</f>
        <v>3360.5091492861038</v>
      </c>
      <c r="Q613" s="2">
        <f>IFERROR(AVERAGE(
  IF(ROW()&gt;20, INDEX(G:G, ROW()-20), 0) :
  INDEX(G:G, ROW())
),0)</f>
        <v>257.25913638160341</v>
      </c>
    </row>
    <row r="614" spans="1:17" x14ac:dyDescent="0.4">
      <c r="A614" s="1">
        <v>44719</v>
      </c>
      <c r="B614">
        <v>266.6400146484375</v>
      </c>
      <c r="C614">
        <v>273.1300048828125</v>
      </c>
      <c r="D614">
        <v>265.94000244140625</v>
      </c>
      <c r="E614">
        <v>272.5</v>
      </c>
      <c r="F614">
        <v>22860700</v>
      </c>
      <c r="G614">
        <v>265.32257080078125</v>
      </c>
      <c r="H614" s="2">
        <f>MONTH(Query1[[#This Row],[Date]])</f>
        <v>6</v>
      </c>
      <c r="I614" s="3">
        <f>Query1[[#This Row],[Shares]]*Query1[[#This Row],[Adj Close]]</f>
        <v>953117.99662098638</v>
      </c>
      <c r="J614" s="3">
        <f>IF(ROW()&lt;3, Dashboard!$E$7, IF(Query1[[#This Row],[Month]]&lt;&gt;H613,J613*(1+Dashboard!$E$4)+Dashboard!$E$5,J613))</f>
        <v>734152.71359706356</v>
      </c>
      <c r="K614">
        <f>IF(ROW()&lt;3, 0,IF(Query1[[#This Row],[Month]]&lt;&gt;H613,IF((J614-I614&gt;0),J614-I614,0),0))</f>
        <v>0</v>
      </c>
      <c r="L614" s="2">
        <f t="shared" si="9"/>
        <v>3592.2989655359538</v>
      </c>
      <c r="M614">
        <f>IF(ROW()&lt;3, 0, IF(Query1[[#This Row],[Month]]&lt;&gt;H613, Dashboard!$J$5,0))</f>
        <v>0</v>
      </c>
      <c r="N614" s="2">
        <f>IF(ROW()&lt;3, Query1[[#This Row],[Shares]], IF(Query1[[#This Row],[Month]]&lt;&gt;H613, N613+Query1[[#This Row],[Fix Top Up]]/Query1[[#This Row],[Adj Close]], N613))</f>
        <v>3371.0878548524261</v>
      </c>
      <c r="O614">
        <f>IF(AND(Query1[[#This Row],[avg]]&gt;0, Query1[[#This Row],[Month]]&lt;&gt;H613),
    IF(Query1[[#This Row],[Adj Close]]&gt;Query1[[#This Row],[avg]],
       Dashboard!$L$5-Dashboard!$E$6,
       Dashboard!$L$5+Dashboard!$E$6
    ), 0
)</f>
        <v>0</v>
      </c>
      <c r="P614" s="2">
        <f>IF(ROW()&lt;3, Query1[[#This Row],[Shares]], IF(Query1[[#This Row],[Month]]&lt;&gt;H613, P613+Query1[[#This Row],[Enhanced top up]]/Query1[[#This Row],[Adj Close]], P613))</f>
        <v>3360.5091492861038</v>
      </c>
      <c r="Q614" s="2">
        <f>IFERROR(AVERAGE(
  IF(ROW()&gt;20, INDEX(G:G, ROW()-20), 0) :
  INDEX(G:G, ROW())
),0)</f>
        <v>257.18533906482514</v>
      </c>
    </row>
    <row r="615" spans="1:17" x14ac:dyDescent="0.4">
      <c r="A615" s="1">
        <v>44720</v>
      </c>
      <c r="B615">
        <v>271.70999145507813</v>
      </c>
      <c r="C615">
        <v>273</v>
      </c>
      <c r="D615">
        <v>269.6099853515625</v>
      </c>
      <c r="E615">
        <v>270.41000366210938</v>
      </c>
      <c r="F615">
        <v>17372300</v>
      </c>
      <c r="G615">
        <v>263.28762817382813</v>
      </c>
      <c r="H615" s="2">
        <f>MONTH(Query1[[#This Row],[Date]])</f>
        <v>6</v>
      </c>
      <c r="I615" s="3">
        <f>Query1[[#This Row],[Shares]]*Query1[[#This Row],[Adj Close]]</f>
        <v>945807.87432725762</v>
      </c>
      <c r="J615" s="3">
        <f>IF(ROW()&lt;3, Dashboard!$E$7, IF(Query1[[#This Row],[Month]]&lt;&gt;H614,J614*(1+Dashboard!$E$4)+Dashboard!$E$5,J614))</f>
        <v>734152.71359706356</v>
      </c>
      <c r="K615">
        <f>IF(ROW()&lt;3, 0,IF(Query1[[#This Row],[Month]]&lt;&gt;H614,IF((J615-I615&gt;0),J615-I615,0),0))</f>
        <v>0</v>
      </c>
      <c r="L615" s="2">
        <f t="shared" si="9"/>
        <v>3592.2989655359538</v>
      </c>
      <c r="M615">
        <f>IF(ROW()&lt;3, 0, IF(Query1[[#This Row],[Month]]&lt;&gt;H614, Dashboard!$J$5,0))</f>
        <v>0</v>
      </c>
      <c r="N615" s="2">
        <f>IF(ROW()&lt;3, Query1[[#This Row],[Shares]], IF(Query1[[#This Row],[Month]]&lt;&gt;H614, N614+Query1[[#This Row],[Fix Top Up]]/Query1[[#This Row],[Adj Close]], N614))</f>
        <v>3371.0878548524261</v>
      </c>
      <c r="O615">
        <f>IF(AND(Query1[[#This Row],[avg]]&gt;0, Query1[[#This Row],[Month]]&lt;&gt;H614),
    IF(Query1[[#This Row],[Adj Close]]&gt;Query1[[#This Row],[avg]],
       Dashboard!$L$5-Dashboard!$E$6,
       Dashboard!$L$5+Dashboard!$E$6
    ), 0
)</f>
        <v>0</v>
      </c>
      <c r="P615" s="2">
        <f>IF(ROW()&lt;3, Query1[[#This Row],[Shares]], IF(Query1[[#This Row],[Month]]&lt;&gt;H614, P614+Query1[[#This Row],[Enhanced top up]]/Query1[[#This Row],[Adj Close]], P614))</f>
        <v>3360.5091492861038</v>
      </c>
      <c r="Q615" s="2">
        <f>IFERROR(AVERAGE(
  IF(ROW()&gt;20, INDEX(G:G, ROW()-20), 0) :
  INDEX(G:G, ROW())
),0)</f>
        <v>257.4841526576451</v>
      </c>
    </row>
    <row r="616" spans="1:17" x14ac:dyDescent="0.4">
      <c r="A616" s="1">
        <v>44721</v>
      </c>
      <c r="B616">
        <v>267.77999877929688</v>
      </c>
      <c r="C616">
        <v>272.70999145507813</v>
      </c>
      <c r="D616">
        <v>264.6300048828125</v>
      </c>
      <c r="E616">
        <v>264.79000854492188</v>
      </c>
      <c r="F616">
        <v>26439700</v>
      </c>
      <c r="G616">
        <v>257.81561279296875</v>
      </c>
      <c r="H616" s="2">
        <f>MONTH(Query1[[#This Row],[Date]])</f>
        <v>6</v>
      </c>
      <c r="I616" s="3">
        <f>Query1[[#This Row],[Shares]]*Query1[[#This Row],[Adj Close]]</f>
        <v>926150.75913519971</v>
      </c>
      <c r="J616" s="3">
        <f>IF(ROW()&lt;3, Dashboard!$E$7, IF(Query1[[#This Row],[Month]]&lt;&gt;H615,J615*(1+Dashboard!$E$4)+Dashboard!$E$5,J615))</f>
        <v>734152.71359706356</v>
      </c>
      <c r="K616">
        <f>IF(ROW()&lt;3, 0,IF(Query1[[#This Row],[Month]]&lt;&gt;H615,IF((J616-I616&gt;0),J616-I616,0),0))</f>
        <v>0</v>
      </c>
      <c r="L616" s="2">
        <f t="shared" si="9"/>
        <v>3592.2989655359538</v>
      </c>
      <c r="M616">
        <f>IF(ROW()&lt;3, 0, IF(Query1[[#This Row],[Month]]&lt;&gt;H615, Dashboard!$J$5,0))</f>
        <v>0</v>
      </c>
      <c r="N616" s="2">
        <f>IF(ROW()&lt;3, Query1[[#This Row],[Shares]], IF(Query1[[#This Row],[Month]]&lt;&gt;H615, N615+Query1[[#This Row],[Fix Top Up]]/Query1[[#This Row],[Adj Close]], N615))</f>
        <v>3371.0878548524261</v>
      </c>
      <c r="O616">
        <f>IF(AND(Query1[[#This Row],[avg]]&gt;0, Query1[[#This Row],[Month]]&lt;&gt;H615),
    IF(Query1[[#This Row],[Adj Close]]&gt;Query1[[#This Row],[avg]],
       Dashboard!$L$5-Dashboard!$E$6,
       Dashboard!$L$5+Dashboard!$E$6
    ), 0
)</f>
        <v>0</v>
      </c>
      <c r="P616" s="2">
        <f>IF(ROW()&lt;3, Query1[[#This Row],[Shares]], IF(Query1[[#This Row],[Month]]&lt;&gt;H615, P615+Query1[[#This Row],[Enhanced top up]]/Query1[[#This Row],[Adj Close]], P615))</f>
        <v>3360.5091492861038</v>
      </c>
      <c r="Q616" s="2">
        <f>IFERROR(AVERAGE(
  IF(ROW()&gt;20, INDEX(G:G, ROW()-20), 0) :
  INDEX(G:G, ROW())
),0)</f>
        <v>257.29480997721356</v>
      </c>
    </row>
    <row r="617" spans="1:17" x14ac:dyDescent="0.4">
      <c r="A617" s="1">
        <v>44722</v>
      </c>
      <c r="B617">
        <v>260.57998657226563</v>
      </c>
      <c r="C617">
        <v>260.57998657226563</v>
      </c>
      <c r="D617">
        <v>252.52999877929688</v>
      </c>
      <c r="E617">
        <v>252.99000549316406</v>
      </c>
      <c r="F617">
        <v>31422800</v>
      </c>
      <c r="G617">
        <v>246.32646179199219</v>
      </c>
      <c r="H617" s="2">
        <f>MONTH(Query1[[#This Row],[Date]])</f>
        <v>6</v>
      </c>
      <c r="I617" s="3">
        <f>Query1[[#This Row],[Shares]]*Query1[[#This Row],[Adj Close]]</f>
        <v>884878.29387950513</v>
      </c>
      <c r="J617" s="3">
        <f>IF(ROW()&lt;3, Dashboard!$E$7, IF(Query1[[#This Row],[Month]]&lt;&gt;H616,J616*(1+Dashboard!$E$4)+Dashboard!$E$5,J616))</f>
        <v>734152.71359706356</v>
      </c>
      <c r="K617">
        <f>IF(ROW()&lt;3, 0,IF(Query1[[#This Row],[Month]]&lt;&gt;H616,IF((J617-I617&gt;0),J617-I617,0),0))</f>
        <v>0</v>
      </c>
      <c r="L617" s="2">
        <f t="shared" si="9"/>
        <v>3592.2989655359538</v>
      </c>
      <c r="M617">
        <f>IF(ROW()&lt;3, 0, IF(Query1[[#This Row],[Month]]&lt;&gt;H616, Dashboard!$J$5,0))</f>
        <v>0</v>
      </c>
      <c r="N617" s="2">
        <f>IF(ROW()&lt;3, Query1[[#This Row],[Shares]], IF(Query1[[#This Row],[Month]]&lt;&gt;H616, N616+Query1[[#This Row],[Fix Top Up]]/Query1[[#This Row],[Adj Close]], N616))</f>
        <v>3371.0878548524261</v>
      </c>
      <c r="O617">
        <f>IF(AND(Query1[[#This Row],[avg]]&gt;0, Query1[[#This Row],[Month]]&lt;&gt;H616),
    IF(Query1[[#This Row],[Adj Close]]&gt;Query1[[#This Row],[avg]],
       Dashboard!$L$5-Dashboard!$E$6,
       Dashboard!$L$5+Dashboard!$E$6
    ), 0
)</f>
        <v>0</v>
      </c>
      <c r="P617" s="2">
        <f>IF(ROW()&lt;3, Query1[[#This Row],[Shares]], IF(Query1[[#This Row],[Month]]&lt;&gt;H616, P616+Query1[[#This Row],[Enhanced top up]]/Query1[[#This Row],[Adj Close]], P616))</f>
        <v>3360.5091492861038</v>
      </c>
      <c r="Q617" s="2">
        <f>IFERROR(AVERAGE(
  IF(ROW()&gt;20, INDEX(G:G, ROW()-20), 0) :
  INDEX(G:G, ROW())
),0)</f>
        <v>256.9723656063988</v>
      </c>
    </row>
    <row r="618" spans="1:17" x14ac:dyDescent="0.4">
      <c r="A618" s="1">
        <v>44725</v>
      </c>
      <c r="B618">
        <v>245.11000061035156</v>
      </c>
      <c r="C618">
        <v>249.02000427246094</v>
      </c>
      <c r="D618">
        <v>241.52999877929688</v>
      </c>
      <c r="E618">
        <v>242.25999450683594</v>
      </c>
      <c r="F618">
        <v>46135800</v>
      </c>
      <c r="G618">
        <v>235.87905883789063</v>
      </c>
      <c r="H618" s="2">
        <f>MONTH(Query1[[#This Row],[Date]])</f>
        <v>6</v>
      </c>
      <c r="I618" s="3">
        <f>Query1[[#This Row],[Shares]]*Query1[[#This Row],[Adj Close]]</f>
        <v>847348.09905494889</v>
      </c>
      <c r="J618" s="3">
        <f>IF(ROW()&lt;3, Dashboard!$E$7, IF(Query1[[#This Row],[Month]]&lt;&gt;H617,J617*(1+Dashboard!$E$4)+Dashboard!$E$5,J617))</f>
        <v>734152.71359706356</v>
      </c>
      <c r="K618">
        <f>IF(ROW()&lt;3, 0,IF(Query1[[#This Row],[Month]]&lt;&gt;H617,IF((J618-I618&gt;0),J618-I618,0),0))</f>
        <v>0</v>
      </c>
      <c r="L618" s="2">
        <f t="shared" si="9"/>
        <v>3592.2989655359538</v>
      </c>
      <c r="M618">
        <f>IF(ROW()&lt;3, 0, IF(Query1[[#This Row],[Month]]&lt;&gt;H617, Dashboard!$J$5,0))</f>
        <v>0</v>
      </c>
      <c r="N618" s="2">
        <f>IF(ROW()&lt;3, Query1[[#This Row],[Shares]], IF(Query1[[#This Row],[Month]]&lt;&gt;H617, N617+Query1[[#This Row],[Fix Top Up]]/Query1[[#This Row],[Adj Close]], N617))</f>
        <v>3371.0878548524261</v>
      </c>
      <c r="O618">
        <f>IF(AND(Query1[[#This Row],[avg]]&gt;0, Query1[[#This Row],[Month]]&lt;&gt;H617),
    IF(Query1[[#This Row],[Adj Close]]&gt;Query1[[#This Row],[avg]],
       Dashboard!$L$5-Dashboard!$E$6,
       Dashboard!$L$5+Dashboard!$E$6
    ), 0
)</f>
        <v>0</v>
      </c>
      <c r="P618" s="2">
        <f>IF(ROW()&lt;3, Query1[[#This Row],[Shares]], IF(Query1[[#This Row],[Month]]&lt;&gt;H617, P617+Query1[[#This Row],[Enhanced top up]]/Query1[[#This Row],[Adj Close]], P617))</f>
        <v>3360.5091492861038</v>
      </c>
      <c r="Q618" s="2">
        <f>IFERROR(AVERAGE(
  IF(ROW()&gt;20, INDEX(G:G, ROW()-20), 0) :
  INDEX(G:G, ROW())
),0)</f>
        <v>256.39295959472656</v>
      </c>
    </row>
    <row r="619" spans="1:17" x14ac:dyDescent="0.4">
      <c r="A619" s="1">
        <v>44726</v>
      </c>
      <c r="B619">
        <v>243.86000061035156</v>
      </c>
      <c r="C619">
        <v>245.74000549316406</v>
      </c>
      <c r="D619">
        <v>241.50999450683594</v>
      </c>
      <c r="E619">
        <v>244.49000549316406</v>
      </c>
      <c r="F619">
        <v>28651500</v>
      </c>
      <c r="G619">
        <v>238.05033874511719</v>
      </c>
      <c r="H619" s="2">
        <f>MONTH(Query1[[#This Row],[Date]])</f>
        <v>6</v>
      </c>
      <c r="I619" s="3">
        <f>Query1[[#This Row],[Shares]]*Query1[[#This Row],[Adj Close]]</f>
        <v>855147.9856195678</v>
      </c>
      <c r="J619" s="3">
        <f>IF(ROW()&lt;3, Dashboard!$E$7, IF(Query1[[#This Row],[Month]]&lt;&gt;H618,J618*(1+Dashboard!$E$4)+Dashboard!$E$5,J618))</f>
        <v>734152.71359706356</v>
      </c>
      <c r="K619">
        <f>IF(ROW()&lt;3, 0,IF(Query1[[#This Row],[Month]]&lt;&gt;H618,IF((J619-I619&gt;0),J619-I619,0),0))</f>
        <v>0</v>
      </c>
      <c r="L619" s="2">
        <f t="shared" si="9"/>
        <v>3592.2989655359538</v>
      </c>
      <c r="M619">
        <f>IF(ROW()&lt;3, 0, IF(Query1[[#This Row],[Month]]&lt;&gt;H618, Dashboard!$J$5,0))</f>
        <v>0</v>
      </c>
      <c r="N619" s="2">
        <f>IF(ROW()&lt;3, Query1[[#This Row],[Shares]], IF(Query1[[#This Row],[Month]]&lt;&gt;H618, N618+Query1[[#This Row],[Fix Top Up]]/Query1[[#This Row],[Adj Close]], N618))</f>
        <v>3371.0878548524261</v>
      </c>
      <c r="O619">
        <f>IF(AND(Query1[[#This Row],[avg]]&gt;0, Query1[[#This Row],[Month]]&lt;&gt;H618),
    IF(Query1[[#This Row],[Adj Close]]&gt;Query1[[#This Row],[avg]],
       Dashboard!$L$5-Dashboard!$E$6,
       Dashboard!$L$5+Dashboard!$E$6
    ), 0
)</f>
        <v>0</v>
      </c>
      <c r="P619" s="2">
        <f>IF(ROW()&lt;3, Query1[[#This Row],[Shares]], IF(Query1[[#This Row],[Month]]&lt;&gt;H618, P618+Query1[[#This Row],[Enhanced top up]]/Query1[[#This Row],[Adj Close]], P618))</f>
        <v>3360.5091492861038</v>
      </c>
      <c r="Q619" s="2">
        <f>IFERROR(AVERAGE(
  IF(ROW()&gt;20, INDEX(G:G, ROW()-20), 0) :
  INDEX(G:G, ROW())
),0)</f>
        <v>255.6500462123326</v>
      </c>
    </row>
    <row r="620" spans="1:17" x14ac:dyDescent="0.4">
      <c r="A620" s="1">
        <v>44727</v>
      </c>
      <c r="B620">
        <v>248.30999755859375</v>
      </c>
      <c r="C620">
        <v>255.30000305175781</v>
      </c>
      <c r="D620">
        <v>246.41999816894531</v>
      </c>
      <c r="E620">
        <v>251.75999450683594</v>
      </c>
      <c r="F620">
        <v>33111700</v>
      </c>
      <c r="G620">
        <v>245.12886047363281</v>
      </c>
      <c r="H620" s="2">
        <f>MONTH(Query1[[#This Row],[Date]])</f>
        <v>6</v>
      </c>
      <c r="I620" s="3">
        <f>Query1[[#This Row],[Shares]]*Query1[[#This Row],[Adj Close]]</f>
        <v>880576.15190243826</v>
      </c>
      <c r="J620" s="3">
        <f>IF(ROW()&lt;3, Dashboard!$E$7, IF(Query1[[#This Row],[Month]]&lt;&gt;H619,J619*(1+Dashboard!$E$4)+Dashboard!$E$5,J619))</f>
        <v>734152.71359706356</v>
      </c>
      <c r="K620">
        <f>IF(ROW()&lt;3, 0,IF(Query1[[#This Row],[Month]]&lt;&gt;H619,IF((J620-I620&gt;0),J620-I620,0),0))</f>
        <v>0</v>
      </c>
      <c r="L620" s="2">
        <f t="shared" si="9"/>
        <v>3592.2989655359538</v>
      </c>
      <c r="M620">
        <f>IF(ROW()&lt;3, 0, IF(Query1[[#This Row],[Month]]&lt;&gt;H619, Dashboard!$J$5,0))</f>
        <v>0</v>
      </c>
      <c r="N620" s="2">
        <f>IF(ROW()&lt;3, Query1[[#This Row],[Shares]], IF(Query1[[#This Row],[Month]]&lt;&gt;H619, N619+Query1[[#This Row],[Fix Top Up]]/Query1[[#This Row],[Adj Close]], N619))</f>
        <v>3371.0878548524261</v>
      </c>
      <c r="O620">
        <f>IF(AND(Query1[[#This Row],[avg]]&gt;0, Query1[[#This Row],[Month]]&lt;&gt;H619),
    IF(Query1[[#This Row],[Adj Close]]&gt;Query1[[#This Row],[avg]],
       Dashboard!$L$5-Dashboard!$E$6,
       Dashboard!$L$5+Dashboard!$E$6
    ), 0
)</f>
        <v>0</v>
      </c>
      <c r="P620" s="2">
        <f>IF(ROW()&lt;3, Query1[[#This Row],[Shares]], IF(Query1[[#This Row],[Month]]&lt;&gt;H619, P619+Query1[[#This Row],[Enhanced top up]]/Query1[[#This Row],[Adj Close]], P619))</f>
        <v>3360.5091492861038</v>
      </c>
      <c r="Q620" s="2">
        <f>IFERROR(AVERAGE(
  IF(ROW()&gt;20, INDEX(G:G, ROW()-20), 0) :
  INDEX(G:G, ROW())
),0)</f>
        <v>255.22662862141928</v>
      </c>
    </row>
    <row r="621" spans="1:17" x14ac:dyDescent="0.4">
      <c r="A621" s="1">
        <v>44728</v>
      </c>
      <c r="B621">
        <v>245.97999572753906</v>
      </c>
      <c r="C621">
        <v>247.41999816894531</v>
      </c>
      <c r="D621">
        <v>243.02000427246094</v>
      </c>
      <c r="E621">
        <v>244.97000122070313</v>
      </c>
      <c r="F621">
        <v>33169200</v>
      </c>
      <c r="G621">
        <v>238.51768493652344</v>
      </c>
      <c r="H621" s="2">
        <f>MONTH(Query1[[#This Row],[Date]])</f>
        <v>6</v>
      </c>
      <c r="I621" s="3">
        <f>Query1[[#This Row],[Shares]]*Query1[[#This Row],[Adj Close]]</f>
        <v>856826.83285950369</v>
      </c>
      <c r="J621" s="3">
        <f>IF(ROW()&lt;3, Dashboard!$E$7, IF(Query1[[#This Row],[Month]]&lt;&gt;H620,J620*(1+Dashboard!$E$4)+Dashboard!$E$5,J620))</f>
        <v>734152.71359706356</v>
      </c>
      <c r="K621">
        <f>IF(ROW()&lt;3, 0,IF(Query1[[#This Row],[Month]]&lt;&gt;H620,IF((J621-I621&gt;0),J621-I621,0),0))</f>
        <v>0</v>
      </c>
      <c r="L621" s="2">
        <f t="shared" si="9"/>
        <v>3592.2989655359538</v>
      </c>
      <c r="M621">
        <f>IF(ROW()&lt;3, 0, IF(Query1[[#This Row],[Month]]&lt;&gt;H620, Dashboard!$J$5,0))</f>
        <v>0</v>
      </c>
      <c r="N621" s="2">
        <f>IF(ROW()&lt;3, Query1[[#This Row],[Shares]], IF(Query1[[#This Row],[Month]]&lt;&gt;H620, N620+Query1[[#This Row],[Fix Top Up]]/Query1[[#This Row],[Adj Close]], N620))</f>
        <v>3371.0878548524261</v>
      </c>
      <c r="O621">
        <f>IF(AND(Query1[[#This Row],[avg]]&gt;0, Query1[[#This Row],[Month]]&lt;&gt;H620),
    IF(Query1[[#This Row],[Adj Close]]&gt;Query1[[#This Row],[avg]],
       Dashboard!$L$5-Dashboard!$E$6,
       Dashboard!$L$5+Dashboard!$E$6
    ), 0
)</f>
        <v>0</v>
      </c>
      <c r="P621" s="2">
        <f>IF(ROW()&lt;3, Query1[[#This Row],[Shares]], IF(Query1[[#This Row],[Month]]&lt;&gt;H620, P620+Query1[[#This Row],[Enhanced top up]]/Query1[[#This Row],[Adj Close]], P620))</f>
        <v>3360.5091492861038</v>
      </c>
      <c r="Q621" s="2">
        <f>IFERROR(AVERAGE(
  IF(ROW()&gt;20, INDEX(G:G, ROW()-20), 0) :
  INDEX(G:G, ROW())
),0)</f>
        <v>254.24230521065849</v>
      </c>
    </row>
    <row r="622" spans="1:17" x14ac:dyDescent="0.4">
      <c r="A622" s="1">
        <v>44729</v>
      </c>
      <c r="B622">
        <v>244.69999694824219</v>
      </c>
      <c r="C622">
        <v>250.5</v>
      </c>
      <c r="D622">
        <v>244.02999877929688</v>
      </c>
      <c r="E622">
        <v>247.64999389648438</v>
      </c>
      <c r="F622">
        <v>43084800</v>
      </c>
      <c r="G622">
        <v>241.1270751953125</v>
      </c>
      <c r="H622" s="2">
        <f>MONTH(Query1[[#This Row],[Date]])</f>
        <v>6</v>
      </c>
      <c r="I622" s="3">
        <f>Query1[[#This Row],[Shares]]*Query1[[#This Row],[Adj Close]]</f>
        <v>866200.54278683127</v>
      </c>
      <c r="J622" s="3">
        <f>IF(ROW()&lt;3, Dashboard!$E$7, IF(Query1[[#This Row],[Month]]&lt;&gt;H621,J621*(1+Dashboard!$E$4)+Dashboard!$E$5,J621))</f>
        <v>734152.71359706356</v>
      </c>
      <c r="K622">
        <f>IF(ROW()&lt;3, 0,IF(Query1[[#This Row],[Month]]&lt;&gt;H621,IF((J622-I622&gt;0),J622-I622,0),0))</f>
        <v>0</v>
      </c>
      <c r="L622" s="2">
        <f t="shared" si="9"/>
        <v>3592.2989655359538</v>
      </c>
      <c r="M622">
        <f>IF(ROW()&lt;3, 0, IF(Query1[[#This Row],[Month]]&lt;&gt;H621, Dashboard!$J$5,0))</f>
        <v>0</v>
      </c>
      <c r="N622" s="2">
        <f>IF(ROW()&lt;3, Query1[[#This Row],[Shares]], IF(Query1[[#This Row],[Month]]&lt;&gt;H621, N621+Query1[[#This Row],[Fix Top Up]]/Query1[[#This Row],[Adj Close]], N621))</f>
        <v>3371.0878548524261</v>
      </c>
      <c r="O622">
        <f>IF(AND(Query1[[#This Row],[avg]]&gt;0, Query1[[#This Row],[Month]]&lt;&gt;H621),
    IF(Query1[[#This Row],[Adj Close]]&gt;Query1[[#This Row],[avg]],
       Dashboard!$L$5-Dashboard!$E$6,
       Dashboard!$L$5+Dashboard!$E$6
    ), 0
)</f>
        <v>0</v>
      </c>
      <c r="P622" s="2">
        <f>IF(ROW()&lt;3, Query1[[#This Row],[Shares]], IF(Query1[[#This Row],[Month]]&lt;&gt;H621, P621+Query1[[#This Row],[Enhanced top up]]/Query1[[#This Row],[Adj Close]], P621))</f>
        <v>3360.5091492861038</v>
      </c>
      <c r="Q622" s="2">
        <f>IFERROR(AVERAGE(
  IF(ROW()&gt;20, INDEX(G:G, ROW()-20), 0) :
  INDEX(G:G, ROW())
),0)</f>
        <v>253.94417898995536</v>
      </c>
    </row>
    <row r="623" spans="1:17" x14ac:dyDescent="0.4">
      <c r="A623" s="1">
        <v>44733</v>
      </c>
      <c r="B623">
        <v>250.25999450683594</v>
      </c>
      <c r="C623">
        <v>254.75</v>
      </c>
      <c r="D623">
        <v>249.50999450683594</v>
      </c>
      <c r="E623">
        <v>253.74000549316406</v>
      </c>
      <c r="F623">
        <v>29928300</v>
      </c>
      <c r="G623">
        <v>247.05670166015625</v>
      </c>
      <c r="H623" s="2">
        <f>MONTH(Query1[[#This Row],[Date]])</f>
        <v>6</v>
      </c>
      <c r="I623" s="3">
        <f>Query1[[#This Row],[Shares]]*Query1[[#This Row],[Adj Close]]</f>
        <v>887501.53380250407</v>
      </c>
      <c r="J623" s="3">
        <f>IF(ROW()&lt;3, Dashboard!$E$7, IF(Query1[[#This Row],[Month]]&lt;&gt;H622,J622*(1+Dashboard!$E$4)+Dashboard!$E$5,J622))</f>
        <v>734152.71359706356</v>
      </c>
      <c r="K623">
        <f>IF(ROW()&lt;3, 0,IF(Query1[[#This Row],[Month]]&lt;&gt;H622,IF((J623-I623&gt;0),J623-I623,0),0))</f>
        <v>0</v>
      </c>
      <c r="L623" s="2">
        <f t="shared" si="9"/>
        <v>3592.2989655359538</v>
      </c>
      <c r="M623">
        <f>IF(ROW()&lt;3, 0, IF(Query1[[#This Row],[Month]]&lt;&gt;H622, Dashboard!$J$5,0))</f>
        <v>0</v>
      </c>
      <c r="N623" s="2">
        <f>IF(ROW()&lt;3, Query1[[#This Row],[Shares]], IF(Query1[[#This Row],[Month]]&lt;&gt;H622, N622+Query1[[#This Row],[Fix Top Up]]/Query1[[#This Row],[Adj Close]], N622))</f>
        <v>3371.0878548524261</v>
      </c>
      <c r="O623">
        <f>IF(AND(Query1[[#This Row],[avg]]&gt;0, Query1[[#This Row],[Month]]&lt;&gt;H622),
    IF(Query1[[#This Row],[Adj Close]]&gt;Query1[[#This Row],[avg]],
       Dashboard!$L$5-Dashboard!$E$6,
       Dashboard!$L$5+Dashboard!$E$6
    ), 0
)</f>
        <v>0</v>
      </c>
      <c r="P623" s="2">
        <f>IF(ROW()&lt;3, Query1[[#This Row],[Shares]], IF(Query1[[#This Row],[Month]]&lt;&gt;H622, P622+Query1[[#This Row],[Enhanced top up]]/Query1[[#This Row],[Adj Close]], P622))</f>
        <v>3360.5091492861038</v>
      </c>
      <c r="Q623" s="2">
        <f>IFERROR(AVERAGE(
  IF(ROW()&gt;20, INDEX(G:G, ROW()-20), 0) :
  INDEX(G:G, ROW())
),0)</f>
        <v>253.97199866885231</v>
      </c>
    </row>
    <row r="624" spans="1:17" x14ac:dyDescent="0.4">
      <c r="A624" s="1">
        <v>44734</v>
      </c>
      <c r="B624">
        <v>251.88999938964844</v>
      </c>
      <c r="C624">
        <v>257.17001342773438</v>
      </c>
      <c r="D624">
        <v>250.3699951171875</v>
      </c>
      <c r="E624">
        <v>253.1300048828125</v>
      </c>
      <c r="F624">
        <v>25939900</v>
      </c>
      <c r="G624">
        <v>246.46275329589844</v>
      </c>
      <c r="H624" s="2">
        <f>MONTH(Query1[[#This Row],[Date]])</f>
        <v>6</v>
      </c>
      <c r="I624" s="3">
        <f>Query1[[#This Row],[Shares]]*Query1[[#This Row],[Adj Close]]</f>
        <v>885367.89370799891</v>
      </c>
      <c r="J624" s="3">
        <f>IF(ROW()&lt;3, Dashboard!$E$7, IF(Query1[[#This Row],[Month]]&lt;&gt;H623,J623*(1+Dashboard!$E$4)+Dashboard!$E$5,J623))</f>
        <v>734152.71359706356</v>
      </c>
      <c r="K624">
        <f>IF(ROW()&lt;3, 0,IF(Query1[[#This Row],[Month]]&lt;&gt;H623,IF((J624-I624&gt;0),J624-I624,0),0))</f>
        <v>0</v>
      </c>
      <c r="L624" s="2">
        <f t="shared" si="9"/>
        <v>3592.2989655359538</v>
      </c>
      <c r="M624">
        <f>IF(ROW()&lt;3, 0, IF(Query1[[#This Row],[Month]]&lt;&gt;H623, Dashboard!$J$5,0))</f>
        <v>0</v>
      </c>
      <c r="N624" s="2">
        <f>IF(ROW()&lt;3, Query1[[#This Row],[Shares]], IF(Query1[[#This Row],[Month]]&lt;&gt;H623, N623+Query1[[#This Row],[Fix Top Up]]/Query1[[#This Row],[Adj Close]], N623))</f>
        <v>3371.0878548524261</v>
      </c>
      <c r="O624">
        <f>IF(AND(Query1[[#This Row],[avg]]&gt;0, Query1[[#This Row],[Month]]&lt;&gt;H623),
    IF(Query1[[#This Row],[Adj Close]]&gt;Query1[[#This Row],[avg]],
       Dashboard!$L$5-Dashboard!$E$6,
       Dashboard!$L$5+Dashboard!$E$6
    ), 0
)</f>
        <v>0</v>
      </c>
      <c r="P624" s="2">
        <f>IF(ROW()&lt;3, Query1[[#This Row],[Shares]], IF(Query1[[#This Row],[Month]]&lt;&gt;H623, P623+Query1[[#This Row],[Enhanced top up]]/Query1[[#This Row],[Adj Close]], P623))</f>
        <v>3360.5091492861038</v>
      </c>
      <c r="Q624" s="2">
        <f>IFERROR(AVERAGE(
  IF(ROW()&gt;20, INDEX(G:G, ROW()-20), 0) :
  INDEX(G:G, ROW())
),0)</f>
        <v>253.99842616489954</v>
      </c>
    </row>
    <row r="625" spans="1:17" x14ac:dyDescent="0.4">
      <c r="A625" s="1">
        <v>44735</v>
      </c>
      <c r="B625">
        <v>255.57000732421875</v>
      </c>
      <c r="C625">
        <v>259.3699951171875</v>
      </c>
      <c r="D625">
        <v>253.6300048828125</v>
      </c>
      <c r="E625">
        <v>258.8599853515625</v>
      </c>
      <c r="F625">
        <v>25861400</v>
      </c>
      <c r="G625">
        <v>252.04180908203125</v>
      </c>
      <c r="H625" s="2">
        <f>MONTH(Query1[[#This Row],[Date]])</f>
        <v>6</v>
      </c>
      <c r="I625" s="3">
        <f>Query1[[#This Row],[Shares]]*Query1[[#This Row],[Adj Close]]</f>
        <v>905409.53003719123</v>
      </c>
      <c r="J625" s="3">
        <f>IF(ROW()&lt;3, Dashboard!$E$7, IF(Query1[[#This Row],[Month]]&lt;&gt;H624,J624*(1+Dashboard!$E$4)+Dashboard!$E$5,J624))</f>
        <v>734152.71359706356</v>
      </c>
      <c r="K625">
        <f>IF(ROW()&lt;3, 0,IF(Query1[[#This Row],[Month]]&lt;&gt;H624,IF((J625-I625&gt;0),J625-I625,0),0))</f>
        <v>0</v>
      </c>
      <c r="L625" s="2">
        <f t="shared" si="9"/>
        <v>3592.2989655359538</v>
      </c>
      <c r="M625">
        <f>IF(ROW()&lt;3, 0, IF(Query1[[#This Row],[Month]]&lt;&gt;H624, Dashboard!$J$5,0))</f>
        <v>0</v>
      </c>
      <c r="N625" s="2">
        <f>IF(ROW()&lt;3, Query1[[#This Row],[Shares]], IF(Query1[[#This Row],[Month]]&lt;&gt;H624, N624+Query1[[#This Row],[Fix Top Up]]/Query1[[#This Row],[Adj Close]], N624))</f>
        <v>3371.0878548524261</v>
      </c>
      <c r="O625">
        <f>IF(AND(Query1[[#This Row],[avg]]&gt;0, Query1[[#This Row],[Month]]&lt;&gt;H624),
    IF(Query1[[#This Row],[Adj Close]]&gt;Query1[[#This Row],[avg]],
       Dashboard!$L$5-Dashboard!$E$6,
       Dashboard!$L$5+Dashboard!$E$6
    ), 0
)</f>
        <v>0</v>
      </c>
      <c r="P625" s="2">
        <f>IF(ROW()&lt;3, Query1[[#This Row],[Shares]], IF(Query1[[#This Row],[Month]]&lt;&gt;H624, P624+Query1[[#This Row],[Enhanced top up]]/Query1[[#This Row],[Adj Close]], P624))</f>
        <v>3360.5091492861038</v>
      </c>
      <c r="Q625" s="2">
        <f>IFERROR(AVERAGE(
  IF(ROW()&gt;20, INDEX(G:G, ROW()-20), 0) :
  INDEX(G:G, ROW())
),0)</f>
        <v>253.9154321579706</v>
      </c>
    </row>
    <row r="626" spans="1:17" x14ac:dyDescent="0.4">
      <c r="A626" s="1">
        <v>44736</v>
      </c>
      <c r="B626">
        <v>261.80999755859375</v>
      </c>
      <c r="C626">
        <v>267.98001098632813</v>
      </c>
      <c r="D626">
        <v>261.72000122070313</v>
      </c>
      <c r="E626">
        <v>267.70001220703125</v>
      </c>
      <c r="F626">
        <v>33923200</v>
      </c>
      <c r="G626">
        <v>260.64895629882813</v>
      </c>
      <c r="H626" s="2">
        <f>MONTH(Query1[[#This Row],[Date]])</f>
        <v>6</v>
      </c>
      <c r="I626" s="3">
        <f>Query1[[#This Row],[Shares]]*Query1[[#This Row],[Adj Close]]</f>
        <v>936328.97608030634</v>
      </c>
      <c r="J626" s="3">
        <f>IF(ROW()&lt;3, Dashboard!$E$7, IF(Query1[[#This Row],[Month]]&lt;&gt;H625,J625*(1+Dashboard!$E$4)+Dashboard!$E$5,J625))</f>
        <v>734152.71359706356</v>
      </c>
      <c r="K626">
        <f>IF(ROW()&lt;3, 0,IF(Query1[[#This Row],[Month]]&lt;&gt;H625,IF((J626-I626&gt;0),J626-I626,0),0))</f>
        <v>0</v>
      </c>
      <c r="L626" s="2">
        <f t="shared" si="9"/>
        <v>3592.2989655359538</v>
      </c>
      <c r="M626">
        <f>IF(ROW()&lt;3, 0, IF(Query1[[#This Row],[Month]]&lt;&gt;H625, Dashboard!$J$5,0))</f>
        <v>0</v>
      </c>
      <c r="N626" s="2">
        <f>IF(ROW()&lt;3, Query1[[#This Row],[Shares]], IF(Query1[[#This Row],[Month]]&lt;&gt;H625, N625+Query1[[#This Row],[Fix Top Up]]/Query1[[#This Row],[Adj Close]], N625))</f>
        <v>3371.0878548524261</v>
      </c>
      <c r="O626">
        <f>IF(AND(Query1[[#This Row],[avg]]&gt;0, Query1[[#This Row],[Month]]&lt;&gt;H625),
    IF(Query1[[#This Row],[Adj Close]]&gt;Query1[[#This Row],[avg]],
       Dashboard!$L$5-Dashboard!$E$6,
       Dashboard!$L$5+Dashboard!$E$6
    ), 0
)</f>
        <v>0</v>
      </c>
      <c r="P626" s="2">
        <f>IF(ROW()&lt;3, Query1[[#This Row],[Shares]], IF(Query1[[#This Row],[Month]]&lt;&gt;H625, P625+Query1[[#This Row],[Enhanced top up]]/Query1[[#This Row],[Adj Close]], P625))</f>
        <v>3360.5091492861038</v>
      </c>
      <c r="Q626" s="2">
        <f>IFERROR(AVERAGE(
  IF(ROW()&gt;20, INDEX(G:G, ROW()-20), 0) :
  INDEX(G:G, ROW())
),0)</f>
        <v>254.29005940755209</v>
      </c>
    </row>
    <row r="627" spans="1:17" x14ac:dyDescent="0.4">
      <c r="A627" s="1">
        <v>44739</v>
      </c>
      <c r="B627">
        <v>268.20999145507813</v>
      </c>
      <c r="C627">
        <v>268.29998779296875</v>
      </c>
      <c r="D627">
        <v>263.27999877929688</v>
      </c>
      <c r="E627">
        <v>264.8900146484375</v>
      </c>
      <c r="F627">
        <v>24615100</v>
      </c>
      <c r="G627">
        <v>257.91302490234375</v>
      </c>
      <c r="H627" s="2">
        <f>MONTH(Query1[[#This Row],[Date]])</f>
        <v>6</v>
      </c>
      <c r="I627" s="3">
        <f>Query1[[#This Row],[Shares]]*Query1[[#This Row],[Adj Close]]</f>
        <v>926500.69255493814</v>
      </c>
      <c r="J627" s="3">
        <f>IF(ROW()&lt;3, Dashboard!$E$7, IF(Query1[[#This Row],[Month]]&lt;&gt;H626,J626*(1+Dashboard!$E$4)+Dashboard!$E$5,J626))</f>
        <v>734152.71359706356</v>
      </c>
      <c r="K627">
        <f>IF(ROW()&lt;3, 0,IF(Query1[[#This Row],[Month]]&lt;&gt;H626,IF((J627-I627&gt;0),J627-I627,0),0))</f>
        <v>0</v>
      </c>
      <c r="L627" s="2">
        <f t="shared" si="9"/>
        <v>3592.2989655359538</v>
      </c>
      <c r="M627">
        <f>IF(ROW()&lt;3, 0, IF(Query1[[#This Row],[Month]]&lt;&gt;H626, Dashboard!$J$5,0))</f>
        <v>0</v>
      </c>
      <c r="N627" s="2">
        <f>IF(ROW()&lt;3, Query1[[#This Row],[Shares]], IF(Query1[[#This Row],[Month]]&lt;&gt;H626, N626+Query1[[#This Row],[Fix Top Up]]/Query1[[#This Row],[Adj Close]], N626))</f>
        <v>3371.0878548524261</v>
      </c>
      <c r="O627">
        <f>IF(AND(Query1[[#This Row],[avg]]&gt;0, Query1[[#This Row],[Month]]&lt;&gt;H626),
    IF(Query1[[#This Row],[Adj Close]]&gt;Query1[[#This Row],[avg]],
       Dashboard!$L$5-Dashboard!$E$6,
       Dashboard!$L$5+Dashboard!$E$6
    ), 0
)</f>
        <v>0</v>
      </c>
      <c r="P627" s="2">
        <f>IF(ROW()&lt;3, Query1[[#This Row],[Shares]], IF(Query1[[#This Row],[Month]]&lt;&gt;H626, P626+Query1[[#This Row],[Enhanced top up]]/Query1[[#This Row],[Adj Close]], P626))</f>
        <v>3360.5091492861038</v>
      </c>
      <c r="Q627" s="2">
        <f>IFERROR(AVERAGE(
  IF(ROW()&gt;20, INDEX(G:G, ROW()-20), 0) :
  INDEX(G:G, ROW())
),0)</f>
        <v>254.39994376046317</v>
      </c>
    </row>
    <row r="628" spans="1:17" x14ac:dyDescent="0.4">
      <c r="A628" s="1">
        <v>44740</v>
      </c>
      <c r="B628">
        <v>263.98001098632813</v>
      </c>
      <c r="C628">
        <v>266.91000366210938</v>
      </c>
      <c r="D628">
        <v>256.32000732421875</v>
      </c>
      <c r="E628">
        <v>256.48001098632813</v>
      </c>
      <c r="F628">
        <v>27295500</v>
      </c>
      <c r="G628">
        <v>249.72451782226563</v>
      </c>
      <c r="H628" s="2">
        <f>MONTH(Query1[[#This Row],[Date]])</f>
        <v>6</v>
      </c>
      <c r="I628" s="3">
        <f>Query1[[#This Row],[Shares]]*Query1[[#This Row],[Adj Close]]</f>
        <v>897085.1270418897</v>
      </c>
      <c r="J628" s="3">
        <f>IF(ROW()&lt;3, Dashboard!$E$7, IF(Query1[[#This Row],[Month]]&lt;&gt;H627,J627*(1+Dashboard!$E$4)+Dashboard!$E$5,J627))</f>
        <v>734152.71359706356</v>
      </c>
      <c r="K628">
        <f>IF(ROW()&lt;3, 0,IF(Query1[[#This Row],[Month]]&lt;&gt;H627,IF((J628-I628&gt;0),J628-I628,0),0))</f>
        <v>0</v>
      </c>
      <c r="L628" s="2">
        <f t="shared" si="9"/>
        <v>3592.2989655359538</v>
      </c>
      <c r="M628">
        <f>IF(ROW()&lt;3, 0, IF(Query1[[#This Row],[Month]]&lt;&gt;H627, Dashboard!$J$5,0))</f>
        <v>0</v>
      </c>
      <c r="N628" s="2">
        <f>IF(ROW()&lt;3, Query1[[#This Row],[Shares]], IF(Query1[[#This Row],[Month]]&lt;&gt;H627, N627+Query1[[#This Row],[Fix Top Up]]/Query1[[#This Row],[Adj Close]], N627))</f>
        <v>3371.0878548524261</v>
      </c>
      <c r="O628">
        <f>IF(AND(Query1[[#This Row],[avg]]&gt;0, Query1[[#This Row],[Month]]&lt;&gt;H627),
    IF(Query1[[#This Row],[Adj Close]]&gt;Query1[[#This Row],[avg]],
       Dashboard!$L$5-Dashboard!$E$6,
       Dashboard!$L$5+Dashboard!$E$6
    ), 0
)</f>
        <v>0</v>
      </c>
      <c r="P628" s="2">
        <f>IF(ROW()&lt;3, Query1[[#This Row],[Shares]], IF(Query1[[#This Row],[Month]]&lt;&gt;H627, P627+Query1[[#This Row],[Enhanced top up]]/Query1[[#This Row],[Adj Close]], P627))</f>
        <v>3360.5091492861038</v>
      </c>
      <c r="Q628" s="2">
        <f>IFERROR(AVERAGE(
  IF(ROW()&gt;20, INDEX(G:G, ROW()-20), 0) :
  INDEX(G:G, ROW())
),0)</f>
        <v>253.96318926130022</v>
      </c>
    </row>
    <row r="629" spans="1:17" x14ac:dyDescent="0.4">
      <c r="A629" s="1">
        <v>44741</v>
      </c>
      <c r="B629">
        <v>257.58999633789063</v>
      </c>
      <c r="C629">
        <v>261.97000122070313</v>
      </c>
      <c r="D629">
        <v>255.75999450683594</v>
      </c>
      <c r="E629">
        <v>260.260009765625</v>
      </c>
      <c r="F629">
        <v>20069800</v>
      </c>
      <c r="G629">
        <v>253.40492248535156</v>
      </c>
      <c r="H629" s="2">
        <f>MONTH(Query1[[#This Row],[Date]])</f>
        <v>6</v>
      </c>
      <c r="I629" s="3">
        <f>Query1[[#This Row],[Shares]]*Query1[[#This Row],[Adj Close]]</f>
        <v>910306.24090584693</v>
      </c>
      <c r="J629" s="3">
        <f>IF(ROW()&lt;3, Dashboard!$E$7, IF(Query1[[#This Row],[Month]]&lt;&gt;H628,J628*(1+Dashboard!$E$4)+Dashboard!$E$5,J628))</f>
        <v>734152.71359706356</v>
      </c>
      <c r="K629">
        <f>IF(ROW()&lt;3, 0,IF(Query1[[#This Row],[Month]]&lt;&gt;H628,IF((J629-I629&gt;0),J629-I629,0),0))</f>
        <v>0</v>
      </c>
      <c r="L629" s="2">
        <f t="shared" si="9"/>
        <v>3592.2989655359538</v>
      </c>
      <c r="M629">
        <f>IF(ROW()&lt;3, 0, IF(Query1[[#This Row],[Month]]&lt;&gt;H628, Dashboard!$J$5,0))</f>
        <v>0</v>
      </c>
      <c r="N629" s="2">
        <f>IF(ROW()&lt;3, Query1[[#This Row],[Shares]], IF(Query1[[#This Row],[Month]]&lt;&gt;H628, N628+Query1[[#This Row],[Fix Top Up]]/Query1[[#This Row],[Adj Close]], N628))</f>
        <v>3371.0878548524261</v>
      </c>
      <c r="O629">
        <f>IF(AND(Query1[[#This Row],[avg]]&gt;0, Query1[[#This Row],[Month]]&lt;&gt;H628),
    IF(Query1[[#This Row],[Adj Close]]&gt;Query1[[#This Row],[avg]],
       Dashboard!$L$5-Dashboard!$E$6,
       Dashboard!$L$5+Dashboard!$E$6
    ), 0
)</f>
        <v>0</v>
      </c>
      <c r="P629" s="2">
        <f>IF(ROW()&lt;3, Query1[[#This Row],[Shares]], IF(Query1[[#This Row],[Month]]&lt;&gt;H628, P628+Query1[[#This Row],[Enhanced top up]]/Query1[[#This Row],[Adj Close]], P628))</f>
        <v>3360.5091492861038</v>
      </c>
      <c r="Q629" s="2">
        <f>IFERROR(AVERAGE(
  IF(ROW()&gt;20, INDEX(G:G, ROW()-20), 0) :
  INDEX(G:G, ROW())
),0)</f>
        <v>253.36137172154017</v>
      </c>
    </row>
    <row r="630" spans="1:17" x14ac:dyDescent="0.4">
      <c r="A630" s="1">
        <v>44742</v>
      </c>
      <c r="B630">
        <v>257.04998779296875</v>
      </c>
      <c r="C630">
        <v>259.52999877929688</v>
      </c>
      <c r="D630">
        <v>252.89999389648438</v>
      </c>
      <c r="E630">
        <v>256.82998657226563</v>
      </c>
      <c r="F630">
        <v>31730900</v>
      </c>
      <c r="G630">
        <v>250.0653076171875</v>
      </c>
      <c r="H630" s="2">
        <f>MONTH(Query1[[#This Row],[Date]])</f>
        <v>6</v>
      </c>
      <c r="I630" s="3">
        <f>Query1[[#This Row],[Shares]]*Query1[[#This Row],[Adj Close]]</f>
        <v>898309.34586965269</v>
      </c>
      <c r="J630" s="3">
        <f>IF(ROW()&lt;3, Dashboard!$E$7, IF(Query1[[#This Row],[Month]]&lt;&gt;H629,J629*(1+Dashboard!$E$4)+Dashboard!$E$5,J629))</f>
        <v>734152.71359706356</v>
      </c>
      <c r="K630">
        <f>IF(ROW()&lt;3, 0,IF(Query1[[#This Row],[Month]]&lt;&gt;H629,IF((J630-I630&gt;0),J630-I630,0),0))</f>
        <v>0</v>
      </c>
      <c r="L630" s="2">
        <f t="shared" si="9"/>
        <v>3592.2989655359538</v>
      </c>
      <c r="M630">
        <f>IF(ROW()&lt;3, 0, IF(Query1[[#This Row],[Month]]&lt;&gt;H629, Dashboard!$J$5,0))</f>
        <v>0</v>
      </c>
      <c r="N630" s="2">
        <f>IF(ROW()&lt;3, Query1[[#This Row],[Shares]], IF(Query1[[#This Row],[Month]]&lt;&gt;H629, N629+Query1[[#This Row],[Fix Top Up]]/Query1[[#This Row],[Adj Close]], N629))</f>
        <v>3371.0878548524261</v>
      </c>
      <c r="O630">
        <f>IF(AND(Query1[[#This Row],[avg]]&gt;0, Query1[[#This Row],[Month]]&lt;&gt;H629),
    IF(Query1[[#This Row],[Adj Close]]&gt;Query1[[#This Row],[avg]],
       Dashboard!$L$5-Dashboard!$E$6,
       Dashboard!$L$5+Dashboard!$E$6
    ), 0
)</f>
        <v>0</v>
      </c>
      <c r="P630" s="2">
        <f>IF(ROW()&lt;3, Query1[[#This Row],[Shares]], IF(Query1[[#This Row],[Month]]&lt;&gt;H629, P629+Query1[[#This Row],[Enhanced top up]]/Query1[[#This Row],[Adj Close]], P629))</f>
        <v>3360.5091492861038</v>
      </c>
      <c r="Q630" s="2">
        <f>IFERROR(AVERAGE(
  IF(ROW()&gt;20, INDEX(G:G, ROW()-20), 0) :
  INDEX(G:G, ROW())
),0)</f>
        <v>252.66404506138392</v>
      </c>
    </row>
    <row r="631" spans="1:17" x14ac:dyDescent="0.4">
      <c r="A631" s="1">
        <v>44743</v>
      </c>
      <c r="B631">
        <v>256.3900146484375</v>
      </c>
      <c r="C631">
        <v>259.76998901367188</v>
      </c>
      <c r="D631">
        <v>254.61000061035156</v>
      </c>
      <c r="E631">
        <v>259.57998657226563</v>
      </c>
      <c r="F631">
        <v>22837700</v>
      </c>
      <c r="G631">
        <v>252.74285888671875</v>
      </c>
      <c r="H631" s="2">
        <f>MONTH(Query1[[#This Row],[Date]])</f>
        <v>7</v>
      </c>
      <c r="I631" s="3">
        <f>Query1[[#This Row],[Shares]]*Query1[[#This Row],[Adj Close]]</f>
        <v>907927.91052535933</v>
      </c>
      <c r="J631" s="3">
        <f>IF(ROW()&lt;3, Dashboard!$E$7, IF(Query1[[#This Row],[Month]]&lt;&gt;H630,J630*(1+Dashboard!$E$4)+Dashboard!$E$5,J630))</f>
        <v>743494.24073303421</v>
      </c>
      <c r="K631">
        <f>IF(ROW()&lt;3, 0,IF(Query1[[#This Row],[Month]]&lt;&gt;H630,IF((J631-I631&gt;0),J631-I631,0),0))</f>
        <v>0</v>
      </c>
      <c r="L631" s="2">
        <f t="shared" si="9"/>
        <v>3592.2989655359538</v>
      </c>
      <c r="M631">
        <f>IF(ROW()&lt;3, 0, IF(Query1[[#This Row],[Month]]&lt;&gt;H630, Dashboard!$J$5,0))</f>
        <v>773.47399999999971</v>
      </c>
      <c r="N631" s="2">
        <f>IF(ROW()&lt;3, Query1[[#This Row],[Shares]], IF(Query1[[#This Row],[Month]]&lt;&gt;H630, N630+Query1[[#This Row],[Fix Top Up]]/Query1[[#This Row],[Adj Close]], N630))</f>
        <v>3374.1481747499179</v>
      </c>
      <c r="O631">
        <f>IF(AND(Query1[[#This Row],[avg]]&gt;0, Query1[[#This Row],[Month]]&lt;&gt;H630),
    IF(Query1[[#This Row],[Adj Close]]&gt;Query1[[#This Row],[avg]],
       Dashboard!$L$5-Dashboard!$E$6,
       Dashboard!$L$5+Dashboard!$E$6
    ), 0
)</f>
        <v>390.14066666666668</v>
      </c>
      <c r="P631" s="2">
        <f>IF(ROW()&lt;3, Query1[[#This Row],[Shares]], IF(Query1[[#This Row],[Month]]&lt;&gt;H630, P630+Query1[[#This Row],[Enhanced top up]]/Query1[[#This Row],[Adj Close]], P630))</f>
        <v>3362.0527761501235</v>
      </c>
      <c r="Q631" s="2">
        <f>IFERROR(AVERAGE(
  IF(ROW()&gt;20, INDEX(G:G, ROW()-20), 0) :
  INDEX(G:G, ROW())
),0)</f>
        <v>252.06871977306548</v>
      </c>
    </row>
    <row r="632" spans="1:17" x14ac:dyDescent="0.4">
      <c r="A632" s="1">
        <v>44747</v>
      </c>
      <c r="B632">
        <v>256.16000366210938</v>
      </c>
      <c r="C632">
        <v>262.98001098632813</v>
      </c>
      <c r="D632">
        <v>254.74000549316406</v>
      </c>
      <c r="E632">
        <v>262.85000610351563</v>
      </c>
      <c r="F632">
        <v>22941000</v>
      </c>
      <c r="G632">
        <v>255.92672729492188</v>
      </c>
      <c r="H632" s="2">
        <f>MONTH(Query1[[#This Row],[Date]])</f>
        <v>7</v>
      </c>
      <c r="I632" s="3">
        <f>Query1[[#This Row],[Shares]]*Query1[[#This Row],[Adj Close]]</f>
        <v>919365.31771454995</v>
      </c>
      <c r="J632" s="3">
        <f>IF(ROW()&lt;3, Dashboard!$E$7, IF(Query1[[#This Row],[Month]]&lt;&gt;H631,J631*(1+Dashboard!$E$4)+Dashboard!$E$5,J631))</f>
        <v>743494.24073303421</v>
      </c>
      <c r="K632">
        <f>IF(ROW()&lt;3, 0,IF(Query1[[#This Row],[Month]]&lt;&gt;H631,IF((J632-I632&gt;0),J632-I632,0),0))</f>
        <v>0</v>
      </c>
      <c r="L632" s="2">
        <f t="shared" si="9"/>
        <v>3592.2989655359538</v>
      </c>
      <c r="M632">
        <f>IF(ROW()&lt;3, 0, IF(Query1[[#This Row],[Month]]&lt;&gt;H631, Dashboard!$J$5,0))</f>
        <v>0</v>
      </c>
      <c r="N632" s="2">
        <f>IF(ROW()&lt;3, Query1[[#This Row],[Shares]], IF(Query1[[#This Row],[Month]]&lt;&gt;H631, N631+Query1[[#This Row],[Fix Top Up]]/Query1[[#This Row],[Adj Close]], N631))</f>
        <v>3374.1481747499179</v>
      </c>
      <c r="O632">
        <f>IF(AND(Query1[[#This Row],[avg]]&gt;0, Query1[[#This Row],[Month]]&lt;&gt;H631),
    IF(Query1[[#This Row],[Adj Close]]&gt;Query1[[#This Row],[avg]],
       Dashboard!$L$5-Dashboard!$E$6,
       Dashboard!$L$5+Dashboard!$E$6
    ), 0
)</f>
        <v>0</v>
      </c>
      <c r="P632" s="2">
        <f>IF(ROW()&lt;3, Query1[[#This Row],[Shares]], IF(Query1[[#This Row],[Month]]&lt;&gt;H631, P631+Query1[[#This Row],[Enhanced top up]]/Query1[[#This Row],[Adj Close]], P631))</f>
        <v>3362.0527761501235</v>
      </c>
      <c r="Q632" s="2">
        <f>IFERROR(AVERAGE(
  IF(ROW()&gt;20, INDEX(G:G, ROW()-20), 0) :
  INDEX(G:G, ROW())
),0)</f>
        <v>251.52486020042784</v>
      </c>
    </row>
    <row r="633" spans="1:17" x14ac:dyDescent="0.4">
      <c r="A633" s="1">
        <v>44748</v>
      </c>
      <c r="B633">
        <v>263.75</v>
      </c>
      <c r="C633">
        <v>267.989990234375</v>
      </c>
      <c r="D633">
        <v>262.39999389648438</v>
      </c>
      <c r="E633">
        <v>266.20999145507813</v>
      </c>
      <c r="F633">
        <v>23824400</v>
      </c>
      <c r="G633">
        <v>259.19830322265625</v>
      </c>
      <c r="H633" s="2">
        <f>MONTH(Query1[[#This Row],[Date]])</f>
        <v>7</v>
      </c>
      <c r="I633" s="3">
        <f>Query1[[#This Row],[Shares]]*Query1[[#This Row],[Adj Close]]</f>
        <v>931117.79653542256</v>
      </c>
      <c r="J633" s="3">
        <f>IF(ROW()&lt;3, Dashboard!$E$7, IF(Query1[[#This Row],[Month]]&lt;&gt;H632,J632*(1+Dashboard!$E$4)+Dashboard!$E$5,J632))</f>
        <v>743494.24073303421</v>
      </c>
      <c r="K633">
        <f>IF(ROW()&lt;3, 0,IF(Query1[[#This Row],[Month]]&lt;&gt;H632,IF((J633-I633&gt;0),J633-I633,0),0))</f>
        <v>0</v>
      </c>
      <c r="L633" s="2">
        <f t="shared" si="9"/>
        <v>3592.2989655359538</v>
      </c>
      <c r="M633">
        <f>IF(ROW()&lt;3, 0, IF(Query1[[#This Row],[Month]]&lt;&gt;H632, Dashboard!$J$5,0))</f>
        <v>0</v>
      </c>
      <c r="N633" s="2">
        <f>IF(ROW()&lt;3, Query1[[#This Row],[Shares]], IF(Query1[[#This Row],[Month]]&lt;&gt;H632, N632+Query1[[#This Row],[Fix Top Up]]/Query1[[#This Row],[Adj Close]], N632))</f>
        <v>3374.1481747499179</v>
      </c>
      <c r="O633">
        <f>IF(AND(Query1[[#This Row],[avg]]&gt;0, Query1[[#This Row],[Month]]&lt;&gt;H632),
    IF(Query1[[#This Row],[Adj Close]]&gt;Query1[[#This Row],[avg]],
       Dashboard!$L$5-Dashboard!$E$6,
       Dashboard!$L$5+Dashboard!$E$6
    ), 0
)</f>
        <v>0</v>
      </c>
      <c r="P633" s="2">
        <f>IF(ROW()&lt;3, Query1[[#This Row],[Shares]], IF(Query1[[#This Row],[Month]]&lt;&gt;H632, P632+Query1[[#This Row],[Enhanced top up]]/Query1[[#This Row],[Adj Close]], P632))</f>
        <v>3362.0527761501235</v>
      </c>
      <c r="Q633" s="2">
        <f>IFERROR(AVERAGE(
  IF(ROW()&gt;20, INDEX(G:G, ROW()-20), 0) :
  INDEX(G:G, ROW())
),0)</f>
        <v>251.34821573893228</v>
      </c>
    </row>
    <row r="634" spans="1:17" x14ac:dyDescent="0.4">
      <c r="A634" s="1">
        <v>44749</v>
      </c>
      <c r="B634">
        <v>265.1199951171875</v>
      </c>
      <c r="C634">
        <v>269.05999755859375</v>
      </c>
      <c r="D634">
        <v>265.01998901367188</v>
      </c>
      <c r="E634">
        <v>268.39999389648438</v>
      </c>
      <c r="F634">
        <v>20859900</v>
      </c>
      <c r="G634">
        <v>261.33050537109375</v>
      </c>
      <c r="H634" s="2">
        <f>MONTH(Query1[[#This Row],[Date]])</f>
        <v>7</v>
      </c>
      <c r="I634" s="3">
        <f>Query1[[#This Row],[Shares]]*Query1[[#This Row],[Adj Close]]</f>
        <v>938777.30410756811</v>
      </c>
      <c r="J634" s="3">
        <f>IF(ROW()&lt;3, Dashboard!$E$7, IF(Query1[[#This Row],[Month]]&lt;&gt;H633,J633*(1+Dashboard!$E$4)+Dashboard!$E$5,J633))</f>
        <v>743494.24073303421</v>
      </c>
      <c r="K634">
        <f>IF(ROW()&lt;3, 0,IF(Query1[[#This Row],[Month]]&lt;&gt;H633,IF((J634-I634&gt;0),J634-I634,0),0))</f>
        <v>0</v>
      </c>
      <c r="L634" s="2">
        <f t="shared" si="9"/>
        <v>3592.2989655359538</v>
      </c>
      <c r="M634">
        <f>IF(ROW()&lt;3, 0, IF(Query1[[#This Row],[Month]]&lt;&gt;H633, Dashboard!$J$5,0))</f>
        <v>0</v>
      </c>
      <c r="N634" s="2">
        <f>IF(ROW()&lt;3, Query1[[#This Row],[Shares]], IF(Query1[[#This Row],[Month]]&lt;&gt;H633, N633+Query1[[#This Row],[Fix Top Up]]/Query1[[#This Row],[Adj Close]], N633))</f>
        <v>3374.1481747499179</v>
      </c>
      <c r="O634">
        <f>IF(AND(Query1[[#This Row],[avg]]&gt;0, Query1[[#This Row],[Month]]&lt;&gt;H633),
    IF(Query1[[#This Row],[Adj Close]]&gt;Query1[[#This Row],[avg]],
       Dashboard!$L$5-Dashboard!$E$6,
       Dashboard!$L$5+Dashboard!$E$6
    ), 0
)</f>
        <v>0</v>
      </c>
      <c r="P634" s="2">
        <f>IF(ROW()&lt;3, Query1[[#This Row],[Shares]], IF(Query1[[#This Row],[Month]]&lt;&gt;H633, P633+Query1[[#This Row],[Enhanced top up]]/Query1[[#This Row],[Adj Close]], P633))</f>
        <v>3362.0527761501235</v>
      </c>
      <c r="Q634" s="2">
        <f>IFERROR(AVERAGE(
  IF(ROW()&gt;20, INDEX(G:G, ROW()-20), 0) :
  INDEX(G:G, ROW())
),0)</f>
        <v>251.3319847470238</v>
      </c>
    </row>
    <row r="635" spans="1:17" x14ac:dyDescent="0.4">
      <c r="A635" s="1">
        <v>44750</v>
      </c>
      <c r="B635">
        <v>264.79000854492188</v>
      </c>
      <c r="C635">
        <v>268.10000610351563</v>
      </c>
      <c r="D635">
        <v>263.29000854492188</v>
      </c>
      <c r="E635">
        <v>267.66000366210938</v>
      </c>
      <c r="F635">
        <v>19658800</v>
      </c>
      <c r="G635">
        <v>260.61001586914063</v>
      </c>
      <c r="H635" s="2">
        <f>MONTH(Query1[[#This Row],[Date]])</f>
        <v>7</v>
      </c>
      <c r="I635" s="3">
        <f>Query1[[#This Row],[Shares]]*Query1[[#This Row],[Adj Close]]</f>
        <v>936189.09041502234</v>
      </c>
      <c r="J635" s="3">
        <f>IF(ROW()&lt;3, Dashboard!$E$7, IF(Query1[[#This Row],[Month]]&lt;&gt;H634,J634*(1+Dashboard!$E$4)+Dashboard!$E$5,J634))</f>
        <v>743494.24073303421</v>
      </c>
      <c r="K635">
        <f>IF(ROW()&lt;3, 0,IF(Query1[[#This Row],[Month]]&lt;&gt;H634,IF((J635-I635&gt;0),J635-I635,0),0))</f>
        <v>0</v>
      </c>
      <c r="L635" s="2">
        <f t="shared" si="9"/>
        <v>3592.2989655359538</v>
      </c>
      <c r="M635">
        <f>IF(ROW()&lt;3, 0, IF(Query1[[#This Row],[Month]]&lt;&gt;H634, Dashboard!$J$5,0))</f>
        <v>0</v>
      </c>
      <c r="N635" s="2">
        <f>IF(ROW()&lt;3, Query1[[#This Row],[Shares]], IF(Query1[[#This Row],[Month]]&lt;&gt;H634, N634+Query1[[#This Row],[Fix Top Up]]/Query1[[#This Row],[Adj Close]], N634))</f>
        <v>3374.1481747499179</v>
      </c>
      <c r="O635">
        <f>IF(AND(Query1[[#This Row],[avg]]&gt;0, Query1[[#This Row],[Month]]&lt;&gt;H634),
    IF(Query1[[#This Row],[Adj Close]]&gt;Query1[[#This Row],[avg]],
       Dashboard!$L$5-Dashboard!$E$6,
       Dashboard!$L$5+Dashboard!$E$6
    ), 0
)</f>
        <v>0</v>
      </c>
      <c r="P635" s="2">
        <f>IF(ROW()&lt;3, Query1[[#This Row],[Shares]], IF(Query1[[#This Row],[Month]]&lt;&gt;H634, P634+Query1[[#This Row],[Enhanced top up]]/Query1[[#This Row],[Adj Close]], P634))</f>
        <v>3362.0527761501235</v>
      </c>
      <c r="Q635" s="2">
        <f>IFERROR(AVERAGE(
  IF(ROW()&gt;20, INDEX(G:G, ROW()-20), 0) :
  INDEX(G:G, ROW())
),0)</f>
        <v>251.10757736932663</v>
      </c>
    </row>
    <row r="636" spans="1:17" x14ac:dyDescent="0.4">
      <c r="A636" s="1">
        <v>44753</v>
      </c>
      <c r="B636">
        <v>265.64999389648438</v>
      </c>
      <c r="C636">
        <v>266.52999877929688</v>
      </c>
      <c r="D636">
        <v>262.17999267578125</v>
      </c>
      <c r="E636">
        <v>264.510009765625</v>
      </c>
      <c r="F636">
        <v>19455200</v>
      </c>
      <c r="G636">
        <v>257.54302978515625</v>
      </c>
      <c r="H636" s="2">
        <f>MONTH(Query1[[#This Row],[Date]])</f>
        <v>7</v>
      </c>
      <c r="I636" s="3">
        <f>Query1[[#This Row],[Shares]]*Query1[[#This Row],[Adj Close]]</f>
        <v>925171.55947821215</v>
      </c>
      <c r="J636" s="3">
        <f>IF(ROW()&lt;3, Dashboard!$E$7, IF(Query1[[#This Row],[Month]]&lt;&gt;H635,J635*(1+Dashboard!$E$4)+Dashboard!$E$5,J635))</f>
        <v>743494.24073303421</v>
      </c>
      <c r="K636">
        <f>IF(ROW()&lt;3, 0,IF(Query1[[#This Row],[Month]]&lt;&gt;H635,IF((J636-I636&gt;0),J636-I636,0),0))</f>
        <v>0</v>
      </c>
      <c r="L636" s="2">
        <f t="shared" si="9"/>
        <v>3592.2989655359538</v>
      </c>
      <c r="M636">
        <f>IF(ROW()&lt;3, 0, IF(Query1[[#This Row],[Month]]&lt;&gt;H635, Dashboard!$J$5,0))</f>
        <v>0</v>
      </c>
      <c r="N636" s="2">
        <f>IF(ROW()&lt;3, Query1[[#This Row],[Shares]], IF(Query1[[#This Row],[Month]]&lt;&gt;H635, N635+Query1[[#This Row],[Fix Top Up]]/Query1[[#This Row],[Adj Close]], N635))</f>
        <v>3374.1481747499179</v>
      </c>
      <c r="O636">
        <f>IF(AND(Query1[[#This Row],[avg]]&gt;0, Query1[[#This Row],[Month]]&lt;&gt;H635),
    IF(Query1[[#This Row],[Adj Close]]&gt;Query1[[#This Row],[avg]],
       Dashboard!$L$5-Dashboard!$E$6,
       Dashboard!$L$5+Dashboard!$E$6
    ), 0
)</f>
        <v>0</v>
      </c>
      <c r="P636" s="2">
        <f>IF(ROW()&lt;3, Query1[[#This Row],[Shares]], IF(Query1[[#This Row],[Month]]&lt;&gt;H635, P635+Query1[[#This Row],[Enhanced top up]]/Query1[[#This Row],[Adj Close]], P635))</f>
        <v>3362.0527761501235</v>
      </c>
      <c r="Q636" s="2">
        <f>IFERROR(AVERAGE(
  IF(ROW()&gt;20, INDEX(G:G, ROW()-20), 0) :
  INDEX(G:G, ROW())
),0)</f>
        <v>250.83402506510416</v>
      </c>
    </row>
    <row r="637" spans="1:17" x14ac:dyDescent="0.4">
      <c r="A637" s="1">
        <v>44754</v>
      </c>
      <c r="B637">
        <v>265.8800048828125</v>
      </c>
      <c r="C637">
        <v>265.94000244140625</v>
      </c>
      <c r="D637">
        <v>252.03999328613281</v>
      </c>
      <c r="E637">
        <v>253.66999816894531</v>
      </c>
      <c r="F637">
        <v>35868500</v>
      </c>
      <c r="G637">
        <v>246.98855590820313</v>
      </c>
      <c r="H637" s="2">
        <f>MONTH(Query1[[#This Row],[Date]])</f>
        <v>7</v>
      </c>
      <c r="I637" s="3">
        <f>Query1[[#This Row],[Shares]]*Query1[[#This Row],[Adj Close]]</f>
        <v>887256.73388825718</v>
      </c>
      <c r="J637" s="3">
        <f>IF(ROW()&lt;3, Dashboard!$E$7, IF(Query1[[#This Row],[Month]]&lt;&gt;H636,J636*(1+Dashboard!$E$4)+Dashboard!$E$5,J636))</f>
        <v>743494.24073303421</v>
      </c>
      <c r="K637">
        <f>IF(ROW()&lt;3, 0,IF(Query1[[#This Row],[Month]]&lt;&gt;H636,IF((J637-I637&gt;0),J637-I637,0),0))</f>
        <v>0</v>
      </c>
      <c r="L637" s="2">
        <f t="shared" si="9"/>
        <v>3592.2989655359538</v>
      </c>
      <c r="M637">
        <f>IF(ROW()&lt;3, 0, IF(Query1[[#This Row],[Month]]&lt;&gt;H636, Dashboard!$J$5,0))</f>
        <v>0</v>
      </c>
      <c r="N637" s="2">
        <f>IF(ROW()&lt;3, Query1[[#This Row],[Shares]], IF(Query1[[#This Row],[Month]]&lt;&gt;H636, N636+Query1[[#This Row],[Fix Top Up]]/Query1[[#This Row],[Adj Close]], N636))</f>
        <v>3374.1481747499179</v>
      </c>
      <c r="O637">
        <f>IF(AND(Query1[[#This Row],[avg]]&gt;0, Query1[[#This Row],[Month]]&lt;&gt;H636),
    IF(Query1[[#This Row],[Adj Close]]&gt;Query1[[#This Row],[avg]],
       Dashboard!$L$5-Dashboard!$E$6,
       Dashboard!$L$5+Dashboard!$E$6
    ), 0
)</f>
        <v>0</v>
      </c>
      <c r="P637" s="2">
        <f>IF(ROW()&lt;3, Query1[[#This Row],[Shares]], IF(Query1[[#This Row],[Month]]&lt;&gt;H636, P636+Query1[[#This Row],[Enhanced top up]]/Query1[[#This Row],[Adj Close]], P636))</f>
        <v>3362.0527761501235</v>
      </c>
      <c r="Q637" s="2">
        <f>IFERROR(AVERAGE(
  IF(ROW()&gt;20, INDEX(G:G, ROW()-20), 0) :
  INDEX(G:G, ROW())
),0)</f>
        <v>250.31845092773438</v>
      </c>
    </row>
    <row r="638" spans="1:17" x14ac:dyDescent="0.4">
      <c r="A638" s="1">
        <v>44755</v>
      </c>
      <c r="B638">
        <v>250.19000244140625</v>
      </c>
      <c r="C638">
        <v>253.55000305175781</v>
      </c>
      <c r="D638">
        <v>248.11000061035156</v>
      </c>
      <c r="E638">
        <v>252.72000122070313</v>
      </c>
      <c r="F638">
        <v>29497400</v>
      </c>
      <c r="G638">
        <v>246.06356811523438</v>
      </c>
      <c r="H638" s="2">
        <f>MONTH(Query1[[#This Row],[Date]])</f>
        <v>7</v>
      </c>
      <c r="I638" s="3">
        <f>Query1[[#This Row],[Shares]]*Query1[[#This Row],[Adj Close]]</f>
        <v>883933.9011964422</v>
      </c>
      <c r="J638" s="3">
        <f>IF(ROW()&lt;3, Dashboard!$E$7, IF(Query1[[#This Row],[Month]]&lt;&gt;H637,J637*(1+Dashboard!$E$4)+Dashboard!$E$5,J637))</f>
        <v>743494.24073303421</v>
      </c>
      <c r="K638">
        <f>IF(ROW()&lt;3, 0,IF(Query1[[#This Row],[Month]]&lt;&gt;H637,IF((J638-I638&gt;0),J638-I638,0),0))</f>
        <v>0</v>
      </c>
      <c r="L638" s="2">
        <f t="shared" si="9"/>
        <v>3592.2989655359538</v>
      </c>
      <c r="M638">
        <f>IF(ROW()&lt;3, 0, IF(Query1[[#This Row],[Month]]&lt;&gt;H637, Dashboard!$J$5,0))</f>
        <v>0</v>
      </c>
      <c r="N638" s="2">
        <f>IF(ROW()&lt;3, Query1[[#This Row],[Shares]], IF(Query1[[#This Row],[Month]]&lt;&gt;H637, N637+Query1[[#This Row],[Fix Top Up]]/Query1[[#This Row],[Adj Close]], N637))</f>
        <v>3374.1481747499179</v>
      </c>
      <c r="O638">
        <f>IF(AND(Query1[[#This Row],[avg]]&gt;0, Query1[[#This Row],[Month]]&lt;&gt;H637),
    IF(Query1[[#This Row],[Adj Close]]&gt;Query1[[#This Row],[avg]],
       Dashboard!$L$5-Dashboard!$E$6,
       Dashboard!$L$5+Dashboard!$E$6
    ), 0
)</f>
        <v>0</v>
      </c>
      <c r="P638" s="2">
        <f>IF(ROW()&lt;3, Query1[[#This Row],[Shares]], IF(Query1[[#This Row],[Month]]&lt;&gt;H637, P637+Query1[[#This Row],[Enhanced top up]]/Query1[[#This Row],[Adj Close]], P637))</f>
        <v>3362.0527761501235</v>
      </c>
      <c r="Q638" s="2">
        <f>IFERROR(AVERAGE(
  IF(ROW()&gt;20, INDEX(G:G, ROW()-20), 0) :
  INDEX(G:G, ROW())
),0)</f>
        <v>250.30593218122209</v>
      </c>
    </row>
    <row r="639" spans="1:17" x14ac:dyDescent="0.4">
      <c r="A639" s="1">
        <v>44756</v>
      </c>
      <c r="B639">
        <v>250.57000732421875</v>
      </c>
      <c r="C639">
        <v>255.13999938964844</v>
      </c>
      <c r="D639">
        <v>245.94000244140625</v>
      </c>
      <c r="E639">
        <v>254.08000183105469</v>
      </c>
      <c r="F639">
        <v>25102800</v>
      </c>
      <c r="G639">
        <v>247.38772583007813</v>
      </c>
      <c r="H639" s="2">
        <f>MONTH(Query1[[#This Row],[Date]])</f>
        <v>7</v>
      </c>
      <c r="I639" s="3">
        <f>Query1[[#This Row],[Shares]]*Query1[[#This Row],[Adj Close]]</f>
        <v>888690.67158568185</v>
      </c>
      <c r="J639" s="3">
        <f>IF(ROW()&lt;3, Dashboard!$E$7, IF(Query1[[#This Row],[Month]]&lt;&gt;H638,J638*(1+Dashboard!$E$4)+Dashboard!$E$5,J638))</f>
        <v>743494.24073303421</v>
      </c>
      <c r="K639">
        <f>IF(ROW()&lt;3, 0,IF(Query1[[#This Row],[Month]]&lt;&gt;H638,IF((J639-I639&gt;0),J639-I639,0),0))</f>
        <v>0</v>
      </c>
      <c r="L639" s="2">
        <f t="shared" si="9"/>
        <v>3592.2989655359538</v>
      </c>
      <c r="M639">
        <f>IF(ROW()&lt;3, 0, IF(Query1[[#This Row],[Month]]&lt;&gt;H638, Dashboard!$J$5,0))</f>
        <v>0</v>
      </c>
      <c r="N639" s="2">
        <f>IF(ROW()&lt;3, Query1[[#This Row],[Shares]], IF(Query1[[#This Row],[Month]]&lt;&gt;H638, N638+Query1[[#This Row],[Fix Top Up]]/Query1[[#This Row],[Adj Close]], N638))</f>
        <v>3374.1481747499179</v>
      </c>
      <c r="O639">
        <f>IF(AND(Query1[[#This Row],[avg]]&gt;0, Query1[[#This Row],[Month]]&lt;&gt;H638),
    IF(Query1[[#This Row],[Adj Close]]&gt;Query1[[#This Row],[avg]],
       Dashboard!$L$5-Dashboard!$E$6,
       Dashboard!$L$5+Dashboard!$E$6
    ), 0
)</f>
        <v>0</v>
      </c>
      <c r="P639" s="2">
        <f>IF(ROW()&lt;3, Query1[[#This Row],[Shares]], IF(Query1[[#This Row],[Month]]&lt;&gt;H638, P638+Query1[[#This Row],[Enhanced top up]]/Query1[[#This Row],[Adj Close]], P638))</f>
        <v>3362.0527761501235</v>
      </c>
      <c r="Q639" s="2">
        <f>IFERROR(AVERAGE(
  IF(ROW()&gt;20, INDEX(G:G, ROW()-20), 0) :
  INDEX(G:G, ROW())
),0)</f>
        <v>250.85396394275483</v>
      </c>
    </row>
    <row r="640" spans="1:17" x14ac:dyDescent="0.4">
      <c r="A640" s="1">
        <v>44757</v>
      </c>
      <c r="B640">
        <v>255.72000122070313</v>
      </c>
      <c r="C640">
        <v>260.3699951171875</v>
      </c>
      <c r="D640">
        <v>254.77000427246094</v>
      </c>
      <c r="E640">
        <v>256.72000122070313</v>
      </c>
      <c r="F640">
        <v>29774100</v>
      </c>
      <c r="G640">
        <v>249.95819091796875</v>
      </c>
      <c r="H640" s="2">
        <f>MONTH(Query1[[#This Row],[Date]])</f>
        <v>7</v>
      </c>
      <c r="I640" s="3">
        <f>Query1[[#This Row],[Shares]]*Query1[[#This Row],[Adj Close]]</f>
        <v>897924.55066185759</v>
      </c>
      <c r="J640" s="3">
        <f>IF(ROW()&lt;3, Dashboard!$E$7, IF(Query1[[#This Row],[Month]]&lt;&gt;H639,J639*(1+Dashboard!$E$4)+Dashboard!$E$5,J639))</f>
        <v>743494.24073303421</v>
      </c>
      <c r="K640">
        <f>IF(ROW()&lt;3, 0,IF(Query1[[#This Row],[Month]]&lt;&gt;H639,IF((J640-I640&gt;0),J640-I640,0),0))</f>
        <v>0</v>
      </c>
      <c r="L640" s="2">
        <f t="shared" si="9"/>
        <v>3592.2989655359538</v>
      </c>
      <c r="M640">
        <f>IF(ROW()&lt;3, 0, IF(Query1[[#This Row],[Month]]&lt;&gt;H639, Dashboard!$J$5,0))</f>
        <v>0</v>
      </c>
      <c r="N640" s="2">
        <f>IF(ROW()&lt;3, Query1[[#This Row],[Shares]], IF(Query1[[#This Row],[Month]]&lt;&gt;H639, N639+Query1[[#This Row],[Fix Top Up]]/Query1[[#This Row],[Adj Close]], N639))</f>
        <v>3374.1481747499179</v>
      </c>
      <c r="O640">
        <f>IF(AND(Query1[[#This Row],[avg]]&gt;0, Query1[[#This Row],[Month]]&lt;&gt;H639),
    IF(Query1[[#This Row],[Adj Close]]&gt;Query1[[#This Row],[avg]],
       Dashboard!$L$5-Dashboard!$E$6,
       Dashboard!$L$5+Dashboard!$E$6
    ), 0
)</f>
        <v>0</v>
      </c>
      <c r="P640" s="2">
        <f>IF(ROW()&lt;3, Query1[[#This Row],[Shares]], IF(Query1[[#This Row],[Month]]&lt;&gt;H639, P639+Query1[[#This Row],[Enhanced top up]]/Query1[[#This Row],[Adj Close]], P639))</f>
        <v>3362.0527761501235</v>
      </c>
      <c r="Q640" s="2">
        <f>IFERROR(AVERAGE(
  IF(ROW()&gt;20, INDEX(G:G, ROW()-20), 0) :
  INDEX(G:G, ROW())
),0)</f>
        <v>251.42100452241442</v>
      </c>
    </row>
    <row r="641" spans="1:17" x14ac:dyDescent="0.4">
      <c r="A641" s="1">
        <v>44760</v>
      </c>
      <c r="B641">
        <v>259.75</v>
      </c>
      <c r="C641">
        <v>260.83999633789063</v>
      </c>
      <c r="D641">
        <v>253.30000305175781</v>
      </c>
      <c r="E641">
        <v>254.25</v>
      </c>
      <c r="F641">
        <v>20975000</v>
      </c>
      <c r="G641">
        <v>247.55326843261719</v>
      </c>
      <c r="H641" s="2">
        <f>MONTH(Query1[[#This Row],[Date]])</f>
        <v>7</v>
      </c>
      <c r="I641" s="3">
        <f>Query1[[#This Row],[Shares]]*Query1[[#This Row],[Adj Close]]</f>
        <v>889285.35010553501</v>
      </c>
      <c r="J641" s="3">
        <f>IF(ROW()&lt;3, Dashboard!$E$7, IF(Query1[[#This Row],[Month]]&lt;&gt;H640,J640*(1+Dashboard!$E$4)+Dashboard!$E$5,J640))</f>
        <v>743494.24073303421</v>
      </c>
      <c r="K641">
        <f>IF(ROW()&lt;3, 0,IF(Query1[[#This Row],[Month]]&lt;&gt;H640,IF((J641-I641&gt;0),J641-I641,0),0))</f>
        <v>0</v>
      </c>
      <c r="L641" s="2">
        <f t="shared" si="9"/>
        <v>3592.2989655359538</v>
      </c>
      <c r="M641">
        <f>IF(ROW()&lt;3, 0, IF(Query1[[#This Row],[Month]]&lt;&gt;H640, Dashboard!$J$5,0))</f>
        <v>0</v>
      </c>
      <c r="N641" s="2">
        <f>IF(ROW()&lt;3, Query1[[#This Row],[Shares]], IF(Query1[[#This Row],[Month]]&lt;&gt;H640, N640+Query1[[#This Row],[Fix Top Up]]/Query1[[#This Row],[Adj Close]], N640))</f>
        <v>3374.1481747499179</v>
      </c>
      <c r="O641">
        <f>IF(AND(Query1[[#This Row],[avg]]&gt;0, Query1[[#This Row],[Month]]&lt;&gt;H640),
    IF(Query1[[#This Row],[Adj Close]]&gt;Query1[[#This Row],[avg]],
       Dashboard!$L$5-Dashboard!$E$6,
       Dashboard!$L$5+Dashboard!$E$6
    ), 0
)</f>
        <v>0</v>
      </c>
      <c r="P641" s="2">
        <f>IF(ROW()&lt;3, Query1[[#This Row],[Shares]], IF(Query1[[#This Row],[Month]]&lt;&gt;H640, P640+Query1[[#This Row],[Enhanced top up]]/Query1[[#This Row],[Adj Close]], P640))</f>
        <v>3362.0527761501235</v>
      </c>
      <c r="Q641" s="2">
        <f>IFERROR(AVERAGE(
  IF(ROW()&gt;20, INDEX(G:G, ROW()-20), 0) :
  INDEX(G:G, ROW())
),0)</f>
        <v>251.5364525204613</v>
      </c>
    </row>
    <row r="642" spans="1:17" x14ac:dyDescent="0.4">
      <c r="A642" s="1">
        <v>44761</v>
      </c>
      <c r="B642">
        <v>257.57998657226563</v>
      </c>
      <c r="C642">
        <v>259.72000122070313</v>
      </c>
      <c r="D642">
        <v>253.67999267578125</v>
      </c>
      <c r="E642">
        <v>259.52999877929688</v>
      </c>
      <c r="F642">
        <v>25012600</v>
      </c>
      <c r="G642">
        <v>252.6942138671875</v>
      </c>
      <c r="H642" s="2">
        <f>MONTH(Query1[[#This Row],[Date]])</f>
        <v>7</v>
      </c>
      <c r="I642" s="3">
        <f>Query1[[#This Row],[Shares]]*Query1[[#This Row],[Adj Close]]</f>
        <v>907753.16307201877</v>
      </c>
      <c r="J642" s="3">
        <f>IF(ROW()&lt;3, Dashboard!$E$7, IF(Query1[[#This Row],[Month]]&lt;&gt;H641,J641*(1+Dashboard!$E$4)+Dashboard!$E$5,J641))</f>
        <v>743494.24073303421</v>
      </c>
      <c r="K642">
        <f>IF(ROW()&lt;3, 0,IF(Query1[[#This Row],[Month]]&lt;&gt;H641,IF((J642-I642&gt;0),J642-I642,0),0))</f>
        <v>0</v>
      </c>
      <c r="L642" s="2">
        <f t="shared" ref="L642:L705" si="10">IF(ROW()&lt;3, J642/G642, L641+K641/G641)</f>
        <v>3592.2989655359538</v>
      </c>
      <c r="M642">
        <f>IF(ROW()&lt;3, 0, IF(Query1[[#This Row],[Month]]&lt;&gt;H641, Dashboard!$J$5,0))</f>
        <v>0</v>
      </c>
      <c r="N642" s="2">
        <f>IF(ROW()&lt;3, Query1[[#This Row],[Shares]], IF(Query1[[#This Row],[Month]]&lt;&gt;H641, N641+Query1[[#This Row],[Fix Top Up]]/Query1[[#This Row],[Adj Close]], N641))</f>
        <v>3374.1481747499179</v>
      </c>
      <c r="O642">
        <f>IF(AND(Query1[[#This Row],[avg]]&gt;0, Query1[[#This Row],[Month]]&lt;&gt;H641),
    IF(Query1[[#This Row],[Adj Close]]&gt;Query1[[#This Row],[avg]],
       Dashboard!$L$5-Dashboard!$E$6,
       Dashboard!$L$5+Dashboard!$E$6
    ), 0
)</f>
        <v>0</v>
      </c>
      <c r="P642" s="2">
        <f>IF(ROW()&lt;3, Query1[[#This Row],[Shares]], IF(Query1[[#This Row],[Month]]&lt;&gt;H641, P641+Query1[[#This Row],[Enhanced top up]]/Query1[[#This Row],[Adj Close]], P641))</f>
        <v>3362.0527761501235</v>
      </c>
      <c r="Q642" s="2">
        <f>IFERROR(AVERAGE(
  IF(ROW()&gt;20, INDEX(G:G, ROW()-20), 0) :
  INDEX(G:G, ROW())
),0)</f>
        <v>252.21152532668341</v>
      </c>
    </row>
    <row r="643" spans="1:17" x14ac:dyDescent="0.4">
      <c r="A643" s="1">
        <v>44762</v>
      </c>
      <c r="B643">
        <v>259.89999389648438</v>
      </c>
      <c r="C643">
        <v>264.8699951171875</v>
      </c>
      <c r="D643">
        <v>258.91000366210938</v>
      </c>
      <c r="E643">
        <v>262.26998901367188</v>
      </c>
      <c r="F643">
        <v>22788300</v>
      </c>
      <c r="G643">
        <v>255.36203002929688</v>
      </c>
      <c r="H643" s="2">
        <f>MONTH(Query1[[#This Row],[Date]])</f>
        <v>7</v>
      </c>
      <c r="I643" s="3">
        <f>Query1[[#This Row],[Shares]]*Query1[[#This Row],[Adj Close]]</f>
        <v>917336.75631140429</v>
      </c>
      <c r="J643" s="3">
        <f>IF(ROW()&lt;3, Dashboard!$E$7, IF(Query1[[#This Row],[Month]]&lt;&gt;H642,J642*(1+Dashboard!$E$4)+Dashboard!$E$5,J642))</f>
        <v>743494.24073303421</v>
      </c>
      <c r="K643">
        <f>IF(ROW()&lt;3, 0,IF(Query1[[#This Row],[Month]]&lt;&gt;H642,IF((J643-I643&gt;0),J643-I643,0),0))</f>
        <v>0</v>
      </c>
      <c r="L643" s="2">
        <f t="shared" si="10"/>
        <v>3592.2989655359538</v>
      </c>
      <c r="M643">
        <f>IF(ROW()&lt;3, 0, IF(Query1[[#This Row],[Month]]&lt;&gt;H642, Dashboard!$J$5,0))</f>
        <v>0</v>
      </c>
      <c r="N643" s="2">
        <f>IF(ROW()&lt;3, Query1[[#This Row],[Shares]], IF(Query1[[#This Row],[Month]]&lt;&gt;H642, N642+Query1[[#This Row],[Fix Top Up]]/Query1[[#This Row],[Adj Close]], N642))</f>
        <v>3374.1481747499179</v>
      </c>
      <c r="O643">
        <f>IF(AND(Query1[[#This Row],[avg]]&gt;0, Query1[[#This Row],[Month]]&lt;&gt;H642),
    IF(Query1[[#This Row],[Adj Close]]&gt;Query1[[#This Row],[avg]],
       Dashboard!$L$5-Dashboard!$E$6,
       Dashboard!$L$5+Dashboard!$E$6
    ), 0
)</f>
        <v>0</v>
      </c>
      <c r="P643" s="2">
        <f>IF(ROW()&lt;3, Query1[[#This Row],[Shares]], IF(Query1[[#This Row],[Month]]&lt;&gt;H642, P642+Query1[[#This Row],[Enhanced top up]]/Query1[[#This Row],[Adj Close]], P642))</f>
        <v>3362.0527761501235</v>
      </c>
      <c r="Q643" s="2">
        <f>IFERROR(AVERAGE(
  IF(ROW()&gt;20, INDEX(G:G, ROW()-20), 0) :
  INDEX(G:G, ROW())
),0)</f>
        <v>252.88938031877791</v>
      </c>
    </row>
    <row r="644" spans="1:17" x14ac:dyDescent="0.4">
      <c r="A644" s="1">
        <v>44763</v>
      </c>
      <c r="B644">
        <v>259.79000854492188</v>
      </c>
      <c r="C644">
        <v>264.8900146484375</v>
      </c>
      <c r="D644">
        <v>257.02999877929688</v>
      </c>
      <c r="E644">
        <v>264.83999633789063</v>
      </c>
      <c r="F644">
        <v>22404700</v>
      </c>
      <c r="G644">
        <v>257.86428833007813</v>
      </c>
      <c r="H644" s="2">
        <f>MONTH(Query1[[#This Row],[Date]])</f>
        <v>7</v>
      </c>
      <c r="I644" s="3">
        <f>Query1[[#This Row],[Shares]]*Query1[[#This Row],[Adj Close]]</f>
        <v>926325.6162168046</v>
      </c>
      <c r="J644" s="3">
        <f>IF(ROW()&lt;3, Dashboard!$E$7, IF(Query1[[#This Row],[Month]]&lt;&gt;H643,J643*(1+Dashboard!$E$4)+Dashboard!$E$5,J643))</f>
        <v>743494.24073303421</v>
      </c>
      <c r="K644">
        <f>IF(ROW()&lt;3, 0,IF(Query1[[#This Row],[Month]]&lt;&gt;H643,IF((J644-I644&gt;0),J644-I644,0),0))</f>
        <v>0</v>
      </c>
      <c r="L644" s="2">
        <f t="shared" si="10"/>
        <v>3592.2989655359538</v>
      </c>
      <c r="M644">
        <f>IF(ROW()&lt;3, 0, IF(Query1[[#This Row],[Month]]&lt;&gt;H643, Dashboard!$J$5,0))</f>
        <v>0</v>
      </c>
      <c r="N644" s="2">
        <f>IF(ROW()&lt;3, Query1[[#This Row],[Shares]], IF(Query1[[#This Row],[Month]]&lt;&gt;H643, N643+Query1[[#This Row],[Fix Top Up]]/Query1[[#This Row],[Adj Close]], N643))</f>
        <v>3374.1481747499179</v>
      </c>
      <c r="O644">
        <f>IF(AND(Query1[[#This Row],[avg]]&gt;0, Query1[[#This Row],[Month]]&lt;&gt;H643),
    IF(Query1[[#This Row],[Adj Close]]&gt;Query1[[#This Row],[avg]],
       Dashboard!$L$5-Dashboard!$E$6,
       Dashboard!$L$5+Dashboard!$E$6
    ), 0
)</f>
        <v>0</v>
      </c>
      <c r="P644" s="2">
        <f>IF(ROW()&lt;3, Query1[[#This Row],[Shares]], IF(Query1[[#This Row],[Month]]&lt;&gt;H643, P643+Query1[[#This Row],[Enhanced top up]]/Query1[[#This Row],[Adj Close]], P643))</f>
        <v>3362.0527761501235</v>
      </c>
      <c r="Q644" s="2">
        <f>IFERROR(AVERAGE(
  IF(ROW()&gt;20, INDEX(G:G, ROW()-20), 0) :
  INDEX(G:G, ROW())
),0)</f>
        <v>253.40402730305991</v>
      </c>
    </row>
    <row r="645" spans="1:17" x14ac:dyDescent="0.4">
      <c r="A645" s="1">
        <v>44764</v>
      </c>
      <c r="B645">
        <v>265.239990234375</v>
      </c>
      <c r="C645">
        <v>265.32998657226563</v>
      </c>
      <c r="D645">
        <v>259.07000732421875</v>
      </c>
      <c r="E645">
        <v>260.3599853515625</v>
      </c>
      <c r="F645">
        <v>21881300</v>
      </c>
      <c r="G645">
        <v>253.50228881835938</v>
      </c>
      <c r="H645" s="2">
        <f>MONTH(Query1[[#This Row],[Date]])</f>
        <v>7</v>
      </c>
      <c r="I645" s="3">
        <f>Query1[[#This Row],[Shares]]*Query1[[#This Row],[Adj Close]]</f>
        <v>910656.00988318899</v>
      </c>
      <c r="J645" s="3">
        <f>IF(ROW()&lt;3, Dashboard!$E$7, IF(Query1[[#This Row],[Month]]&lt;&gt;H644,J644*(1+Dashboard!$E$4)+Dashboard!$E$5,J644))</f>
        <v>743494.24073303421</v>
      </c>
      <c r="K645">
        <f>IF(ROW()&lt;3, 0,IF(Query1[[#This Row],[Month]]&lt;&gt;H644,IF((J645-I645&gt;0),J645-I645,0),0))</f>
        <v>0</v>
      </c>
      <c r="L645" s="2">
        <f t="shared" si="10"/>
        <v>3592.2989655359538</v>
      </c>
      <c r="M645">
        <f>IF(ROW()&lt;3, 0, IF(Query1[[#This Row],[Month]]&lt;&gt;H644, Dashboard!$J$5,0))</f>
        <v>0</v>
      </c>
      <c r="N645" s="2">
        <f>IF(ROW()&lt;3, Query1[[#This Row],[Shares]], IF(Query1[[#This Row],[Month]]&lt;&gt;H644, N644+Query1[[#This Row],[Fix Top Up]]/Query1[[#This Row],[Adj Close]], N644))</f>
        <v>3374.1481747499179</v>
      </c>
      <c r="O645">
        <f>IF(AND(Query1[[#This Row],[avg]]&gt;0, Query1[[#This Row],[Month]]&lt;&gt;H644),
    IF(Query1[[#This Row],[Adj Close]]&gt;Query1[[#This Row],[avg]],
       Dashboard!$L$5-Dashboard!$E$6,
       Dashboard!$L$5+Dashboard!$E$6
    ), 0
)</f>
        <v>0</v>
      </c>
      <c r="P645" s="2">
        <f>IF(ROW()&lt;3, Query1[[#This Row],[Shares]], IF(Query1[[#This Row],[Month]]&lt;&gt;H644, P644+Query1[[#This Row],[Enhanced top up]]/Query1[[#This Row],[Adj Close]], P644))</f>
        <v>3362.0527761501235</v>
      </c>
      <c r="Q645" s="2">
        <f>IFERROR(AVERAGE(
  IF(ROW()&gt;20, INDEX(G:G, ROW()-20), 0) :
  INDEX(G:G, ROW())
),0)</f>
        <v>253.73924328031995</v>
      </c>
    </row>
    <row r="646" spans="1:17" x14ac:dyDescent="0.4">
      <c r="A646" s="1">
        <v>44767</v>
      </c>
      <c r="B646">
        <v>261</v>
      </c>
      <c r="C646">
        <v>261.5</v>
      </c>
      <c r="D646">
        <v>256.80999755859375</v>
      </c>
      <c r="E646">
        <v>258.82998657226563</v>
      </c>
      <c r="F646">
        <v>21056000</v>
      </c>
      <c r="G646">
        <v>252.01263427734375</v>
      </c>
      <c r="H646" s="2">
        <f>MONTH(Query1[[#This Row],[Date]])</f>
        <v>7</v>
      </c>
      <c r="I646" s="3">
        <f>Query1[[#This Row],[Shares]]*Query1[[#This Row],[Adj Close]]</f>
        <v>905304.72541649255</v>
      </c>
      <c r="J646" s="3">
        <f>IF(ROW()&lt;3, Dashboard!$E$7, IF(Query1[[#This Row],[Month]]&lt;&gt;H645,J645*(1+Dashboard!$E$4)+Dashboard!$E$5,J645))</f>
        <v>743494.24073303421</v>
      </c>
      <c r="K646">
        <f>IF(ROW()&lt;3, 0,IF(Query1[[#This Row],[Month]]&lt;&gt;H645,IF((J646-I646&gt;0),J646-I646,0),0))</f>
        <v>0</v>
      </c>
      <c r="L646" s="2">
        <f t="shared" si="10"/>
        <v>3592.2989655359538</v>
      </c>
      <c r="M646">
        <f>IF(ROW()&lt;3, 0, IF(Query1[[#This Row],[Month]]&lt;&gt;H645, Dashboard!$J$5,0))</f>
        <v>0</v>
      </c>
      <c r="N646" s="2">
        <f>IF(ROW()&lt;3, Query1[[#This Row],[Shares]], IF(Query1[[#This Row],[Month]]&lt;&gt;H645, N645+Query1[[#This Row],[Fix Top Up]]/Query1[[#This Row],[Adj Close]], N645))</f>
        <v>3374.1481747499179</v>
      </c>
      <c r="O646">
        <f>IF(AND(Query1[[#This Row],[avg]]&gt;0, Query1[[#This Row],[Month]]&lt;&gt;H645),
    IF(Query1[[#This Row],[Adj Close]]&gt;Query1[[#This Row],[avg]],
       Dashboard!$L$5-Dashboard!$E$6,
       Dashboard!$L$5+Dashboard!$E$6
    ), 0
)</f>
        <v>0</v>
      </c>
      <c r="P646" s="2">
        <f>IF(ROW()&lt;3, Query1[[#This Row],[Shares]], IF(Query1[[#This Row],[Month]]&lt;&gt;H645, P645+Query1[[#This Row],[Enhanced top up]]/Query1[[#This Row],[Adj Close]], P645))</f>
        <v>3362.0527761501235</v>
      </c>
      <c r="Q646" s="2">
        <f>IFERROR(AVERAGE(
  IF(ROW()&gt;20, INDEX(G:G, ROW()-20), 0) :
  INDEX(G:G, ROW())
),0)</f>
        <v>253.73785400390625</v>
      </c>
    </row>
    <row r="647" spans="1:17" x14ac:dyDescent="0.4">
      <c r="A647" s="1">
        <v>44768</v>
      </c>
      <c r="B647">
        <v>259.8599853515625</v>
      </c>
      <c r="C647">
        <v>259.8800048828125</v>
      </c>
      <c r="D647">
        <v>249.57000732421875</v>
      </c>
      <c r="E647">
        <v>251.89999389648438</v>
      </c>
      <c r="F647">
        <v>39348000</v>
      </c>
      <c r="G647">
        <v>245.26512145996094</v>
      </c>
      <c r="H647" s="2">
        <f>MONTH(Query1[[#This Row],[Date]])</f>
        <v>7</v>
      </c>
      <c r="I647" s="3">
        <f>Query1[[#This Row],[Shares]]*Query1[[#This Row],[Adj Close]]</f>
        <v>881065.64210266771</v>
      </c>
      <c r="J647" s="3">
        <f>IF(ROW()&lt;3, Dashboard!$E$7, IF(Query1[[#This Row],[Month]]&lt;&gt;H646,J646*(1+Dashboard!$E$4)+Dashboard!$E$5,J646))</f>
        <v>743494.24073303421</v>
      </c>
      <c r="K647">
        <f>IF(ROW()&lt;3, 0,IF(Query1[[#This Row],[Month]]&lt;&gt;H646,IF((J647-I647&gt;0),J647-I647,0),0))</f>
        <v>0</v>
      </c>
      <c r="L647" s="2">
        <f t="shared" si="10"/>
        <v>3592.2989655359538</v>
      </c>
      <c r="M647">
        <f>IF(ROW()&lt;3, 0, IF(Query1[[#This Row],[Month]]&lt;&gt;H646, Dashboard!$J$5,0))</f>
        <v>0</v>
      </c>
      <c r="N647" s="2">
        <f>IF(ROW()&lt;3, Query1[[#This Row],[Shares]], IF(Query1[[#This Row],[Month]]&lt;&gt;H646, N646+Query1[[#This Row],[Fix Top Up]]/Query1[[#This Row],[Adj Close]], N646))</f>
        <v>3374.1481747499179</v>
      </c>
      <c r="O647">
        <f>IF(AND(Query1[[#This Row],[avg]]&gt;0, Query1[[#This Row],[Month]]&lt;&gt;H646),
    IF(Query1[[#This Row],[Adj Close]]&gt;Query1[[#This Row],[avg]],
       Dashboard!$L$5-Dashboard!$E$6,
       Dashboard!$L$5+Dashboard!$E$6
    ), 0
)</f>
        <v>0</v>
      </c>
      <c r="P647" s="2">
        <f>IF(ROW()&lt;3, Query1[[#This Row],[Shares]], IF(Query1[[#This Row],[Month]]&lt;&gt;H646, P646+Query1[[#This Row],[Enhanced top up]]/Query1[[#This Row],[Adj Close]], P646))</f>
        <v>3362.0527761501235</v>
      </c>
      <c r="Q647" s="2">
        <f>IFERROR(AVERAGE(
  IF(ROW()&gt;20, INDEX(G:G, ROW()-20), 0) :
  INDEX(G:G, ROW())
),0)</f>
        <v>253.00529044015067</v>
      </c>
    </row>
    <row r="648" spans="1:17" x14ac:dyDescent="0.4">
      <c r="A648" s="1">
        <v>44769</v>
      </c>
      <c r="B648">
        <v>261.16000366210938</v>
      </c>
      <c r="C648">
        <v>270.04998779296875</v>
      </c>
      <c r="D648">
        <v>258.85000610351563</v>
      </c>
      <c r="E648">
        <v>268.739990234375</v>
      </c>
      <c r="F648">
        <v>45994000</v>
      </c>
      <c r="G648">
        <v>261.66156005859375</v>
      </c>
      <c r="H648" s="2">
        <f>MONTH(Query1[[#This Row],[Date]])</f>
        <v>7</v>
      </c>
      <c r="I648" s="3">
        <f>Query1[[#This Row],[Shares]]*Query1[[#This Row],[Adj Close]]</f>
        <v>939966.55151901022</v>
      </c>
      <c r="J648" s="3">
        <f>IF(ROW()&lt;3, Dashboard!$E$7, IF(Query1[[#This Row],[Month]]&lt;&gt;H647,J647*(1+Dashboard!$E$4)+Dashboard!$E$5,J647))</f>
        <v>743494.24073303421</v>
      </c>
      <c r="K648">
        <f>IF(ROW()&lt;3, 0,IF(Query1[[#This Row],[Month]]&lt;&gt;H647,IF((J648-I648&gt;0),J648-I648,0),0))</f>
        <v>0</v>
      </c>
      <c r="L648" s="2">
        <f t="shared" si="10"/>
        <v>3592.2989655359538</v>
      </c>
      <c r="M648">
        <f>IF(ROW()&lt;3, 0, IF(Query1[[#This Row],[Month]]&lt;&gt;H647, Dashboard!$J$5,0))</f>
        <v>0</v>
      </c>
      <c r="N648" s="2">
        <f>IF(ROW()&lt;3, Query1[[#This Row],[Shares]], IF(Query1[[#This Row],[Month]]&lt;&gt;H647, N647+Query1[[#This Row],[Fix Top Up]]/Query1[[#This Row],[Adj Close]], N647))</f>
        <v>3374.1481747499179</v>
      </c>
      <c r="O648">
        <f>IF(AND(Query1[[#This Row],[avg]]&gt;0, Query1[[#This Row],[Month]]&lt;&gt;H647),
    IF(Query1[[#This Row],[Adj Close]]&gt;Query1[[#This Row],[avg]],
       Dashboard!$L$5-Dashboard!$E$6,
       Dashboard!$L$5+Dashboard!$E$6
    ), 0
)</f>
        <v>0</v>
      </c>
      <c r="P648" s="2">
        <f>IF(ROW()&lt;3, Query1[[#This Row],[Shares]], IF(Query1[[#This Row],[Month]]&lt;&gt;H647, P647+Query1[[#This Row],[Enhanced top up]]/Query1[[#This Row],[Adj Close]], P647))</f>
        <v>3362.0527761501235</v>
      </c>
      <c r="Q648" s="2">
        <f>IFERROR(AVERAGE(
  IF(ROW()&gt;20, INDEX(G:G, ROW()-20), 0) :
  INDEX(G:G, ROW())
),0)</f>
        <v>253.18379211425781</v>
      </c>
    </row>
    <row r="649" spans="1:17" x14ac:dyDescent="0.4">
      <c r="A649" s="1">
        <v>44770</v>
      </c>
      <c r="B649">
        <v>269.75</v>
      </c>
      <c r="C649">
        <v>277.83999633789063</v>
      </c>
      <c r="D649">
        <v>267.8699951171875</v>
      </c>
      <c r="E649">
        <v>276.41000366210938</v>
      </c>
      <c r="F649">
        <v>33459300</v>
      </c>
      <c r="G649">
        <v>269.12957763671875</v>
      </c>
      <c r="H649" s="2">
        <f>MONTH(Query1[[#This Row],[Date]])</f>
        <v>7</v>
      </c>
      <c r="I649" s="3">
        <f>Query1[[#This Row],[Shares]]*Query1[[#This Row],[Adj Close]]</f>
        <v>966793.90333951288</v>
      </c>
      <c r="J649" s="3">
        <f>IF(ROW()&lt;3, Dashboard!$E$7, IF(Query1[[#This Row],[Month]]&lt;&gt;H648,J648*(1+Dashboard!$E$4)+Dashboard!$E$5,J648))</f>
        <v>743494.24073303421</v>
      </c>
      <c r="K649">
        <f>IF(ROW()&lt;3, 0,IF(Query1[[#This Row],[Month]]&lt;&gt;H648,IF((J649-I649&gt;0),J649-I649,0),0))</f>
        <v>0</v>
      </c>
      <c r="L649" s="2">
        <f t="shared" si="10"/>
        <v>3592.2989655359538</v>
      </c>
      <c r="M649">
        <f>IF(ROW()&lt;3, 0, IF(Query1[[#This Row],[Month]]&lt;&gt;H648, Dashboard!$J$5,0))</f>
        <v>0</v>
      </c>
      <c r="N649" s="2">
        <f>IF(ROW()&lt;3, Query1[[#This Row],[Shares]], IF(Query1[[#This Row],[Month]]&lt;&gt;H648, N648+Query1[[#This Row],[Fix Top Up]]/Query1[[#This Row],[Adj Close]], N648))</f>
        <v>3374.1481747499179</v>
      </c>
      <c r="O649">
        <f>IF(AND(Query1[[#This Row],[avg]]&gt;0, Query1[[#This Row],[Month]]&lt;&gt;H648),
    IF(Query1[[#This Row],[Adj Close]]&gt;Query1[[#This Row],[avg]],
       Dashboard!$L$5-Dashboard!$E$6,
       Dashboard!$L$5+Dashboard!$E$6
    ), 0
)</f>
        <v>0</v>
      </c>
      <c r="P649" s="2">
        <f>IF(ROW()&lt;3, Query1[[#This Row],[Shares]], IF(Query1[[#This Row],[Month]]&lt;&gt;H648, P648+Query1[[#This Row],[Enhanced top up]]/Query1[[#This Row],[Adj Close]], P648))</f>
        <v>3362.0527761501235</v>
      </c>
      <c r="Q649" s="2">
        <f>IFERROR(AVERAGE(
  IF(ROW()&gt;20, INDEX(G:G, ROW()-20), 0) :
  INDEX(G:G, ROW())
),0)</f>
        <v>254.10784258161272</v>
      </c>
    </row>
    <row r="650" spans="1:17" x14ac:dyDescent="0.4">
      <c r="A650" s="1">
        <v>44771</v>
      </c>
      <c r="B650">
        <v>277.70001220703125</v>
      </c>
      <c r="C650">
        <v>282</v>
      </c>
      <c r="D650">
        <v>276.6300048828125</v>
      </c>
      <c r="E650">
        <v>280.739990234375</v>
      </c>
      <c r="F650">
        <v>32152800</v>
      </c>
      <c r="G650">
        <v>273.345458984375</v>
      </c>
      <c r="H650" s="2">
        <f>MONTH(Query1[[#This Row],[Date]])</f>
        <v>7</v>
      </c>
      <c r="I650" s="3">
        <f>Query1[[#This Row],[Shares]]*Query1[[#This Row],[Adj Close]]</f>
        <v>981938.60954352084</v>
      </c>
      <c r="J650" s="3">
        <f>IF(ROW()&lt;3, Dashboard!$E$7, IF(Query1[[#This Row],[Month]]&lt;&gt;H649,J649*(1+Dashboard!$E$4)+Dashboard!$E$5,J649))</f>
        <v>743494.24073303421</v>
      </c>
      <c r="K650">
        <f>IF(ROW()&lt;3, 0,IF(Query1[[#This Row],[Month]]&lt;&gt;H649,IF((J650-I650&gt;0),J650-I650,0),0))</f>
        <v>0</v>
      </c>
      <c r="L650" s="2">
        <f t="shared" si="10"/>
        <v>3592.2989655359538</v>
      </c>
      <c r="M650">
        <f>IF(ROW()&lt;3, 0, IF(Query1[[#This Row],[Month]]&lt;&gt;H649, Dashboard!$J$5,0))</f>
        <v>0</v>
      </c>
      <c r="N650" s="2">
        <f>IF(ROW()&lt;3, Query1[[#This Row],[Shares]], IF(Query1[[#This Row],[Month]]&lt;&gt;H649, N649+Query1[[#This Row],[Fix Top Up]]/Query1[[#This Row],[Adj Close]], N649))</f>
        <v>3374.1481747499179</v>
      </c>
      <c r="O650">
        <f>IF(AND(Query1[[#This Row],[avg]]&gt;0, Query1[[#This Row],[Month]]&lt;&gt;H649),
    IF(Query1[[#This Row],[Adj Close]]&gt;Query1[[#This Row],[avg]],
       Dashboard!$L$5-Dashboard!$E$6,
       Dashboard!$L$5+Dashboard!$E$6
    ), 0
)</f>
        <v>0</v>
      </c>
      <c r="P650" s="2">
        <f>IF(ROW()&lt;3, Query1[[#This Row],[Shares]], IF(Query1[[#This Row],[Month]]&lt;&gt;H649, P649+Query1[[#This Row],[Enhanced top up]]/Query1[[#This Row],[Adj Close]], P649))</f>
        <v>3362.0527761501235</v>
      </c>
      <c r="Q650" s="2">
        <f>IFERROR(AVERAGE(
  IF(ROW()&gt;20, INDEX(G:G, ROW()-20), 0) :
  INDEX(G:G, ROW())
),0)</f>
        <v>255.05739193870909</v>
      </c>
    </row>
    <row r="651" spans="1:17" x14ac:dyDescent="0.4">
      <c r="A651" s="1">
        <v>44774</v>
      </c>
      <c r="B651">
        <v>277.82000732421875</v>
      </c>
      <c r="C651">
        <v>281.27999877929688</v>
      </c>
      <c r="D651">
        <v>275.83999633789063</v>
      </c>
      <c r="E651">
        <v>278.010009765625</v>
      </c>
      <c r="F651">
        <v>21539600</v>
      </c>
      <c r="G651">
        <v>270.68740844726563</v>
      </c>
      <c r="H651" s="2">
        <f>MONTH(Query1[[#This Row],[Date]])</f>
        <v>8</v>
      </c>
      <c r="I651" s="3">
        <f>Query1[[#This Row],[Shares]]*Query1[[#This Row],[Adj Close]]</f>
        <v>972390.09734872053</v>
      </c>
      <c r="J651" s="3">
        <f>IF(ROW()&lt;3, Dashboard!$E$7, IF(Query1[[#This Row],[Month]]&lt;&gt;H650,J650*(1+Dashboard!$E$4)+Dashboard!$E$5,J650))</f>
        <v>752929.18314036459</v>
      </c>
      <c r="K651">
        <f>IF(ROW()&lt;3, 0,IF(Query1[[#This Row],[Month]]&lt;&gt;H650,IF((J651-I651&gt;0),J651-I651,0),0))</f>
        <v>0</v>
      </c>
      <c r="L651" s="2">
        <f t="shared" si="10"/>
        <v>3592.2989655359538</v>
      </c>
      <c r="M651">
        <f>IF(ROW()&lt;3, 0, IF(Query1[[#This Row],[Month]]&lt;&gt;H650, Dashboard!$J$5,0))</f>
        <v>773.47399999999971</v>
      </c>
      <c r="N651" s="2">
        <f>IF(ROW()&lt;3, Query1[[#This Row],[Shares]], IF(Query1[[#This Row],[Month]]&lt;&gt;H650, N650+Query1[[#This Row],[Fix Top Up]]/Query1[[#This Row],[Adj Close]], N650))</f>
        <v>3377.0056183393217</v>
      </c>
      <c r="O651">
        <f>IF(AND(Query1[[#This Row],[avg]]&gt;0, Query1[[#This Row],[Month]]&lt;&gt;H650),
    IF(Query1[[#This Row],[Adj Close]]&gt;Query1[[#This Row],[avg]],
       Dashboard!$L$5-Dashboard!$E$6,
       Dashboard!$L$5+Dashboard!$E$6
    ), 0
)</f>
        <v>390.14066666666668</v>
      </c>
      <c r="P651" s="2">
        <f>IF(ROW()&lt;3, Query1[[#This Row],[Shares]], IF(Query1[[#This Row],[Month]]&lt;&gt;H650, P650+Query1[[#This Row],[Enhanced top up]]/Query1[[#This Row],[Adj Close]], P650))</f>
        <v>3363.4940721043927</v>
      </c>
      <c r="Q651" s="2">
        <f>IFERROR(AVERAGE(
  IF(ROW()&gt;20, INDEX(G:G, ROW()-20), 0) :
  INDEX(G:G, ROW())
),0)</f>
        <v>256.03939674014134</v>
      </c>
    </row>
    <row r="652" spans="1:17" x14ac:dyDescent="0.4">
      <c r="A652" s="1">
        <v>44775</v>
      </c>
      <c r="B652">
        <v>276</v>
      </c>
      <c r="C652">
        <v>277.8900146484375</v>
      </c>
      <c r="D652">
        <v>272.3800048828125</v>
      </c>
      <c r="E652">
        <v>274.82000732421875</v>
      </c>
      <c r="F652">
        <v>22754200</v>
      </c>
      <c r="G652">
        <v>267.58148193359375</v>
      </c>
      <c r="H652" s="2">
        <f>MONTH(Query1[[#This Row],[Date]])</f>
        <v>8</v>
      </c>
      <c r="I652" s="3">
        <f>Query1[[#This Row],[Shares]]*Query1[[#This Row],[Adj Close]]</f>
        <v>961232.68074662634</v>
      </c>
      <c r="J652" s="3">
        <f>IF(ROW()&lt;3, Dashboard!$E$7, IF(Query1[[#This Row],[Month]]&lt;&gt;H651,J651*(1+Dashboard!$E$4)+Dashboard!$E$5,J651))</f>
        <v>752929.18314036459</v>
      </c>
      <c r="K652">
        <f>IF(ROW()&lt;3, 0,IF(Query1[[#This Row],[Month]]&lt;&gt;H651,IF((J652-I652&gt;0),J652-I652,0),0))</f>
        <v>0</v>
      </c>
      <c r="L652" s="2">
        <f t="shared" si="10"/>
        <v>3592.2989655359538</v>
      </c>
      <c r="M652">
        <f>IF(ROW()&lt;3, 0, IF(Query1[[#This Row],[Month]]&lt;&gt;H651, Dashboard!$J$5,0))</f>
        <v>0</v>
      </c>
      <c r="N652" s="2">
        <f>IF(ROW()&lt;3, Query1[[#This Row],[Shares]], IF(Query1[[#This Row],[Month]]&lt;&gt;H651, N651+Query1[[#This Row],[Fix Top Up]]/Query1[[#This Row],[Adj Close]], N651))</f>
        <v>3377.0056183393217</v>
      </c>
      <c r="O652">
        <f>IF(AND(Query1[[#This Row],[avg]]&gt;0, Query1[[#This Row],[Month]]&lt;&gt;H651),
    IF(Query1[[#This Row],[Adj Close]]&gt;Query1[[#This Row],[avg]],
       Dashboard!$L$5-Dashboard!$E$6,
       Dashboard!$L$5+Dashboard!$E$6
    ), 0
)</f>
        <v>0</v>
      </c>
      <c r="P652" s="2">
        <f>IF(ROW()&lt;3, Query1[[#This Row],[Shares]], IF(Query1[[#This Row],[Month]]&lt;&gt;H651, P651+Query1[[#This Row],[Enhanced top up]]/Query1[[#This Row],[Adj Close]], P651))</f>
        <v>3363.4940721043927</v>
      </c>
      <c r="Q652" s="2">
        <f>IFERROR(AVERAGE(
  IF(ROW()&gt;20, INDEX(G:G, ROW()-20), 0) :
  INDEX(G:G, ROW())
),0)</f>
        <v>256.74599783761158</v>
      </c>
    </row>
    <row r="653" spans="1:17" x14ac:dyDescent="0.4">
      <c r="A653" s="1">
        <v>44776</v>
      </c>
      <c r="B653">
        <v>276.760009765625</v>
      </c>
      <c r="C653">
        <v>283.5</v>
      </c>
      <c r="D653">
        <v>276.6099853515625</v>
      </c>
      <c r="E653">
        <v>282.47000122070313</v>
      </c>
      <c r="F653">
        <v>23518900</v>
      </c>
      <c r="G653">
        <v>275.02993774414063</v>
      </c>
      <c r="H653" s="2">
        <f>MONTH(Query1[[#This Row],[Date]])</f>
        <v>8</v>
      </c>
      <c r="I653" s="3">
        <f>Query1[[#This Row],[Shares]]*Query1[[#This Row],[Adj Close]]</f>
        <v>987989.76084969414</v>
      </c>
      <c r="J653" s="3">
        <f>IF(ROW()&lt;3, Dashboard!$E$7, IF(Query1[[#This Row],[Month]]&lt;&gt;H652,J652*(1+Dashboard!$E$4)+Dashboard!$E$5,J652))</f>
        <v>752929.18314036459</v>
      </c>
      <c r="K653">
        <f>IF(ROW()&lt;3, 0,IF(Query1[[#This Row],[Month]]&lt;&gt;H652,IF((J653-I653&gt;0),J653-I653,0),0))</f>
        <v>0</v>
      </c>
      <c r="L653" s="2">
        <f t="shared" si="10"/>
        <v>3592.2989655359538</v>
      </c>
      <c r="M653">
        <f>IF(ROW()&lt;3, 0, IF(Query1[[#This Row],[Month]]&lt;&gt;H652, Dashboard!$J$5,0))</f>
        <v>0</v>
      </c>
      <c r="N653" s="2">
        <f>IF(ROW()&lt;3, Query1[[#This Row],[Shares]], IF(Query1[[#This Row],[Month]]&lt;&gt;H652, N652+Query1[[#This Row],[Fix Top Up]]/Query1[[#This Row],[Adj Close]], N652))</f>
        <v>3377.0056183393217</v>
      </c>
      <c r="O653">
        <f>IF(AND(Query1[[#This Row],[avg]]&gt;0, Query1[[#This Row],[Month]]&lt;&gt;H652),
    IF(Query1[[#This Row],[Adj Close]]&gt;Query1[[#This Row],[avg]],
       Dashboard!$L$5-Dashboard!$E$6,
       Dashboard!$L$5+Dashboard!$E$6
    ), 0
)</f>
        <v>0</v>
      </c>
      <c r="P653" s="2">
        <f>IF(ROW()&lt;3, Query1[[#This Row],[Shares]], IF(Query1[[#This Row],[Month]]&lt;&gt;H652, P652+Query1[[#This Row],[Enhanced top up]]/Query1[[#This Row],[Adj Close]], P652))</f>
        <v>3363.4940721043927</v>
      </c>
      <c r="Q653" s="2">
        <f>IFERROR(AVERAGE(
  IF(ROW()&gt;20, INDEX(G:G, ROW()-20), 0) :
  INDEX(G:G, ROW())
),0)</f>
        <v>257.65567452566967</v>
      </c>
    </row>
    <row r="654" spans="1:17" x14ac:dyDescent="0.4">
      <c r="A654" s="1">
        <v>44777</v>
      </c>
      <c r="B654">
        <v>281.79998779296875</v>
      </c>
      <c r="C654">
        <v>283.79998779296875</v>
      </c>
      <c r="D654">
        <v>280.17001342773438</v>
      </c>
      <c r="E654">
        <v>283.64999389648438</v>
      </c>
      <c r="F654">
        <v>18098700</v>
      </c>
      <c r="G654">
        <v>276.17892456054688</v>
      </c>
      <c r="H654" s="2">
        <f>MONTH(Query1[[#This Row],[Date]])</f>
        <v>8</v>
      </c>
      <c r="I654" s="3">
        <f>Query1[[#This Row],[Shares]]*Query1[[#This Row],[Adj Close]]</f>
        <v>992117.26500168478</v>
      </c>
      <c r="J654" s="3">
        <f>IF(ROW()&lt;3, Dashboard!$E$7, IF(Query1[[#This Row],[Month]]&lt;&gt;H653,J653*(1+Dashboard!$E$4)+Dashboard!$E$5,J653))</f>
        <v>752929.18314036459</v>
      </c>
      <c r="K654">
        <f>IF(ROW()&lt;3, 0,IF(Query1[[#This Row],[Month]]&lt;&gt;H653,IF((J654-I654&gt;0),J654-I654,0),0))</f>
        <v>0</v>
      </c>
      <c r="L654" s="2">
        <f t="shared" si="10"/>
        <v>3592.2989655359538</v>
      </c>
      <c r="M654">
        <f>IF(ROW()&lt;3, 0, IF(Query1[[#This Row],[Month]]&lt;&gt;H653, Dashboard!$J$5,0))</f>
        <v>0</v>
      </c>
      <c r="N654" s="2">
        <f>IF(ROW()&lt;3, Query1[[#This Row],[Shares]], IF(Query1[[#This Row],[Month]]&lt;&gt;H653, N653+Query1[[#This Row],[Fix Top Up]]/Query1[[#This Row],[Adj Close]], N653))</f>
        <v>3377.0056183393217</v>
      </c>
      <c r="O654">
        <f>IF(AND(Query1[[#This Row],[avg]]&gt;0, Query1[[#This Row],[Month]]&lt;&gt;H653),
    IF(Query1[[#This Row],[Adj Close]]&gt;Query1[[#This Row],[avg]],
       Dashboard!$L$5-Dashboard!$E$6,
       Dashboard!$L$5+Dashboard!$E$6
    ), 0
)</f>
        <v>0</v>
      </c>
      <c r="P654" s="2">
        <f>IF(ROW()&lt;3, Query1[[#This Row],[Shares]], IF(Query1[[#This Row],[Month]]&lt;&gt;H653, P653+Query1[[#This Row],[Enhanced top up]]/Query1[[#This Row],[Adj Close]], P653))</f>
        <v>3363.4940721043927</v>
      </c>
      <c r="Q654" s="2">
        <f>IFERROR(AVERAGE(
  IF(ROW()&gt;20, INDEX(G:G, ROW()-20), 0) :
  INDEX(G:G, ROW())
),0)</f>
        <v>258.46427554175966</v>
      </c>
    </row>
    <row r="655" spans="1:17" x14ac:dyDescent="0.4">
      <c r="A655" s="1">
        <v>44778</v>
      </c>
      <c r="B655">
        <v>279.14999389648438</v>
      </c>
      <c r="C655">
        <v>283.64999389648438</v>
      </c>
      <c r="D655">
        <v>278.67999267578125</v>
      </c>
      <c r="E655">
        <v>282.91000366210938</v>
      </c>
      <c r="F655">
        <v>16774600</v>
      </c>
      <c r="G655">
        <v>275.4583740234375</v>
      </c>
      <c r="H655" s="2">
        <f>MONTH(Query1[[#This Row],[Date]])</f>
        <v>8</v>
      </c>
      <c r="I655" s="3">
        <f>Query1[[#This Row],[Shares]]*Query1[[#This Row],[Adj Close]]</f>
        <v>989528.83205261035</v>
      </c>
      <c r="J655" s="3">
        <f>IF(ROW()&lt;3, Dashboard!$E$7, IF(Query1[[#This Row],[Month]]&lt;&gt;H654,J654*(1+Dashboard!$E$4)+Dashboard!$E$5,J654))</f>
        <v>752929.18314036459</v>
      </c>
      <c r="K655">
        <f>IF(ROW()&lt;3, 0,IF(Query1[[#This Row],[Month]]&lt;&gt;H654,IF((J655-I655&gt;0),J655-I655,0),0))</f>
        <v>0</v>
      </c>
      <c r="L655" s="2">
        <f t="shared" si="10"/>
        <v>3592.2989655359538</v>
      </c>
      <c r="M655">
        <f>IF(ROW()&lt;3, 0, IF(Query1[[#This Row],[Month]]&lt;&gt;H654, Dashboard!$J$5,0))</f>
        <v>0</v>
      </c>
      <c r="N655" s="2">
        <f>IF(ROW()&lt;3, Query1[[#This Row],[Shares]], IF(Query1[[#This Row],[Month]]&lt;&gt;H654, N654+Query1[[#This Row],[Fix Top Up]]/Query1[[#This Row],[Adj Close]], N654))</f>
        <v>3377.0056183393217</v>
      </c>
      <c r="O655">
        <f>IF(AND(Query1[[#This Row],[avg]]&gt;0, Query1[[#This Row],[Month]]&lt;&gt;H654),
    IF(Query1[[#This Row],[Adj Close]]&gt;Query1[[#This Row],[avg]],
       Dashboard!$L$5-Dashboard!$E$6,
       Dashboard!$L$5+Dashboard!$E$6
    ), 0
)</f>
        <v>0</v>
      </c>
      <c r="P655" s="2">
        <f>IF(ROW()&lt;3, Query1[[#This Row],[Shares]], IF(Query1[[#This Row],[Month]]&lt;&gt;H654, P654+Query1[[#This Row],[Enhanced top up]]/Query1[[#This Row],[Adj Close]], P654))</f>
        <v>3363.4940721043927</v>
      </c>
      <c r="Q655" s="2">
        <f>IFERROR(AVERAGE(
  IF(ROW()&gt;20, INDEX(G:G, ROW()-20), 0) :
  INDEX(G:G, ROW())
),0)</f>
        <v>259.1370311918713</v>
      </c>
    </row>
    <row r="656" spans="1:17" x14ac:dyDescent="0.4">
      <c r="A656" s="1">
        <v>44781</v>
      </c>
      <c r="B656">
        <v>284.04998779296875</v>
      </c>
      <c r="C656">
        <v>285.92001342773438</v>
      </c>
      <c r="D656">
        <v>279.32000732421875</v>
      </c>
      <c r="E656">
        <v>280.32000732421875</v>
      </c>
      <c r="F656">
        <v>18739200</v>
      </c>
      <c r="G656">
        <v>272.93661499023438</v>
      </c>
      <c r="H656" s="2">
        <f>MONTH(Query1[[#This Row],[Date]])</f>
        <v>8</v>
      </c>
      <c r="I656" s="3">
        <f>Query1[[#This Row],[Shares]]*Query1[[#This Row],[Adj Close]]</f>
        <v>980469.91968630382</v>
      </c>
      <c r="J656" s="3">
        <f>IF(ROW()&lt;3, Dashboard!$E$7, IF(Query1[[#This Row],[Month]]&lt;&gt;H655,J655*(1+Dashboard!$E$4)+Dashboard!$E$5,J655))</f>
        <v>752929.18314036459</v>
      </c>
      <c r="K656">
        <f>IF(ROW()&lt;3, 0,IF(Query1[[#This Row],[Month]]&lt;&gt;H655,IF((J656-I656&gt;0),J656-I656,0),0))</f>
        <v>0</v>
      </c>
      <c r="L656" s="2">
        <f t="shared" si="10"/>
        <v>3592.2989655359538</v>
      </c>
      <c r="M656">
        <f>IF(ROW()&lt;3, 0, IF(Query1[[#This Row],[Month]]&lt;&gt;H655, Dashboard!$J$5,0))</f>
        <v>0</v>
      </c>
      <c r="N656" s="2">
        <f>IF(ROW()&lt;3, Query1[[#This Row],[Shares]], IF(Query1[[#This Row],[Month]]&lt;&gt;H655, N655+Query1[[#This Row],[Fix Top Up]]/Query1[[#This Row],[Adj Close]], N655))</f>
        <v>3377.0056183393217</v>
      </c>
      <c r="O656">
        <f>IF(AND(Query1[[#This Row],[avg]]&gt;0, Query1[[#This Row],[Month]]&lt;&gt;H655),
    IF(Query1[[#This Row],[Adj Close]]&gt;Query1[[#This Row],[avg]],
       Dashboard!$L$5-Dashboard!$E$6,
       Dashboard!$L$5+Dashboard!$E$6
    ), 0
)</f>
        <v>0</v>
      </c>
      <c r="P656" s="2">
        <f>IF(ROW()&lt;3, Query1[[#This Row],[Shares]], IF(Query1[[#This Row],[Month]]&lt;&gt;H655, P655+Query1[[#This Row],[Enhanced top up]]/Query1[[#This Row],[Adj Close]], P655))</f>
        <v>3363.4940721043927</v>
      </c>
      <c r="Q656" s="2">
        <f>IFERROR(AVERAGE(
  IF(ROW()&gt;20, INDEX(G:G, ROW()-20), 0) :
  INDEX(G:G, ROW())
),0)</f>
        <v>259.72401210239957</v>
      </c>
    </row>
    <row r="657" spans="1:17" x14ac:dyDescent="0.4">
      <c r="A657" s="1">
        <v>44782</v>
      </c>
      <c r="B657">
        <v>279.6400146484375</v>
      </c>
      <c r="C657">
        <v>283.07998657226563</v>
      </c>
      <c r="D657">
        <v>277.6099853515625</v>
      </c>
      <c r="E657">
        <v>282.29998779296875</v>
      </c>
      <c r="F657">
        <v>23405200</v>
      </c>
      <c r="G657">
        <v>274.86441040039063</v>
      </c>
      <c r="H657" s="2">
        <f>MONTH(Query1[[#This Row],[Date]])</f>
        <v>8</v>
      </c>
      <c r="I657" s="3">
        <f>Query1[[#This Row],[Shares]]*Query1[[#This Row],[Adj Close]]</f>
        <v>987395.13714397314</v>
      </c>
      <c r="J657" s="3">
        <f>IF(ROW()&lt;3, Dashboard!$E$7, IF(Query1[[#This Row],[Month]]&lt;&gt;H656,J656*(1+Dashboard!$E$4)+Dashboard!$E$5,J656))</f>
        <v>752929.18314036459</v>
      </c>
      <c r="K657">
        <f>IF(ROW()&lt;3, 0,IF(Query1[[#This Row],[Month]]&lt;&gt;H656,IF((J657-I657&gt;0),J657-I657,0),0))</f>
        <v>0</v>
      </c>
      <c r="L657" s="2">
        <f t="shared" si="10"/>
        <v>3592.2989655359538</v>
      </c>
      <c r="M657">
        <f>IF(ROW()&lt;3, 0, IF(Query1[[#This Row],[Month]]&lt;&gt;H656, Dashboard!$J$5,0))</f>
        <v>0</v>
      </c>
      <c r="N657" s="2">
        <f>IF(ROW()&lt;3, Query1[[#This Row],[Shares]], IF(Query1[[#This Row],[Month]]&lt;&gt;H656, N656+Query1[[#This Row],[Fix Top Up]]/Query1[[#This Row],[Adj Close]], N656))</f>
        <v>3377.0056183393217</v>
      </c>
      <c r="O657">
        <f>IF(AND(Query1[[#This Row],[avg]]&gt;0, Query1[[#This Row],[Month]]&lt;&gt;H656),
    IF(Query1[[#This Row],[Adj Close]]&gt;Query1[[#This Row],[avg]],
       Dashboard!$L$5-Dashboard!$E$6,
       Dashboard!$L$5+Dashboard!$E$6
    ), 0
)</f>
        <v>0</v>
      </c>
      <c r="P657" s="2">
        <f>IF(ROW()&lt;3, Query1[[#This Row],[Shares]], IF(Query1[[#This Row],[Month]]&lt;&gt;H656, P656+Query1[[#This Row],[Enhanced top up]]/Query1[[#This Row],[Adj Close]], P656))</f>
        <v>3363.4940721043927</v>
      </c>
      <c r="Q657" s="2">
        <f>IFERROR(AVERAGE(
  IF(ROW()&gt;20, INDEX(G:G, ROW()-20), 0) :
  INDEX(G:G, ROW())
),0)</f>
        <v>260.54883975074404</v>
      </c>
    </row>
    <row r="658" spans="1:17" x14ac:dyDescent="0.4">
      <c r="A658" s="1">
        <v>44783</v>
      </c>
      <c r="B658">
        <v>288.17001342773438</v>
      </c>
      <c r="C658">
        <v>289.80999755859375</v>
      </c>
      <c r="D658">
        <v>286.94000244140625</v>
      </c>
      <c r="E658">
        <v>289.16000366210938</v>
      </c>
      <c r="F658">
        <v>24687800</v>
      </c>
      <c r="G658">
        <v>281.54376220703125</v>
      </c>
      <c r="H658" s="2">
        <f>MONTH(Query1[[#This Row],[Date]])</f>
        <v>8</v>
      </c>
      <c r="I658" s="3">
        <f>Query1[[#This Row],[Shares]]*Query1[[#This Row],[Adj Close]]</f>
        <v>1011389.3657294189</v>
      </c>
      <c r="J658" s="3">
        <f>IF(ROW()&lt;3, Dashboard!$E$7, IF(Query1[[#This Row],[Month]]&lt;&gt;H657,J657*(1+Dashboard!$E$4)+Dashboard!$E$5,J657))</f>
        <v>752929.18314036459</v>
      </c>
      <c r="K658">
        <f>IF(ROW()&lt;3, 0,IF(Query1[[#This Row],[Month]]&lt;&gt;H657,IF((J658-I658&gt;0),J658-I658,0),0))</f>
        <v>0</v>
      </c>
      <c r="L658" s="2">
        <f t="shared" si="10"/>
        <v>3592.2989655359538</v>
      </c>
      <c r="M658">
        <f>IF(ROW()&lt;3, 0, IF(Query1[[#This Row],[Month]]&lt;&gt;H657, Dashboard!$J$5,0))</f>
        <v>0</v>
      </c>
      <c r="N658" s="2">
        <f>IF(ROW()&lt;3, Query1[[#This Row],[Shares]], IF(Query1[[#This Row],[Month]]&lt;&gt;H657, N657+Query1[[#This Row],[Fix Top Up]]/Query1[[#This Row],[Adj Close]], N657))</f>
        <v>3377.0056183393217</v>
      </c>
      <c r="O658">
        <f>IF(AND(Query1[[#This Row],[avg]]&gt;0, Query1[[#This Row],[Month]]&lt;&gt;H657),
    IF(Query1[[#This Row],[Adj Close]]&gt;Query1[[#This Row],[avg]],
       Dashboard!$L$5-Dashboard!$E$6,
       Dashboard!$L$5+Dashboard!$E$6
    ), 0
)</f>
        <v>0</v>
      </c>
      <c r="P658" s="2">
        <f>IF(ROW()&lt;3, Query1[[#This Row],[Shares]], IF(Query1[[#This Row],[Month]]&lt;&gt;H657, P657+Query1[[#This Row],[Enhanced top up]]/Query1[[#This Row],[Adj Close]], P657))</f>
        <v>3363.4940721043927</v>
      </c>
      <c r="Q658" s="2">
        <f>IFERROR(AVERAGE(
  IF(ROW()&gt;20, INDEX(G:G, ROW()-20), 0) :
  INDEX(G:G, ROW())
),0)</f>
        <v>262.19432576497394</v>
      </c>
    </row>
    <row r="659" spans="1:17" x14ac:dyDescent="0.4">
      <c r="A659" s="1">
        <v>44784</v>
      </c>
      <c r="B659">
        <v>290.85000610351563</v>
      </c>
      <c r="C659">
        <v>291.20999145507813</v>
      </c>
      <c r="D659">
        <v>286.510009765625</v>
      </c>
      <c r="E659">
        <v>287.01998901367188</v>
      </c>
      <c r="F659">
        <v>20065900</v>
      </c>
      <c r="G659">
        <v>279.4600830078125</v>
      </c>
      <c r="H659" s="2">
        <f>MONTH(Query1[[#This Row],[Date]])</f>
        <v>8</v>
      </c>
      <c r="I659" s="3">
        <f>Query1[[#This Row],[Shares]]*Query1[[#This Row],[Adj Close]]</f>
        <v>1003904.1670975566</v>
      </c>
      <c r="J659" s="3">
        <f>IF(ROW()&lt;3, Dashboard!$E$7, IF(Query1[[#This Row],[Month]]&lt;&gt;H658,J658*(1+Dashboard!$E$4)+Dashboard!$E$5,J658))</f>
        <v>752929.18314036459</v>
      </c>
      <c r="K659">
        <f>IF(ROW()&lt;3, 0,IF(Query1[[#This Row],[Month]]&lt;&gt;H658,IF((J659-I659&gt;0),J659-I659,0),0))</f>
        <v>0</v>
      </c>
      <c r="L659" s="2">
        <f t="shared" si="10"/>
        <v>3592.2989655359538</v>
      </c>
      <c r="M659">
        <f>IF(ROW()&lt;3, 0, IF(Query1[[#This Row],[Month]]&lt;&gt;H658, Dashboard!$J$5,0))</f>
        <v>0</v>
      </c>
      <c r="N659" s="2">
        <f>IF(ROW()&lt;3, Query1[[#This Row],[Shares]], IF(Query1[[#This Row],[Month]]&lt;&gt;H658, N658+Query1[[#This Row],[Fix Top Up]]/Query1[[#This Row],[Adj Close]], N658))</f>
        <v>3377.0056183393217</v>
      </c>
      <c r="O659">
        <f>IF(AND(Query1[[#This Row],[avg]]&gt;0, Query1[[#This Row],[Month]]&lt;&gt;H658),
    IF(Query1[[#This Row],[Adj Close]]&gt;Query1[[#This Row],[avg]],
       Dashboard!$L$5-Dashboard!$E$6,
       Dashboard!$L$5+Dashboard!$E$6
    ), 0
)</f>
        <v>0</v>
      </c>
      <c r="P659" s="2">
        <f>IF(ROW()&lt;3, Query1[[#This Row],[Shares]], IF(Query1[[#This Row],[Month]]&lt;&gt;H658, P658+Query1[[#This Row],[Enhanced top up]]/Query1[[#This Row],[Adj Close]], P658))</f>
        <v>3363.4940721043927</v>
      </c>
      <c r="Q659" s="2">
        <f>IFERROR(AVERAGE(
  IF(ROW()&gt;20, INDEX(G:G, ROW()-20), 0) :
  INDEX(G:G, ROW())
),0)</f>
        <v>263.78463599795384</v>
      </c>
    </row>
    <row r="660" spans="1:17" x14ac:dyDescent="0.4">
      <c r="A660" s="1">
        <v>44785</v>
      </c>
      <c r="B660">
        <v>288.48001098632813</v>
      </c>
      <c r="C660">
        <v>291.91000366210938</v>
      </c>
      <c r="D660">
        <v>286.94000244140625</v>
      </c>
      <c r="E660">
        <v>291.91000366210938</v>
      </c>
      <c r="F660">
        <v>22619700</v>
      </c>
      <c r="G660">
        <v>284.22128295898438</v>
      </c>
      <c r="H660" s="2">
        <f>MONTH(Query1[[#This Row],[Date]])</f>
        <v>8</v>
      </c>
      <c r="I660" s="3">
        <f>Query1[[#This Row],[Shares]]*Query1[[#This Row],[Adj Close]]</f>
        <v>1021007.8207568612</v>
      </c>
      <c r="J660" s="3">
        <f>IF(ROW()&lt;3, Dashboard!$E$7, IF(Query1[[#This Row],[Month]]&lt;&gt;H659,J659*(1+Dashboard!$E$4)+Dashboard!$E$5,J659))</f>
        <v>752929.18314036459</v>
      </c>
      <c r="K660">
        <f>IF(ROW()&lt;3, 0,IF(Query1[[#This Row],[Month]]&lt;&gt;H659,IF((J660-I660&gt;0),J660-I660,0),0))</f>
        <v>0</v>
      </c>
      <c r="L660" s="2">
        <f t="shared" si="10"/>
        <v>3592.2989655359538</v>
      </c>
      <c r="M660">
        <f>IF(ROW()&lt;3, 0, IF(Query1[[#This Row],[Month]]&lt;&gt;H659, Dashboard!$J$5,0))</f>
        <v>0</v>
      </c>
      <c r="N660" s="2">
        <f>IF(ROW()&lt;3, Query1[[#This Row],[Shares]], IF(Query1[[#This Row],[Month]]&lt;&gt;H659, N659+Query1[[#This Row],[Fix Top Up]]/Query1[[#This Row],[Adj Close]], N659))</f>
        <v>3377.0056183393217</v>
      </c>
      <c r="O660">
        <f>IF(AND(Query1[[#This Row],[avg]]&gt;0, Query1[[#This Row],[Month]]&lt;&gt;H659),
    IF(Query1[[#This Row],[Adj Close]]&gt;Query1[[#This Row],[avg]],
       Dashboard!$L$5-Dashboard!$E$6,
       Dashboard!$L$5+Dashboard!$E$6
    ), 0
)</f>
        <v>0</v>
      </c>
      <c r="P660" s="2">
        <f>IF(ROW()&lt;3, Query1[[#This Row],[Shares]], IF(Query1[[#This Row],[Month]]&lt;&gt;H659, P659+Query1[[#This Row],[Enhanced top up]]/Query1[[#This Row],[Adj Close]], P659))</f>
        <v>3363.4940721043927</v>
      </c>
      <c r="Q660" s="2">
        <f>IFERROR(AVERAGE(
  IF(ROW()&gt;20, INDEX(G:G, ROW()-20), 0) :
  INDEX(G:G, ROW())
),0)</f>
        <v>265.53861490885419</v>
      </c>
    </row>
    <row r="661" spans="1:17" x14ac:dyDescent="0.4">
      <c r="A661" s="1">
        <v>44788</v>
      </c>
      <c r="B661">
        <v>291</v>
      </c>
      <c r="C661">
        <v>294.17999267578125</v>
      </c>
      <c r="D661">
        <v>290.1099853515625</v>
      </c>
      <c r="E661">
        <v>293.47000122070313</v>
      </c>
      <c r="F661">
        <v>18085700</v>
      </c>
      <c r="G661">
        <v>285.74014282226563</v>
      </c>
      <c r="H661" s="2">
        <f>MONTH(Query1[[#This Row],[Date]])</f>
        <v>8</v>
      </c>
      <c r="I661" s="3">
        <f>Query1[[#This Row],[Shares]]*Query1[[#This Row],[Adj Close]]</f>
        <v>1026464.0194725204</v>
      </c>
      <c r="J661" s="3">
        <f>IF(ROW()&lt;3, Dashboard!$E$7, IF(Query1[[#This Row],[Month]]&lt;&gt;H660,J660*(1+Dashboard!$E$4)+Dashboard!$E$5,J660))</f>
        <v>752929.18314036459</v>
      </c>
      <c r="K661">
        <f>IF(ROW()&lt;3, 0,IF(Query1[[#This Row],[Month]]&lt;&gt;H660,IF((J661-I661&gt;0),J661-I661,0),0))</f>
        <v>0</v>
      </c>
      <c r="L661" s="2">
        <f t="shared" si="10"/>
        <v>3592.2989655359538</v>
      </c>
      <c r="M661">
        <f>IF(ROW()&lt;3, 0, IF(Query1[[#This Row],[Month]]&lt;&gt;H660, Dashboard!$J$5,0))</f>
        <v>0</v>
      </c>
      <c r="N661" s="2">
        <f>IF(ROW()&lt;3, Query1[[#This Row],[Shares]], IF(Query1[[#This Row],[Month]]&lt;&gt;H660, N660+Query1[[#This Row],[Fix Top Up]]/Query1[[#This Row],[Adj Close]], N660))</f>
        <v>3377.0056183393217</v>
      </c>
      <c r="O661">
        <f>IF(AND(Query1[[#This Row],[avg]]&gt;0, Query1[[#This Row],[Month]]&lt;&gt;H660),
    IF(Query1[[#This Row],[Adj Close]]&gt;Query1[[#This Row],[avg]],
       Dashboard!$L$5-Dashboard!$E$6,
       Dashboard!$L$5+Dashboard!$E$6
    ), 0
)</f>
        <v>0</v>
      </c>
      <c r="P661" s="2">
        <f>IF(ROW()&lt;3, Query1[[#This Row],[Shares]], IF(Query1[[#This Row],[Month]]&lt;&gt;H660, P660+Query1[[#This Row],[Enhanced top up]]/Query1[[#This Row],[Adj Close]], P660))</f>
        <v>3363.4940721043927</v>
      </c>
      <c r="Q661" s="2">
        <f>IFERROR(AVERAGE(
  IF(ROW()&gt;20, INDEX(G:G, ROW()-20), 0) :
  INDEX(G:G, ROW())
),0)</f>
        <v>267.24251738048736</v>
      </c>
    </row>
    <row r="662" spans="1:17" x14ac:dyDescent="0.4">
      <c r="A662" s="1">
        <v>44789</v>
      </c>
      <c r="B662">
        <v>291.989990234375</v>
      </c>
      <c r="C662">
        <v>294.04000854492188</v>
      </c>
      <c r="D662">
        <v>290.42001342773438</v>
      </c>
      <c r="E662">
        <v>292.70999145507813</v>
      </c>
      <c r="F662">
        <v>18102900</v>
      </c>
      <c r="G662">
        <v>285.00021362304688</v>
      </c>
      <c r="H662" s="2">
        <f>MONTH(Query1[[#This Row],[Date]])</f>
        <v>8</v>
      </c>
      <c r="I662" s="3">
        <f>Query1[[#This Row],[Shares]]*Query1[[#This Row],[Adj Close]]</f>
        <v>1023805.9725755971</v>
      </c>
      <c r="J662" s="3">
        <f>IF(ROW()&lt;3, Dashboard!$E$7, IF(Query1[[#This Row],[Month]]&lt;&gt;H661,J661*(1+Dashboard!$E$4)+Dashboard!$E$5,J661))</f>
        <v>752929.18314036459</v>
      </c>
      <c r="K662">
        <f>IF(ROW()&lt;3, 0,IF(Query1[[#This Row],[Month]]&lt;&gt;H661,IF((J662-I662&gt;0),J662-I662,0),0))</f>
        <v>0</v>
      </c>
      <c r="L662" s="2">
        <f t="shared" si="10"/>
        <v>3592.2989655359538</v>
      </c>
      <c r="M662">
        <f>IF(ROW()&lt;3, 0, IF(Query1[[#This Row],[Month]]&lt;&gt;H661, Dashboard!$J$5,0))</f>
        <v>0</v>
      </c>
      <c r="N662" s="2">
        <f>IF(ROW()&lt;3, Query1[[#This Row],[Shares]], IF(Query1[[#This Row],[Month]]&lt;&gt;H661, N661+Query1[[#This Row],[Fix Top Up]]/Query1[[#This Row],[Adj Close]], N661))</f>
        <v>3377.0056183393217</v>
      </c>
      <c r="O662">
        <f>IF(AND(Query1[[#This Row],[avg]]&gt;0, Query1[[#This Row],[Month]]&lt;&gt;H661),
    IF(Query1[[#This Row],[Adj Close]]&gt;Query1[[#This Row],[avg]],
       Dashboard!$L$5-Dashboard!$E$6,
       Dashboard!$L$5+Dashboard!$E$6
    ), 0
)</f>
        <v>0</v>
      </c>
      <c r="P662" s="2">
        <f>IF(ROW()&lt;3, Query1[[#This Row],[Shares]], IF(Query1[[#This Row],[Month]]&lt;&gt;H661, P661+Query1[[#This Row],[Enhanced top up]]/Query1[[#This Row],[Adj Close]], P661))</f>
        <v>3363.4940721043927</v>
      </c>
      <c r="Q662" s="2">
        <f>IFERROR(AVERAGE(
  IF(ROW()&gt;20, INDEX(G:G, ROW()-20), 0) :
  INDEX(G:G, ROW())
),0)</f>
        <v>269.02570524669829</v>
      </c>
    </row>
    <row r="663" spans="1:17" x14ac:dyDescent="0.4">
      <c r="A663" s="1">
        <v>44790</v>
      </c>
      <c r="B663">
        <v>289.739990234375</v>
      </c>
      <c r="C663">
        <v>293.35000610351563</v>
      </c>
      <c r="D663">
        <v>289.47000122070313</v>
      </c>
      <c r="E663">
        <v>291.32000732421875</v>
      </c>
      <c r="F663">
        <v>18253400</v>
      </c>
      <c r="G663">
        <v>284.2490234375</v>
      </c>
      <c r="H663" s="2">
        <f>MONTH(Query1[[#This Row],[Date]])</f>
        <v>8</v>
      </c>
      <c r="I663" s="3">
        <f>Query1[[#This Row],[Shares]]*Query1[[#This Row],[Adj Close]]</f>
        <v>1021107.4728491363</v>
      </c>
      <c r="J663" s="3">
        <f>IF(ROW()&lt;3, Dashboard!$E$7, IF(Query1[[#This Row],[Month]]&lt;&gt;H662,J662*(1+Dashboard!$E$4)+Dashboard!$E$5,J662))</f>
        <v>752929.18314036459</v>
      </c>
      <c r="K663">
        <f>IF(ROW()&lt;3, 0,IF(Query1[[#This Row],[Month]]&lt;&gt;H662,IF((J663-I663&gt;0),J663-I663,0),0))</f>
        <v>0</v>
      </c>
      <c r="L663" s="2">
        <f t="shared" si="10"/>
        <v>3592.2989655359538</v>
      </c>
      <c r="M663">
        <f>IF(ROW()&lt;3, 0, IF(Query1[[#This Row],[Month]]&lt;&gt;H662, Dashboard!$J$5,0))</f>
        <v>0</v>
      </c>
      <c r="N663" s="2">
        <f>IF(ROW()&lt;3, Query1[[#This Row],[Shares]], IF(Query1[[#This Row],[Month]]&lt;&gt;H662, N662+Query1[[#This Row],[Fix Top Up]]/Query1[[#This Row],[Adj Close]], N662))</f>
        <v>3377.0056183393217</v>
      </c>
      <c r="O663">
        <f>IF(AND(Query1[[#This Row],[avg]]&gt;0, Query1[[#This Row],[Month]]&lt;&gt;H662),
    IF(Query1[[#This Row],[Adj Close]]&gt;Query1[[#This Row],[avg]],
       Dashboard!$L$5-Dashboard!$E$6,
       Dashboard!$L$5+Dashboard!$E$6
    ), 0
)</f>
        <v>0</v>
      </c>
      <c r="P663" s="2">
        <f>IF(ROW()&lt;3, Query1[[#This Row],[Shares]], IF(Query1[[#This Row],[Month]]&lt;&gt;H662, P662+Query1[[#This Row],[Enhanced top up]]/Query1[[#This Row],[Adj Close]], P662))</f>
        <v>3363.4940721043927</v>
      </c>
      <c r="Q663" s="2">
        <f>IFERROR(AVERAGE(
  IF(ROW()&gt;20, INDEX(G:G, ROW()-20), 0) :
  INDEX(G:G, ROW())
),0)</f>
        <v>270.528315226237</v>
      </c>
    </row>
    <row r="664" spans="1:17" x14ac:dyDescent="0.4">
      <c r="A664" s="1">
        <v>44791</v>
      </c>
      <c r="B664">
        <v>290.19000244140625</v>
      </c>
      <c r="C664">
        <v>291.91000366210938</v>
      </c>
      <c r="D664">
        <v>289.07998657226563</v>
      </c>
      <c r="E664">
        <v>290.17001342773438</v>
      </c>
      <c r="F664">
        <v>17186200</v>
      </c>
      <c r="G664">
        <v>283.12686157226563</v>
      </c>
      <c r="H664" s="2">
        <f>MONTH(Query1[[#This Row],[Date]])</f>
        <v>8</v>
      </c>
      <c r="I664" s="3">
        <f>Query1[[#This Row],[Shares]]*Query1[[#This Row],[Adj Close]]</f>
        <v>1017076.331941491</v>
      </c>
      <c r="J664" s="3">
        <f>IF(ROW()&lt;3, Dashboard!$E$7, IF(Query1[[#This Row],[Month]]&lt;&gt;H663,J663*(1+Dashboard!$E$4)+Dashboard!$E$5,J663))</f>
        <v>752929.18314036459</v>
      </c>
      <c r="K664">
        <f>IF(ROW()&lt;3, 0,IF(Query1[[#This Row],[Month]]&lt;&gt;H663,IF((J664-I664&gt;0),J664-I664,0),0))</f>
        <v>0</v>
      </c>
      <c r="L664" s="2">
        <f t="shared" si="10"/>
        <v>3592.2989655359538</v>
      </c>
      <c r="M664">
        <f>IF(ROW()&lt;3, 0, IF(Query1[[#This Row],[Month]]&lt;&gt;H663, Dashboard!$J$5,0))</f>
        <v>0</v>
      </c>
      <c r="N664" s="2">
        <f>IF(ROW()&lt;3, Query1[[#This Row],[Shares]], IF(Query1[[#This Row],[Month]]&lt;&gt;H663, N663+Query1[[#This Row],[Fix Top Up]]/Query1[[#This Row],[Adj Close]], N663))</f>
        <v>3377.0056183393217</v>
      </c>
      <c r="O664">
        <f>IF(AND(Query1[[#This Row],[avg]]&gt;0, Query1[[#This Row],[Month]]&lt;&gt;H663),
    IF(Query1[[#This Row],[Adj Close]]&gt;Query1[[#This Row],[avg]],
       Dashboard!$L$5-Dashboard!$E$6,
       Dashboard!$L$5+Dashboard!$E$6
    ), 0
)</f>
        <v>0</v>
      </c>
      <c r="P664" s="2">
        <f>IF(ROW()&lt;3, Query1[[#This Row],[Shares]], IF(Query1[[#This Row],[Month]]&lt;&gt;H663, P663+Query1[[#This Row],[Enhanced top up]]/Query1[[#This Row],[Adj Close]], P663))</f>
        <v>3363.4940721043927</v>
      </c>
      <c r="Q664" s="2">
        <f>IFERROR(AVERAGE(
  IF(ROW()&gt;20, INDEX(G:G, ROW()-20), 0) :
  INDEX(G:G, ROW())
),0)</f>
        <v>271.85045006161647</v>
      </c>
    </row>
    <row r="665" spans="1:17" x14ac:dyDescent="0.4">
      <c r="A665" s="1">
        <v>44792</v>
      </c>
      <c r="B665">
        <v>288.89999389648438</v>
      </c>
      <c r="C665">
        <v>289.25</v>
      </c>
      <c r="D665">
        <v>285.55999755859375</v>
      </c>
      <c r="E665">
        <v>286.14999389648438</v>
      </c>
      <c r="F665">
        <v>20570000</v>
      </c>
      <c r="G665">
        <v>279.20440673828125</v>
      </c>
      <c r="H665" s="2">
        <f>MONTH(Query1[[#This Row],[Date]])</f>
        <v>8</v>
      </c>
      <c r="I665" s="3">
        <f>Query1[[#This Row],[Shares]]*Query1[[#This Row],[Adj Close]]</f>
        <v>1002985.7014990074</v>
      </c>
      <c r="J665" s="3">
        <f>IF(ROW()&lt;3, Dashboard!$E$7, IF(Query1[[#This Row],[Month]]&lt;&gt;H664,J664*(1+Dashboard!$E$4)+Dashboard!$E$5,J664))</f>
        <v>752929.18314036459</v>
      </c>
      <c r="K665">
        <f>IF(ROW()&lt;3, 0,IF(Query1[[#This Row],[Month]]&lt;&gt;H664,IF((J665-I665&gt;0),J665-I665,0),0))</f>
        <v>0</v>
      </c>
      <c r="L665" s="2">
        <f t="shared" si="10"/>
        <v>3592.2989655359538</v>
      </c>
      <c r="M665">
        <f>IF(ROW()&lt;3, 0, IF(Query1[[#This Row],[Month]]&lt;&gt;H664, Dashboard!$J$5,0))</f>
        <v>0</v>
      </c>
      <c r="N665" s="2">
        <f>IF(ROW()&lt;3, Query1[[#This Row],[Shares]], IF(Query1[[#This Row],[Month]]&lt;&gt;H664, N664+Query1[[#This Row],[Fix Top Up]]/Query1[[#This Row],[Adj Close]], N664))</f>
        <v>3377.0056183393217</v>
      </c>
      <c r="O665">
        <f>IF(AND(Query1[[#This Row],[avg]]&gt;0, Query1[[#This Row],[Month]]&lt;&gt;H664),
    IF(Query1[[#This Row],[Adj Close]]&gt;Query1[[#This Row],[avg]],
       Dashboard!$L$5-Dashboard!$E$6,
       Dashboard!$L$5+Dashboard!$E$6
    ), 0
)</f>
        <v>0</v>
      </c>
      <c r="P665" s="2">
        <f>IF(ROW()&lt;3, Query1[[#This Row],[Shares]], IF(Query1[[#This Row],[Month]]&lt;&gt;H664, P664+Query1[[#This Row],[Enhanced top up]]/Query1[[#This Row],[Adj Close]], P664))</f>
        <v>3363.4940721043927</v>
      </c>
      <c r="Q665" s="2">
        <f>IFERROR(AVERAGE(
  IF(ROW()&gt;20, INDEX(G:G, ROW()-20), 0) :
  INDEX(G:G, ROW())
),0)</f>
        <v>272.86664617629276</v>
      </c>
    </row>
    <row r="666" spans="1:17" x14ac:dyDescent="0.4">
      <c r="A666" s="1">
        <v>44795</v>
      </c>
      <c r="B666">
        <v>282.07998657226563</v>
      </c>
      <c r="C666">
        <v>282.45999145507813</v>
      </c>
      <c r="D666">
        <v>277.22000122070313</v>
      </c>
      <c r="E666">
        <v>277.75</v>
      </c>
      <c r="F666">
        <v>25061100</v>
      </c>
      <c r="G666">
        <v>271.00827026367188</v>
      </c>
      <c r="H666" s="2">
        <f>MONTH(Query1[[#This Row],[Date]])</f>
        <v>8</v>
      </c>
      <c r="I666" s="3">
        <f>Query1[[#This Row],[Shares]]*Query1[[#This Row],[Adj Close]]</f>
        <v>973542.72891987662</v>
      </c>
      <c r="J666" s="3">
        <f>IF(ROW()&lt;3, Dashboard!$E$7, IF(Query1[[#This Row],[Month]]&lt;&gt;H665,J665*(1+Dashboard!$E$4)+Dashboard!$E$5,J665))</f>
        <v>752929.18314036459</v>
      </c>
      <c r="K666">
        <f>IF(ROW()&lt;3, 0,IF(Query1[[#This Row],[Month]]&lt;&gt;H665,IF((J666-I666&gt;0),J666-I666,0),0))</f>
        <v>0</v>
      </c>
      <c r="L666" s="2">
        <f t="shared" si="10"/>
        <v>3592.2989655359538</v>
      </c>
      <c r="M666">
        <f>IF(ROW()&lt;3, 0, IF(Query1[[#This Row],[Month]]&lt;&gt;H665, Dashboard!$J$5,0))</f>
        <v>0</v>
      </c>
      <c r="N666" s="2">
        <f>IF(ROW()&lt;3, Query1[[#This Row],[Shares]], IF(Query1[[#This Row],[Month]]&lt;&gt;H665, N665+Query1[[#This Row],[Fix Top Up]]/Query1[[#This Row],[Adj Close]], N665))</f>
        <v>3377.0056183393217</v>
      </c>
      <c r="O666">
        <f>IF(AND(Query1[[#This Row],[avg]]&gt;0, Query1[[#This Row],[Month]]&lt;&gt;H665),
    IF(Query1[[#This Row],[Adj Close]]&gt;Query1[[#This Row],[avg]],
       Dashboard!$L$5-Dashboard!$E$6,
       Dashboard!$L$5+Dashboard!$E$6
    ), 0
)</f>
        <v>0</v>
      </c>
      <c r="P666" s="2">
        <f>IF(ROW()&lt;3, Query1[[#This Row],[Shares]], IF(Query1[[#This Row],[Month]]&lt;&gt;H665, P665+Query1[[#This Row],[Enhanced top up]]/Query1[[#This Row],[Adj Close]], P665))</f>
        <v>3363.4940721043927</v>
      </c>
      <c r="Q666" s="2">
        <f>IFERROR(AVERAGE(
  IF(ROW()&gt;20, INDEX(G:G, ROW()-20), 0) :
  INDEX(G:G, ROW())
),0)</f>
        <v>273.70026434035526</v>
      </c>
    </row>
    <row r="667" spans="1:17" x14ac:dyDescent="0.4">
      <c r="A667" s="1">
        <v>44796</v>
      </c>
      <c r="B667">
        <v>276.44000244140625</v>
      </c>
      <c r="C667">
        <v>278.8599853515625</v>
      </c>
      <c r="D667">
        <v>275.39999389648438</v>
      </c>
      <c r="E667">
        <v>276.44000244140625</v>
      </c>
      <c r="F667">
        <v>17527400</v>
      </c>
      <c r="G667">
        <v>269.73004150390625</v>
      </c>
      <c r="H667" s="2">
        <f>MONTH(Query1[[#This Row],[Date]])</f>
        <v>8</v>
      </c>
      <c r="I667" s="3">
        <f>Query1[[#This Row],[Shares]]*Query1[[#This Row],[Adj Close]]</f>
        <v>968950.94906845235</v>
      </c>
      <c r="J667" s="3">
        <f>IF(ROW()&lt;3, Dashboard!$E$7, IF(Query1[[#This Row],[Month]]&lt;&gt;H666,J666*(1+Dashboard!$E$4)+Dashboard!$E$5,J666))</f>
        <v>752929.18314036459</v>
      </c>
      <c r="K667">
        <f>IF(ROW()&lt;3, 0,IF(Query1[[#This Row],[Month]]&lt;&gt;H666,IF((J667-I667&gt;0),J667-I667,0),0))</f>
        <v>0</v>
      </c>
      <c r="L667" s="2">
        <f t="shared" si="10"/>
        <v>3592.2989655359538</v>
      </c>
      <c r="M667">
        <f>IF(ROW()&lt;3, 0, IF(Query1[[#This Row],[Month]]&lt;&gt;H666, Dashboard!$J$5,0))</f>
        <v>0</v>
      </c>
      <c r="N667" s="2">
        <f>IF(ROW()&lt;3, Query1[[#This Row],[Shares]], IF(Query1[[#This Row],[Month]]&lt;&gt;H666, N666+Query1[[#This Row],[Fix Top Up]]/Query1[[#This Row],[Adj Close]], N666))</f>
        <v>3377.0056183393217</v>
      </c>
      <c r="O667">
        <f>IF(AND(Query1[[#This Row],[avg]]&gt;0, Query1[[#This Row],[Month]]&lt;&gt;H666),
    IF(Query1[[#This Row],[Adj Close]]&gt;Query1[[#This Row],[avg]],
       Dashboard!$L$5-Dashboard!$E$6,
       Dashboard!$L$5+Dashboard!$E$6
    ), 0
)</f>
        <v>0</v>
      </c>
      <c r="P667" s="2">
        <f>IF(ROW()&lt;3, Query1[[#This Row],[Shares]], IF(Query1[[#This Row],[Month]]&lt;&gt;H666, P666+Query1[[#This Row],[Enhanced top up]]/Query1[[#This Row],[Adj Close]], P666))</f>
        <v>3363.4940721043927</v>
      </c>
      <c r="Q667" s="2">
        <f>IFERROR(AVERAGE(
  IF(ROW()&gt;20, INDEX(G:G, ROW()-20), 0) :
  INDEX(G:G, ROW())
),0)</f>
        <v>274.543950398763</v>
      </c>
    </row>
    <row r="668" spans="1:17" x14ac:dyDescent="0.4">
      <c r="A668" s="1">
        <v>44797</v>
      </c>
      <c r="B668">
        <v>275.41000366210938</v>
      </c>
      <c r="C668">
        <v>277.23001098632813</v>
      </c>
      <c r="D668">
        <v>275.1099853515625</v>
      </c>
      <c r="E668">
        <v>275.79000854492188</v>
      </c>
      <c r="F668">
        <v>18137000</v>
      </c>
      <c r="G668">
        <v>269.095947265625</v>
      </c>
      <c r="H668" s="2">
        <f>MONTH(Query1[[#This Row],[Date]])</f>
        <v>8</v>
      </c>
      <c r="I668" s="3">
        <f>Query1[[#This Row],[Shares]]*Query1[[#This Row],[Adj Close]]</f>
        <v>966673.09299222229</v>
      </c>
      <c r="J668" s="3">
        <f>IF(ROW()&lt;3, Dashboard!$E$7, IF(Query1[[#This Row],[Month]]&lt;&gt;H667,J667*(1+Dashboard!$E$4)+Dashboard!$E$5,J667))</f>
        <v>752929.18314036459</v>
      </c>
      <c r="K668">
        <f>IF(ROW()&lt;3, 0,IF(Query1[[#This Row],[Month]]&lt;&gt;H667,IF((J668-I668&gt;0),J668-I668,0),0))</f>
        <v>0</v>
      </c>
      <c r="L668" s="2">
        <f t="shared" si="10"/>
        <v>3592.2989655359538</v>
      </c>
      <c r="M668">
        <f>IF(ROW()&lt;3, 0, IF(Query1[[#This Row],[Month]]&lt;&gt;H667, Dashboard!$J$5,0))</f>
        <v>0</v>
      </c>
      <c r="N668" s="2">
        <f>IF(ROW()&lt;3, Query1[[#This Row],[Shares]], IF(Query1[[#This Row],[Month]]&lt;&gt;H667, N667+Query1[[#This Row],[Fix Top Up]]/Query1[[#This Row],[Adj Close]], N667))</f>
        <v>3377.0056183393217</v>
      </c>
      <c r="O668">
        <f>IF(AND(Query1[[#This Row],[avg]]&gt;0, Query1[[#This Row],[Month]]&lt;&gt;H667),
    IF(Query1[[#This Row],[Adj Close]]&gt;Query1[[#This Row],[avg]],
       Dashboard!$L$5-Dashboard!$E$6,
       Dashboard!$L$5+Dashboard!$E$6
    ), 0
)</f>
        <v>0</v>
      </c>
      <c r="P668" s="2">
        <f>IF(ROW()&lt;3, Query1[[#This Row],[Shares]], IF(Query1[[#This Row],[Month]]&lt;&gt;H667, P667+Query1[[#This Row],[Enhanced top up]]/Query1[[#This Row],[Adj Close]], P667))</f>
        <v>3363.4940721043927</v>
      </c>
      <c r="Q668" s="2">
        <f>IFERROR(AVERAGE(
  IF(ROW()&gt;20, INDEX(G:G, ROW()-20), 0) :
  INDEX(G:G, ROW())
),0)</f>
        <v>275.67875162760419</v>
      </c>
    </row>
    <row r="669" spans="1:17" x14ac:dyDescent="0.4">
      <c r="A669" s="1">
        <v>44798</v>
      </c>
      <c r="B669">
        <v>277.32998657226563</v>
      </c>
      <c r="C669">
        <v>279.01998901367188</v>
      </c>
      <c r="D669">
        <v>274.51998901367188</v>
      </c>
      <c r="E669">
        <v>278.85000610351563</v>
      </c>
      <c r="F669">
        <v>16583400</v>
      </c>
      <c r="G669">
        <v>272.08160400390625</v>
      </c>
      <c r="H669" s="2">
        <f>MONTH(Query1[[#This Row],[Date]])</f>
        <v>8</v>
      </c>
      <c r="I669" s="3">
        <f>Query1[[#This Row],[Shares]]*Query1[[#This Row],[Adj Close]]</f>
        <v>977398.46460459544</v>
      </c>
      <c r="J669" s="3">
        <f>IF(ROW()&lt;3, Dashboard!$E$7, IF(Query1[[#This Row],[Month]]&lt;&gt;H668,J668*(1+Dashboard!$E$4)+Dashboard!$E$5,J668))</f>
        <v>752929.18314036459</v>
      </c>
      <c r="K669">
        <f>IF(ROW()&lt;3, 0,IF(Query1[[#This Row],[Month]]&lt;&gt;H668,IF((J669-I669&gt;0),J669-I669,0),0))</f>
        <v>0</v>
      </c>
      <c r="L669" s="2">
        <f t="shared" si="10"/>
        <v>3592.2989655359538</v>
      </c>
      <c r="M669">
        <f>IF(ROW()&lt;3, 0, IF(Query1[[#This Row],[Month]]&lt;&gt;H668, Dashboard!$J$5,0))</f>
        <v>0</v>
      </c>
      <c r="N669" s="2">
        <f>IF(ROW()&lt;3, Query1[[#This Row],[Shares]], IF(Query1[[#This Row],[Month]]&lt;&gt;H668, N668+Query1[[#This Row],[Fix Top Up]]/Query1[[#This Row],[Adj Close]], N668))</f>
        <v>3377.0056183393217</v>
      </c>
      <c r="O669">
        <f>IF(AND(Query1[[#This Row],[avg]]&gt;0, Query1[[#This Row],[Month]]&lt;&gt;H668),
    IF(Query1[[#This Row],[Adj Close]]&gt;Query1[[#This Row],[avg]],
       Dashboard!$L$5-Dashboard!$E$6,
       Dashboard!$L$5+Dashboard!$E$6
    ), 0
)</f>
        <v>0</v>
      </c>
      <c r="P669" s="2">
        <f>IF(ROW()&lt;3, Query1[[#This Row],[Shares]], IF(Query1[[#This Row],[Month]]&lt;&gt;H668, P668+Query1[[#This Row],[Enhanced top up]]/Query1[[#This Row],[Adj Close]], P668))</f>
        <v>3363.4940721043927</v>
      </c>
      <c r="Q669" s="2">
        <f>IFERROR(AVERAGE(
  IF(ROW()&gt;20, INDEX(G:G, ROW()-20), 0) :
  INDEX(G:G, ROW())
),0)</f>
        <v>276.17494419642856</v>
      </c>
    </row>
    <row r="670" spans="1:17" x14ac:dyDescent="0.4">
      <c r="A670" s="1">
        <v>44799</v>
      </c>
      <c r="B670">
        <v>279.07998657226563</v>
      </c>
      <c r="C670">
        <v>280.33999633789063</v>
      </c>
      <c r="D670">
        <v>267.98001098632813</v>
      </c>
      <c r="E670">
        <v>268.08999633789063</v>
      </c>
      <c r="F670">
        <v>27549300</v>
      </c>
      <c r="G670">
        <v>261.58282470703125</v>
      </c>
      <c r="H670" s="2">
        <f>MONTH(Query1[[#This Row],[Date]])</f>
        <v>8</v>
      </c>
      <c r="I670" s="3">
        <f>Query1[[#This Row],[Shares]]*Query1[[#This Row],[Adj Close]]</f>
        <v>939683.71059704106</v>
      </c>
      <c r="J670" s="3">
        <f>IF(ROW()&lt;3, Dashboard!$E$7, IF(Query1[[#This Row],[Month]]&lt;&gt;H669,J669*(1+Dashboard!$E$4)+Dashboard!$E$5,J669))</f>
        <v>752929.18314036459</v>
      </c>
      <c r="K670">
        <f>IF(ROW()&lt;3, 0,IF(Query1[[#This Row],[Month]]&lt;&gt;H669,IF((J670-I670&gt;0),J670-I670,0),0))</f>
        <v>0</v>
      </c>
      <c r="L670" s="2">
        <f t="shared" si="10"/>
        <v>3592.2989655359538</v>
      </c>
      <c r="M670">
        <f>IF(ROW()&lt;3, 0, IF(Query1[[#This Row],[Month]]&lt;&gt;H669, Dashboard!$J$5,0))</f>
        <v>0</v>
      </c>
      <c r="N670" s="2">
        <f>IF(ROW()&lt;3, Query1[[#This Row],[Shares]], IF(Query1[[#This Row],[Month]]&lt;&gt;H669, N669+Query1[[#This Row],[Fix Top Up]]/Query1[[#This Row],[Adj Close]], N669))</f>
        <v>3377.0056183393217</v>
      </c>
      <c r="O670">
        <f>IF(AND(Query1[[#This Row],[avg]]&gt;0, Query1[[#This Row],[Month]]&lt;&gt;H669),
    IF(Query1[[#This Row],[Adj Close]]&gt;Query1[[#This Row],[avg]],
       Dashboard!$L$5-Dashboard!$E$6,
       Dashboard!$L$5+Dashboard!$E$6
    ), 0
)</f>
        <v>0</v>
      </c>
      <c r="P670" s="2">
        <f>IF(ROW()&lt;3, Query1[[#This Row],[Shares]], IF(Query1[[#This Row],[Month]]&lt;&gt;H669, P669+Query1[[#This Row],[Enhanced top up]]/Query1[[#This Row],[Adj Close]], P669))</f>
        <v>3363.4940721043927</v>
      </c>
      <c r="Q670" s="2">
        <f>IFERROR(AVERAGE(
  IF(ROW()&gt;20, INDEX(G:G, ROW()-20), 0) :
  INDEX(G:G, ROW())
),0)</f>
        <v>275.81557500930057</v>
      </c>
    </row>
    <row r="671" spans="1:17" x14ac:dyDescent="0.4">
      <c r="A671" s="1">
        <v>44802</v>
      </c>
      <c r="B671">
        <v>265.85000610351563</v>
      </c>
      <c r="C671">
        <v>267.39999389648438</v>
      </c>
      <c r="D671">
        <v>263.85000610351563</v>
      </c>
      <c r="E671">
        <v>265.23001098632813</v>
      </c>
      <c r="F671">
        <v>20338500</v>
      </c>
      <c r="G671">
        <v>258.792236328125</v>
      </c>
      <c r="H671" s="2">
        <f>MONTH(Query1[[#This Row],[Date]])</f>
        <v>8</v>
      </c>
      <c r="I671" s="3">
        <f>Query1[[#This Row],[Shares]]*Query1[[#This Row],[Adj Close]]</f>
        <v>929659.0828502595</v>
      </c>
      <c r="J671" s="3">
        <f>IF(ROW()&lt;3, Dashboard!$E$7, IF(Query1[[#This Row],[Month]]&lt;&gt;H670,J670*(1+Dashboard!$E$4)+Dashboard!$E$5,J670))</f>
        <v>752929.18314036459</v>
      </c>
      <c r="K671">
        <f>IF(ROW()&lt;3, 0,IF(Query1[[#This Row],[Month]]&lt;&gt;H670,IF((J671-I671&gt;0),J671-I671,0),0))</f>
        <v>0</v>
      </c>
      <c r="L671" s="2">
        <f t="shared" si="10"/>
        <v>3592.2989655359538</v>
      </c>
      <c r="M671">
        <f>IF(ROW()&lt;3, 0, IF(Query1[[#This Row],[Month]]&lt;&gt;H670, Dashboard!$J$5,0))</f>
        <v>0</v>
      </c>
      <c r="N671" s="2">
        <f>IF(ROW()&lt;3, Query1[[#This Row],[Shares]], IF(Query1[[#This Row],[Month]]&lt;&gt;H670, N670+Query1[[#This Row],[Fix Top Up]]/Query1[[#This Row],[Adj Close]], N670))</f>
        <v>3377.0056183393217</v>
      </c>
      <c r="O671">
        <f>IF(AND(Query1[[#This Row],[avg]]&gt;0, Query1[[#This Row],[Month]]&lt;&gt;H670),
    IF(Query1[[#This Row],[Adj Close]]&gt;Query1[[#This Row],[avg]],
       Dashboard!$L$5-Dashboard!$E$6,
       Dashboard!$L$5+Dashboard!$E$6
    ), 0
)</f>
        <v>0</v>
      </c>
      <c r="P671" s="2">
        <f>IF(ROW()&lt;3, Query1[[#This Row],[Shares]], IF(Query1[[#This Row],[Month]]&lt;&gt;H670, P670+Query1[[#This Row],[Enhanced top up]]/Query1[[#This Row],[Adj Close]], P670))</f>
        <v>3363.4940721043927</v>
      </c>
      <c r="Q671" s="2">
        <f>IFERROR(AVERAGE(
  IF(ROW()&gt;20, INDEX(G:G, ROW()-20), 0) :
  INDEX(G:G, ROW())
),0)</f>
        <v>275.12256440662202</v>
      </c>
    </row>
    <row r="672" spans="1:17" x14ac:dyDescent="0.4">
      <c r="A672" s="1">
        <v>44803</v>
      </c>
      <c r="B672">
        <v>266.67001342773438</v>
      </c>
      <c r="C672">
        <v>267.04998779296875</v>
      </c>
      <c r="D672">
        <v>260.66000366210938</v>
      </c>
      <c r="E672">
        <v>262.97000122070313</v>
      </c>
      <c r="F672">
        <v>22767100</v>
      </c>
      <c r="G672">
        <v>256.58706665039063</v>
      </c>
      <c r="H672" s="2">
        <f>MONTH(Query1[[#This Row],[Date]])</f>
        <v>8</v>
      </c>
      <c r="I672" s="3">
        <f>Query1[[#This Row],[Shares]]*Query1[[#This Row],[Adj Close]]</f>
        <v>921737.4540981031</v>
      </c>
      <c r="J672" s="3">
        <f>IF(ROW()&lt;3, Dashboard!$E$7, IF(Query1[[#This Row],[Month]]&lt;&gt;H671,J671*(1+Dashboard!$E$4)+Dashboard!$E$5,J671))</f>
        <v>752929.18314036459</v>
      </c>
      <c r="K672">
        <f>IF(ROW()&lt;3, 0,IF(Query1[[#This Row],[Month]]&lt;&gt;H671,IF((J672-I672&gt;0),J672-I672,0),0))</f>
        <v>0</v>
      </c>
      <c r="L672" s="2">
        <f t="shared" si="10"/>
        <v>3592.2989655359538</v>
      </c>
      <c r="M672">
        <f>IF(ROW()&lt;3, 0, IF(Query1[[#This Row],[Month]]&lt;&gt;H671, Dashboard!$J$5,0))</f>
        <v>0</v>
      </c>
      <c r="N672" s="2">
        <f>IF(ROW()&lt;3, Query1[[#This Row],[Shares]], IF(Query1[[#This Row],[Month]]&lt;&gt;H671, N671+Query1[[#This Row],[Fix Top Up]]/Query1[[#This Row],[Adj Close]], N671))</f>
        <v>3377.0056183393217</v>
      </c>
      <c r="O672">
        <f>IF(AND(Query1[[#This Row],[avg]]&gt;0, Query1[[#This Row],[Month]]&lt;&gt;H671),
    IF(Query1[[#This Row],[Adj Close]]&gt;Query1[[#This Row],[avg]],
       Dashboard!$L$5-Dashboard!$E$6,
       Dashboard!$L$5+Dashboard!$E$6
    ), 0
)</f>
        <v>0</v>
      </c>
      <c r="P672" s="2">
        <f>IF(ROW()&lt;3, Query1[[#This Row],[Shares]], IF(Query1[[#This Row],[Month]]&lt;&gt;H671, P671+Query1[[#This Row],[Enhanced top up]]/Query1[[#This Row],[Adj Close]], P671))</f>
        <v>3363.4940721043927</v>
      </c>
      <c r="Q672" s="2">
        <f>IFERROR(AVERAGE(
  IF(ROW()&gt;20, INDEX(G:G, ROW()-20), 0) :
  INDEX(G:G, ROW())
),0)</f>
        <v>274.45111955915178</v>
      </c>
    </row>
    <row r="673" spans="1:17" x14ac:dyDescent="0.4">
      <c r="A673" s="1">
        <v>44804</v>
      </c>
      <c r="B673">
        <v>265.3900146484375</v>
      </c>
      <c r="C673">
        <v>267.1099853515625</v>
      </c>
      <c r="D673">
        <v>261.32998657226563</v>
      </c>
      <c r="E673">
        <v>261.47000122070313</v>
      </c>
      <c r="F673">
        <v>24791800</v>
      </c>
      <c r="G673">
        <v>255.12345886230469</v>
      </c>
      <c r="H673" s="2">
        <f>MONTH(Query1[[#This Row],[Date]])</f>
        <v>8</v>
      </c>
      <c r="I673" s="3">
        <f>Query1[[#This Row],[Shares]]*Query1[[#This Row],[Adj Close]]</f>
        <v>916479.73735501163</v>
      </c>
      <c r="J673" s="3">
        <f>IF(ROW()&lt;3, Dashboard!$E$7, IF(Query1[[#This Row],[Month]]&lt;&gt;H672,J672*(1+Dashboard!$E$4)+Dashboard!$E$5,J672))</f>
        <v>752929.18314036459</v>
      </c>
      <c r="K673">
        <f>IF(ROW()&lt;3, 0,IF(Query1[[#This Row],[Month]]&lt;&gt;H672,IF((J673-I673&gt;0),J673-I673,0),0))</f>
        <v>0</v>
      </c>
      <c r="L673" s="2">
        <f t="shared" si="10"/>
        <v>3592.2989655359538</v>
      </c>
      <c r="M673">
        <f>IF(ROW()&lt;3, 0, IF(Query1[[#This Row],[Month]]&lt;&gt;H672, Dashboard!$J$5,0))</f>
        <v>0</v>
      </c>
      <c r="N673" s="2">
        <f>IF(ROW()&lt;3, Query1[[#This Row],[Shares]], IF(Query1[[#This Row],[Month]]&lt;&gt;H672, N672+Query1[[#This Row],[Fix Top Up]]/Query1[[#This Row],[Adj Close]], N672))</f>
        <v>3377.0056183393217</v>
      </c>
      <c r="O673">
        <f>IF(AND(Query1[[#This Row],[avg]]&gt;0, Query1[[#This Row],[Month]]&lt;&gt;H672),
    IF(Query1[[#This Row],[Adj Close]]&gt;Query1[[#This Row],[avg]],
       Dashboard!$L$5-Dashboard!$E$6,
       Dashboard!$L$5+Dashboard!$E$6
    ), 0
)</f>
        <v>0</v>
      </c>
      <c r="P673" s="2">
        <f>IF(ROW()&lt;3, Query1[[#This Row],[Shares]], IF(Query1[[#This Row],[Month]]&lt;&gt;H672, P672+Query1[[#This Row],[Enhanced top up]]/Query1[[#This Row],[Adj Close]], P672))</f>
        <v>3363.4940721043927</v>
      </c>
      <c r="Q673" s="2">
        <f>IFERROR(AVERAGE(
  IF(ROW()&gt;20, INDEX(G:G, ROW()-20), 0) :
  INDEX(G:G, ROW())
),0)</f>
        <v>273.85788036528089</v>
      </c>
    </row>
    <row r="674" spans="1:17" x14ac:dyDescent="0.4">
      <c r="A674" s="1">
        <v>44805</v>
      </c>
      <c r="B674">
        <v>258.8699951171875</v>
      </c>
      <c r="C674">
        <v>260.8900146484375</v>
      </c>
      <c r="D674">
        <v>255.41000366210938</v>
      </c>
      <c r="E674">
        <v>260.39999389648438</v>
      </c>
      <c r="F674">
        <v>23263400</v>
      </c>
      <c r="G674">
        <v>254.07943725585938</v>
      </c>
      <c r="H674" s="2">
        <f>MONTH(Query1[[#This Row],[Date]])</f>
        <v>9</v>
      </c>
      <c r="I674" s="3">
        <f>Query1[[#This Row],[Shares]]*Query1[[#This Row],[Adj Close]]</f>
        <v>912729.29961818096</v>
      </c>
      <c r="J674" s="3">
        <f>IF(ROW()&lt;3, Dashboard!$E$7, IF(Query1[[#This Row],[Month]]&lt;&gt;H673,J673*(1+Dashboard!$E$4)+Dashboard!$E$5,J673))</f>
        <v>762458.47497176821</v>
      </c>
      <c r="K674">
        <f>IF(ROW()&lt;3, 0,IF(Query1[[#This Row],[Month]]&lt;&gt;H673,IF((J674-I674&gt;0),J674-I674,0),0))</f>
        <v>0</v>
      </c>
      <c r="L674" s="2">
        <f t="shared" si="10"/>
        <v>3592.2989655359538</v>
      </c>
      <c r="M674">
        <f>IF(ROW()&lt;3, 0, IF(Query1[[#This Row],[Month]]&lt;&gt;H673, Dashboard!$J$5,0))</f>
        <v>773.47399999999971</v>
      </c>
      <c r="N674" s="2">
        <f>IF(ROW()&lt;3, Query1[[#This Row],[Shares]], IF(Query1[[#This Row],[Month]]&lt;&gt;H673, N673+Query1[[#This Row],[Fix Top Up]]/Query1[[#This Row],[Adj Close]], N673))</f>
        <v>3380.0498395024106</v>
      </c>
      <c r="O674">
        <f>IF(AND(Query1[[#This Row],[avg]]&gt;0, Query1[[#This Row],[Month]]&lt;&gt;H673),
    IF(Query1[[#This Row],[Adj Close]]&gt;Query1[[#This Row],[avg]],
       Dashboard!$L$5-Dashboard!$E$6,
       Dashboard!$L$5+Dashboard!$E$6
    ), 0
)</f>
        <v>1390.1406666666667</v>
      </c>
      <c r="P674" s="2">
        <f>IF(ROW()&lt;3, Query1[[#This Row],[Shares]], IF(Query1[[#This Row],[Month]]&lt;&gt;H673, P673+Query1[[#This Row],[Enhanced top up]]/Query1[[#This Row],[Adj Close]], P673))</f>
        <v>3368.965355737892</v>
      </c>
      <c r="Q674" s="2">
        <f>IFERROR(AVERAGE(
  IF(ROW()&gt;20, INDEX(G:G, ROW()-20), 0) :
  INDEX(G:G, ROW())
),0)</f>
        <v>272.86023748488651</v>
      </c>
    </row>
    <row r="675" spans="1:17" x14ac:dyDescent="0.4">
      <c r="A675" s="1">
        <v>44806</v>
      </c>
      <c r="B675">
        <v>261.70001220703125</v>
      </c>
      <c r="C675">
        <v>264.739990234375</v>
      </c>
      <c r="D675">
        <v>254.47000122070313</v>
      </c>
      <c r="E675">
        <v>256.05999755859375</v>
      </c>
      <c r="F675">
        <v>22855400</v>
      </c>
      <c r="G675">
        <v>249.84475708007813</v>
      </c>
      <c r="H675" s="2">
        <f>MONTH(Query1[[#This Row],[Date]])</f>
        <v>9</v>
      </c>
      <c r="I675" s="3">
        <f>Query1[[#This Row],[Shares]]*Query1[[#This Row],[Adj Close]]</f>
        <v>897517.0624033463</v>
      </c>
      <c r="J675" s="3">
        <f>IF(ROW()&lt;3, Dashboard!$E$7, IF(Query1[[#This Row],[Month]]&lt;&gt;H674,J674*(1+Dashboard!$E$4)+Dashboard!$E$5,J674))</f>
        <v>762458.47497176821</v>
      </c>
      <c r="K675">
        <f>IF(ROW()&lt;3, 0,IF(Query1[[#This Row],[Month]]&lt;&gt;H674,IF((J675-I675&gt;0),J675-I675,0),0))</f>
        <v>0</v>
      </c>
      <c r="L675" s="2">
        <f t="shared" si="10"/>
        <v>3592.2989655359538</v>
      </c>
      <c r="M675">
        <f>IF(ROW()&lt;3, 0, IF(Query1[[#This Row],[Month]]&lt;&gt;H674, Dashboard!$J$5,0))</f>
        <v>0</v>
      </c>
      <c r="N675" s="2">
        <f>IF(ROW()&lt;3, Query1[[#This Row],[Shares]], IF(Query1[[#This Row],[Month]]&lt;&gt;H674, N674+Query1[[#This Row],[Fix Top Up]]/Query1[[#This Row],[Adj Close]], N674))</f>
        <v>3380.0498395024106</v>
      </c>
      <c r="O675">
        <f>IF(AND(Query1[[#This Row],[avg]]&gt;0, Query1[[#This Row],[Month]]&lt;&gt;H674),
    IF(Query1[[#This Row],[Adj Close]]&gt;Query1[[#This Row],[avg]],
       Dashboard!$L$5-Dashboard!$E$6,
       Dashboard!$L$5+Dashboard!$E$6
    ), 0
)</f>
        <v>0</v>
      </c>
      <c r="P675" s="2">
        <f>IF(ROW()&lt;3, Query1[[#This Row],[Shares]], IF(Query1[[#This Row],[Month]]&lt;&gt;H674, P674+Query1[[#This Row],[Enhanced top up]]/Query1[[#This Row],[Adj Close]], P674))</f>
        <v>3368.965355737892</v>
      </c>
      <c r="Q675" s="2">
        <f>IFERROR(AVERAGE(
  IF(ROW()&gt;20, INDEX(G:G, ROW()-20), 0) :
  INDEX(G:G, ROW())
),0)</f>
        <v>271.60622950962613</v>
      </c>
    </row>
    <row r="676" spans="1:17" x14ac:dyDescent="0.4">
      <c r="A676" s="1">
        <v>44810</v>
      </c>
      <c r="B676">
        <v>256.20001220703125</v>
      </c>
      <c r="C676">
        <v>257.82998657226563</v>
      </c>
      <c r="D676">
        <v>251.94000244140625</v>
      </c>
      <c r="E676">
        <v>253.25</v>
      </c>
      <c r="F676">
        <v>21328200</v>
      </c>
      <c r="G676">
        <v>247.10299682617188</v>
      </c>
      <c r="H676" s="2">
        <f>MONTH(Query1[[#This Row],[Date]])</f>
        <v>9</v>
      </c>
      <c r="I676" s="3">
        <f>Query1[[#This Row],[Shares]]*Query1[[#This Row],[Adj Close]]</f>
        <v>887667.83987949125</v>
      </c>
      <c r="J676" s="3">
        <f>IF(ROW()&lt;3, Dashboard!$E$7, IF(Query1[[#This Row],[Month]]&lt;&gt;H675,J675*(1+Dashboard!$E$4)+Dashboard!$E$5,J675))</f>
        <v>762458.47497176821</v>
      </c>
      <c r="K676">
        <f>IF(ROW()&lt;3, 0,IF(Query1[[#This Row],[Month]]&lt;&gt;H675,IF((J676-I676&gt;0),J676-I676,0),0))</f>
        <v>0</v>
      </c>
      <c r="L676" s="2">
        <f t="shared" si="10"/>
        <v>3592.2989655359538</v>
      </c>
      <c r="M676">
        <f>IF(ROW()&lt;3, 0, IF(Query1[[#This Row],[Month]]&lt;&gt;H675, Dashboard!$J$5,0))</f>
        <v>0</v>
      </c>
      <c r="N676" s="2">
        <f>IF(ROW()&lt;3, Query1[[#This Row],[Shares]], IF(Query1[[#This Row],[Month]]&lt;&gt;H675, N675+Query1[[#This Row],[Fix Top Up]]/Query1[[#This Row],[Adj Close]], N675))</f>
        <v>3380.0498395024106</v>
      </c>
      <c r="O676">
        <f>IF(AND(Query1[[#This Row],[avg]]&gt;0, Query1[[#This Row],[Month]]&lt;&gt;H675),
    IF(Query1[[#This Row],[Adj Close]]&gt;Query1[[#This Row],[avg]],
       Dashboard!$L$5-Dashboard!$E$6,
       Dashboard!$L$5+Dashboard!$E$6
    ), 0
)</f>
        <v>0</v>
      </c>
      <c r="P676" s="2">
        <f>IF(ROW()&lt;3, Query1[[#This Row],[Shares]], IF(Query1[[#This Row],[Month]]&lt;&gt;H675, P675+Query1[[#This Row],[Enhanced top up]]/Query1[[#This Row],[Adj Close]], P675))</f>
        <v>3368.965355737892</v>
      </c>
      <c r="Q676" s="2">
        <f>IFERROR(AVERAGE(
  IF(ROW()&gt;20, INDEX(G:G, ROW()-20), 0) :
  INDEX(G:G, ROW())
),0)</f>
        <v>270.25597345261349</v>
      </c>
    </row>
    <row r="677" spans="1:17" x14ac:dyDescent="0.4">
      <c r="A677" s="1">
        <v>44811</v>
      </c>
      <c r="B677">
        <v>254.69999694824219</v>
      </c>
      <c r="C677">
        <v>258.82998657226563</v>
      </c>
      <c r="D677">
        <v>253.22000122070313</v>
      </c>
      <c r="E677">
        <v>258.08999633789063</v>
      </c>
      <c r="F677">
        <v>24126700</v>
      </c>
      <c r="G677">
        <v>251.82551574707031</v>
      </c>
      <c r="H677" s="2">
        <f>MONTH(Query1[[#This Row],[Date]])</f>
        <v>9</v>
      </c>
      <c r="I677" s="3">
        <f>Query1[[#This Row],[Shares]]*Query1[[#This Row],[Adj Close]]</f>
        <v>904632.53971375874</v>
      </c>
      <c r="J677" s="3">
        <f>IF(ROW()&lt;3, Dashboard!$E$7, IF(Query1[[#This Row],[Month]]&lt;&gt;H676,J676*(1+Dashboard!$E$4)+Dashboard!$E$5,J676))</f>
        <v>762458.47497176821</v>
      </c>
      <c r="K677">
        <f>IF(ROW()&lt;3, 0,IF(Query1[[#This Row],[Month]]&lt;&gt;H676,IF((J677-I677&gt;0),J677-I677,0),0))</f>
        <v>0</v>
      </c>
      <c r="L677" s="2">
        <f t="shared" si="10"/>
        <v>3592.2989655359538</v>
      </c>
      <c r="M677">
        <f>IF(ROW()&lt;3, 0, IF(Query1[[#This Row],[Month]]&lt;&gt;H676, Dashboard!$J$5,0))</f>
        <v>0</v>
      </c>
      <c r="N677" s="2">
        <f>IF(ROW()&lt;3, Query1[[#This Row],[Shares]], IF(Query1[[#This Row],[Month]]&lt;&gt;H676, N676+Query1[[#This Row],[Fix Top Up]]/Query1[[#This Row],[Adj Close]], N676))</f>
        <v>3380.0498395024106</v>
      </c>
      <c r="O677">
        <f>IF(AND(Query1[[#This Row],[avg]]&gt;0, Query1[[#This Row],[Month]]&lt;&gt;H676),
    IF(Query1[[#This Row],[Adj Close]]&gt;Query1[[#This Row],[avg]],
       Dashboard!$L$5-Dashboard!$E$6,
       Dashboard!$L$5+Dashboard!$E$6
    ), 0
)</f>
        <v>0</v>
      </c>
      <c r="P677" s="2">
        <f>IF(ROW()&lt;3, Query1[[#This Row],[Shares]], IF(Query1[[#This Row],[Month]]&lt;&gt;H676, P676+Query1[[#This Row],[Enhanced top up]]/Query1[[#This Row],[Adj Close]], P676))</f>
        <v>3368.965355737892</v>
      </c>
      <c r="Q677" s="2">
        <f>IFERROR(AVERAGE(
  IF(ROW()&gt;20, INDEX(G:G, ROW()-20), 0) :
  INDEX(G:G, ROW())
),0)</f>
        <v>269.25068301246279</v>
      </c>
    </row>
    <row r="678" spans="1:17" x14ac:dyDescent="0.4">
      <c r="A678" s="1">
        <v>44812</v>
      </c>
      <c r="B678">
        <v>257.510009765625</v>
      </c>
      <c r="C678">
        <v>260.42999267578125</v>
      </c>
      <c r="D678">
        <v>254.78999328613281</v>
      </c>
      <c r="E678">
        <v>258.51998901367188</v>
      </c>
      <c r="F678">
        <v>20319900</v>
      </c>
      <c r="G678">
        <v>252.24504089355469</v>
      </c>
      <c r="H678" s="2">
        <f>MONTH(Query1[[#This Row],[Date]])</f>
        <v>9</v>
      </c>
      <c r="I678" s="3">
        <f>Query1[[#This Row],[Shares]]*Query1[[#This Row],[Adj Close]]</f>
        <v>906139.59946349089</v>
      </c>
      <c r="J678" s="3">
        <f>IF(ROW()&lt;3, Dashboard!$E$7, IF(Query1[[#This Row],[Month]]&lt;&gt;H677,J677*(1+Dashboard!$E$4)+Dashboard!$E$5,J677))</f>
        <v>762458.47497176821</v>
      </c>
      <c r="K678">
        <f>IF(ROW()&lt;3, 0,IF(Query1[[#This Row],[Month]]&lt;&gt;H677,IF((J678-I678&gt;0),J678-I678,0),0))</f>
        <v>0</v>
      </c>
      <c r="L678" s="2">
        <f t="shared" si="10"/>
        <v>3592.2989655359538</v>
      </c>
      <c r="M678">
        <f>IF(ROW()&lt;3, 0, IF(Query1[[#This Row],[Month]]&lt;&gt;H677, Dashboard!$J$5,0))</f>
        <v>0</v>
      </c>
      <c r="N678" s="2">
        <f>IF(ROW()&lt;3, Query1[[#This Row],[Shares]], IF(Query1[[#This Row],[Month]]&lt;&gt;H677, N677+Query1[[#This Row],[Fix Top Up]]/Query1[[#This Row],[Adj Close]], N677))</f>
        <v>3380.0498395024106</v>
      </c>
      <c r="O678">
        <f>IF(AND(Query1[[#This Row],[avg]]&gt;0, Query1[[#This Row],[Month]]&lt;&gt;H677),
    IF(Query1[[#This Row],[Adj Close]]&gt;Query1[[#This Row],[avg]],
       Dashboard!$L$5-Dashboard!$E$6,
       Dashboard!$L$5+Dashboard!$E$6
    ), 0
)</f>
        <v>0</v>
      </c>
      <c r="P678" s="2">
        <f>IF(ROW()&lt;3, Query1[[#This Row],[Shares]], IF(Query1[[#This Row],[Month]]&lt;&gt;H677, P677+Query1[[#This Row],[Enhanced top up]]/Query1[[#This Row],[Adj Close]], P677))</f>
        <v>3368.965355737892</v>
      </c>
      <c r="Q678" s="2">
        <f>IFERROR(AVERAGE(
  IF(ROW()&gt;20, INDEX(G:G, ROW()-20), 0) :
  INDEX(G:G, ROW())
),0)</f>
        <v>268.17357017880397</v>
      </c>
    </row>
    <row r="679" spans="1:17" x14ac:dyDescent="0.4">
      <c r="A679" s="1">
        <v>44813</v>
      </c>
      <c r="B679">
        <v>260.5</v>
      </c>
      <c r="C679">
        <v>265.23001098632813</v>
      </c>
      <c r="D679">
        <v>260.29000854492188</v>
      </c>
      <c r="E679">
        <v>264.45999145507813</v>
      </c>
      <c r="F679">
        <v>22084700</v>
      </c>
      <c r="G679">
        <v>258.04092407226563</v>
      </c>
      <c r="H679" s="2">
        <f>MONTH(Query1[[#This Row],[Date]])</f>
        <v>9</v>
      </c>
      <c r="I679" s="3">
        <f>Query1[[#This Row],[Shares]]*Query1[[#This Row],[Adj Close]]</f>
        <v>926960.14461074141</v>
      </c>
      <c r="J679" s="3">
        <f>IF(ROW()&lt;3, Dashboard!$E$7, IF(Query1[[#This Row],[Month]]&lt;&gt;H678,J678*(1+Dashboard!$E$4)+Dashboard!$E$5,J678))</f>
        <v>762458.47497176821</v>
      </c>
      <c r="K679">
        <f>IF(ROW()&lt;3, 0,IF(Query1[[#This Row],[Month]]&lt;&gt;H678,IF((J679-I679&gt;0),J679-I679,0),0))</f>
        <v>0</v>
      </c>
      <c r="L679" s="2">
        <f t="shared" si="10"/>
        <v>3592.2989655359538</v>
      </c>
      <c r="M679">
        <f>IF(ROW()&lt;3, 0, IF(Query1[[#This Row],[Month]]&lt;&gt;H678, Dashboard!$J$5,0))</f>
        <v>0</v>
      </c>
      <c r="N679" s="2">
        <f>IF(ROW()&lt;3, Query1[[#This Row],[Shares]], IF(Query1[[#This Row],[Month]]&lt;&gt;H678, N678+Query1[[#This Row],[Fix Top Up]]/Query1[[#This Row],[Adj Close]], N678))</f>
        <v>3380.0498395024106</v>
      </c>
      <c r="O679">
        <f>IF(AND(Query1[[#This Row],[avg]]&gt;0, Query1[[#This Row],[Month]]&lt;&gt;H678),
    IF(Query1[[#This Row],[Adj Close]]&gt;Query1[[#This Row],[avg]],
       Dashboard!$L$5-Dashboard!$E$6,
       Dashboard!$L$5+Dashboard!$E$6
    ), 0
)</f>
        <v>0</v>
      </c>
      <c r="P679" s="2">
        <f>IF(ROW()&lt;3, Query1[[#This Row],[Shares]], IF(Query1[[#This Row],[Month]]&lt;&gt;H678, P678+Query1[[#This Row],[Enhanced top up]]/Query1[[#This Row],[Adj Close]], P678))</f>
        <v>3368.965355737892</v>
      </c>
      <c r="Q679" s="2">
        <f>IFERROR(AVERAGE(
  IF(ROW()&gt;20, INDEX(G:G, ROW()-20), 0) :
  INDEX(G:G, ROW())
),0)</f>
        <v>267.05438741048175</v>
      </c>
    </row>
    <row r="680" spans="1:17" x14ac:dyDescent="0.4">
      <c r="A680" s="1">
        <v>44816</v>
      </c>
      <c r="B680">
        <v>265.77999877929688</v>
      </c>
      <c r="C680">
        <v>267.45001220703125</v>
      </c>
      <c r="D680">
        <v>265.16000366210938</v>
      </c>
      <c r="E680">
        <v>266.64999389648438</v>
      </c>
      <c r="F680">
        <v>18747700</v>
      </c>
      <c r="G680">
        <v>260.177734375</v>
      </c>
      <c r="H680" s="2">
        <f>MONTH(Query1[[#This Row],[Date]])</f>
        <v>9</v>
      </c>
      <c r="I680" s="3">
        <f>Query1[[#This Row],[Shares]]*Query1[[#This Row],[Adj Close]]</f>
        <v>934636.20605080063</v>
      </c>
      <c r="J680" s="3">
        <f>IF(ROW()&lt;3, Dashboard!$E$7, IF(Query1[[#This Row],[Month]]&lt;&gt;H679,J679*(1+Dashboard!$E$4)+Dashboard!$E$5,J679))</f>
        <v>762458.47497176821</v>
      </c>
      <c r="K680">
        <f>IF(ROW()&lt;3, 0,IF(Query1[[#This Row],[Month]]&lt;&gt;H679,IF((J680-I680&gt;0),J680-I680,0),0))</f>
        <v>0</v>
      </c>
      <c r="L680" s="2">
        <f t="shared" si="10"/>
        <v>3592.2989655359538</v>
      </c>
      <c r="M680">
        <f>IF(ROW()&lt;3, 0, IF(Query1[[#This Row],[Month]]&lt;&gt;H679, Dashboard!$J$5,0))</f>
        <v>0</v>
      </c>
      <c r="N680" s="2">
        <f>IF(ROW()&lt;3, Query1[[#This Row],[Shares]], IF(Query1[[#This Row],[Month]]&lt;&gt;H679, N679+Query1[[#This Row],[Fix Top Up]]/Query1[[#This Row],[Adj Close]], N679))</f>
        <v>3380.0498395024106</v>
      </c>
      <c r="O680">
        <f>IF(AND(Query1[[#This Row],[avg]]&gt;0, Query1[[#This Row],[Month]]&lt;&gt;H679),
    IF(Query1[[#This Row],[Adj Close]]&gt;Query1[[#This Row],[avg]],
       Dashboard!$L$5-Dashboard!$E$6,
       Dashboard!$L$5+Dashboard!$E$6
    ), 0
)</f>
        <v>0</v>
      </c>
      <c r="P680" s="2">
        <f>IF(ROW()&lt;3, Query1[[#This Row],[Shares]], IF(Query1[[#This Row],[Month]]&lt;&gt;H679, P679+Query1[[#This Row],[Enhanced top up]]/Query1[[#This Row],[Adj Close]], P679))</f>
        <v>3368.965355737892</v>
      </c>
      <c r="Q680" s="2">
        <f>IFERROR(AVERAGE(
  IF(ROW()&gt;20, INDEX(G:G, ROW()-20), 0) :
  INDEX(G:G, ROW())
),0)</f>
        <v>266.13618033272877</v>
      </c>
    </row>
    <row r="681" spans="1:17" x14ac:dyDescent="0.4">
      <c r="A681" s="1">
        <v>44817</v>
      </c>
      <c r="B681">
        <v>258.83999633789063</v>
      </c>
      <c r="C681">
        <v>260.39999389648438</v>
      </c>
      <c r="D681">
        <v>251.58999633789063</v>
      </c>
      <c r="E681">
        <v>251.99000549316406</v>
      </c>
      <c r="F681">
        <v>33353300</v>
      </c>
      <c r="G681">
        <v>245.87358093261719</v>
      </c>
      <c r="H681" s="2">
        <f>MONTH(Query1[[#This Row],[Date]])</f>
        <v>9</v>
      </c>
      <c r="I681" s="3">
        <f>Query1[[#This Row],[Shares]]*Query1[[#This Row],[Adj Close]]</f>
        <v>883251.41043686133</v>
      </c>
      <c r="J681" s="3">
        <f>IF(ROW()&lt;3, Dashboard!$E$7, IF(Query1[[#This Row],[Month]]&lt;&gt;H680,J680*(1+Dashboard!$E$4)+Dashboard!$E$5,J680))</f>
        <v>762458.47497176821</v>
      </c>
      <c r="K681">
        <f>IF(ROW()&lt;3, 0,IF(Query1[[#This Row],[Month]]&lt;&gt;H680,IF((J681-I681&gt;0),J681-I681,0),0))</f>
        <v>0</v>
      </c>
      <c r="L681" s="2">
        <f t="shared" si="10"/>
        <v>3592.2989655359538</v>
      </c>
      <c r="M681">
        <f>IF(ROW()&lt;3, 0, IF(Query1[[#This Row],[Month]]&lt;&gt;H680, Dashboard!$J$5,0))</f>
        <v>0</v>
      </c>
      <c r="N681" s="2">
        <f>IF(ROW()&lt;3, Query1[[#This Row],[Shares]], IF(Query1[[#This Row],[Month]]&lt;&gt;H680, N680+Query1[[#This Row],[Fix Top Up]]/Query1[[#This Row],[Adj Close]], N680))</f>
        <v>3380.0498395024106</v>
      </c>
      <c r="O681">
        <f>IF(AND(Query1[[#This Row],[avg]]&gt;0, Query1[[#This Row],[Month]]&lt;&gt;H680),
    IF(Query1[[#This Row],[Adj Close]]&gt;Query1[[#This Row],[avg]],
       Dashboard!$L$5-Dashboard!$E$6,
       Dashboard!$L$5+Dashboard!$E$6
    ), 0
)</f>
        <v>0</v>
      </c>
      <c r="P681" s="2">
        <f>IF(ROW()&lt;3, Query1[[#This Row],[Shares]], IF(Query1[[#This Row],[Month]]&lt;&gt;H680, P680+Query1[[#This Row],[Enhanced top up]]/Query1[[#This Row],[Adj Close]], P680))</f>
        <v>3368.965355737892</v>
      </c>
      <c r="Q681" s="2">
        <f>IFERROR(AVERAGE(
  IF(ROW()&gt;20, INDEX(G:G, ROW()-20), 0) :
  INDEX(G:G, ROW())
),0)</f>
        <v>264.31009928385419</v>
      </c>
    </row>
    <row r="682" spans="1:17" x14ac:dyDescent="0.4">
      <c r="A682" s="1">
        <v>44818</v>
      </c>
      <c r="B682">
        <v>253.52999877929688</v>
      </c>
      <c r="C682">
        <v>254.22999572753906</v>
      </c>
      <c r="D682">
        <v>249.86000061035156</v>
      </c>
      <c r="E682">
        <v>252.22000122070313</v>
      </c>
      <c r="F682">
        <v>23913000</v>
      </c>
      <c r="G682">
        <v>246.09799194335938</v>
      </c>
      <c r="H682" s="2">
        <f>MONTH(Query1[[#This Row],[Date]])</f>
        <v>9</v>
      </c>
      <c r="I682" s="3">
        <f>Query1[[#This Row],[Shares]]*Query1[[#This Row],[Adj Close]]</f>
        <v>884057.5618786054</v>
      </c>
      <c r="J682" s="3">
        <f>IF(ROW()&lt;3, Dashboard!$E$7, IF(Query1[[#This Row],[Month]]&lt;&gt;H681,J681*(1+Dashboard!$E$4)+Dashboard!$E$5,J681))</f>
        <v>762458.47497176821</v>
      </c>
      <c r="K682">
        <f>IF(ROW()&lt;3, 0,IF(Query1[[#This Row],[Month]]&lt;&gt;H681,IF((J682-I682&gt;0),J682-I682,0),0))</f>
        <v>0</v>
      </c>
      <c r="L682" s="2">
        <f t="shared" si="10"/>
        <v>3592.2989655359538</v>
      </c>
      <c r="M682">
        <f>IF(ROW()&lt;3, 0, IF(Query1[[#This Row],[Month]]&lt;&gt;H681, Dashboard!$J$5,0))</f>
        <v>0</v>
      </c>
      <c r="N682" s="2">
        <f>IF(ROW()&lt;3, Query1[[#This Row],[Shares]], IF(Query1[[#This Row],[Month]]&lt;&gt;H681, N681+Query1[[#This Row],[Fix Top Up]]/Query1[[#This Row],[Adj Close]], N681))</f>
        <v>3380.0498395024106</v>
      </c>
      <c r="O682">
        <f>IF(AND(Query1[[#This Row],[avg]]&gt;0, Query1[[#This Row],[Month]]&lt;&gt;H681),
    IF(Query1[[#This Row],[Adj Close]]&gt;Query1[[#This Row],[avg]],
       Dashboard!$L$5-Dashboard!$E$6,
       Dashboard!$L$5+Dashboard!$E$6
    ), 0
)</f>
        <v>0</v>
      </c>
      <c r="P682" s="2">
        <f>IF(ROW()&lt;3, Query1[[#This Row],[Shares]], IF(Query1[[#This Row],[Month]]&lt;&gt;H681, P681+Query1[[#This Row],[Enhanced top up]]/Query1[[#This Row],[Adj Close]], P681))</f>
        <v>3368.965355737892</v>
      </c>
      <c r="Q682" s="2">
        <f>IFERROR(AVERAGE(
  IF(ROW()&gt;20, INDEX(G:G, ROW()-20), 0) :
  INDEX(G:G, ROW())
),0)</f>
        <v>262.42237781343005</v>
      </c>
    </row>
    <row r="683" spans="1:17" x14ac:dyDescent="0.4">
      <c r="A683" s="1">
        <v>44819</v>
      </c>
      <c r="B683">
        <v>249.77000427246094</v>
      </c>
      <c r="C683">
        <v>251.39999389648438</v>
      </c>
      <c r="D683">
        <v>244.02000427246094</v>
      </c>
      <c r="E683">
        <v>245.3800048828125</v>
      </c>
      <c r="F683">
        <v>31530900</v>
      </c>
      <c r="G683">
        <v>239.42402648925781</v>
      </c>
      <c r="H683" s="2">
        <f>MONTH(Query1[[#This Row],[Date]])</f>
        <v>9</v>
      </c>
      <c r="I683" s="3">
        <f>Query1[[#This Row],[Shares]]*Query1[[#This Row],[Adj Close]]</f>
        <v>860082.6826818136</v>
      </c>
      <c r="J683" s="3">
        <f>IF(ROW()&lt;3, Dashboard!$E$7, IF(Query1[[#This Row],[Month]]&lt;&gt;H682,J682*(1+Dashboard!$E$4)+Dashboard!$E$5,J682))</f>
        <v>762458.47497176821</v>
      </c>
      <c r="K683">
        <f>IF(ROW()&lt;3, 0,IF(Query1[[#This Row],[Month]]&lt;&gt;H682,IF((J683-I683&gt;0),J683-I683,0),0))</f>
        <v>0</v>
      </c>
      <c r="L683" s="2">
        <f t="shared" si="10"/>
        <v>3592.2989655359538</v>
      </c>
      <c r="M683">
        <f>IF(ROW()&lt;3, 0, IF(Query1[[#This Row],[Month]]&lt;&gt;H682, Dashboard!$J$5,0))</f>
        <v>0</v>
      </c>
      <c r="N683" s="2">
        <f>IF(ROW()&lt;3, Query1[[#This Row],[Shares]], IF(Query1[[#This Row],[Month]]&lt;&gt;H682, N682+Query1[[#This Row],[Fix Top Up]]/Query1[[#This Row],[Adj Close]], N682))</f>
        <v>3380.0498395024106</v>
      </c>
      <c r="O683">
        <f>IF(AND(Query1[[#This Row],[avg]]&gt;0, Query1[[#This Row],[Month]]&lt;&gt;H682),
    IF(Query1[[#This Row],[Adj Close]]&gt;Query1[[#This Row],[avg]],
       Dashboard!$L$5-Dashboard!$E$6,
       Dashboard!$L$5+Dashboard!$E$6
    ), 0
)</f>
        <v>0</v>
      </c>
      <c r="P683" s="2">
        <f>IF(ROW()&lt;3, Query1[[#This Row],[Shares]], IF(Query1[[#This Row],[Month]]&lt;&gt;H682, P682+Query1[[#This Row],[Enhanced top up]]/Query1[[#This Row],[Adj Close]], P682))</f>
        <v>3368.965355737892</v>
      </c>
      <c r="Q683" s="2">
        <f>IFERROR(AVERAGE(
  IF(ROW()&gt;20, INDEX(G:G, ROW()-20), 0) :
  INDEX(G:G, ROW())
),0)</f>
        <v>260.25208318801151</v>
      </c>
    </row>
    <row r="684" spans="1:17" x14ac:dyDescent="0.4">
      <c r="A684" s="1">
        <v>44820</v>
      </c>
      <c r="B684">
        <v>244.25999450683594</v>
      </c>
      <c r="C684">
        <v>245.30000305175781</v>
      </c>
      <c r="D684">
        <v>242.05999755859375</v>
      </c>
      <c r="E684">
        <v>244.74000549316406</v>
      </c>
      <c r="F684">
        <v>39791800</v>
      </c>
      <c r="G684">
        <v>238.799560546875</v>
      </c>
      <c r="H684" s="2">
        <f>MONTH(Query1[[#This Row],[Date]])</f>
        <v>9</v>
      </c>
      <c r="I684" s="3">
        <f>Query1[[#This Row],[Shares]]*Query1[[#This Row],[Adj Close]]</f>
        <v>857839.4143229794</v>
      </c>
      <c r="J684" s="3">
        <f>IF(ROW()&lt;3, Dashboard!$E$7, IF(Query1[[#This Row],[Month]]&lt;&gt;H683,J683*(1+Dashboard!$E$4)+Dashboard!$E$5,J683))</f>
        <v>762458.47497176821</v>
      </c>
      <c r="K684">
        <f>IF(ROW()&lt;3, 0,IF(Query1[[#This Row],[Month]]&lt;&gt;H683,IF((J684-I684&gt;0),J684-I684,0),0))</f>
        <v>0</v>
      </c>
      <c r="L684" s="2">
        <f t="shared" si="10"/>
        <v>3592.2989655359538</v>
      </c>
      <c r="M684">
        <f>IF(ROW()&lt;3, 0, IF(Query1[[#This Row],[Month]]&lt;&gt;H683, Dashboard!$J$5,0))</f>
        <v>0</v>
      </c>
      <c r="N684" s="2">
        <f>IF(ROW()&lt;3, Query1[[#This Row],[Shares]], IF(Query1[[#This Row],[Month]]&lt;&gt;H683, N683+Query1[[#This Row],[Fix Top Up]]/Query1[[#This Row],[Adj Close]], N683))</f>
        <v>3380.0498395024106</v>
      </c>
      <c r="O684">
        <f>IF(AND(Query1[[#This Row],[avg]]&gt;0, Query1[[#This Row],[Month]]&lt;&gt;H683),
    IF(Query1[[#This Row],[Adj Close]]&gt;Query1[[#This Row],[avg]],
       Dashboard!$L$5-Dashboard!$E$6,
       Dashboard!$L$5+Dashboard!$E$6
    ), 0
)</f>
        <v>0</v>
      </c>
      <c r="P684" s="2">
        <f>IF(ROW()&lt;3, Query1[[#This Row],[Shares]], IF(Query1[[#This Row],[Month]]&lt;&gt;H683, P683+Query1[[#This Row],[Enhanced top up]]/Query1[[#This Row],[Adj Close]], P683))</f>
        <v>3368.965355737892</v>
      </c>
      <c r="Q684" s="2">
        <f>IFERROR(AVERAGE(
  IF(ROW()&gt;20, INDEX(G:G, ROW()-20), 0) :
  INDEX(G:G, ROW())
),0)</f>
        <v>258.08782305036272</v>
      </c>
    </row>
    <row r="685" spans="1:17" x14ac:dyDescent="0.4">
      <c r="A685" s="1">
        <v>44823</v>
      </c>
      <c r="B685">
        <v>242.47000122070313</v>
      </c>
      <c r="C685">
        <v>245.13999938964844</v>
      </c>
      <c r="D685">
        <v>240.85000610351563</v>
      </c>
      <c r="E685">
        <v>244.52000427246094</v>
      </c>
      <c r="F685">
        <v>26826900</v>
      </c>
      <c r="G685">
        <v>238.58489990234375</v>
      </c>
      <c r="H685" s="2">
        <f>MONTH(Query1[[#This Row],[Date]])</f>
        <v>9</v>
      </c>
      <c r="I685" s="3">
        <f>Query1[[#This Row],[Shares]]*Query1[[#This Row],[Adj Close]]</f>
        <v>857068.2891116885</v>
      </c>
      <c r="J685" s="3">
        <f>IF(ROW()&lt;3, Dashboard!$E$7, IF(Query1[[#This Row],[Month]]&lt;&gt;H684,J684*(1+Dashboard!$E$4)+Dashboard!$E$5,J684))</f>
        <v>762458.47497176821</v>
      </c>
      <c r="K685">
        <f>IF(ROW()&lt;3, 0,IF(Query1[[#This Row],[Month]]&lt;&gt;H684,IF((J685-I685&gt;0),J685-I685,0),0))</f>
        <v>0</v>
      </c>
      <c r="L685" s="2">
        <f t="shared" si="10"/>
        <v>3592.2989655359538</v>
      </c>
      <c r="M685">
        <f>IF(ROW()&lt;3, 0, IF(Query1[[#This Row],[Month]]&lt;&gt;H684, Dashboard!$J$5,0))</f>
        <v>0</v>
      </c>
      <c r="N685" s="2">
        <f>IF(ROW()&lt;3, Query1[[#This Row],[Shares]], IF(Query1[[#This Row],[Month]]&lt;&gt;H684, N684+Query1[[#This Row],[Fix Top Up]]/Query1[[#This Row],[Adj Close]], N684))</f>
        <v>3380.0498395024106</v>
      </c>
      <c r="O685">
        <f>IF(AND(Query1[[#This Row],[avg]]&gt;0, Query1[[#This Row],[Month]]&lt;&gt;H684),
    IF(Query1[[#This Row],[Adj Close]]&gt;Query1[[#This Row],[avg]],
       Dashboard!$L$5-Dashboard!$E$6,
       Dashboard!$L$5+Dashboard!$E$6
    ), 0
)</f>
        <v>0</v>
      </c>
      <c r="P685" s="2">
        <f>IF(ROW()&lt;3, Query1[[#This Row],[Shares]], IF(Query1[[#This Row],[Month]]&lt;&gt;H684, P684+Query1[[#This Row],[Enhanced top up]]/Query1[[#This Row],[Adj Close]], P684))</f>
        <v>3368.965355737892</v>
      </c>
      <c r="Q685" s="2">
        <f>IFERROR(AVERAGE(
  IF(ROW()&gt;20, INDEX(G:G, ROW()-20), 0) :
  INDEX(G:G, ROW())
),0)</f>
        <v>255.96677725655692</v>
      </c>
    </row>
    <row r="686" spans="1:17" x14ac:dyDescent="0.4">
      <c r="A686" s="1">
        <v>44824</v>
      </c>
      <c r="B686">
        <v>242.07000732421875</v>
      </c>
      <c r="C686">
        <v>243.50999450683594</v>
      </c>
      <c r="D686">
        <v>239.63999938964844</v>
      </c>
      <c r="E686">
        <v>242.44999694824219</v>
      </c>
      <c r="F686">
        <v>26660300</v>
      </c>
      <c r="G686">
        <v>236.56512451171875</v>
      </c>
      <c r="H686" s="2">
        <f>MONTH(Query1[[#This Row],[Date]])</f>
        <v>9</v>
      </c>
      <c r="I686" s="3">
        <f>Query1[[#This Row],[Shares]]*Query1[[#This Row],[Adj Close]]</f>
        <v>849812.65206533135</v>
      </c>
      <c r="J686" s="3">
        <f>IF(ROW()&lt;3, Dashboard!$E$7, IF(Query1[[#This Row],[Month]]&lt;&gt;H685,J685*(1+Dashboard!$E$4)+Dashboard!$E$5,J685))</f>
        <v>762458.47497176821</v>
      </c>
      <c r="K686">
        <f>IF(ROW()&lt;3, 0,IF(Query1[[#This Row],[Month]]&lt;&gt;H685,IF((J686-I686&gt;0),J686-I686,0),0))</f>
        <v>0</v>
      </c>
      <c r="L686" s="2">
        <f t="shared" si="10"/>
        <v>3592.2989655359538</v>
      </c>
      <c r="M686">
        <f>IF(ROW()&lt;3, 0, IF(Query1[[#This Row],[Month]]&lt;&gt;H685, Dashboard!$J$5,0))</f>
        <v>0</v>
      </c>
      <c r="N686" s="2">
        <f>IF(ROW()&lt;3, Query1[[#This Row],[Shares]], IF(Query1[[#This Row],[Month]]&lt;&gt;H685, N685+Query1[[#This Row],[Fix Top Up]]/Query1[[#This Row],[Adj Close]], N685))</f>
        <v>3380.0498395024106</v>
      </c>
      <c r="O686">
        <f>IF(AND(Query1[[#This Row],[avg]]&gt;0, Query1[[#This Row],[Month]]&lt;&gt;H685),
    IF(Query1[[#This Row],[Adj Close]]&gt;Query1[[#This Row],[avg]],
       Dashboard!$L$5-Dashboard!$E$6,
       Dashboard!$L$5+Dashboard!$E$6
    ), 0
)</f>
        <v>0</v>
      </c>
      <c r="P686" s="2">
        <f>IF(ROW()&lt;3, Query1[[#This Row],[Shares]], IF(Query1[[#This Row],[Month]]&lt;&gt;H685, P685+Query1[[#This Row],[Enhanced top up]]/Query1[[#This Row],[Adj Close]], P685))</f>
        <v>3368.965355737892</v>
      </c>
      <c r="Q686" s="2">
        <f>IFERROR(AVERAGE(
  IF(ROW()&gt;20, INDEX(G:G, ROW()-20), 0) :
  INDEX(G:G, ROW())
),0)</f>
        <v>253.93633524576822</v>
      </c>
    </row>
    <row r="687" spans="1:17" x14ac:dyDescent="0.4">
      <c r="A687" s="1">
        <v>44825</v>
      </c>
      <c r="B687">
        <v>244.27000427246094</v>
      </c>
      <c r="C687">
        <v>247.66000366210938</v>
      </c>
      <c r="D687">
        <v>238.89999389648438</v>
      </c>
      <c r="E687">
        <v>238.94999694824219</v>
      </c>
      <c r="F687">
        <v>28625600</v>
      </c>
      <c r="G687">
        <v>233.15005493164063</v>
      </c>
      <c r="H687" s="2">
        <f>MONTH(Query1[[#This Row],[Date]])</f>
        <v>9</v>
      </c>
      <c r="I687" s="3">
        <f>Query1[[#This Row],[Shares]]*Query1[[#This Row],[Adj Close]]</f>
        <v>837544.70114558341</v>
      </c>
      <c r="J687" s="3">
        <f>IF(ROW()&lt;3, Dashboard!$E$7, IF(Query1[[#This Row],[Month]]&lt;&gt;H686,J686*(1+Dashboard!$E$4)+Dashboard!$E$5,J686))</f>
        <v>762458.47497176821</v>
      </c>
      <c r="K687">
        <f>IF(ROW()&lt;3, 0,IF(Query1[[#This Row],[Month]]&lt;&gt;H686,IF((J687-I687&gt;0),J687-I687,0),0))</f>
        <v>0</v>
      </c>
      <c r="L687" s="2">
        <f t="shared" si="10"/>
        <v>3592.2989655359538</v>
      </c>
      <c r="M687">
        <f>IF(ROW()&lt;3, 0, IF(Query1[[#This Row],[Month]]&lt;&gt;H686, Dashboard!$J$5,0))</f>
        <v>0</v>
      </c>
      <c r="N687" s="2">
        <f>IF(ROW()&lt;3, Query1[[#This Row],[Shares]], IF(Query1[[#This Row],[Month]]&lt;&gt;H686, N686+Query1[[#This Row],[Fix Top Up]]/Query1[[#This Row],[Adj Close]], N686))</f>
        <v>3380.0498395024106</v>
      </c>
      <c r="O687">
        <f>IF(AND(Query1[[#This Row],[avg]]&gt;0, Query1[[#This Row],[Month]]&lt;&gt;H686),
    IF(Query1[[#This Row],[Adj Close]]&gt;Query1[[#This Row],[avg]],
       Dashboard!$L$5-Dashboard!$E$6,
       Dashboard!$L$5+Dashboard!$E$6
    ), 0
)</f>
        <v>0</v>
      </c>
      <c r="P687" s="2">
        <f>IF(ROW()&lt;3, Query1[[#This Row],[Shares]], IF(Query1[[#This Row],[Month]]&lt;&gt;H686, P686+Query1[[#This Row],[Enhanced top up]]/Query1[[#This Row],[Adj Close]], P686))</f>
        <v>3368.965355737892</v>
      </c>
      <c r="Q687" s="2">
        <f>IFERROR(AVERAGE(
  IF(ROW()&gt;20, INDEX(G:G, ROW()-20), 0) :
  INDEX(G:G, ROW())
),0)</f>
        <v>252.13356308710007</v>
      </c>
    </row>
    <row r="688" spans="1:17" x14ac:dyDescent="0.4">
      <c r="A688" s="1">
        <v>44826</v>
      </c>
      <c r="B688">
        <v>237.8699951171875</v>
      </c>
      <c r="C688">
        <v>243.86000061035156</v>
      </c>
      <c r="D688">
        <v>237.57000732421875</v>
      </c>
      <c r="E688">
        <v>240.97999572753906</v>
      </c>
      <c r="F688">
        <v>31061200</v>
      </c>
      <c r="G688">
        <v>235.13081359863281</v>
      </c>
      <c r="H688" s="2">
        <f>MONTH(Query1[[#This Row],[Date]])</f>
        <v>9</v>
      </c>
      <c r="I688" s="3">
        <f>Query1[[#This Row],[Shares]]*Query1[[#This Row],[Adj Close]]</f>
        <v>844660.17845599586</v>
      </c>
      <c r="J688" s="3">
        <f>IF(ROW()&lt;3, Dashboard!$E$7, IF(Query1[[#This Row],[Month]]&lt;&gt;H687,J687*(1+Dashboard!$E$4)+Dashboard!$E$5,J687))</f>
        <v>762458.47497176821</v>
      </c>
      <c r="K688">
        <f>IF(ROW()&lt;3, 0,IF(Query1[[#This Row],[Month]]&lt;&gt;H687,IF((J688-I688&gt;0),J688-I688,0),0))</f>
        <v>0</v>
      </c>
      <c r="L688" s="2">
        <f t="shared" si="10"/>
        <v>3592.2989655359538</v>
      </c>
      <c r="M688">
        <f>IF(ROW()&lt;3, 0, IF(Query1[[#This Row],[Month]]&lt;&gt;H687, Dashboard!$J$5,0))</f>
        <v>0</v>
      </c>
      <c r="N688" s="2">
        <f>IF(ROW()&lt;3, Query1[[#This Row],[Shares]], IF(Query1[[#This Row],[Month]]&lt;&gt;H687, N687+Query1[[#This Row],[Fix Top Up]]/Query1[[#This Row],[Adj Close]], N687))</f>
        <v>3380.0498395024106</v>
      </c>
      <c r="O688">
        <f>IF(AND(Query1[[#This Row],[avg]]&gt;0, Query1[[#This Row],[Month]]&lt;&gt;H687),
    IF(Query1[[#This Row],[Adj Close]]&gt;Query1[[#This Row],[avg]],
       Dashboard!$L$5-Dashboard!$E$6,
       Dashboard!$L$5+Dashboard!$E$6
    ), 0
)</f>
        <v>0</v>
      </c>
      <c r="P688" s="2">
        <f>IF(ROW()&lt;3, Query1[[#This Row],[Shares]], IF(Query1[[#This Row],[Month]]&lt;&gt;H687, P687+Query1[[#This Row],[Enhanced top up]]/Query1[[#This Row],[Adj Close]], P687))</f>
        <v>3368.965355737892</v>
      </c>
      <c r="Q688" s="2">
        <f>IFERROR(AVERAGE(
  IF(ROW()&gt;20, INDEX(G:G, ROW()-20), 0) :
  INDEX(G:G, ROW())
),0)</f>
        <v>250.48598080589659</v>
      </c>
    </row>
    <row r="689" spans="1:17" x14ac:dyDescent="0.4">
      <c r="A689" s="1">
        <v>44827</v>
      </c>
      <c r="B689">
        <v>239.53999328613281</v>
      </c>
      <c r="C689">
        <v>241.1300048828125</v>
      </c>
      <c r="D689">
        <v>235.19999694824219</v>
      </c>
      <c r="E689">
        <v>237.91999816894531</v>
      </c>
      <c r="F689">
        <v>34176000</v>
      </c>
      <c r="G689">
        <v>232.14508056640625</v>
      </c>
      <c r="H689" s="2">
        <f>MONTH(Query1[[#This Row],[Date]])</f>
        <v>9</v>
      </c>
      <c r="I689" s="3">
        <f>Query1[[#This Row],[Shares]]*Query1[[#This Row],[Adj Close]]</f>
        <v>833934.53277296177</v>
      </c>
      <c r="J689" s="3">
        <f>IF(ROW()&lt;3, Dashboard!$E$7, IF(Query1[[#This Row],[Month]]&lt;&gt;H688,J688*(1+Dashboard!$E$4)+Dashboard!$E$5,J688))</f>
        <v>762458.47497176821</v>
      </c>
      <c r="K689">
        <f>IF(ROW()&lt;3, 0,IF(Query1[[#This Row],[Month]]&lt;&gt;H688,IF((J689-I689&gt;0),J689-I689,0),0))</f>
        <v>0</v>
      </c>
      <c r="L689" s="2">
        <f t="shared" si="10"/>
        <v>3592.2989655359538</v>
      </c>
      <c r="M689">
        <f>IF(ROW()&lt;3, 0, IF(Query1[[#This Row],[Month]]&lt;&gt;H688, Dashboard!$J$5,0))</f>
        <v>0</v>
      </c>
      <c r="N689" s="2">
        <f>IF(ROW()&lt;3, Query1[[#This Row],[Shares]], IF(Query1[[#This Row],[Month]]&lt;&gt;H688, N688+Query1[[#This Row],[Fix Top Up]]/Query1[[#This Row],[Adj Close]], N688))</f>
        <v>3380.0498395024106</v>
      </c>
      <c r="O689">
        <f>IF(AND(Query1[[#This Row],[avg]]&gt;0, Query1[[#This Row],[Month]]&lt;&gt;H688),
    IF(Query1[[#This Row],[Adj Close]]&gt;Query1[[#This Row],[avg]],
       Dashboard!$L$5-Dashboard!$E$6,
       Dashboard!$L$5+Dashboard!$E$6
    ), 0
)</f>
        <v>0</v>
      </c>
      <c r="P689" s="2">
        <f>IF(ROW()&lt;3, Query1[[#This Row],[Shares]], IF(Query1[[#This Row],[Month]]&lt;&gt;H688, P688+Query1[[#This Row],[Enhanced top up]]/Query1[[#This Row],[Adj Close]], P688))</f>
        <v>3368.965355737892</v>
      </c>
      <c r="Q689" s="2">
        <f>IFERROR(AVERAGE(
  IF(ROW()&gt;20, INDEX(G:G, ROW()-20), 0) :
  INDEX(G:G, ROW())
),0)</f>
        <v>248.72641572498139</v>
      </c>
    </row>
    <row r="690" spans="1:17" x14ac:dyDescent="0.4">
      <c r="A690" s="1">
        <v>44830</v>
      </c>
      <c r="B690">
        <v>237.05000305175781</v>
      </c>
      <c r="C690">
        <v>241.44999694824219</v>
      </c>
      <c r="D690">
        <v>236.89999389648438</v>
      </c>
      <c r="E690">
        <v>237.44999694824219</v>
      </c>
      <c r="F690">
        <v>27694200</v>
      </c>
      <c r="G690">
        <v>231.68646240234375</v>
      </c>
      <c r="H690" s="2">
        <f>MONTH(Query1[[#This Row],[Date]])</f>
        <v>9</v>
      </c>
      <c r="I690" s="3">
        <f>Query1[[#This Row],[Shares]]*Query1[[#This Row],[Adj Close]]</f>
        <v>832287.03921662411</v>
      </c>
      <c r="J690" s="3">
        <f>IF(ROW()&lt;3, Dashboard!$E$7, IF(Query1[[#This Row],[Month]]&lt;&gt;H689,J689*(1+Dashboard!$E$4)+Dashboard!$E$5,J689))</f>
        <v>762458.47497176821</v>
      </c>
      <c r="K690">
        <f>IF(ROW()&lt;3, 0,IF(Query1[[#This Row],[Month]]&lt;&gt;H689,IF((J690-I690&gt;0),J690-I690,0),0))</f>
        <v>0</v>
      </c>
      <c r="L690" s="2">
        <f t="shared" si="10"/>
        <v>3592.2989655359538</v>
      </c>
      <c r="M690">
        <f>IF(ROW()&lt;3, 0, IF(Query1[[#This Row],[Month]]&lt;&gt;H689, Dashboard!$J$5,0))</f>
        <v>0</v>
      </c>
      <c r="N690" s="2">
        <f>IF(ROW()&lt;3, Query1[[#This Row],[Shares]], IF(Query1[[#This Row],[Month]]&lt;&gt;H689, N689+Query1[[#This Row],[Fix Top Up]]/Query1[[#This Row],[Adj Close]], N689))</f>
        <v>3380.0498395024106</v>
      </c>
      <c r="O690">
        <f>IF(AND(Query1[[#This Row],[avg]]&gt;0, Query1[[#This Row],[Month]]&lt;&gt;H689),
    IF(Query1[[#This Row],[Adj Close]]&gt;Query1[[#This Row],[avg]],
       Dashboard!$L$5-Dashboard!$E$6,
       Dashboard!$L$5+Dashboard!$E$6
    ), 0
)</f>
        <v>0</v>
      </c>
      <c r="P690" s="2">
        <f>IF(ROW()&lt;3, Query1[[#This Row],[Shares]], IF(Query1[[#This Row],[Month]]&lt;&gt;H689, P689+Query1[[#This Row],[Enhanced top up]]/Query1[[#This Row],[Adj Close]], P689))</f>
        <v>3368.965355737892</v>
      </c>
      <c r="Q690" s="2">
        <f>IFERROR(AVERAGE(
  IF(ROW()&gt;20, INDEX(G:G, ROW()-20), 0) :
  INDEX(G:G, ROW())
),0)</f>
        <v>246.80283755347841</v>
      </c>
    </row>
    <row r="691" spans="1:17" x14ac:dyDescent="0.4">
      <c r="A691" s="1">
        <v>44831</v>
      </c>
      <c r="B691">
        <v>239.97999572753906</v>
      </c>
      <c r="C691">
        <v>241.80000305175781</v>
      </c>
      <c r="D691">
        <v>234.5</v>
      </c>
      <c r="E691">
        <v>236.41000366210938</v>
      </c>
      <c r="F691">
        <v>27018700</v>
      </c>
      <c r="G691">
        <v>230.67173767089844</v>
      </c>
      <c r="H691" s="2">
        <f>MONTH(Query1[[#This Row],[Date]])</f>
        <v>9</v>
      </c>
      <c r="I691" s="3">
        <f>Query1[[#This Row],[Shares]]*Query1[[#This Row],[Adj Close]]</f>
        <v>828641.84461354942</v>
      </c>
      <c r="J691" s="3">
        <f>IF(ROW()&lt;3, Dashboard!$E$7, IF(Query1[[#This Row],[Month]]&lt;&gt;H690,J690*(1+Dashboard!$E$4)+Dashboard!$E$5,J690))</f>
        <v>762458.47497176821</v>
      </c>
      <c r="K691">
        <f>IF(ROW()&lt;3, 0,IF(Query1[[#This Row],[Month]]&lt;&gt;H690,IF((J691-I691&gt;0),J691-I691,0),0))</f>
        <v>0</v>
      </c>
      <c r="L691" s="2">
        <f t="shared" si="10"/>
        <v>3592.2989655359538</v>
      </c>
      <c r="M691">
        <f>IF(ROW()&lt;3, 0, IF(Query1[[#This Row],[Month]]&lt;&gt;H690, Dashboard!$J$5,0))</f>
        <v>0</v>
      </c>
      <c r="N691" s="2">
        <f>IF(ROW()&lt;3, Query1[[#This Row],[Shares]], IF(Query1[[#This Row],[Month]]&lt;&gt;H690, N690+Query1[[#This Row],[Fix Top Up]]/Query1[[#This Row],[Adj Close]], N690))</f>
        <v>3380.0498395024106</v>
      </c>
      <c r="O691">
        <f>IF(AND(Query1[[#This Row],[avg]]&gt;0, Query1[[#This Row],[Month]]&lt;&gt;H690),
    IF(Query1[[#This Row],[Adj Close]]&gt;Query1[[#This Row],[avg]],
       Dashboard!$L$5-Dashboard!$E$6,
       Dashboard!$L$5+Dashboard!$E$6
    ), 0
)</f>
        <v>0</v>
      </c>
      <c r="P691" s="2">
        <f>IF(ROW()&lt;3, Query1[[#This Row],[Shares]], IF(Query1[[#This Row],[Month]]&lt;&gt;H690, P690+Query1[[#This Row],[Enhanced top up]]/Query1[[#This Row],[Adj Close]], P690))</f>
        <v>3368.965355737892</v>
      </c>
      <c r="Q691" s="2">
        <f>IFERROR(AVERAGE(
  IF(ROW()&gt;20, INDEX(G:G, ROW()-20), 0) :
  INDEX(G:G, ROW())
),0)</f>
        <v>245.33088102794829</v>
      </c>
    </row>
    <row r="692" spans="1:17" x14ac:dyDescent="0.4">
      <c r="A692" s="1">
        <v>44832</v>
      </c>
      <c r="B692">
        <v>236.80999755859375</v>
      </c>
      <c r="C692">
        <v>242.33000183105469</v>
      </c>
      <c r="D692">
        <v>234.72999572753906</v>
      </c>
      <c r="E692">
        <v>241.07000732421875</v>
      </c>
      <c r="F692">
        <v>29029700</v>
      </c>
      <c r="G692">
        <v>235.2186279296875</v>
      </c>
      <c r="H692" s="2">
        <f>MONTH(Query1[[#This Row],[Date]])</f>
        <v>9</v>
      </c>
      <c r="I692" s="3">
        <f>Query1[[#This Row],[Shares]]*Query1[[#This Row],[Adj Close]]</f>
        <v>844975.63378660288</v>
      </c>
      <c r="J692" s="3">
        <f>IF(ROW()&lt;3, Dashboard!$E$7, IF(Query1[[#This Row],[Month]]&lt;&gt;H691,J691*(1+Dashboard!$E$4)+Dashboard!$E$5,J691))</f>
        <v>762458.47497176821</v>
      </c>
      <c r="K692">
        <f>IF(ROW()&lt;3, 0,IF(Query1[[#This Row],[Month]]&lt;&gt;H691,IF((J692-I692&gt;0),J692-I692,0),0))</f>
        <v>0</v>
      </c>
      <c r="L692" s="2">
        <f t="shared" si="10"/>
        <v>3592.2989655359538</v>
      </c>
      <c r="M692">
        <f>IF(ROW()&lt;3, 0, IF(Query1[[#This Row],[Month]]&lt;&gt;H691, Dashboard!$J$5,0))</f>
        <v>0</v>
      </c>
      <c r="N692" s="2">
        <f>IF(ROW()&lt;3, Query1[[#This Row],[Shares]], IF(Query1[[#This Row],[Month]]&lt;&gt;H691, N691+Query1[[#This Row],[Fix Top Up]]/Query1[[#This Row],[Adj Close]], N691))</f>
        <v>3380.0498395024106</v>
      </c>
      <c r="O692">
        <f>IF(AND(Query1[[#This Row],[avg]]&gt;0, Query1[[#This Row],[Month]]&lt;&gt;H691),
    IF(Query1[[#This Row],[Adj Close]]&gt;Query1[[#This Row],[avg]],
       Dashboard!$L$5-Dashboard!$E$6,
       Dashboard!$L$5+Dashboard!$E$6
    ), 0
)</f>
        <v>0</v>
      </c>
      <c r="P692" s="2">
        <f>IF(ROW()&lt;3, Query1[[#This Row],[Shares]], IF(Query1[[#This Row],[Month]]&lt;&gt;H691, P691+Query1[[#This Row],[Enhanced top up]]/Query1[[#This Row],[Adj Close]], P691))</f>
        <v>3368.965355737892</v>
      </c>
      <c r="Q692" s="2">
        <f>IFERROR(AVERAGE(
  IF(ROW()&gt;20, INDEX(G:G, ROW()-20), 0) :
  INDEX(G:G, ROW())
),0)</f>
        <v>244.20832824707031</v>
      </c>
    </row>
    <row r="693" spans="1:17" x14ac:dyDescent="0.4">
      <c r="A693" s="1">
        <v>44833</v>
      </c>
      <c r="B693">
        <v>238.88999938964844</v>
      </c>
      <c r="C693">
        <v>239.94999694824219</v>
      </c>
      <c r="D693">
        <v>234.41000366210938</v>
      </c>
      <c r="E693">
        <v>237.5</v>
      </c>
      <c r="F693">
        <v>27484200</v>
      </c>
      <c r="G693">
        <v>231.73526000976563</v>
      </c>
      <c r="H693" s="2">
        <f>MONTH(Query1[[#This Row],[Date]])</f>
        <v>9</v>
      </c>
      <c r="I693" s="3">
        <f>Query1[[#This Row],[Shares]]*Query1[[#This Row],[Adj Close]]</f>
        <v>832462.3348112863</v>
      </c>
      <c r="J693" s="3">
        <f>IF(ROW()&lt;3, Dashboard!$E$7, IF(Query1[[#This Row],[Month]]&lt;&gt;H692,J692*(1+Dashboard!$E$4)+Dashboard!$E$5,J692))</f>
        <v>762458.47497176821</v>
      </c>
      <c r="K693">
        <f>IF(ROW()&lt;3, 0,IF(Query1[[#This Row],[Month]]&lt;&gt;H692,IF((J693-I693&gt;0),J693-I693,0),0))</f>
        <v>0</v>
      </c>
      <c r="L693" s="2">
        <f t="shared" si="10"/>
        <v>3592.2989655359538</v>
      </c>
      <c r="M693">
        <f>IF(ROW()&lt;3, 0, IF(Query1[[#This Row],[Month]]&lt;&gt;H692, Dashboard!$J$5,0))</f>
        <v>0</v>
      </c>
      <c r="N693" s="2">
        <f>IF(ROW()&lt;3, Query1[[#This Row],[Shares]], IF(Query1[[#This Row],[Month]]&lt;&gt;H692, N692+Query1[[#This Row],[Fix Top Up]]/Query1[[#This Row],[Adj Close]], N692))</f>
        <v>3380.0498395024106</v>
      </c>
      <c r="O693">
        <f>IF(AND(Query1[[#This Row],[avg]]&gt;0, Query1[[#This Row],[Month]]&lt;&gt;H692),
    IF(Query1[[#This Row],[Adj Close]]&gt;Query1[[#This Row],[avg]],
       Dashboard!$L$5-Dashboard!$E$6,
       Dashboard!$L$5+Dashboard!$E$6
    ), 0
)</f>
        <v>0</v>
      </c>
      <c r="P693" s="2">
        <f>IF(ROW()&lt;3, Query1[[#This Row],[Shares]], IF(Query1[[#This Row],[Month]]&lt;&gt;H692, P692+Query1[[#This Row],[Enhanced top up]]/Query1[[#This Row],[Adj Close]], P692))</f>
        <v>3368.965355737892</v>
      </c>
      <c r="Q693" s="2">
        <f>IFERROR(AVERAGE(
  IF(ROW()&gt;20, INDEX(G:G, ROW()-20), 0) :
  INDEX(G:G, ROW())
),0)</f>
        <v>243.02490888323103</v>
      </c>
    </row>
    <row r="694" spans="1:17" x14ac:dyDescent="0.4">
      <c r="A694" s="1">
        <v>44834</v>
      </c>
      <c r="B694">
        <v>238.28999328613281</v>
      </c>
      <c r="C694">
        <v>240.53999328613281</v>
      </c>
      <c r="D694">
        <v>232.72999572753906</v>
      </c>
      <c r="E694">
        <v>232.89999389648438</v>
      </c>
      <c r="F694">
        <v>35694800</v>
      </c>
      <c r="G694">
        <v>227.24693298339844</v>
      </c>
      <c r="H694" s="2">
        <f>MONTH(Query1[[#This Row],[Date]])</f>
        <v>9</v>
      </c>
      <c r="I694" s="3">
        <f>Query1[[#This Row],[Shares]]*Query1[[#This Row],[Adj Close]]</f>
        <v>816338.92227748048</v>
      </c>
      <c r="J694" s="3">
        <f>IF(ROW()&lt;3, Dashboard!$E$7, IF(Query1[[#This Row],[Month]]&lt;&gt;H693,J693*(1+Dashboard!$E$4)+Dashboard!$E$5,J693))</f>
        <v>762458.47497176821</v>
      </c>
      <c r="K694">
        <f>IF(ROW()&lt;3, 0,IF(Query1[[#This Row],[Month]]&lt;&gt;H693,IF((J694-I694&gt;0),J694-I694,0),0))</f>
        <v>0</v>
      </c>
      <c r="L694" s="2">
        <f t="shared" si="10"/>
        <v>3592.2989655359538</v>
      </c>
      <c r="M694">
        <f>IF(ROW()&lt;3, 0, IF(Query1[[#This Row],[Month]]&lt;&gt;H693, Dashboard!$J$5,0))</f>
        <v>0</v>
      </c>
      <c r="N694" s="2">
        <f>IF(ROW()&lt;3, Query1[[#This Row],[Shares]], IF(Query1[[#This Row],[Month]]&lt;&gt;H693, N693+Query1[[#This Row],[Fix Top Up]]/Query1[[#This Row],[Adj Close]], N693))</f>
        <v>3380.0498395024106</v>
      </c>
      <c r="O694">
        <f>IF(AND(Query1[[#This Row],[avg]]&gt;0, Query1[[#This Row],[Month]]&lt;&gt;H693),
    IF(Query1[[#This Row],[Adj Close]]&gt;Query1[[#This Row],[avg]],
       Dashboard!$L$5-Dashboard!$E$6,
       Dashboard!$L$5+Dashboard!$E$6
    ), 0
)</f>
        <v>0</v>
      </c>
      <c r="P694" s="2">
        <f>IF(ROW()&lt;3, Query1[[#This Row],[Shares]], IF(Query1[[#This Row],[Month]]&lt;&gt;H693, P693+Query1[[#This Row],[Enhanced top up]]/Query1[[#This Row],[Adj Close]], P693))</f>
        <v>3368.965355737892</v>
      </c>
      <c r="Q694" s="2">
        <f>IFERROR(AVERAGE(
  IF(ROW()&gt;20, INDEX(G:G, ROW()-20), 0) :
  INDEX(G:G, ROW())
),0)</f>
        <v>241.69745526994978</v>
      </c>
    </row>
    <row r="695" spans="1:17" x14ac:dyDescent="0.4">
      <c r="A695" s="1">
        <v>44837</v>
      </c>
      <c r="B695">
        <v>235.41000366210938</v>
      </c>
      <c r="C695">
        <v>241.61000061035156</v>
      </c>
      <c r="D695">
        <v>234.66000366210938</v>
      </c>
      <c r="E695">
        <v>240.74000549316406</v>
      </c>
      <c r="F695">
        <v>28880400</v>
      </c>
      <c r="G695">
        <v>234.89665222167969</v>
      </c>
      <c r="H695" s="2">
        <f>MONTH(Query1[[#This Row],[Date]])</f>
        <v>10</v>
      </c>
      <c r="I695" s="3">
        <f>Query1[[#This Row],[Shares]]*Query1[[#This Row],[Adj Close]]</f>
        <v>843819.00078379863</v>
      </c>
      <c r="J695" s="3">
        <f>IF(ROW()&lt;3, Dashboard!$E$7, IF(Query1[[#This Row],[Month]]&lt;&gt;H694,J694*(1+Dashboard!$E$4)+Dashboard!$E$5,J694))</f>
        <v>772083.05972148594</v>
      </c>
      <c r="K695">
        <f>IF(ROW()&lt;3, 0,IF(Query1[[#This Row],[Month]]&lt;&gt;H694,IF((J695-I695&gt;0),J695-I695,0),0))</f>
        <v>0</v>
      </c>
      <c r="L695" s="2">
        <f t="shared" si="10"/>
        <v>3592.2989655359538</v>
      </c>
      <c r="M695">
        <f>IF(ROW()&lt;3, 0, IF(Query1[[#This Row],[Month]]&lt;&gt;H694, Dashboard!$J$5,0))</f>
        <v>773.47399999999971</v>
      </c>
      <c r="N695" s="2">
        <f>IF(ROW()&lt;3, Query1[[#This Row],[Shares]], IF(Query1[[#This Row],[Month]]&lt;&gt;H694, N694+Query1[[#This Row],[Fix Top Up]]/Query1[[#This Row],[Adj Close]], N694))</f>
        <v>3383.3426663378909</v>
      </c>
      <c r="O695">
        <f>IF(AND(Query1[[#This Row],[avg]]&gt;0, Query1[[#This Row],[Month]]&lt;&gt;H694),
    IF(Query1[[#This Row],[Adj Close]]&gt;Query1[[#This Row],[avg]],
       Dashboard!$L$5-Dashboard!$E$6,
       Dashboard!$L$5+Dashboard!$E$6
    ), 0
)</f>
        <v>1390.1406666666667</v>
      </c>
      <c r="P695" s="2">
        <f>IF(ROW()&lt;3, Query1[[#This Row],[Shares]], IF(Query1[[#This Row],[Month]]&lt;&gt;H694, P694+Query1[[#This Row],[Enhanced top up]]/Query1[[#This Row],[Adj Close]], P694))</f>
        <v>3374.8834505830869</v>
      </c>
      <c r="Q695" s="2">
        <f>IFERROR(AVERAGE(
  IF(ROW()&gt;20, INDEX(G:G, ROW()-20), 0) :
  INDEX(G:G, ROW())
),0)</f>
        <v>240.78398931594123</v>
      </c>
    </row>
    <row r="696" spans="1:17" x14ac:dyDescent="0.4">
      <c r="A696" s="1">
        <v>44838</v>
      </c>
      <c r="B696">
        <v>245.08999633789063</v>
      </c>
      <c r="C696">
        <v>250.36000061035156</v>
      </c>
      <c r="D696">
        <v>244.97999572753906</v>
      </c>
      <c r="E696">
        <v>248.8800048828125</v>
      </c>
      <c r="F696">
        <v>34888400</v>
      </c>
      <c r="G696">
        <v>242.83908081054688</v>
      </c>
      <c r="H696" s="2">
        <f>MONTH(Query1[[#This Row],[Date]])</f>
        <v>10</v>
      </c>
      <c r="I696" s="3">
        <f>Query1[[#This Row],[Shares]]*Query1[[#This Row],[Adj Close]]</f>
        <v>872350.57878742937</v>
      </c>
      <c r="J696" s="3">
        <f>IF(ROW()&lt;3, Dashboard!$E$7, IF(Query1[[#This Row],[Month]]&lt;&gt;H695,J695*(1+Dashboard!$E$4)+Dashboard!$E$5,J695))</f>
        <v>772083.05972148594</v>
      </c>
      <c r="K696">
        <f>IF(ROW()&lt;3, 0,IF(Query1[[#This Row],[Month]]&lt;&gt;H695,IF((J696-I696&gt;0),J696-I696,0),0))</f>
        <v>0</v>
      </c>
      <c r="L696" s="2">
        <f t="shared" si="10"/>
        <v>3592.2989655359538</v>
      </c>
      <c r="M696">
        <f>IF(ROW()&lt;3, 0, IF(Query1[[#This Row],[Month]]&lt;&gt;H695, Dashboard!$J$5,0))</f>
        <v>0</v>
      </c>
      <c r="N696" s="2">
        <f>IF(ROW()&lt;3, Query1[[#This Row],[Shares]], IF(Query1[[#This Row],[Month]]&lt;&gt;H695, N695+Query1[[#This Row],[Fix Top Up]]/Query1[[#This Row],[Adj Close]], N695))</f>
        <v>3383.3426663378909</v>
      </c>
      <c r="O696">
        <f>IF(AND(Query1[[#This Row],[avg]]&gt;0, Query1[[#This Row],[Month]]&lt;&gt;H695),
    IF(Query1[[#This Row],[Adj Close]]&gt;Query1[[#This Row],[avg]],
       Dashboard!$L$5-Dashboard!$E$6,
       Dashboard!$L$5+Dashboard!$E$6
    ), 0
)</f>
        <v>0</v>
      </c>
      <c r="P696" s="2">
        <f>IF(ROW()&lt;3, Query1[[#This Row],[Shares]], IF(Query1[[#This Row],[Month]]&lt;&gt;H695, P695+Query1[[#This Row],[Enhanced top up]]/Query1[[#This Row],[Adj Close]], P695))</f>
        <v>3374.8834505830869</v>
      </c>
      <c r="Q696" s="2">
        <f>IFERROR(AVERAGE(
  IF(ROW()&gt;20, INDEX(G:G, ROW()-20), 0) :
  INDEX(G:G, ROW())
),0)</f>
        <v>240.45038568405877</v>
      </c>
    </row>
    <row r="697" spans="1:17" x14ac:dyDescent="0.4">
      <c r="A697" s="1">
        <v>44839</v>
      </c>
      <c r="B697">
        <v>245.99000549316406</v>
      </c>
      <c r="C697">
        <v>250.58000183105469</v>
      </c>
      <c r="D697">
        <v>244.10000610351563</v>
      </c>
      <c r="E697">
        <v>249.19999694824219</v>
      </c>
      <c r="F697">
        <v>20347100</v>
      </c>
      <c r="G697">
        <v>243.15127563476563</v>
      </c>
      <c r="H697" s="2">
        <f>MONTH(Query1[[#This Row],[Date]])</f>
        <v>10</v>
      </c>
      <c r="I697" s="3">
        <f>Query1[[#This Row],[Shares]]*Query1[[#This Row],[Adj Close]]</f>
        <v>873472.07593151613</v>
      </c>
      <c r="J697" s="3">
        <f>IF(ROW()&lt;3, Dashboard!$E$7, IF(Query1[[#This Row],[Month]]&lt;&gt;H696,J696*(1+Dashboard!$E$4)+Dashboard!$E$5,J696))</f>
        <v>772083.05972148594</v>
      </c>
      <c r="K697">
        <f>IF(ROW()&lt;3, 0,IF(Query1[[#This Row],[Month]]&lt;&gt;H696,IF((J697-I697&gt;0),J697-I697,0),0))</f>
        <v>0</v>
      </c>
      <c r="L697" s="2">
        <f t="shared" si="10"/>
        <v>3592.2989655359538</v>
      </c>
      <c r="M697">
        <f>IF(ROW()&lt;3, 0, IF(Query1[[#This Row],[Month]]&lt;&gt;H696, Dashboard!$J$5,0))</f>
        <v>0</v>
      </c>
      <c r="N697" s="2">
        <f>IF(ROW()&lt;3, Query1[[#This Row],[Shares]], IF(Query1[[#This Row],[Month]]&lt;&gt;H696, N696+Query1[[#This Row],[Fix Top Up]]/Query1[[#This Row],[Adj Close]], N696))</f>
        <v>3383.3426663378909</v>
      </c>
      <c r="O697">
        <f>IF(AND(Query1[[#This Row],[avg]]&gt;0, Query1[[#This Row],[Month]]&lt;&gt;H696),
    IF(Query1[[#This Row],[Adj Close]]&gt;Query1[[#This Row],[avg]],
       Dashboard!$L$5-Dashboard!$E$6,
       Dashboard!$L$5+Dashboard!$E$6
    ), 0
)</f>
        <v>0</v>
      </c>
      <c r="P697" s="2">
        <f>IF(ROW()&lt;3, Query1[[#This Row],[Shares]], IF(Query1[[#This Row],[Month]]&lt;&gt;H696, P696+Query1[[#This Row],[Enhanced top up]]/Query1[[#This Row],[Adj Close]], P696))</f>
        <v>3374.8834505830869</v>
      </c>
      <c r="Q697" s="2">
        <f>IFERROR(AVERAGE(
  IF(ROW()&gt;20, INDEX(G:G, ROW()-20), 0) :
  INDEX(G:G, ROW())
),0)</f>
        <v>240.262208484468</v>
      </c>
    </row>
    <row r="698" spans="1:17" x14ac:dyDescent="0.4">
      <c r="A698" s="1">
        <v>44840</v>
      </c>
      <c r="B698">
        <v>247.92999267578125</v>
      </c>
      <c r="C698">
        <v>250.33999633789063</v>
      </c>
      <c r="D698">
        <v>246.08000183105469</v>
      </c>
      <c r="E698">
        <v>246.78999328613281</v>
      </c>
      <c r="F698">
        <v>20239900</v>
      </c>
      <c r="G698">
        <v>240.79978942871094</v>
      </c>
      <c r="H698" s="2">
        <f>MONTH(Query1[[#This Row],[Date]])</f>
        <v>10</v>
      </c>
      <c r="I698" s="3">
        <f>Query1[[#This Row],[Shares]]*Query1[[#This Row],[Adj Close]]</f>
        <v>865024.83446603385</v>
      </c>
      <c r="J698" s="3">
        <f>IF(ROW()&lt;3, Dashboard!$E$7, IF(Query1[[#This Row],[Month]]&lt;&gt;H697,J697*(1+Dashboard!$E$4)+Dashboard!$E$5,J697))</f>
        <v>772083.05972148594</v>
      </c>
      <c r="K698">
        <f>IF(ROW()&lt;3, 0,IF(Query1[[#This Row],[Month]]&lt;&gt;H697,IF((J698-I698&gt;0),J698-I698,0),0))</f>
        <v>0</v>
      </c>
      <c r="L698" s="2">
        <f t="shared" si="10"/>
        <v>3592.2989655359538</v>
      </c>
      <c r="M698">
        <f>IF(ROW()&lt;3, 0, IF(Query1[[#This Row],[Month]]&lt;&gt;H697, Dashboard!$J$5,0))</f>
        <v>0</v>
      </c>
      <c r="N698" s="2">
        <f>IF(ROW()&lt;3, Query1[[#This Row],[Shares]], IF(Query1[[#This Row],[Month]]&lt;&gt;H697, N697+Query1[[#This Row],[Fix Top Up]]/Query1[[#This Row],[Adj Close]], N697))</f>
        <v>3383.3426663378909</v>
      </c>
      <c r="O698">
        <f>IF(AND(Query1[[#This Row],[avg]]&gt;0, Query1[[#This Row],[Month]]&lt;&gt;H697),
    IF(Query1[[#This Row],[Adj Close]]&gt;Query1[[#This Row],[avg]],
       Dashboard!$L$5-Dashboard!$E$6,
       Dashboard!$L$5+Dashboard!$E$6
    ), 0
)</f>
        <v>0</v>
      </c>
      <c r="P698" s="2">
        <f>IF(ROW()&lt;3, Query1[[#This Row],[Shares]], IF(Query1[[#This Row],[Month]]&lt;&gt;H697, P697+Query1[[#This Row],[Enhanced top up]]/Query1[[#This Row],[Adj Close]], P697))</f>
        <v>3374.8834505830869</v>
      </c>
      <c r="Q698" s="2">
        <f>IFERROR(AVERAGE(
  IF(ROW()&gt;20, INDEX(G:G, ROW()-20), 0) :
  INDEX(G:G, ROW())
),0)</f>
        <v>239.73717389787947</v>
      </c>
    </row>
    <row r="699" spans="1:17" x14ac:dyDescent="0.4">
      <c r="A699" s="1">
        <v>44841</v>
      </c>
      <c r="B699">
        <v>240.89999389648438</v>
      </c>
      <c r="C699">
        <v>241.32000732421875</v>
      </c>
      <c r="D699">
        <v>233.16999816894531</v>
      </c>
      <c r="E699">
        <v>234.24000549316406</v>
      </c>
      <c r="F699">
        <v>37769600</v>
      </c>
      <c r="G699">
        <v>228.554443359375</v>
      </c>
      <c r="H699" s="2">
        <f>MONTH(Query1[[#This Row],[Date]])</f>
        <v>10</v>
      </c>
      <c r="I699" s="3">
        <f>Query1[[#This Row],[Shares]]*Query1[[#This Row],[Adj Close]]</f>
        <v>821035.89044852857</v>
      </c>
      <c r="J699" s="3">
        <f>IF(ROW()&lt;3, Dashboard!$E$7, IF(Query1[[#This Row],[Month]]&lt;&gt;H698,J698*(1+Dashboard!$E$4)+Dashboard!$E$5,J698))</f>
        <v>772083.05972148594</v>
      </c>
      <c r="K699">
        <f>IF(ROW()&lt;3, 0,IF(Query1[[#This Row],[Month]]&lt;&gt;H698,IF((J699-I699&gt;0),J699-I699,0),0))</f>
        <v>0</v>
      </c>
      <c r="L699" s="2">
        <f t="shared" si="10"/>
        <v>3592.2989655359538</v>
      </c>
      <c r="M699">
        <f>IF(ROW()&lt;3, 0, IF(Query1[[#This Row],[Month]]&lt;&gt;H698, Dashboard!$J$5,0))</f>
        <v>0</v>
      </c>
      <c r="N699" s="2">
        <f>IF(ROW()&lt;3, Query1[[#This Row],[Shares]], IF(Query1[[#This Row],[Month]]&lt;&gt;H698, N698+Query1[[#This Row],[Fix Top Up]]/Query1[[#This Row],[Adj Close]], N698))</f>
        <v>3383.3426663378909</v>
      </c>
      <c r="O699">
        <f>IF(AND(Query1[[#This Row],[avg]]&gt;0, Query1[[#This Row],[Month]]&lt;&gt;H698),
    IF(Query1[[#This Row],[Adj Close]]&gt;Query1[[#This Row],[avg]],
       Dashboard!$L$5-Dashboard!$E$6,
       Dashboard!$L$5+Dashboard!$E$6
    ), 0
)</f>
        <v>0</v>
      </c>
      <c r="P699" s="2">
        <f>IF(ROW()&lt;3, Query1[[#This Row],[Shares]], IF(Query1[[#This Row],[Month]]&lt;&gt;H698, P698+Query1[[#This Row],[Enhanced top up]]/Query1[[#This Row],[Adj Close]], P698))</f>
        <v>3374.8834505830869</v>
      </c>
      <c r="Q699" s="2">
        <f>IFERROR(AVERAGE(
  IF(ROW()&gt;20, INDEX(G:G, ROW()-20), 0) :
  INDEX(G:G, ROW())
),0)</f>
        <v>238.60905020577567</v>
      </c>
    </row>
    <row r="700" spans="1:17" x14ac:dyDescent="0.4">
      <c r="A700" s="1">
        <v>44844</v>
      </c>
      <c r="B700">
        <v>233.05000305175781</v>
      </c>
      <c r="C700">
        <v>234.55999755859375</v>
      </c>
      <c r="D700">
        <v>226.72999572753906</v>
      </c>
      <c r="E700">
        <v>229.25</v>
      </c>
      <c r="F700">
        <v>29743600</v>
      </c>
      <c r="G700">
        <v>223.68551635742188</v>
      </c>
      <c r="H700" s="2">
        <f>MONTH(Query1[[#This Row],[Date]])</f>
        <v>10</v>
      </c>
      <c r="I700" s="3">
        <f>Query1[[#This Row],[Shares]]*Query1[[#This Row],[Adj Close]]</f>
        <v>803545.24901614233</v>
      </c>
      <c r="J700" s="3">
        <f>IF(ROW()&lt;3, Dashboard!$E$7, IF(Query1[[#This Row],[Month]]&lt;&gt;H699,J699*(1+Dashboard!$E$4)+Dashboard!$E$5,J699))</f>
        <v>772083.05972148594</v>
      </c>
      <c r="K700">
        <f>IF(ROW()&lt;3, 0,IF(Query1[[#This Row],[Month]]&lt;&gt;H699,IF((J700-I700&gt;0),J700-I700,0),0))</f>
        <v>0</v>
      </c>
      <c r="L700" s="2">
        <f t="shared" si="10"/>
        <v>3592.2989655359538</v>
      </c>
      <c r="M700">
        <f>IF(ROW()&lt;3, 0, IF(Query1[[#This Row],[Month]]&lt;&gt;H699, Dashboard!$J$5,0))</f>
        <v>0</v>
      </c>
      <c r="N700" s="2">
        <f>IF(ROW()&lt;3, Query1[[#This Row],[Shares]], IF(Query1[[#This Row],[Month]]&lt;&gt;H699, N699+Query1[[#This Row],[Fix Top Up]]/Query1[[#This Row],[Adj Close]], N699))</f>
        <v>3383.3426663378909</v>
      </c>
      <c r="O700">
        <f>IF(AND(Query1[[#This Row],[avg]]&gt;0, Query1[[#This Row],[Month]]&lt;&gt;H699),
    IF(Query1[[#This Row],[Adj Close]]&gt;Query1[[#This Row],[avg]],
       Dashboard!$L$5-Dashboard!$E$6,
       Dashboard!$L$5+Dashboard!$E$6
    ), 0
)</f>
        <v>0</v>
      </c>
      <c r="P700" s="2">
        <f>IF(ROW()&lt;3, Query1[[#This Row],[Shares]], IF(Query1[[#This Row],[Month]]&lt;&gt;H699, P699+Query1[[#This Row],[Enhanced top up]]/Query1[[#This Row],[Adj Close]], P699))</f>
        <v>3374.8834505830869</v>
      </c>
      <c r="Q700" s="2">
        <f>IFERROR(AVERAGE(
  IF(ROW()&gt;20, INDEX(G:G, ROW()-20), 0) :
  INDEX(G:G, ROW())
),0)</f>
        <v>236.97307840983072</v>
      </c>
    </row>
    <row r="701" spans="1:17" x14ac:dyDescent="0.4">
      <c r="A701" s="1">
        <v>44845</v>
      </c>
      <c r="B701">
        <v>227.6199951171875</v>
      </c>
      <c r="C701">
        <v>229.05999755859375</v>
      </c>
      <c r="D701">
        <v>224.11000061035156</v>
      </c>
      <c r="E701">
        <v>225.41000366210938</v>
      </c>
      <c r="F701">
        <v>30474000</v>
      </c>
      <c r="G701">
        <v>219.938720703125</v>
      </c>
      <c r="H701" s="2">
        <f>MONTH(Query1[[#This Row],[Date]])</f>
        <v>10</v>
      </c>
      <c r="I701" s="3">
        <f>Query1[[#This Row],[Shares]]*Query1[[#This Row],[Adj Close]]</f>
        <v>790085.63886313699</v>
      </c>
      <c r="J701" s="3">
        <f>IF(ROW()&lt;3, Dashboard!$E$7, IF(Query1[[#This Row],[Month]]&lt;&gt;H700,J700*(1+Dashboard!$E$4)+Dashboard!$E$5,J700))</f>
        <v>772083.05972148594</v>
      </c>
      <c r="K701">
        <f>IF(ROW()&lt;3, 0,IF(Query1[[#This Row],[Month]]&lt;&gt;H700,IF((J701-I701&gt;0),J701-I701,0),0))</f>
        <v>0</v>
      </c>
      <c r="L701" s="2">
        <f t="shared" si="10"/>
        <v>3592.2989655359538</v>
      </c>
      <c r="M701">
        <f>IF(ROW()&lt;3, 0, IF(Query1[[#This Row],[Month]]&lt;&gt;H700, Dashboard!$J$5,0))</f>
        <v>0</v>
      </c>
      <c r="N701" s="2">
        <f>IF(ROW()&lt;3, Query1[[#This Row],[Shares]], IF(Query1[[#This Row],[Month]]&lt;&gt;H700, N700+Query1[[#This Row],[Fix Top Up]]/Query1[[#This Row],[Adj Close]], N700))</f>
        <v>3383.3426663378909</v>
      </c>
      <c r="O701">
        <f>IF(AND(Query1[[#This Row],[avg]]&gt;0, Query1[[#This Row],[Month]]&lt;&gt;H700),
    IF(Query1[[#This Row],[Adj Close]]&gt;Query1[[#This Row],[avg]],
       Dashboard!$L$5-Dashboard!$E$6,
       Dashboard!$L$5+Dashboard!$E$6
    ), 0
)</f>
        <v>0</v>
      </c>
      <c r="P701" s="2">
        <f>IF(ROW()&lt;3, Query1[[#This Row],[Shares]], IF(Query1[[#This Row],[Month]]&lt;&gt;H700, P700+Query1[[#This Row],[Enhanced top up]]/Query1[[#This Row],[Adj Close]], P700))</f>
        <v>3374.8834505830869</v>
      </c>
      <c r="Q701" s="2">
        <f>IFERROR(AVERAGE(
  IF(ROW()&gt;20, INDEX(G:G, ROW()-20), 0) :
  INDEX(G:G, ROW())
),0)</f>
        <v>235.0569349016462</v>
      </c>
    </row>
    <row r="702" spans="1:17" x14ac:dyDescent="0.4">
      <c r="A702" s="1">
        <v>44846</v>
      </c>
      <c r="B702">
        <v>225.39999389648438</v>
      </c>
      <c r="C702">
        <v>227.86000061035156</v>
      </c>
      <c r="D702">
        <v>223.96000671386719</v>
      </c>
      <c r="E702">
        <v>225.75</v>
      </c>
      <c r="F702">
        <v>21903900</v>
      </c>
      <c r="G702">
        <v>220.27047729492188</v>
      </c>
      <c r="H702" s="2">
        <f>MONTH(Query1[[#This Row],[Date]])</f>
        <v>10</v>
      </c>
      <c r="I702" s="3">
        <f>Query1[[#This Row],[Shares]]*Query1[[#This Row],[Adj Close]]</f>
        <v>791277.40772465861</v>
      </c>
      <c r="J702" s="3">
        <f>IF(ROW()&lt;3, Dashboard!$E$7, IF(Query1[[#This Row],[Month]]&lt;&gt;H701,J701*(1+Dashboard!$E$4)+Dashboard!$E$5,J701))</f>
        <v>772083.05972148594</v>
      </c>
      <c r="K702">
        <f>IF(ROW()&lt;3, 0,IF(Query1[[#This Row],[Month]]&lt;&gt;H701,IF((J702-I702&gt;0),J702-I702,0),0))</f>
        <v>0</v>
      </c>
      <c r="L702" s="2">
        <f t="shared" si="10"/>
        <v>3592.2989655359538</v>
      </c>
      <c r="M702">
        <f>IF(ROW()&lt;3, 0, IF(Query1[[#This Row],[Month]]&lt;&gt;H701, Dashboard!$J$5,0))</f>
        <v>0</v>
      </c>
      <c r="N702" s="2">
        <f>IF(ROW()&lt;3, Query1[[#This Row],[Shares]], IF(Query1[[#This Row],[Month]]&lt;&gt;H701, N701+Query1[[#This Row],[Fix Top Up]]/Query1[[#This Row],[Adj Close]], N701))</f>
        <v>3383.3426663378909</v>
      </c>
      <c r="O702">
        <f>IF(AND(Query1[[#This Row],[avg]]&gt;0, Query1[[#This Row],[Month]]&lt;&gt;H701),
    IF(Query1[[#This Row],[Adj Close]]&gt;Query1[[#This Row],[avg]],
       Dashboard!$L$5-Dashboard!$E$6,
       Dashboard!$L$5+Dashboard!$E$6
    ), 0
)</f>
        <v>0</v>
      </c>
      <c r="P702" s="2">
        <f>IF(ROW()&lt;3, Query1[[#This Row],[Shares]], IF(Query1[[#This Row],[Month]]&lt;&gt;H701, P701+Query1[[#This Row],[Enhanced top up]]/Query1[[#This Row],[Adj Close]], P701))</f>
        <v>3374.8834505830869</v>
      </c>
      <c r="Q702" s="2">
        <f>IFERROR(AVERAGE(
  IF(ROW()&gt;20, INDEX(G:G, ROW()-20), 0) :
  INDEX(G:G, ROW())
),0)</f>
        <v>233.83773949032738</v>
      </c>
    </row>
    <row r="703" spans="1:17" x14ac:dyDescent="0.4">
      <c r="A703" s="1">
        <v>44847</v>
      </c>
      <c r="B703">
        <v>219.85000610351563</v>
      </c>
      <c r="C703">
        <v>236.10000610351563</v>
      </c>
      <c r="D703">
        <v>219.1300048828125</v>
      </c>
      <c r="E703">
        <v>234.24000549316406</v>
      </c>
      <c r="F703">
        <v>42551800</v>
      </c>
      <c r="G703">
        <v>228.554443359375</v>
      </c>
      <c r="H703" s="2">
        <f>MONTH(Query1[[#This Row],[Date]])</f>
        <v>10</v>
      </c>
      <c r="I703" s="3">
        <f>Query1[[#This Row],[Shares]]*Query1[[#This Row],[Adj Close]]</f>
        <v>821035.89044852857</v>
      </c>
      <c r="J703" s="3">
        <f>IF(ROW()&lt;3, Dashboard!$E$7, IF(Query1[[#This Row],[Month]]&lt;&gt;H702,J702*(1+Dashboard!$E$4)+Dashboard!$E$5,J702))</f>
        <v>772083.05972148594</v>
      </c>
      <c r="K703">
        <f>IF(ROW()&lt;3, 0,IF(Query1[[#This Row],[Month]]&lt;&gt;H702,IF((J703-I703&gt;0),J703-I703,0),0))</f>
        <v>0</v>
      </c>
      <c r="L703" s="2">
        <f t="shared" si="10"/>
        <v>3592.2989655359538</v>
      </c>
      <c r="M703">
        <f>IF(ROW()&lt;3, 0, IF(Query1[[#This Row],[Month]]&lt;&gt;H702, Dashboard!$J$5,0))</f>
        <v>0</v>
      </c>
      <c r="N703" s="2">
        <f>IF(ROW()&lt;3, Query1[[#This Row],[Shares]], IF(Query1[[#This Row],[Month]]&lt;&gt;H702, N702+Query1[[#This Row],[Fix Top Up]]/Query1[[#This Row],[Adj Close]], N702))</f>
        <v>3383.3426663378909</v>
      </c>
      <c r="O703">
        <f>IF(AND(Query1[[#This Row],[avg]]&gt;0, Query1[[#This Row],[Month]]&lt;&gt;H702),
    IF(Query1[[#This Row],[Adj Close]]&gt;Query1[[#This Row],[avg]],
       Dashboard!$L$5-Dashboard!$E$6,
       Dashboard!$L$5+Dashboard!$E$6
    ), 0
)</f>
        <v>0</v>
      </c>
      <c r="P703" s="2">
        <f>IF(ROW()&lt;3, Query1[[#This Row],[Shares]], IF(Query1[[#This Row],[Month]]&lt;&gt;H702, P702+Query1[[#This Row],[Enhanced top up]]/Query1[[#This Row],[Adj Close]], P702))</f>
        <v>3374.8834505830869</v>
      </c>
      <c r="Q703" s="2">
        <f>IFERROR(AVERAGE(
  IF(ROW()&gt;20, INDEX(G:G, ROW()-20), 0) :
  INDEX(G:G, ROW())
),0)</f>
        <v>233.00233241489954</v>
      </c>
    </row>
    <row r="704" spans="1:17" x14ac:dyDescent="0.4">
      <c r="A704" s="1">
        <v>44848</v>
      </c>
      <c r="B704">
        <v>235.53999328613281</v>
      </c>
      <c r="C704">
        <v>237.24000549316406</v>
      </c>
      <c r="D704">
        <v>228.33999633789063</v>
      </c>
      <c r="E704">
        <v>228.55999755859375</v>
      </c>
      <c r="F704">
        <v>30198600</v>
      </c>
      <c r="G704">
        <v>223.01226806640625</v>
      </c>
      <c r="H704" s="2">
        <f>MONTH(Query1[[#This Row],[Date]])</f>
        <v>10</v>
      </c>
      <c r="I704" s="3">
        <f>Query1[[#This Row],[Shares]]*Query1[[#This Row],[Adj Close]]</f>
        <v>801126.73987677798</v>
      </c>
      <c r="J704" s="3">
        <f>IF(ROW()&lt;3, Dashboard!$E$7, IF(Query1[[#This Row],[Month]]&lt;&gt;H703,J703*(1+Dashboard!$E$4)+Dashboard!$E$5,J703))</f>
        <v>772083.05972148594</v>
      </c>
      <c r="K704">
        <f>IF(ROW()&lt;3, 0,IF(Query1[[#This Row],[Month]]&lt;&gt;H703,IF((J704-I704&gt;0),J704-I704,0),0))</f>
        <v>0</v>
      </c>
      <c r="L704" s="2">
        <f t="shared" si="10"/>
        <v>3592.2989655359538</v>
      </c>
      <c r="M704">
        <f>IF(ROW()&lt;3, 0, IF(Query1[[#This Row],[Month]]&lt;&gt;H703, Dashboard!$J$5,0))</f>
        <v>0</v>
      </c>
      <c r="N704" s="2">
        <f>IF(ROW()&lt;3, Query1[[#This Row],[Shares]], IF(Query1[[#This Row],[Month]]&lt;&gt;H703, N703+Query1[[#This Row],[Fix Top Up]]/Query1[[#This Row],[Adj Close]], N703))</f>
        <v>3383.3426663378909</v>
      </c>
      <c r="O704">
        <f>IF(AND(Query1[[#This Row],[avg]]&gt;0, Query1[[#This Row],[Month]]&lt;&gt;H703),
    IF(Query1[[#This Row],[Adj Close]]&gt;Query1[[#This Row],[avg]],
       Dashboard!$L$5-Dashboard!$E$6,
       Dashboard!$L$5+Dashboard!$E$6
    ), 0
)</f>
        <v>0</v>
      </c>
      <c r="P704" s="2">
        <f>IF(ROW()&lt;3, Query1[[#This Row],[Shares]], IF(Query1[[#This Row],[Month]]&lt;&gt;H703, P703+Query1[[#This Row],[Enhanced top up]]/Query1[[#This Row],[Adj Close]], P703))</f>
        <v>3374.8834505830869</v>
      </c>
      <c r="Q704" s="2">
        <f>IFERROR(AVERAGE(
  IF(ROW()&gt;20, INDEX(G:G, ROW()-20), 0) :
  INDEX(G:G, ROW())
),0)</f>
        <v>232.22082010904947</v>
      </c>
    </row>
    <row r="705" spans="1:17" x14ac:dyDescent="0.4">
      <c r="A705" s="1">
        <v>44851</v>
      </c>
      <c r="B705">
        <v>235.82000732421875</v>
      </c>
      <c r="C705">
        <v>238.96000671386719</v>
      </c>
      <c r="D705">
        <v>235.13999938964844</v>
      </c>
      <c r="E705">
        <v>237.52999877929688</v>
      </c>
      <c r="F705">
        <v>28142300</v>
      </c>
      <c r="G705">
        <v>231.76457214355469</v>
      </c>
      <c r="H705" s="2">
        <f>MONTH(Query1[[#This Row],[Date]])</f>
        <v>10</v>
      </c>
      <c r="I705" s="3">
        <f>Query1[[#This Row],[Shares]]*Query1[[#This Row],[Adj Close]]</f>
        <v>832567.63275917445</v>
      </c>
      <c r="J705" s="3">
        <f>IF(ROW()&lt;3, Dashboard!$E$7, IF(Query1[[#This Row],[Month]]&lt;&gt;H704,J704*(1+Dashboard!$E$4)+Dashboard!$E$5,J704))</f>
        <v>772083.05972148594</v>
      </c>
      <c r="K705">
        <f>IF(ROW()&lt;3, 0,IF(Query1[[#This Row],[Month]]&lt;&gt;H704,IF((J705-I705&gt;0),J705-I705,0),0))</f>
        <v>0</v>
      </c>
      <c r="L705" s="2">
        <f t="shared" si="10"/>
        <v>3592.2989655359538</v>
      </c>
      <c r="M705">
        <f>IF(ROW()&lt;3, 0, IF(Query1[[#This Row],[Month]]&lt;&gt;H704, Dashboard!$J$5,0))</f>
        <v>0</v>
      </c>
      <c r="N705" s="2">
        <f>IF(ROW()&lt;3, Query1[[#This Row],[Shares]], IF(Query1[[#This Row],[Month]]&lt;&gt;H704, N704+Query1[[#This Row],[Fix Top Up]]/Query1[[#This Row],[Adj Close]], N704))</f>
        <v>3383.3426663378909</v>
      </c>
      <c r="O705">
        <f>IF(AND(Query1[[#This Row],[avg]]&gt;0, Query1[[#This Row],[Month]]&lt;&gt;H704),
    IF(Query1[[#This Row],[Adj Close]]&gt;Query1[[#This Row],[avg]],
       Dashboard!$L$5-Dashboard!$E$6,
       Dashboard!$L$5+Dashboard!$E$6
    ), 0
)</f>
        <v>0</v>
      </c>
      <c r="P705" s="2">
        <f>IF(ROW()&lt;3, Query1[[#This Row],[Shares]], IF(Query1[[#This Row],[Month]]&lt;&gt;H704, P704+Query1[[#This Row],[Enhanced top up]]/Query1[[#This Row],[Adj Close]], P704))</f>
        <v>3374.8834505830869</v>
      </c>
      <c r="Q705" s="2">
        <f>IFERROR(AVERAGE(
  IF(ROW()&gt;20, INDEX(G:G, ROW()-20), 0) :
  INDEX(G:G, ROW())
),0)</f>
        <v>231.88582066127233</v>
      </c>
    </row>
    <row r="706" spans="1:17" x14ac:dyDescent="0.4">
      <c r="A706" s="1">
        <v>44852</v>
      </c>
      <c r="B706">
        <v>243.24000549316406</v>
      </c>
      <c r="C706">
        <v>243.92999267578125</v>
      </c>
      <c r="D706">
        <v>235.3699951171875</v>
      </c>
      <c r="E706">
        <v>238.5</v>
      </c>
      <c r="F706">
        <v>26329600</v>
      </c>
      <c r="G706">
        <v>232.71098327636719</v>
      </c>
      <c r="H706" s="2">
        <f>MONTH(Query1[[#This Row],[Date]])</f>
        <v>10</v>
      </c>
      <c r="I706" s="3">
        <f>Query1[[#This Row],[Shares]]*Query1[[#This Row],[Adj Close]]</f>
        <v>835967.42449254845</v>
      </c>
      <c r="J706" s="3">
        <f>IF(ROW()&lt;3, Dashboard!$E$7, IF(Query1[[#This Row],[Month]]&lt;&gt;H705,J705*(1+Dashboard!$E$4)+Dashboard!$E$5,J705))</f>
        <v>772083.05972148594</v>
      </c>
      <c r="K706">
        <f>IF(ROW()&lt;3, 0,IF(Query1[[#This Row],[Month]]&lt;&gt;H705,IF((J706-I706&gt;0),J706-I706,0),0))</f>
        <v>0</v>
      </c>
      <c r="L706" s="2">
        <f t="shared" ref="L706:L769" si="11">IF(ROW()&lt;3, J706/G706, L705+K705/G705)</f>
        <v>3592.2989655359538</v>
      </c>
      <c r="M706">
        <f>IF(ROW()&lt;3, 0, IF(Query1[[#This Row],[Month]]&lt;&gt;H705, Dashboard!$J$5,0))</f>
        <v>0</v>
      </c>
      <c r="N706" s="2">
        <f>IF(ROW()&lt;3, Query1[[#This Row],[Shares]], IF(Query1[[#This Row],[Month]]&lt;&gt;H705, N705+Query1[[#This Row],[Fix Top Up]]/Query1[[#This Row],[Adj Close]], N705))</f>
        <v>3383.3426663378909</v>
      </c>
      <c r="O706">
        <f>IF(AND(Query1[[#This Row],[avg]]&gt;0, Query1[[#This Row],[Month]]&lt;&gt;H705),
    IF(Query1[[#This Row],[Adj Close]]&gt;Query1[[#This Row],[avg]],
       Dashboard!$L$5-Dashboard!$E$6,
       Dashboard!$L$5+Dashboard!$E$6
    ), 0
)</f>
        <v>0</v>
      </c>
      <c r="P706" s="2">
        <f>IF(ROW()&lt;3, Query1[[#This Row],[Shares]], IF(Query1[[#This Row],[Month]]&lt;&gt;H705, P705+Query1[[#This Row],[Enhanced top up]]/Query1[[#This Row],[Adj Close]], P705))</f>
        <v>3374.8834505830869</v>
      </c>
      <c r="Q706" s="2">
        <f>IFERROR(AVERAGE(
  IF(ROW()&gt;20, INDEX(G:G, ROW()-20), 0) :
  INDEX(G:G, ROW())
),0)</f>
        <v>231.60611034574964</v>
      </c>
    </row>
    <row r="707" spans="1:17" x14ac:dyDescent="0.4">
      <c r="A707" s="1">
        <v>44853</v>
      </c>
      <c r="B707">
        <v>237.03999328613281</v>
      </c>
      <c r="C707">
        <v>239.61000061035156</v>
      </c>
      <c r="D707">
        <v>234.28999328613281</v>
      </c>
      <c r="E707">
        <v>236.47999572753906</v>
      </c>
      <c r="F707">
        <v>19985700</v>
      </c>
      <c r="G707">
        <v>230.74005126953125</v>
      </c>
      <c r="H707" s="2">
        <f>MONTH(Query1[[#This Row],[Date]])</f>
        <v>10</v>
      </c>
      <c r="I707" s="3">
        <f>Query1[[#This Row],[Shares]]*Query1[[#This Row],[Adj Close]]</f>
        <v>828887.2474832501</v>
      </c>
      <c r="J707" s="3">
        <f>IF(ROW()&lt;3, Dashboard!$E$7, IF(Query1[[#This Row],[Month]]&lt;&gt;H706,J706*(1+Dashboard!$E$4)+Dashboard!$E$5,J706))</f>
        <v>772083.05972148594</v>
      </c>
      <c r="K707">
        <f>IF(ROW()&lt;3, 0,IF(Query1[[#This Row],[Month]]&lt;&gt;H706,IF((J707-I707&gt;0),J707-I707,0),0))</f>
        <v>0</v>
      </c>
      <c r="L707" s="2">
        <f t="shared" si="11"/>
        <v>3592.2989655359538</v>
      </c>
      <c r="M707">
        <f>IF(ROW()&lt;3, 0, IF(Query1[[#This Row],[Month]]&lt;&gt;H706, Dashboard!$J$5,0))</f>
        <v>0</v>
      </c>
      <c r="N707" s="2">
        <f>IF(ROW()&lt;3, Query1[[#This Row],[Shares]], IF(Query1[[#This Row],[Month]]&lt;&gt;H706, N706+Query1[[#This Row],[Fix Top Up]]/Query1[[#This Row],[Adj Close]], N706))</f>
        <v>3383.3426663378909</v>
      </c>
      <c r="O707">
        <f>IF(AND(Query1[[#This Row],[avg]]&gt;0, Query1[[#This Row],[Month]]&lt;&gt;H706),
    IF(Query1[[#This Row],[Adj Close]]&gt;Query1[[#This Row],[avg]],
       Dashboard!$L$5-Dashboard!$E$6,
       Dashboard!$L$5+Dashboard!$E$6
    ), 0
)</f>
        <v>0</v>
      </c>
      <c r="P707" s="2">
        <f>IF(ROW()&lt;3, Query1[[#This Row],[Shares]], IF(Query1[[#This Row],[Month]]&lt;&gt;H706, P706+Query1[[#This Row],[Enhanced top up]]/Query1[[#This Row],[Adj Close]], P706))</f>
        <v>3374.8834505830869</v>
      </c>
      <c r="Q707" s="2">
        <f>IFERROR(AVERAGE(
  IF(ROW()&gt;20, INDEX(G:G, ROW()-20), 0) :
  INDEX(G:G, ROW())
),0)</f>
        <v>231.32872590564546</v>
      </c>
    </row>
    <row r="708" spans="1:17" x14ac:dyDescent="0.4">
      <c r="A708" s="1">
        <v>44854</v>
      </c>
      <c r="B708">
        <v>235.77000427246094</v>
      </c>
      <c r="C708">
        <v>241.30999755859375</v>
      </c>
      <c r="D708">
        <v>234.8699951171875</v>
      </c>
      <c r="E708">
        <v>236.14999389648438</v>
      </c>
      <c r="F708">
        <v>21811000</v>
      </c>
      <c r="G708">
        <v>230.41806030273438</v>
      </c>
      <c r="H708" s="2">
        <f>MONTH(Query1[[#This Row],[Date]])</f>
        <v>10</v>
      </c>
      <c r="I708" s="3">
        <f>Query1[[#This Row],[Shares]]*Query1[[#This Row],[Adj Close]]</f>
        <v>827730.5596663137</v>
      </c>
      <c r="J708" s="3">
        <f>IF(ROW()&lt;3, Dashboard!$E$7, IF(Query1[[#This Row],[Month]]&lt;&gt;H707,J707*(1+Dashboard!$E$4)+Dashboard!$E$5,J707))</f>
        <v>772083.05972148594</v>
      </c>
      <c r="K708">
        <f>IF(ROW()&lt;3, 0,IF(Query1[[#This Row],[Month]]&lt;&gt;H707,IF((J708-I708&gt;0),J708-I708,0),0))</f>
        <v>0</v>
      </c>
      <c r="L708" s="2">
        <f t="shared" si="11"/>
        <v>3592.2989655359538</v>
      </c>
      <c r="M708">
        <f>IF(ROW()&lt;3, 0, IF(Query1[[#This Row],[Month]]&lt;&gt;H707, Dashboard!$J$5,0))</f>
        <v>0</v>
      </c>
      <c r="N708" s="2">
        <f>IF(ROW()&lt;3, Query1[[#This Row],[Shares]], IF(Query1[[#This Row],[Month]]&lt;&gt;H707, N707+Query1[[#This Row],[Fix Top Up]]/Query1[[#This Row],[Adj Close]], N707))</f>
        <v>3383.3426663378909</v>
      </c>
      <c r="O708">
        <f>IF(AND(Query1[[#This Row],[avg]]&gt;0, Query1[[#This Row],[Month]]&lt;&gt;H707),
    IF(Query1[[#This Row],[Adj Close]]&gt;Query1[[#This Row],[avg]],
       Dashboard!$L$5-Dashboard!$E$6,
       Dashboard!$L$5+Dashboard!$E$6
    ), 0
)</f>
        <v>0</v>
      </c>
      <c r="P708" s="2">
        <f>IF(ROW()&lt;3, Query1[[#This Row],[Shares]], IF(Query1[[#This Row],[Month]]&lt;&gt;H707, P707+Query1[[#This Row],[Enhanced top up]]/Query1[[#This Row],[Adj Close]], P707))</f>
        <v>3374.8834505830869</v>
      </c>
      <c r="Q708" s="2">
        <f>IFERROR(AVERAGE(
  IF(ROW()&gt;20, INDEX(G:G, ROW()-20), 0) :
  INDEX(G:G, ROW())
),0)</f>
        <v>231.19863092331659</v>
      </c>
    </row>
    <row r="709" spans="1:17" x14ac:dyDescent="0.4">
      <c r="A709" s="1">
        <v>44855</v>
      </c>
      <c r="B709">
        <v>234.74000549316406</v>
      </c>
      <c r="C709">
        <v>243</v>
      </c>
      <c r="D709">
        <v>234.5</v>
      </c>
      <c r="E709">
        <v>242.1199951171875</v>
      </c>
      <c r="F709">
        <v>26299700</v>
      </c>
      <c r="G709">
        <v>236.24311828613281</v>
      </c>
      <c r="H709" s="2">
        <f>MONTH(Query1[[#This Row],[Date]])</f>
        <v>10</v>
      </c>
      <c r="I709" s="3">
        <f>Query1[[#This Row],[Shares]]*Query1[[#This Row],[Adj Close]]</f>
        <v>848655.9094342629</v>
      </c>
      <c r="J709" s="3">
        <f>IF(ROW()&lt;3, Dashboard!$E$7, IF(Query1[[#This Row],[Month]]&lt;&gt;H708,J708*(1+Dashboard!$E$4)+Dashboard!$E$5,J708))</f>
        <v>772083.05972148594</v>
      </c>
      <c r="K709">
        <f>IF(ROW()&lt;3, 0,IF(Query1[[#This Row],[Month]]&lt;&gt;H708,IF((J709-I709&gt;0),J709-I709,0),0))</f>
        <v>0</v>
      </c>
      <c r="L709" s="2">
        <f t="shared" si="11"/>
        <v>3592.2989655359538</v>
      </c>
      <c r="M709">
        <f>IF(ROW()&lt;3, 0, IF(Query1[[#This Row],[Month]]&lt;&gt;H708, Dashboard!$J$5,0))</f>
        <v>0</v>
      </c>
      <c r="N709" s="2">
        <f>IF(ROW()&lt;3, Query1[[#This Row],[Shares]], IF(Query1[[#This Row],[Month]]&lt;&gt;H708, N708+Query1[[#This Row],[Fix Top Up]]/Query1[[#This Row],[Adj Close]], N708))</f>
        <v>3383.3426663378909</v>
      </c>
      <c r="O709">
        <f>IF(AND(Query1[[#This Row],[avg]]&gt;0, Query1[[#This Row],[Month]]&lt;&gt;H708),
    IF(Query1[[#This Row],[Adj Close]]&gt;Query1[[#This Row],[avg]],
       Dashboard!$L$5-Dashboard!$E$6,
       Dashboard!$L$5+Dashboard!$E$6
    ), 0
)</f>
        <v>0</v>
      </c>
      <c r="P709" s="2">
        <f>IF(ROW()&lt;3, Query1[[#This Row],[Shares]], IF(Query1[[#This Row],[Month]]&lt;&gt;H708, P708+Query1[[#This Row],[Enhanced top up]]/Query1[[#This Row],[Adj Close]], P708))</f>
        <v>3374.8834505830869</v>
      </c>
      <c r="Q709" s="2">
        <f>IFERROR(AVERAGE(
  IF(ROW()&gt;20, INDEX(G:G, ROW()-20), 0) :
  INDEX(G:G, ROW())
),0)</f>
        <v>231.25159781319755</v>
      </c>
    </row>
    <row r="710" spans="1:17" x14ac:dyDescent="0.4">
      <c r="A710" s="1">
        <v>44858</v>
      </c>
      <c r="B710">
        <v>243.75999450683594</v>
      </c>
      <c r="C710">
        <v>247.83999633789063</v>
      </c>
      <c r="D710">
        <v>241.30000305175781</v>
      </c>
      <c r="E710">
        <v>247.25</v>
      </c>
      <c r="F710">
        <v>24911200</v>
      </c>
      <c r="G710">
        <v>241.24861145019531</v>
      </c>
      <c r="H710" s="2">
        <f>MONTH(Query1[[#This Row],[Date]])</f>
        <v>10</v>
      </c>
      <c r="I710" s="3">
        <f>Query1[[#This Row],[Shares]]*Query1[[#This Row],[Adj Close]]</f>
        <v>866637.13734952186</v>
      </c>
      <c r="J710" s="3">
        <f>IF(ROW()&lt;3, Dashboard!$E$7, IF(Query1[[#This Row],[Month]]&lt;&gt;H709,J709*(1+Dashboard!$E$4)+Dashboard!$E$5,J709))</f>
        <v>772083.05972148594</v>
      </c>
      <c r="K710">
        <f>IF(ROW()&lt;3, 0,IF(Query1[[#This Row],[Month]]&lt;&gt;H709,IF((J710-I710&gt;0),J710-I710,0),0))</f>
        <v>0</v>
      </c>
      <c r="L710" s="2">
        <f t="shared" si="11"/>
        <v>3592.2989655359538</v>
      </c>
      <c r="M710">
        <f>IF(ROW()&lt;3, 0, IF(Query1[[#This Row],[Month]]&lt;&gt;H709, Dashboard!$J$5,0))</f>
        <v>0</v>
      </c>
      <c r="N710" s="2">
        <f>IF(ROW()&lt;3, Query1[[#This Row],[Shares]], IF(Query1[[#This Row],[Month]]&lt;&gt;H709, N709+Query1[[#This Row],[Fix Top Up]]/Query1[[#This Row],[Adj Close]], N709))</f>
        <v>3383.3426663378909</v>
      </c>
      <c r="O710">
        <f>IF(AND(Query1[[#This Row],[avg]]&gt;0, Query1[[#This Row],[Month]]&lt;&gt;H709),
    IF(Query1[[#This Row],[Adj Close]]&gt;Query1[[#This Row],[avg]],
       Dashboard!$L$5-Dashboard!$E$6,
       Dashboard!$L$5+Dashboard!$E$6
    ), 0
)</f>
        <v>0</v>
      </c>
      <c r="P710" s="2">
        <f>IF(ROW()&lt;3, Query1[[#This Row],[Shares]], IF(Query1[[#This Row],[Month]]&lt;&gt;H709, P709+Query1[[#This Row],[Enhanced top up]]/Query1[[#This Row],[Adj Close]], P709))</f>
        <v>3374.8834505830869</v>
      </c>
      <c r="Q710" s="2">
        <f>IFERROR(AVERAGE(
  IF(ROW()&gt;20, INDEX(G:G, ROW()-20), 0) :
  INDEX(G:G, ROW())
),0)</f>
        <v>231.68509928385416</v>
      </c>
    </row>
    <row r="711" spans="1:17" x14ac:dyDescent="0.4">
      <c r="A711" s="1">
        <v>44859</v>
      </c>
      <c r="B711">
        <v>247.25999450683594</v>
      </c>
      <c r="C711">
        <v>251.03999328613281</v>
      </c>
      <c r="D711">
        <v>245.83000183105469</v>
      </c>
      <c r="E711">
        <v>250.66000366210938</v>
      </c>
      <c r="F711">
        <v>34775500</v>
      </c>
      <c r="G711">
        <v>244.57585144042969</v>
      </c>
      <c r="H711" s="2">
        <f>MONTH(Query1[[#This Row],[Date]])</f>
        <v>10</v>
      </c>
      <c r="I711" s="3">
        <f>Query1[[#This Row],[Shares]]*Query1[[#This Row],[Adj Close]]</f>
        <v>878589.57812453073</v>
      </c>
      <c r="J711" s="3">
        <f>IF(ROW()&lt;3, Dashboard!$E$7, IF(Query1[[#This Row],[Month]]&lt;&gt;H710,J710*(1+Dashboard!$E$4)+Dashboard!$E$5,J710))</f>
        <v>772083.05972148594</v>
      </c>
      <c r="K711">
        <f>IF(ROW()&lt;3, 0,IF(Query1[[#This Row],[Month]]&lt;&gt;H710,IF((J711-I711&gt;0),J711-I711,0),0))</f>
        <v>0</v>
      </c>
      <c r="L711" s="2">
        <f t="shared" si="11"/>
        <v>3592.2989655359538</v>
      </c>
      <c r="M711">
        <f>IF(ROW()&lt;3, 0, IF(Query1[[#This Row],[Month]]&lt;&gt;H710, Dashboard!$J$5,0))</f>
        <v>0</v>
      </c>
      <c r="N711" s="2">
        <f>IF(ROW()&lt;3, Query1[[#This Row],[Shares]], IF(Query1[[#This Row],[Month]]&lt;&gt;H710, N710+Query1[[#This Row],[Fix Top Up]]/Query1[[#This Row],[Adj Close]], N710))</f>
        <v>3383.3426663378909</v>
      </c>
      <c r="O711">
        <f>IF(AND(Query1[[#This Row],[avg]]&gt;0, Query1[[#This Row],[Month]]&lt;&gt;H710),
    IF(Query1[[#This Row],[Adj Close]]&gt;Query1[[#This Row],[avg]],
       Dashboard!$L$5-Dashboard!$E$6,
       Dashboard!$L$5+Dashboard!$E$6
    ), 0
)</f>
        <v>0</v>
      </c>
      <c r="P711" s="2">
        <f>IF(ROW()&lt;3, Query1[[#This Row],[Shares]], IF(Query1[[#This Row],[Month]]&lt;&gt;H710, P710+Query1[[#This Row],[Enhanced top up]]/Query1[[#This Row],[Adj Close]], P710))</f>
        <v>3374.8834505830869</v>
      </c>
      <c r="Q711" s="2">
        <f>IFERROR(AVERAGE(
  IF(ROW()&gt;20, INDEX(G:G, ROW()-20), 0) :
  INDEX(G:G, ROW())
),0)</f>
        <v>232.29887971423921</v>
      </c>
    </row>
    <row r="712" spans="1:17" x14ac:dyDescent="0.4">
      <c r="A712" s="1">
        <v>44860</v>
      </c>
      <c r="B712">
        <v>231.16999816894531</v>
      </c>
      <c r="C712">
        <v>238.30000305175781</v>
      </c>
      <c r="D712">
        <v>230.05999755859375</v>
      </c>
      <c r="E712">
        <v>231.32000732421875</v>
      </c>
      <c r="F712">
        <v>82543200</v>
      </c>
      <c r="G712">
        <v>225.70527648925781</v>
      </c>
      <c r="H712" s="2">
        <f>MONTH(Query1[[#This Row],[Date]])</f>
        <v>10</v>
      </c>
      <c r="I712" s="3">
        <f>Query1[[#This Row],[Shares]]*Query1[[#This Row],[Adj Close]]</f>
        <v>810800.83124836732</v>
      </c>
      <c r="J712" s="3">
        <f>IF(ROW()&lt;3, Dashboard!$E$7, IF(Query1[[#This Row],[Month]]&lt;&gt;H711,J711*(1+Dashboard!$E$4)+Dashboard!$E$5,J711))</f>
        <v>772083.05972148594</v>
      </c>
      <c r="K712">
        <f>IF(ROW()&lt;3, 0,IF(Query1[[#This Row],[Month]]&lt;&gt;H711,IF((J712-I712&gt;0),J712-I712,0),0))</f>
        <v>0</v>
      </c>
      <c r="L712" s="2">
        <f t="shared" si="11"/>
        <v>3592.2989655359538</v>
      </c>
      <c r="M712">
        <f>IF(ROW()&lt;3, 0, IF(Query1[[#This Row],[Month]]&lt;&gt;H711, Dashboard!$J$5,0))</f>
        <v>0</v>
      </c>
      <c r="N712" s="2">
        <f>IF(ROW()&lt;3, Query1[[#This Row],[Shares]], IF(Query1[[#This Row],[Month]]&lt;&gt;H711, N711+Query1[[#This Row],[Fix Top Up]]/Query1[[#This Row],[Adj Close]], N711))</f>
        <v>3383.3426663378909</v>
      </c>
      <c r="O712">
        <f>IF(AND(Query1[[#This Row],[avg]]&gt;0, Query1[[#This Row],[Month]]&lt;&gt;H711),
    IF(Query1[[#This Row],[Adj Close]]&gt;Query1[[#This Row],[avg]],
       Dashboard!$L$5-Dashboard!$E$6,
       Dashboard!$L$5+Dashboard!$E$6
    ), 0
)</f>
        <v>0</v>
      </c>
      <c r="P712" s="2">
        <f>IF(ROW()&lt;3, Query1[[#This Row],[Shares]], IF(Query1[[#This Row],[Month]]&lt;&gt;H711, P711+Query1[[#This Row],[Enhanced top up]]/Query1[[#This Row],[Adj Close]], P711))</f>
        <v>3374.8834505830869</v>
      </c>
      <c r="Q712" s="2">
        <f>IFERROR(AVERAGE(
  IF(ROW()&gt;20, INDEX(G:G, ROW()-20), 0) :
  INDEX(G:G, ROW())
),0)</f>
        <v>232.06238156273253</v>
      </c>
    </row>
    <row r="713" spans="1:17" x14ac:dyDescent="0.4">
      <c r="A713" s="1">
        <v>44861</v>
      </c>
      <c r="B713">
        <v>231.03999328613281</v>
      </c>
      <c r="C713">
        <v>233.69000244140625</v>
      </c>
      <c r="D713">
        <v>225.77999877929688</v>
      </c>
      <c r="E713">
        <v>226.75</v>
      </c>
      <c r="F713">
        <v>40424600</v>
      </c>
      <c r="G713">
        <v>221.24620056152344</v>
      </c>
      <c r="H713" s="2">
        <f>MONTH(Query1[[#This Row],[Date]])</f>
        <v>10</v>
      </c>
      <c r="I713" s="3">
        <f>Query1[[#This Row],[Shares]]*Query1[[#This Row],[Adj Close]]</f>
        <v>794782.49740592076</v>
      </c>
      <c r="J713" s="3">
        <f>IF(ROW()&lt;3, Dashboard!$E$7, IF(Query1[[#This Row],[Month]]&lt;&gt;H712,J712*(1+Dashboard!$E$4)+Dashboard!$E$5,J712))</f>
        <v>772083.05972148594</v>
      </c>
      <c r="K713">
        <f>IF(ROW()&lt;3, 0,IF(Query1[[#This Row],[Month]]&lt;&gt;H712,IF((J713-I713&gt;0),J713-I713,0),0))</f>
        <v>0</v>
      </c>
      <c r="L713" s="2">
        <f t="shared" si="11"/>
        <v>3592.2989655359538</v>
      </c>
      <c r="M713">
        <f>IF(ROW()&lt;3, 0, IF(Query1[[#This Row],[Month]]&lt;&gt;H712, Dashboard!$J$5,0))</f>
        <v>0</v>
      </c>
      <c r="N713" s="2">
        <f>IF(ROW()&lt;3, Query1[[#This Row],[Shares]], IF(Query1[[#This Row],[Month]]&lt;&gt;H712, N712+Query1[[#This Row],[Fix Top Up]]/Query1[[#This Row],[Adj Close]], N712))</f>
        <v>3383.3426663378909</v>
      </c>
      <c r="O713">
        <f>IF(AND(Query1[[#This Row],[avg]]&gt;0, Query1[[#This Row],[Month]]&lt;&gt;H712),
    IF(Query1[[#This Row],[Adj Close]]&gt;Query1[[#This Row],[avg]],
       Dashboard!$L$5-Dashboard!$E$6,
       Dashboard!$L$5+Dashboard!$E$6
    ), 0
)</f>
        <v>0</v>
      </c>
      <c r="P713" s="2">
        <f>IF(ROW()&lt;3, Query1[[#This Row],[Shares]], IF(Query1[[#This Row],[Month]]&lt;&gt;H712, P712+Query1[[#This Row],[Enhanced top up]]/Query1[[#This Row],[Adj Close]], P712))</f>
        <v>3374.8834505830869</v>
      </c>
      <c r="Q713" s="2">
        <f>IFERROR(AVERAGE(
  IF(ROW()&gt;20, INDEX(G:G, ROW()-20), 0) :
  INDEX(G:G, ROW())
),0)</f>
        <v>231.39702787853423</v>
      </c>
    </row>
    <row r="714" spans="1:17" x14ac:dyDescent="0.4">
      <c r="A714" s="1">
        <v>44862</v>
      </c>
      <c r="B714">
        <v>226.24000549316406</v>
      </c>
      <c r="C714">
        <v>236.60000610351563</v>
      </c>
      <c r="D714">
        <v>226.05000305175781</v>
      </c>
      <c r="E714">
        <v>235.8699951171875</v>
      </c>
      <c r="F714">
        <v>40647700</v>
      </c>
      <c r="G714">
        <v>230.14483642578125</v>
      </c>
      <c r="H714" s="2">
        <f>MONTH(Query1[[#This Row],[Date]])</f>
        <v>10</v>
      </c>
      <c r="I714" s="3">
        <f>Query1[[#This Row],[Shares]]*Query1[[#This Row],[Adj Close]]</f>
        <v>826749.05781577528</v>
      </c>
      <c r="J714" s="3">
        <f>IF(ROW()&lt;3, Dashboard!$E$7, IF(Query1[[#This Row],[Month]]&lt;&gt;H713,J713*(1+Dashboard!$E$4)+Dashboard!$E$5,J713))</f>
        <v>772083.05972148594</v>
      </c>
      <c r="K714">
        <f>IF(ROW()&lt;3, 0,IF(Query1[[#This Row],[Month]]&lt;&gt;H713,IF((J714-I714&gt;0),J714-I714,0),0))</f>
        <v>0</v>
      </c>
      <c r="L714" s="2">
        <f t="shared" si="11"/>
        <v>3592.2989655359538</v>
      </c>
      <c r="M714">
        <f>IF(ROW()&lt;3, 0, IF(Query1[[#This Row],[Month]]&lt;&gt;H713, Dashboard!$J$5,0))</f>
        <v>0</v>
      </c>
      <c r="N714" s="2">
        <f>IF(ROW()&lt;3, Query1[[#This Row],[Shares]], IF(Query1[[#This Row],[Month]]&lt;&gt;H713, N713+Query1[[#This Row],[Fix Top Up]]/Query1[[#This Row],[Adj Close]], N713))</f>
        <v>3383.3426663378909</v>
      </c>
      <c r="O714">
        <f>IF(AND(Query1[[#This Row],[avg]]&gt;0, Query1[[#This Row],[Month]]&lt;&gt;H713),
    IF(Query1[[#This Row],[Adj Close]]&gt;Query1[[#This Row],[avg]],
       Dashboard!$L$5-Dashboard!$E$6,
       Dashboard!$L$5+Dashboard!$E$6
    ), 0
)</f>
        <v>0</v>
      </c>
      <c r="P714" s="2">
        <f>IF(ROW()&lt;3, Query1[[#This Row],[Shares]], IF(Query1[[#This Row],[Month]]&lt;&gt;H713, P713+Query1[[#This Row],[Enhanced top up]]/Query1[[#This Row],[Adj Close]], P713))</f>
        <v>3374.8834505830869</v>
      </c>
      <c r="Q714" s="2">
        <f>IFERROR(AVERAGE(
  IF(ROW()&gt;20, INDEX(G:G, ROW()-20), 0) :
  INDEX(G:G, ROW())
),0)</f>
        <v>231.32129342215401</v>
      </c>
    </row>
    <row r="715" spans="1:17" x14ac:dyDescent="0.4">
      <c r="A715" s="1">
        <v>44865</v>
      </c>
      <c r="B715">
        <v>233.75999450683594</v>
      </c>
      <c r="C715">
        <v>234.91999816894531</v>
      </c>
      <c r="D715">
        <v>231.14999389648438</v>
      </c>
      <c r="E715">
        <v>232.1300048828125</v>
      </c>
      <c r="F715">
        <v>28357300</v>
      </c>
      <c r="G715">
        <v>226.49565124511719</v>
      </c>
      <c r="H715" s="2">
        <f>MONTH(Query1[[#This Row],[Date]])</f>
        <v>10</v>
      </c>
      <c r="I715" s="3">
        <f>Query1[[#This Row],[Shares]]*Query1[[#This Row],[Adj Close]]</f>
        <v>813640.0936662266</v>
      </c>
      <c r="J715" s="3">
        <f>IF(ROW()&lt;3, Dashboard!$E$7, IF(Query1[[#This Row],[Month]]&lt;&gt;H714,J714*(1+Dashboard!$E$4)+Dashboard!$E$5,J714))</f>
        <v>772083.05972148594</v>
      </c>
      <c r="K715">
        <f>IF(ROW()&lt;3, 0,IF(Query1[[#This Row],[Month]]&lt;&gt;H714,IF((J715-I715&gt;0),J715-I715,0),0))</f>
        <v>0</v>
      </c>
      <c r="L715" s="2">
        <f t="shared" si="11"/>
        <v>3592.2989655359538</v>
      </c>
      <c r="M715">
        <f>IF(ROW()&lt;3, 0, IF(Query1[[#This Row],[Month]]&lt;&gt;H714, Dashboard!$J$5,0))</f>
        <v>0</v>
      </c>
      <c r="N715" s="2">
        <f>IF(ROW()&lt;3, Query1[[#This Row],[Shares]], IF(Query1[[#This Row],[Month]]&lt;&gt;H714, N714+Query1[[#This Row],[Fix Top Up]]/Query1[[#This Row],[Adj Close]], N714))</f>
        <v>3383.3426663378909</v>
      </c>
      <c r="O715">
        <f>IF(AND(Query1[[#This Row],[avg]]&gt;0, Query1[[#This Row],[Month]]&lt;&gt;H714),
    IF(Query1[[#This Row],[Adj Close]]&gt;Query1[[#This Row],[avg]],
       Dashboard!$L$5-Dashboard!$E$6,
       Dashboard!$L$5+Dashboard!$E$6
    ), 0
)</f>
        <v>0</v>
      </c>
      <c r="P715" s="2">
        <f>IF(ROW()&lt;3, Query1[[#This Row],[Shares]], IF(Query1[[#This Row],[Month]]&lt;&gt;H714, P714+Query1[[#This Row],[Enhanced top up]]/Query1[[#This Row],[Adj Close]], P714))</f>
        <v>3374.8834505830869</v>
      </c>
      <c r="Q715" s="2">
        <f>IFERROR(AVERAGE(
  IF(ROW()&gt;20, INDEX(G:G, ROW()-20), 0) :
  INDEX(G:G, ROW())
),0)</f>
        <v>231.28551810128349</v>
      </c>
    </row>
    <row r="716" spans="1:17" x14ac:dyDescent="0.4">
      <c r="A716" s="1">
        <v>44866</v>
      </c>
      <c r="B716">
        <v>234.60000610351563</v>
      </c>
      <c r="C716">
        <v>235.74000549316406</v>
      </c>
      <c r="D716">
        <v>227.33000183105469</v>
      </c>
      <c r="E716">
        <v>228.16999816894531</v>
      </c>
      <c r="F716">
        <v>30592300</v>
      </c>
      <c r="G716">
        <v>222.63172912597656</v>
      </c>
      <c r="H716" s="2">
        <f>MONTH(Query1[[#This Row],[Date]])</f>
        <v>11</v>
      </c>
      <c r="I716" s="3">
        <f>Query1[[#This Row],[Shares]]*Query1[[#This Row],[Adj Close]]</f>
        <v>799759.73023472633</v>
      </c>
      <c r="J716" s="3">
        <f>IF(ROW()&lt;3, Dashboard!$E$7, IF(Query1[[#This Row],[Month]]&lt;&gt;H715,J715*(1+Dashboard!$E$4)+Dashboard!$E$5,J715))</f>
        <v>781803.89031870081</v>
      </c>
      <c r="K716">
        <f>IF(ROW()&lt;3, 0,IF(Query1[[#This Row],[Month]]&lt;&gt;H715,IF((J716-I716&gt;0),J716-I716,0),0))</f>
        <v>0</v>
      </c>
      <c r="L716" s="2">
        <f t="shared" si="11"/>
        <v>3592.2989655359538</v>
      </c>
      <c r="M716">
        <f>IF(ROW()&lt;3, 0, IF(Query1[[#This Row],[Month]]&lt;&gt;H715, Dashboard!$J$5,0))</f>
        <v>773.47399999999971</v>
      </c>
      <c r="N716" s="2">
        <f>IF(ROW()&lt;3, Query1[[#This Row],[Shares]], IF(Query1[[#This Row],[Month]]&lt;&gt;H715, N715+Query1[[#This Row],[Fix Top Up]]/Query1[[#This Row],[Adj Close]], N715))</f>
        <v>3386.8168970912366</v>
      </c>
      <c r="O716">
        <f>IF(AND(Query1[[#This Row],[avg]]&gt;0, Query1[[#This Row],[Month]]&lt;&gt;H715),
    IF(Query1[[#This Row],[Adj Close]]&gt;Query1[[#This Row],[avg]],
       Dashboard!$L$5-Dashboard!$E$6,
       Dashboard!$L$5+Dashboard!$E$6
    ), 0
)</f>
        <v>1390.1406666666667</v>
      </c>
      <c r="P716" s="2">
        <f>IF(ROW()&lt;3, Query1[[#This Row],[Shares]], IF(Query1[[#This Row],[Month]]&lt;&gt;H715, P715+Query1[[#This Row],[Enhanced top up]]/Query1[[#This Row],[Adj Close]], P715))</f>
        <v>3381.1275770251004</v>
      </c>
      <c r="Q716" s="2">
        <f>IFERROR(AVERAGE(
  IF(ROW()&gt;20, INDEX(G:G, ROW()-20), 0) :
  INDEX(G:G, ROW())
),0)</f>
        <v>230.70147414434524</v>
      </c>
    </row>
    <row r="717" spans="1:17" x14ac:dyDescent="0.4">
      <c r="A717" s="1">
        <v>44867</v>
      </c>
      <c r="B717">
        <v>229.46000671386719</v>
      </c>
      <c r="C717">
        <v>231.30000305175781</v>
      </c>
      <c r="D717">
        <v>220.03999328613281</v>
      </c>
      <c r="E717">
        <v>220.10000610351563</v>
      </c>
      <c r="F717">
        <v>38407000</v>
      </c>
      <c r="G717">
        <v>214.75761413574219</v>
      </c>
      <c r="H717" s="2">
        <f>MONTH(Query1[[#This Row],[Date]])</f>
        <v>11</v>
      </c>
      <c r="I717" s="3">
        <f>Query1[[#This Row],[Shares]]*Query1[[#This Row],[Adj Close]]</f>
        <v>771473.55510079616</v>
      </c>
      <c r="J717" s="3">
        <f>IF(ROW()&lt;3, Dashboard!$E$7, IF(Query1[[#This Row],[Month]]&lt;&gt;H716,J716*(1+Dashboard!$E$4)+Dashboard!$E$5,J716))</f>
        <v>781803.89031870081</v>
      </c>
      <c r="K717">
        <f>IF(ROW()&lt;3, 0,IF(Query1[[#This Row],[Month]]&lt;&gt;H716,IF((J717-I717&gt;0),J717-I717,0),0))</f>
        <v>0</v>
      </c>
      <c r="L717" s="2">
        <f t="shared" si="11"/>
        <v>3592.2989655359538</v>
      </c>
      <c r="M717">
        <f>IF(ROW()&lt;3, 0, IF(Query1[[#This Row],[Month]]&lt;&gt;H716, Dashboard!$J$5,0))</f>
        <v>0</v>
      </c>
      <c r="N717" s="2">
        <f>IF(ROW()&lt;3, Query1[[#This Row],[Shares]], IF(Query1[[#This Row],[Month]]&lt;&gt;H716, N716+Query1[[#This Row],[Fix Top Up]]/Query1[[#This Row],[Adj Close]], N716))</f>
        <v>3386.8168970912366</v>
      </c>
      <c r="O717">
        <f>IF(AND(Query1[[#This Row],[avg]]&gt;0, Query1[[#This Row],[Month]]&lt;&gt;H716),
    IF(Query1[[#This Row],[Adj Close]]&gt;Query1[[#This Row],[avg]],
       Dashboard!$L$5-Dashboard!$E$6,
       Dashboard!$L$5+Dashboard!$E$6
    ), 0
)</f>
        <v>0</v>
      </c>
      <c r="P717" s="2">
        <f>IF(ROW()&lt;3, Query1[[#This Row],[Shares]], IF(Query1[[#This Row],[Month]]&lt;&gt;H716, P716+Query1[[#This Row],[Enhanced top up]]/Query1[[#This Row],[Adj Close]], P716))</f>
        <v>3381.1275770251004</v>
      </c>
      <c r="Q717" s="2">
        <f>IFERROR(AVERAGE(
  IF(ROW()&gt;20, INDEX(G:G, ROW()-20), 0) :
  INDEX(G:G, ROW())
),0)</f>
        <v>229.36426144554503</v>
      </c>
    </row>
    <row r="718" spans="1:17" x14ac:dyDescent="0.4">
      <c r="A718" s="1">
        <v>44868</v>
      </c>
      <c r="B718">
        <v>220.08999633789063</v>
      </c>
      <c r="C718">
        <v>220.41000366210938</v>
      </c>
      <c r="D718">
        <v>213.97999572753906</v>
      </c>
      <c r="E718">
        <v>214.25</v>
      </c>
      <c r="F718">
        <v>36633900</v>
      </c>
      <c r="G718">
        <v>209.04962158203125</v>
      </c>
      <c r="H718" s="2">
        <f>MONTH(Query1[[#This Row],[Date]])</f>
        <v>11</v>
      </c>
      <c r="I718" s="3">
        <f>Query1[[#This Row],[Shares]]*Query1[[#This Row],[Adj Close]]</f>
        <v>750968.73935481347</v>
      </c>
      <c r="J718" s="3">
        <f>IF(ROW()&lt;3, Dashboard!$E$7, IF(Query1[[#This Row],[Month]]&lt;&gt;H717,J717*(1+Dashboard!$E$4)+Dashboard!$E$5,J717))</f>
        <v>781803.89031870081</v>
      </c>
      <c r="K718">
        <f>IF(ROW()&lt;3, 0,IF(Query1[[#This Row],[Month]]&lt;&gt;H717,IF((J718-I718&gt;0),J718-I718,0),0))</f>
        <v>0</v>
      </c>
      <c r="L718" s="2">
        <f t="shared" si="11"/>
        <v>3592.2989655359538</v>
      </c>
      <c r="M718">
        <f>IF(ROW()&lt;3, 0, IF(Query1[[#This Row],[Month]]&lt;&gt;H717, Dashboard!$J$5,0))</f>
        <v>0</v>
      </c>
      <c r="N718" s="2">
        <f>IF(ROW()&lt;3, Query1[[#This Row],[Shares]], IF(Query1[[#This Row],[Month]]&lt;&gt;H717, N717+Query1[[#This Row],[Fix Top Up]]/Query1[[#This Row],[Adj Close]], N717))</f>
        <v>3386.8168970912366</v>
      </c>
      <c r="O718">
        <f>IF(AND(Query1[[#This Row],[avg]]&gt;0, Query1[[#This Row],[Month]]&lt;&gt;H717),
    IF(Query1[[#This Row],[Adj Close]]&gt;Query1[[#This Row],[avg]],
       Dashboard!$L$5-Dashboard!$E$6,
       Dashboard!$L$5+Dashboard!$E$6
    ), 0
)</f>
        <v>0</v>
      </c>
      <c r="P718" s="2">
        <f>IF(ROW()&lt;3, Query1[[#This Row],[Shares]], IF(Query1[[#This Row],[Month]]&lt;&gt;H717, P717+Query1[[#This Row],[Enhanced top up]]/Query1[[#This Row],[Adj Close]], P717))</f>
        <v>3381.1275770251004</v>
      </c>
      <c r="Q718" s="2">
        <f>IFERROR(AVERAGE(
  IF(ROW()&gt;20, INDEX(G:G, ROW()-20), 0) :
  INDEX(G:G, ROW())
),0)</f>
        <v>227.74037315731957</v>
      </c>
    </row>
    <row r="719" spans="1:17" x14ac:dyDescent="0.4">
      <c r="A719" s="1">
        <v>44869</v>
      </c>
      <c r="B719">
        <v>217.55000305175781</v>
      </c>
      <c r="C719">
        <v>221.58999633789063</v>
      </c>
      <c r="D719">
        <v>213.42999267578125</v>
      </c>
      <c r="E719">
        <v>221.38999938964844</v>
      </c>
      <c r="F719">
        <v>36789100</v>
      </c>
      <c r="G719">
        <v>216.01631164550781</v>
      </c>
      <c r="H719" s="2">
        <f>MONTH(Query1[[#This Row],[Date]])</f>
        <v>11</v>
      </c>
      <c r="I719" s="3">
        <f>Query1[[#This Row],[Shares]]*Query1[[#This Row],[Adj Close]]</f>
        <v>775995.1728630499</v>
      </c>
      <c r="J719" s="3">
        <f>IF(ROW()&lt;3, Dashboard!$E$7, IF(Query1[[#This Row],[Month]]&lt;&gt;H718,J718*(1+Dashboard!$E$4)+Dashboard!$E$5,J718))</f>
        <v>781803.89031870081</v>
      </c>
      <c r="K719">
        <f>IF(ROW()&lt;3, 0,IF(Query1[[#This Row],[Month]]&lt;&gt;H718,IF((J719-I719&gt;0),J719-I719,0),0))</f>
        <v>0</v>
      </c>
      <c r="L719" s="2">
        <f t="shared" si="11"/>
        <v>3592.2989655359538</v>
      </c>
      <c r="M719">
        <f>IF(ROW()&lt;3, 0, IF(Query1[[#This Row],[Month]]&lt;&gt;H718, Dashboard!$J$5,0))</f>
        <v>0</v>
      </c>
      <c r="N719" s="2">
        <f>IF(ROW()&lt;3, Query1[[#This Row],[Shares]], IF(Query1[[#This Row],[Month]]&lt;&gt;H718, N718+Query1[[#This Row],[Fix Top Up]]/Query1[[#This Row],[Adj Close]], N718))</f>
        <v>3386.8168970912366</v>
      </c>
      <c r="O719">
        <f>IF(AND(Query1[[#This Row],[avg]]&gt;0, Query1[[#This Row],[Month]]&lt;&gt;H718),
    IF(Query1[[#This Row],[Adj Close]]&gt;Query1[[#This Row],[avg]],
       Dashboard!$L$5-Dashboard!$E$6,
       Dashboard!$L$5+Dashboard!$E$6
    ), 0
)</f>
        <v>0</v>
      </c>
      <c r="P719" s="2">
        <f>IF(ROW()&lt;3, Query1[[#This Row],[Shares]], IF(Query1[[#This Row],[Month]]&lt;&gt;H718, P718+Query1[[#This Row],[Enhanced top up]]/Query1[[#This Row],[Adj Close]], P718))</f>
        <v>3381.1275770251004</v>
      </c>
      <c r="Q719" s="2">
        <f>IFERROR(AVERAGE(
  IF(ROW()&gt;20, INDEX(G:G, ROW()-20), 0) :
  INDEX(G:G, ROW())
),0)</f>
        <v>226.5602075485956</v>
      </c>
    </row>
    <row r="720" spans="1:17" x14ac:dyDescent="0.4">
      <c r="A720" s="1">
        <v>44872</v>
      </c>
      <c r="B720">
        <v>221.99000549316406</v>
      </c>
      <c r="C720">
        <v>228.41000366210938</v>
      </c>
      <c r="D720">
        <v>221.27999877929688</v>
      </c>
      <c r="E720">
        <v>227.8699951171875</v>
      </c>
      <c r="F720">
        <v>33498000</v>
      </c>
      <c r="G720">
        <v>222.33901977539063</v>
      </c>
      <c r="H720" s="2">
        <f>MONTH(Query1[[#This Row],[Date]])</f>
        <v>11</v>
      </c>
      <c r="I720" s="3">
        <f>Query1[[#This Row],[Shares]]*Query1[[#This Row],[Adj Close]]</f>
        <v>798708.23073741375</v>
      </c>
      <c r="J720" s="3">
        <f>IF(ROW()&lt;3, Dashboard!$E$7, IF(Query1[[#This Row],[Month]]&lt;&gt;H719,J719*(1+Dashboard!$E$4)+Dashboard!$E$5,J719))</f>
        <v>781803.89031870081</v>
      </c>
      <c r="K720">
        <f>IF(ROW()&lt;3, 0,IF(Query1[[#This Row],[Month]]&lt;&gt;H719,IF((J720-I720&gt;0),J720-I720,0),0))</f>
        <v>0</v>
      </c>
      <c r="L720" s="2">
        <f t="shared" si="11"/>
        <v>3592.2989655359538</v>
      </c>
      <c r="M720">
        <f>IF(ROW()&lt;3, 0, IF(Query1[[#This Row],[Month]]&lt;&gt;H719, Dashboard!$J$5,0))</f>
        <v>0</v>
      </c>
      <c r="N720" s="2">
        <f>IF(ROW()&lt;3, Query1[[#This Row],[Shares]], IF(Query1[[#This Row],[Month]]&lt;&gt;H719, N719+Query1[[#This Row],[Fix Top Up]]/Query1[[#This Row],[Adj Close]], N719))</f>
        <v>3386.8168970912366</v>
      </c>
      <c r="O720">
        <f>IF(AND(Query1[[#This Row],[avg]]&gt;0, Query1[[#This Row],[Month]]&lt;&gt;H719),
    IF(Query1[[#This Row],[Adj Close]]&gt;Query1[[#This Row],[avg]],
       Dashboard!$L$5-Dashboard!$E$6,
       Dashboard!$L$5+Dashboard!$E$6
    ), 0
)</f>
        <v>0</v>
      </c>
      <c r="P720" s="2">
        <f>IF(ROW()&lt;3, Query1[[#This Row],[Shares]], IF(Query1[[#This Row],[Month]]&lt;&gt;H719, P719+Query1[[#This Row],[Enhanced top up]]/Query1[[#This Row],[Adj Close]], P719))</f>
        <v>3381.1275770251004</v>
      </c>
      <c r="Q720" s="2">
        <f>IFERROR(AVERAGE(
  IF(ROW()&gt;20, INDEX(G:G, ROW()-20), 0) :
  INDEX(G:G, ROW())
),0)</f>
        <v>226.26423499697731</v>
      </c>
    </row>
    <row r="721" spans="1:17" x14ac:dyDescent="0.4">
      <c r="A721" s="1">
        <v>44873</v>
      </c>
      <c r="B721">
        <v>228.69999694824219</v>
      </c>
      <c r="C721">
        <v>231.64999389648438</v>
      </c>
      <c r="D721">
        <v>225.83999633789063</v>
      </c>
      <c r="E721">
        <v>228.8699951171875</v>
      </c>
      <c r="F721">
        <v>28192500</v>
      </c>
      <c r="G721">
        <v>223.31477355957031</v>
      </c>
      <c r="H721" s="2">
        <f>MONTH(Query1[[#This Row],[Date]])</f>
        <v>11</v>
      </c>
      <c r="I721" s="3">
        <f>Query1[[#This Row],[Shares]]*Query1[[#This Row],[Adj Close]]</f>
        <v>802213.43004694022</v>
      </c>
      <c r="J721" s="3">
        <f>IF(ROW()&lt;3, Dashboard!$E$7, IF(Query1[[#This Row],[Month]]&lt;&gt;H720,J720*(1+Dashboard!$E$4)+Dashboard!$E$5,J720))</f>
        <v>781803.89031870081</v>
      </c>
      <c r="K721">
        <f>IF(ROW()&lt;3, 0,IF(Query1[[#This Row],[Month]]&lt;&gt;H720,IF((J721-I721&gt;0),J721-I721,0),0))</f>
        <v>0</v>
      </c>
      <c r="L721" s="2">
        <f t="shared" si="11"/>
        <v>3592.2989655359538</v>
      </c>
      <c r="M721">
        <f>IF(ROW()&lt;3, 0, IF(Query1[[#This Row],[Month]]&lt;&gt;H720, Dashboard!$J$5,0))</f>
        <v>0</v>
      </c>
      <c r="N721" s="2">
        <f>IF(ROW()&lt;3, Query1[[#This Row],[Shares]], IF(Query1[[#This Row],[Month]]&lt;&gt;H720, N720+Query1[[#This Row],[Fix Top Up]]/Query1[[#This Row],[Adj Close]], N720))</f>
        <v>3386.8168970912366</v>
      </c>
      <c r="O721">
        <f>IF(AND(Query1[[#This Row],[avg]]&gt;0, Query1[[#This Row],[Month]]&lt;&gt;H720),
    IF(Query1[[#This Row],[Adj Close]]&gt;Query1[[#This Row],[avg]],
       Dashboard!$L$5-Dashboard!$E$6,
       Dashboard!$L$5+Dashboard!$E$6
    ), 0
)</f>
        <v>0</v>
      </c>
      <c r="P721" s="2">
        <f>IF(ROW()&lt;3, Query1[[#This Row],[Shares]], IF(Query1[[#This Row],[Month]]&lt;&gt;H720, P720+Query1[[#This Row],[Enhanced top up]]/Query1[[#This Row],[Adj Close]], P720))</f>
        <v>3381.1275770251004</v>
      </c>
      <c r="Q721" s="2">
        <f>IFERROR(AVERAGE(
  IF(ROW()&gt;20, INDEX(G:G, ROW()-20), 0) :
  INDEX(G:G, ROW())
),0)</f>
        <v>226.246580578032</v>
      </c>
    </row>
    <row r="722" spans="1:17" x14ac:dyDescent="0.4">
      <c r="A722" s="1">
        <v>44874</v>
      </c>
      <c r="B722">
        <v>227.3699951171875</v>
      </c>
      <c r="C722">
        <v>228.6300048828125</v>
      </c>
      <c r="D722">
        <v>224.33000183105469</v>
      </c>
      <c r="E722">
        <v>224.50999450683594</v>
      </c>
      <c r="F722">
        <v>27852900</v>
      </c>
      <c r="G722">
        <v>219.060546875</v>
      </c>
      <c r="H722" s="2">
        <f>MONTH(Query1[[#This Row],[Date]])</f>
        <v>11</v>
      </c>
      <c r="I722" s="3">
        <f>Query1[[#This Row],[Shares]]*Query1[[#This Row],[Adj Close]]</f>
        <v>786930.97592880286</v>
      </c>
      <c r="J722" s="3">
        <f>IF(ROW()&lt;3, Dashboard!$E$7, IF(Query1[[#This Row],[Month]]&lt;&gt;H721,J721*(1+Dashboard!$E$4)+Dashboard!$E$5,J721))</f>
        <v>781803.89031870081</v>
      </c>
      <c r="K722">
        <f>IF(ROW()&lt;3, 0,IF(Query1[[#This Row],[Month]]&lt;&gt;H721,IF((J722-I722&gt;0),J722-I722,0),0))</f>
        <v>0</v>
      </c>
      <c r="L722" s="2">
        <f t="shared" si="11"/>
        <v>3592.2989655359538</v>
      </c>
      <c r="M722">
        <f>IF(ROW()&lt;3, 0, IF(Query1[[#This Row],[Month]]&lt;&gt;H721, Dashboard!$J$5,0))</f>
        <v>0</v>
      </c>
      <c r="N722" s="2">
        <f>IF(ROW()&lt;3, Query1[[#This Row],[Shares]], IF(Query1[[#This Row],[Month]]&lt;&gt;H721, N721+Query1[[#This Row],[Fix Top Up]]/Query1[[#This Row],[Adj Close]], N721))</f>
        <v>3386.8168970912366</v>
      </c>
      <c r="O722">
        <f>IF(AND(Query1[[#This Row],[avg]]&gt;0, Query1[[#This Row],[Month]]&lt;&gt;H721),
    IF(Query1[[#This Row],[Adj Close]]&gt;Query1[[#This Row],[avg]],
       Dashboard!$L$5-Dashboard!$E$6,
       Dashboard!$L$5+Dashboard!$E$6
    ), 0
)</f>
        <v>0</v>
      </c>
      <c r="P722" s="2">
        <f>IF(ROW()&lt;3, Query1[[#This Row],[Shares]], IF(Query1[[#This Row],[Month]]&lt;&gt;H721, P721+Query1[[#This Row],[Enhanced top up]]/Query1[[#This Row],[Adj Close]], P721))</f>
        <v>3381.1275770251004</v>
      </c>
      <c r="Q722" s="2">
        <f>IFERROR(AVERAGE(
  IF(ROW()&gt;20, INDEX(G:G, ROW()-20), 0) :
  INDEX(G:G, ROW())
),0)</f>
        <v>226.20476277669272</v>
      </c>
    </row>
    <row r="723" spans="1:17" x14ac:dyDescent="0.4">
      <c r="A723" s="1">
        <v>44875</v>
      </c>
      <c r="B723">
        <v>235.42999267578125</v>
      </c>
      <c r="C723">
        <v>243.33000183105469</v>
      </c>
      <c r="D723">
        <v>235</v>
      </c>
      <c r="E723">
        <v>242.97999572753906</v>
      </c>
      <c r="F723">
        <v>46268000</v>
      </c>
      <c r="G723">
        <v>237.08226013183594</v>
      </c>
      <c r="H723" s="2">
        <f>MONTH(Query1[[#This Row],[Date]])</f>
        <v>11</v>
      </c>
      <c r="I723" s="3">
        <f>Query1[[#This Row],[Shares]]*Query1[[#This Row],[Adj Close]]</f>
        <v>851670.35781852016</v>
      </c>
      <c r="J723" s="3">
        <f>IF(ROW()&lt;3, Dashboard!$E$7, IF(Query1[[#This Row],[Month]]&lt;&gt;H722,J722*(1+Dashboard!$E$4)+Dashboard!$E$5,J722))</f>
        <v>781803.89031870081</v>
      </c>
      <c r="K723">
        <f>IF(ROW()&lt;3, 0,IF(Query1[[#This Row],[Month]]&lt;&gt;H722,IF((J723-I723&gt;0),J723-I723,0),0))</f>
        <v>0</v>
      </c>
      <c r="L723" s="2">
        <f t="shared" si="11"/>
        <v>3592.2989655359538</v>
      </c>
      <c r="M723">
        <f>IF(ROW()&lt;3, 0, IF(Query1[[#This Row],[Month]]&lt;&gt;H722, Dashboard!$J$5,0))</f>
        <v>0</v>
      </c>
      <c r="N723" s="2">
        <f>IF(ROW()&lt;3, Query1[[#This Row],[Shares]], IF(Query1[[#This Row],[Month]]&lt;&gt;H722, N722+Query1[[#This Row],[Fix Top Up]]/Query1[[#This Row],[Adj Close]], N722))</f>
        <v>3386.8168970912366</v>
      </c>
      <c r="O723">
        <f>IF(AND(Query1[[#This Row],[avg]]&gt;0, Query1[[#This Row],[Month]]&lt;&gt;H722),
    IF(Query1[[#This Row],[Adj Close]]&gt;Query1[[#This Row],[avg]],
       Dashboard!$L$5-Dashboard!$E$6,
       Dashboard!$L$5+Dashboard!$E$6
    ), 0
)</f>
        <v>0</v>
      </c>
      <c r="P723" s="2">
        <f>IF(ROW()&lt;3, Query1[[#This Row],[Shares]], IF(Query1[[#This Row],[Month]]&lt;&gt;H722, P722+Query1[[#This Row],[Enhanced top up]]/Query1[[#This Row],[Adj Close]], P722))</f>
        <v>3381.1275770251004</v>
      </c>
      <c r="Q723" s="2">
        <f>IFERROR(AVERAGE(
  IF(ROW()&gt;20, INDEX(G:G, ROW()-20), 0) :
  INDEX(G:G, ROW())
),0)</f>
        <v>227.00532386416481</v>
      </c>
    </row>
    <row r="724" spans="1:17" x14ac:dyDescent="0.4">
      <c r="A724" s="1">
        <v>44876</v>
      </c>
      <c r="B724">
        <v>242.99000549316406</v>
      </c>
      <c r="C724">
        <v>247.99000549316406</v>
      </c>
      <c r="D724">
        <v>241.92999267578125</v>
      </c>
      <c r="E724">
        <v>247.11000061035156</v>
      </c>
      <c r="F724">
        <v>34620200</v>
      </c>
      <c r="G724">
        <v>241.11201477050781</v>
      </c>
      <c r="H724" s="2">
        <f>MONTH(Query1[[#This Row],[Date]])</f>
        <v>11</v>
      </c>
      <c r="I724" s="3">
        <f>Query1[[#This Row],[Shares]]*Query1[[#This Row],[Adj Close]]</f>
        <v>866146.44123838481</v>
      </c>
      <c r="J724" s="3">
        <f>IF(ROW()&lt;3, Dashboard!$E$7, IF(Query1[[#This Row],[Month]]&lt;&gt;H723,J723*(1+Dashboard!$E$4)+Dashboard!$E$5,J723))</f>
        <v>781803.89031870081</v>
      </c>
      <c r="K724">
        <f>IF(ROW()&lt;3, 0,IF(Query1[[#This Row],[Month]]&lt;&gt;H723,IF((J724-I724&gt;0),J724-I724,0),0))</f>
        <v>0</v>
      </c>
      <c r="L724" s="2">
        <f t="shared" si="11"/>
        <v>3592.2989655359538</v>
      </c>
      <c r="M724">
        <f>IF(ROW()&lt;3, 0, IF(Query1[[#This Row],[Month]]&lt;&gt;H723, Dashboard!$J$5,0))</f>
        <v>0</v>
      </c>
      <c r="N724" s="2">
        <f>IF(ROW()&lt;3, Query1[[#This Row],[Shares]], IF(Query1[[#This Row],[Month]]&lt;&gt;H723, N723+Query1[[#This Row],[Fix Top Up]]/Query1[[#This Row],[Adj Close]], N723))</f>
        <v>3386.8168970912366</v>
      </c>
      <c r="O724">
        <f>IF(AND(Query1[[#This Row],[avg]]&gt;0, Query1[[#This Row],[Month]]&lt;&gt;H723),
    IF(Query1[[#This Row],[Adj Close]]&gt;Query1[[#This Row],[avg]],
       Dashboard!$L$5-Dashboard!$E$6,
       Dashboard!$L$5+Dashboard!$E$6
    ), 0
)</f>
        <v>0</v>
      </c>
      <c r="P724" s="2">
        <f>IF(ROW()&lt;3, Query1[[#This Row],[Shares]], IF(Query1[[#This Row],[Month]]&lt;&gt;H723, P723+Query1[[#This Row],[Enhanced top up]]/Query1[[#This Row],[Adj Close]], P723))</f>
        <v>3381.1275770251004</v>
      </c>
      <c r="Q724" s="2">
        <f>IFERROR(AVERAGE(
  IF(ROW()&gt;20, INDEX(G:G, ROW()-20), 0) :
  INDEX(G:G, ROW())
),0)</f>
        <v>227.60330345517113</v>
      </c>
    </row>
    <row r="725" spans="1:17" x14ac:dyDescent="0.4">
      <c r="A725" s="1">
        <v>44879</v>
      </c>
      <c r="B725">
        <v>241.99000549316406</v>
      </c>
      <c r="C725">
        <v>243.91000366210938</v>
      </c>
      <c r="D725">
        <v>239.21000671386719</v>
      </c>
      <c r="E725">
        <v>241.55000305175781</v>
      </c>
      <c r="F725">
        <v>31123300</v>
      </c>
      <c r="G725">
        <v>235.68701171875</v>
      </c>
      <c r="H725" s="2">
        <f>MONTH(Query1[[#This Row],[Date]])</f>
        <v>11</v>
      </c>
      <c r="I725" s="3">
        <f>Query1[[#This Row],[Shares]]*Query1[[#This Row],[Adj Close]]</f>
        <v>846658.20838752587</v>
      </c>
      <c r="J725" s="3">
        <f>IF(ROW()&lt;3, Dashboard!$E$7, IF(Query1[[#This Row],[Month]]&lt;&gt;H724,J724*(1+Dashboard!$E$4)+Dashboard!$E$5,J724))</f>
        <v>781803.89031870081</v>
      </c>
      <c r="K725">
        <f>IF(ROW()&lt;3, 0,IF(Query1[[#This Row],[Month]]&lt;&gt;H724,IF((J725-I725&gt;0),J725-I725,0),0))</f>
        <v>0</v>
      </c>
      <c r="L725" s="2">
        <f t="shared" si="11"/>
        <v>3592.2989655359538</v>
      </c>
      <c r="M725">
        <f>IF(ROW()&lt;3, 0, IF(Query1[[#This Row],[Month]]&lt;&gt;H724, Dashboard!$J$5,0))</f>
        <v>0</v>
      </c>
      <c r="N725" s="2">
        <f>IF(ROW()&lt;3, Query1[[#This Row],[Shares]], IF(Query1[[#This Row],[Month]]&lt;&gt;H724, N724+Query1[[#This Row],[Fix Top Up]]/Query1[[#This Row],[Adj Close]], N724))</f>
        <v>3386.8168970912366</v>
      </c>
      <c r="O725">
        <f>IF(AND(Query1[[#This Row],[avg]]&gt;0, Query1[[#This Row],[Month]]&lt;&gt;H724),
    IF(Query1[[#This Row],[Adj Close]]&gt;Query1[[#This Row],[avg]],
       Dashboard!$L$5-Dashboard!$E$6,
       Dashboard!$L$5+Dashboard!$E$6
    ), 0
)</f>
        <v>0</v>
      </c>
      <c r="P725" s="2">
        <f>IF(ROW()&lt;3, Query1[[#This Row],[Shares]], IF(Query1[[#This Row],[Month]]&lt;&gt;H724, P724+Query1[[#This Row],[Enhanced top up]]/Query1[[#This Row],[Adj Close]], P724))</f>
        <v>3381.1275770251004</v>
      </c>
      <c r="Q725" s="2">
        <f>IFERROR(AVERAGE(
  IF(ROW()&gt;20, INDEX(G:G, ROW()-20), 0) :
  INDEX(G:G, ROW())
),0)</f>
        <v>228.2068626767113</v>
      </c>
    </row>
    <row r="726" spans="1:17" x14ac:dyDescent="0.4">
      <c r="A726" s="1">
        <v>44880</v>
      </c>
      <c r="B726">
        <v>245.66000366210938</v>
      </c>
      <c r="C726">
        <v>247</v>
      </c>
      <c r="D726">
        <v>240.02999877929688</v>
      </c>
      <c r="E726">
        <v>241.97000122070313</v>
      </c>
      <c r="F726">
        <v>31390100</v>
      </c>
      <c r="G726">
        <v>236.09678649902344</v>
      </c>
      <c r="H726" s="2">
        <f>MONTH(Query1[[#This Row],[Date]])</f>
        <v>11</v>
      </c>
      <c r="I726" s="3">
        <f>Query1[[#This Row],[Shares]]*Query1[[#This Row],[Adj Close]]</f>
        <v>848130.24190680485</v>
      </c>
      <c r="J726" s="3">
        <f>IF(ROW()&lt;3, Dashboard!$E$7, IF(Query1[[#This Row],[Month]]&lt;&gt;H725,J725*(1+Dashboard!$E$4)+Dashboard!$E$5,J725))</f>
        <v>781803.89031870081</v>
      </c>
      <c r="K726">
        <f>IF(ROW()&lt;3, 0,IF(Query1[[#This Row],[Month]]&lt;&gt;H725,IF((J726-I726&gt;0),J726-I726,0),0))</f>
        <v>0</v>
      </c>
      <c r="L726" s="2">
        <f t="shared" si="11"/>
        <v>3592.2989655359538</v>
      </c>
      <c r="M726">
        <f>IF(ROW()&lt;3, 0, IF(Query1[[#This Row],[Month]]&lt;&gt;H725, Dashboard!$J$5,0))</f>
        <v>0</v>
      </c>
      <c r="N726" s="2">
        <f>IF(ROW()&lt;3, Query1[[#This Row],[Shares]], IF(Query1[[#This Row],[Month]]&lt;&gt;H725, N725+Query1[[#This Row],[Fix Top Up]]/Query1[[#This Row],[Adj Close]], N725))</f>
        <v>3386.8168970912366</v>
      </c>
      <c r="O726">
        <f>IF(AND(Query1[[#This Row],[avg]]&gt;0, Query1[[#This Row],[Month]]&lt;&gt;H725),
    IF(Query1[[#This Row],[Adj Close]]&gt;Query1[[#This Row],[avg]],
       Dashboard!$L$5-Dashboard!$E$6,
       Dashboard!$L$5+Dashboard!$E$6
    ), 0
)</f>
        <v>0</v>
      </c>
      <c r="P726" s="2">
        <f>IF(ROW()&lt;3, Query1[[#This Row],[Shares]], IF(Query1[[#This Row],[Month]]&lt;&gt;H725, P725+Query1[[#This Row],[Enhanced top up]]/Query1[[#This Row],[Adj Close]], P725))</f>
        <v>3381.1275770251004</v>
      </c>
      <c r="Q726" s="2">
        <f>IFERROR(AVERAGE(
  IF(ROW()&gt;20, INDEX(G:G, ROW()-20), 0) :
  INDEX(G:G, ROW())
),0)</f>
        <v>228.41315859840029</v>
      </c>
    </row>
    <row r="727" spans="1:17" x14ac:dyDescent="0.4">
      <c r="A727" s="1">
        <v>44881</v>
      </c>
      <c r="B727">
        <v>242.78999328613281</v>
      </c>
      <c r="C727">
        <v>243.80000305175781</v>
      </c>
      <c r="D727">
        <v>240.41999816894531</v>
      </c>
      <c r="E727">
        <v>241.72999572753906</v>
      </c>
      <c r="F727">
        <v>24093300</v>
      </c>
      <c r="G727">
        <v>236.52729797363281</v>
      </c>
      <c r="H727" s="2">
        <f>MONTH(Query1[[#This Row],[Date]])</f>
        <v>11</v>
      </c>
      <c r="I727" s="3">
        <f>Query1[[#This Row],[Shares]]*Query1[[#This Row],[Adj Close]]</f>
        <v>849676.7678316955</v>
      </c>
      <c r="J727" s="3">
        <f>IF(ROW()&lt;3, Dashboard!$E$7, IF(Query1[[#This Row],[Month]]&lt;&gt;H726,J726*(1+Dashboard!$E$4)+Dashboard!$E$5,J726))</f>
        <v>781803.89031870081</v>
      </c>
      <c r="K727">
        <f>IF(ROW()&lt;3, 0,IF(Query1[[#This Row],[Month]]&lt;&gt;H726,IF((J727-I727&gt;0),J727-I727,0),0))</f>
        <v>0</v>
      </c>
      <c r="L727" s="2">
        <f t="shared" si="11"/>
        <v>3592.2989655359538</v>
      </c>
      <c r="M727">
        <f>IF(ROW()&lt;3, 0, IF(Query1[[#This Row],[Month]]&lt;&gt;H726, Dashboard!$J$5,0))</f>
        <v>0</v>
      </c>
      <c r="N727" s="2">
        <f>IF(ROW()&lt;3, Query1[[#This Row],[Shares]], IF(Query1[[#This Row],[Month]]&lt;&gt;H726, N726+Query1[[#This Row],[Fix Top Up]]/Query1[[#This Row],[Adj Close]], N726))</f>
        <v>3386.8168970912366</v>
      </c>
      <c r="O727">
        <f>IF(AND(Query1[[#This Row],[avg]]&gt;0, Query1[[#This Row],[Month]]&lt;&gt;H726),
    IF(Query1[[#This Row],[Adj Close]]&gt;Query1[[#This Row],[avg]],
       Dashboard!$L$5-Dashboard!$E$6,
       Dashboard!$L$5+Dashboard!$E$6
    ), 0
)</f>
        <v>0</v>
      </c>
      <c r="P727" s="2">
        <f>IF(ROW()&lt;3, Query1[[#This Row],[Shares]], IF(Query1[[#This Row],[Month]]&lt;&gt;H726, P726+Query1[[#This Row],[Enhanced top up]]/Query1[[#This Row],[Adj Close]], P726))</f>
        <v>3381.1275770251004</v>
      </c>
      <c r="Q727" s="2">
        <f>IFERROR(AVERAGE(
  IF(ROW()&gt;20, INDEX(G:G, ROW()-20), 0) :
  INDEX(G:G, ROW())
),0)</f>
        <v>228.59488786969865</v>
      </c>
    </row>
    <row r="728" spans="1:17" x14ac:dyDescent="0.4">
      <c r="A728" s="1">
        <v>44882</v>
      </c>
      <c r="B728">
        <v>237.77999877929688</v>
      </c>
      <c r="C728">
        <v>243.25</v>
      </c>
      <c r="D728">
        <v>237.6300048828125</v>
      </c>
      <c r="E728">
        <v>241.67999267578125</v>
      </c>
      <c r="F728">
        <v>23123500</v>
      </c>
      <c r="G728">
        <v>236.47837829589844</v>
      </c>
      <c r="H728" s="2">
        <f>MONTH(Query1[[#This Row],[Date]])</f>
        <v>11</v>
      </c>
      <c r="I728" s="3">
        <f>Query1[[#This Row],[Shares]]*Query1[[#This Row],[Adj Close]]</f>
        <v>849501.03372397588</v>
      </c>
      <c r="J728" s="3">
        <f>IF(ROW()&lt;3, Dashboard!$E$7, IF(Query1[[#This Row],[Month]]&lt;&gt;H727,J727*(1+Dashboard!$E$4)+Dashboard!$E$5,J727))</f>
        <v>781803.89031870081</v>
      </c>
      <c r="K728">
        <f>IF(ROW()&lt;3, 0,IF(Query1[[#This Row],[Month]]&lt;&gt;H727,IF((J728-I728&gt;0),J728-I728,0),0))</f>
        <v>0</v>
      </c>
      <c r="L728" s="2">
        <f t="shared" si="11"/>
        <v>3592.2989655359538</v>
      </c>
      <c r="M728">
        <f>IF(ROW()&lt;3, 0, IF(Query1[[#This Row],[Month]]&lt;&gt;H727, Dashboard!$J$5,0))</f>
        <v>0</v>
      </c>
      <c r="N728" s="2">
        <f>IF(ROW()&lt;3, Query1[[#This Row],[Shares]], IF(Query1[[#This Row],[Month]]&lt;&gt;H727, N727+Query1[[#This Row],[Fix Top Up]]/Query1[[#This Row],[Adj Close]], N727))</f>
        <v>3386.8168970912366</v>
      </c>
      <c r="O728">
        <f>IF(AND(Query1[[#This Row],[avg]]&gt;0, Query1[[#This Row],[Month]]&lt;&gt;H727),
    IF(Query1[[#This Row],[Adj Close]]&gt;Query1[[#This Row],[avg]],
       Dashboard!$L$5-Dashboard!$E$6,
       Dashboard!$L$5+Dashboard!$E$6
    ), 0
)</f>
        <v>0</v>
      </c>
      <c r="P728" s="2">
        <f>IF(ROW()&lt;3, Query1[[#This Row],[Shares]], IF(Query1[[#This Row],[Month]]&lt;&gt;H727, P727+Query1[[#This Row],[Enhanced top up]]/Query1[[#This Row],[Adj Close]], P727))</f>
        <v>3381.1275770251004</v>
      </c>
      <c r="Q728" s="2">
        <f>IFERROR(AVERAGE(
  IF(ROW()&gt;20, INDEX(G:G, ROW()-20), 0) :
  INDEX(G:G, ROW())
),0)</f>
        <v>228.86814153762091</v>
      </c>
    </row>
    <row r="729" spans="1:17" x14ac:dyDescent="0.4">
      <c r="A729" s="1">
        <v>44883</v>
      </c>
      <c r="B729">
        <v>243.50999450683594</v>
      </c>
      <c r="C729">
        <v>243.74000549316406</v>
      </c>
      <c r="D729">
        <v>239.02999877929688</v>
      </c>
      <c r="E729">
        <v>241.22000122070313</v>
      </c>
      <c r="F729">
        <v>27613500</v>
      </c>
      <c r="G729">
        <v>236.02828979492188</v>
      </c>
      <c r="H729" s="2">
        <f>MONTH(Query1[[#This Row],[Date]])</f>
        <v>11</v>
      </c>
      <c r="I729" s="3">
        <f>Query1[[#This Row],[Shares]]*Query1[[#This Row],[Adj Close]]</f>
        <v>847884.1812675182</v>
      </c>
      <c r="J729" s="3">
        <f>IF(ROW()&lt;3, Dashboard!$E$7, IF(Query1[[#This Row],[Month]]&lt;&gt;H728,J728*(1+Dashboard!$E$4)+Dashboard!$E$5,J728))</f>
        <v>781803.89031870081</v>
      </c>
      <c r="K729">
        <f>IF(ROW()&lt;3, 0,IF(Query1[[#This Row],[Month]]&lt;&gt;H728,IF((J729-I729&gt;0),J729-I729,0),0))</f>
        <v>0</v>
      </c>
      <c r="L729" s="2">
        <f t="shared" si="11"/>
        <v>3592.2989655359538</v>
      </c>
      <c r="M729">
        <f>IF(ROW()&lt;3, 0, IF(Query1[[#This Row],[Month]]&lt;&gt;H728, Dashboard!$J$5,0))</f>
        <v>0</v>
      </c>
      <c r="N729" s="2">
        <f>IF(ROW()&lt;3, Query1[[#This Row],[Shares]], IF(Query1[[#This Row],[Month]]&lt;&gt;H728, N728+Query1[[#This Row],[Fix Top Up]]/Query1[[#This Row],[Adj Close]], N728))</f>
        <v>3386.8168970912366</v>
      </c>
      <c r="O729">
        <f>IF(AND(Query1[[#This Row],[avg]]&gt;0, Query1[[#This Row],[Month]]&lt;&gt;H728),
    IF(Query1[[#This Row],[Adj Close]]&gt;Query1[[#This Row],[avg]],
       Dashboard!$L$5-Dashboard!$E$6,
       Dashboard!$L$5+Dashboard!$E$6
    ), 0
)</f>
        <v>0</v>
      </c>
      <c r="P729" s="2">
        <f>IF(ROW()&lt;3, Query1[[#This Row],[Shares]], IF(Query1[[#This Row],[Month]]&lt;&gt;H728, P728+Query1[[#This Row],[Enhanced top up]]/Query1[[#This Row],[Adj Close]], P728))</f>
        <v>3381.1275770251004</v>
      </c>
      <c r="Q729" s="2">
        <f>IFERROR(AVERAGE(
  IF(ROW()&gt;20, INDEX(G:G, ROW()-20), 0) :
  INDEX(G:G, ROW())
),0)</f>
        <v>229.13529532296317</v>
      </c>
    </row>
    <row r="730" spans="1:17" x14ac:dyDescent="0.4">
      <c r="A730" s="1">
        <v>44886</v>
      </c>
      <c r="B730">
        <v>241.42999267578125</v>
      </c>
      <c r="C730">
        <v>244.66999816894531</v>
      </c>
      <c r="D730">
        <v>241.19000244140625</v>
      </c>
      <c r="E730">
        <v>242.05000305175781</v>
      </c>
      <c r="F730">
        <v>26394700</v>
      </c>
      <c r="G730">
        <v>236.84042358398438</v>
      </c>
      <c r="H730" s="2">
        <f>MONTH(Query1[[#This Row],[Date]])</f>
        <v>11</v>
      </c>
      <c r="I730" s="3">
        <f>Query1[[#This Row],[Shares]]*Query1[[#This Row],[Adj Close]]</f>
        <v>850801.60863784421</v>
      </c>
      <c r="J730" s="3">
        <f>IF(ROW()&lt;3, Dashboard!$E$7, IF(Query1[[#This Row],[Month]]&lt;&gt;H729,J729*(1+Dashboard!$E$4)+Dashboard!$E$5,J729))</f>
        <v>781803.89031870081</v>
      </c>
      <c r="K730">
        <f>IF(ROW()&lt;3, 0,IF(Query1[[#This Row],[Month]]&lt;&gt;H729,IF((J730-I730&gt;0),J730-I730,0),0))</f>
        <v>0</v>
      </c>
      <c r="L730" s="2">
        <f t="shared" si="11"/>
        <v>3592.2989655359538</v>
      </c>
      <c r="M730">
        <f>IF(ROW()&lt;3, 0, IF(Query1[[#This Row],[Month]]&lt;&gt;H729, Dashboard!$J$5,0))</f>
        <v>0</v>
      </c>
      <c r="N730" s="2">
        <f>IF(ROW()&lt;3, Query1[[#This Row],[Shares]], IF(Query1[[#This Row],[Month]]&lt;&gt;H729, N729+Query1[[#This Row],[Fix Top Up]]/Query1[[#This Row],[Adj Close]], N729))</f>
        <v>3386.8168970912366</v>
      </c>
      <c r="O730">
        <f>IF(AND(Query1[[#This Row],[avg]]&gt;0, Query1[[#This Row],[Month]]&lt;&gt;H729),
    IF(Query1[[#This Row],[Adj Close]]&gt;Query1[[#This Row],[avg]],
       Dashboard!$L$5-Dashboard!$E$6,
       Dashboard!$L$5+Dashboard!$E$6
    ), 0
)</f>
        <v>0</v>
      </c>
      <c r="P730" s="2">
        <f>IF(ROW()&lt;3, Query1[[#This Row],[Shares]], IF(Query1[[#This Row],[Month]]&lt;&gt;H729, P729+Query1[[#This Row],[Enhanced top up]]/Query1[[#This Row],[Adj Close]], P729))</f>
        <v>3381.1275770251004</v>
      </c>
      <c r="Q730" s="2">
        <f>IFERROR(AVERAGE(
  IF(ROW()&gt;20, INDEX(G:G, ROW()-20), 0) :
  INDEX(G:G, ROW())
),0)</f>
        <v>229.16373843238466</v>
      </c>
    </row>
    <row r="731" spans="1:17" x14ac:dyDescent="0.4">
      <c r="A731" s="1">
        <v>44887</v>
      </c>
      <c r="B731">
        <v>243.58999633789063</v>
      </c>
      <c r="C731">
        <v>245.30999755859375</v>
      </c>
      <c r="D731">
        <v>240.71000671386719</v>
      </c>
      <c r="E731">
        <v>245.02999877929688</v>
      </c>
      <c r="F731">
        <v>19665700</v>
      </c>
      <c r="G731">
        <v>239.75627136230469</v>
      </c>
      <c r="H731" s="2">
        <f>MONTH(Query1[[#This Row],[Date]])</f>
        <v>11</v>
      </c>
      <c r="I731" s="3">
        <f>Query1[[#This Row],[Shares]]*Query1[[#This Row],[Adj Close]]</f>
        <v>861276.20559556456</v>
      </c>
      <c r="J731" s="3">
        <f>IF(ROW()&lt;3, Dashboard!$E$7, IF(Query1[[#This Row],[Month]]&lt;&gt;H730,J730*(1+Dashboard!$E$4)+Dashboard!$E$5,J730))</f>
        <v>781803.89031870081</v>
      </c>
      <c r="K731">
        <f>IF(ROW()&lt;3, 0,IF(Query1[[#This Row],[Month]]&lt;&gt;H730,IF((J731-I731&gt;0),J731-I731,0),0))</f>
        <v>0</v>
      </c>
      <c r="L731" s="2">
        <f t="shared" si="11"/>
        <v>3592.2989655359538</v>
      </c>
      <c r="M731">
        <f>IF(ROW()&lt;3, 0, IF(Query1[[#This Row],[Month]]&lt;&gt;H730, Dashboard!$J$5,0))</f>
        <v>0</v>
      </c>
      <c r="N731" s="2">
        <f>IF(ROW()&lt;3, Query1[[#This Row],[Shares]], IF(Query1[[#This Row],[Month]]&lt;&gt;H730, N730+Query1[[#This Row],[Fix Top Up]]/Query1[[#This Row],[Adj Close]], N730))</f>
        <v>3386.8168970912366</v>
      </c>
      <c r="O731">
        <f>IF(AND(Query1[[#This Row],[avg]]&gt;0, Query1[[#This Row],[Month]]&lt;&gt;H730),
    IF(Query1[[#This Row],[Adj Close]]&gt;Query1[[#This Row],[avg]],
       Dashboard!$L$5-Dashboard!$E$6,
       Dashboard!$L$5+Dashboard!$E$6
    ), 0
)</f>
        <v>0</v>
      </c>
      <c r="P731" s="2">
        <f>IF(ROW()&lt;3, Query1[[#This Row],[Shares]], IF(Query1[[#This Row],[Month]]&lt;&gt;H730, P730+Query1[[#This Row],[Enhanced top up]]/Query1[[#This Row],[Adj Close]], P730))</f>
        <v>3381.1275770251004</v>
      </c>
      <c r="Q731" s="2">
        <f>IFERROR(AVERAGE(
  IF(ROW()&gt;20, INDEX(G:G, ROW()-20), 0) :
  INDEX(G:G, ROW())
),0)</f>
        <v>229.0926746186756</v>
      </c>
    </row>
    <row r="732" spans="1:17" x14ac:dyDescent="0.4">
      <c r="A732" s="1">
        <v>44888</v>
      </c>
      <c r="B732">
        <v>245.11000061035156</v>
      </c>
      <c r="C732">
        <v>248.27999877929688</v>
      </c>
      <c r="D732">
        <v>244.27000427246094</v>
      </c>
      <c r="E732">
        <v>247.58000183105469</v>
      </c>
      <c r="F732">
        <v>19508500</v>
      </c>
      <c r="G732">
        <v>242.25138854980469</v>
      </c>
      <c r="H732" s="2">
        <f>MONTH(Query1[[#This Row],[Date]])</f>
        <v>11</v>
      </c>
      <c r="I732" s="3">
        <f>Query1[[#This Row],[Shares]]*Query1[[#This Row],[Adj Close]]</f>
        <v>870239.41248711175</v>
      </c>
      <c r="J732" s="3">
        <f>IF(ROW()&lt;3, Dashboard!$E$7, IF(Query1[[#This Row],[Month]]&lt;&gt;H731,J731*(1+Dashboard!$E$4)+Dashboard!$E$5,J731))</f>
        <v>781803.89031870081</v>
      </c>
      <c r="K732">
        <f>IF(ROW()&lt;3, 0,IF(Query1[[#This Row],[Month]]&lt;&gt;H731,IF((J732-I732&gt;0),J732-I732,0),0))</f>
        <v>0</v>
      </c>
      <c r="L732" s="2">
        <f t="shared" si="11"/>
        <v>3592.2989655359538</v>
      </c>
      <c r="M732">
        <f>IF(ROW()&lt;3, 0, IF(Query1[[#This Row],[Month]]&lt;&gt;H731, Dashboard!$J$5,0))</f>
        <v>0</v>
      </c>
      <c r="N732" s="2">
        <f>IF(ROW()&lt;3, Query1[[#This Row],[Shares]], IF(Query1[[#This Row],[Month]]&lt;&gt;H731, N731+Query1[[#This Row],[Fix Top Up]]/Query1[[#This Row],[Adj Close]], N731))</f>
        <v>3386.8168970912366</v>
      </c>
      <c r="O732">
        <f>IF(AND(Query1[[#This Row],[avg]]&gt;0, Query1[[#This Row],[Month]]&lt;&gt;H731),
    IF(Query1[[#This Row],[Adj Close]]&gt;Query1[[#This Row],[avg]],
       Dashboard!$L$5-Dashboard!$E$6,
       Dashboard!$L$5+Dashboard!$E$6
    ), 0
)</f>
        <v>0</v>
      </c>
      <c r="P732" s="2">
        <f>IF(ROW()&lt;3, Query1[[#This Row],[Shares]], IF(Query1[[#This Row],[Month]]&lt;&gt;H731, P731+Query1[[#This Row],[Enhanced top up]]/Query1[[#This Row],[Adj Close]], P731))</f>
        <v>3381.1275770251004</v>
      </c>
      <c r="Q732" s="2">
        <f>IFERROR(AVERAGE(
  IF(ROW()&gt;20, INDEX(G:G, ROW()-20), 0) :
  INDEX(G:G, ROW())
),0)</f>
        <v>228.98198590959822</v>
      </c>
    </row>
    <row r="733" spans="1:17" x14ac:dyDescent="0.4">
      <c r="A733" s="1">
        <v>44890</v>
      </c>
      <c r="B733">
        <v>247.30999755859375</v>
      </c>
      <c r="C733">
        <v>248.69999694824219</v>
      </c>
      <c r="D733">
        <v>246.72999572753906</v>
      </c>
      <c r="E733">
        <v>247.49000549316406</v>
      </c>
      <c r="F733">
        <v>9200800</v>
      </c>
      <c r="G733">
        <v>242.16334533691406</v>
      </c>
      <c r="H733" s="2">
        <f>MONTH(Query1[[#This Row],[Date]])</f>
        <v>11</v>
      </c>
      <c r="I733" s="3">
        <f>Query1[[#This Row],[Shares]]*Query1[[#This Row],[Adj Close]]</f>
        <v>869923.13494452229</v>
      </c>
      <c r="J733" s="3">
        <f>IF(ROW()&lt;3, Dashboard!$E$7, IF(Query1[[#This Row],[Month]]&lt;&gt;H732,J732*(1+Dashboard!$E$4)+Dashboard!$E$5,J732))</f>
        <v>781803.89031870081</v>
      </c>
      <c r="K733">
        <f>IF(ROW()&lt;3, 0,IF(Query1[[#This Row],[Month]]&lt;&gt;H732,IF((J733-I733&gt;0),J733-I733,0),0))</f>
        <v>0</v>
      </c>
      <c r="L733" s="2">
        <f t="shared" si="11"/>
        <v>3592.2989655359538</v>
      </c>
      <c r="M733">
        <f>IF(ROW()&lt;3, 0, IF(Query1[[#This Row],[Month]]&lt;&gt;H732, Dashboard!$J$5,0))</f>
        <v>0</v>
      </c>
      <c r="N733" s="2">
        <f>IF(ROW()&lt;3, Query1[[#This Row],[Shares]], IF(Query1[[#This Row],[Month]]&lt;&gt;H732, N732+Query1[[#This Row],[Fix Top Up]]/Query1[[#This Row],[Adj Close]], N732))</f>
        <v>3386.8168970912366</v>
      </c>
      <c r="O733">
        <f>IF(AND(Query1[[#This Row],[avg]]&gt;0, Query1[[#This Row],[Month]]&lt;&gt;H732),
    IF(Query1[[#This Row],[Adj Close]]&gt;Query1[[#This Row],[avg]],
       Dashboard!$L$5-Dashboard!$E$6,
       Dashboard!$L$5+Dashboard!$E$6
    ), 0
)</f>
        <v>0</v>
      </c>
      <c r="P733" s="2">
        <f>IF(ROW()&lt;3, Query1[[#This Row],[Shares]], IF(Query1[[#This Row],[Month]]&lt;&gt;H732, P732+Query1[[#This Row],[Enhanced top up]]/Query1[[#This Row],[Adj Close]], P732))</f>
        <v>3381.1275770251004</v>
      </c>
      <c r="Q733" s="2">
        <f>IFERROR(AVERAGE(
  IF(ROW()&gt;20, INDEX(G:G, ROW()-20), 0) :
  INDEX(G:G, ROW())
),0)</f>
        <v>229.76570347377233</v>
      </c>
    </row>
    <row r="734" spans="1:17" x14ac:dyDescent="0.4">
      <c r="A734" s="1">
        <v>44893</v>
      </c>
      <c r="B734">
        <v>246.08000183105469</v>
      </c>
      <c r="C734">
        <v>246.64999389648438</v>
      </c>
      <c r="D734">
        <v>240.80000305175781</v>
      </c>
      <c r="E734">
        <v>241.75999450683594</v>
      </c>
      <c r="F734">
        <v>24778200</v>
      </c>
      <c r="G734">
        <v>236.556640625</v>
      </c>
      <c r="H734" s="2">
        <f>MONTH(Query1[[#This Row],[Date]])</f>
        <v>11</v>
      </c>
      <c r="I734" s="3">
        <f>Query1[[#This Row],[Shares]]*Query1[[#This Row],[Adj Close]]</f>
        <v>849782.17540784786</v>
      </c>
      <c r="J734" s="3">
        <f>IF(ROW()&lt;3, Dashboard!$E$7, IF(Query1[[#This Row],[Month]]&lt;&gt;H733,J733*(1+Dashboard!$E$4)+Dashboard!$E$5,J733))</f>
        <v>781803.89031870081</v>
      </c>
      <c r="K734">
        <f>IF(ROW()&lt;3, 0,IF(Query1[[#This Row],[Month]]&lt;&gt;H733,IF((J734-I734&gt;0),J734-I734,0),0))</f>
        <v>0</v>
      </c>
      <c r="L734" s="2">
        <f t="shared" si="11"/>
        <v>3592.2989655359538</v>
      </c>
      <c r="M734">
        <f>IF(ROW()&lt;3, 0, IF(Query1[[#This Row],[Month]]&lt;&gt;H733, Dashboard!$J$5,0))</f>
        <v>0</v>
      </c>
      <c r="N734" s="2">
        <f>IF(ROW()&lt;3, Query1[[#This Row],[Shares]], IF(Query1[[#This Row],[Month]]&lt;&gt;H733, N733+Query1[[#This Row],[Fix Top Up]]/Query1[[#This Row],[Adj Close]], N733))</f>
        <v>3386.8168970912366</v>
      </c>
      <c r="O734">
        <f>IF(AND(Query1[[#This Row],[avg]]&gt;0, Query1[[#This Row],[Month]]&lt;&gt;H733),
    IF(Query1[[#This Row],[Adj Close]]&gt;Query1[[#This Row],[avg]],
       Dashboard!$L$5-Dashboard!$E$6,
       Dashboard!$L$5+Dashboard!$E$6
    ), 0
)</f>
        <v>0</v>
      </c>
      <c r="P734" s="2">
        <f>IF(ROW()&lt;3, Query1[[#This Row],[Shares]], IF(Query1[[#This Row],[Month]]&lt;&gt;H733, P733+Query1[[#This Row],[Enhanced top up]]/Query1[[#This Row],[Adj Close]], P733))</f>
        <v>3381.1275770251004</v>
      </c>
      <c r="Q734" s="2">
        <f>IFERROR(AVERAGE(
  IF(ROW()&gt;20, INDEX(G:G, ROW()-20), 0) :
  INDEX(G:G, ROW())
),0)</f>
        <v>230.49477204822358</v>
      </c>
    </row>
    <row r="735" spans="1:17" x14ac:dyDescent="0.4">
      <c r="A735" s="1">
        <v>44894</v>
      </c>
      <c r="B735">
        <v>241.39999389648438</v>
      </c>
      <c r="C735">
        <v>242.78999328613281</v>
      </c>
      <c r="D735">
        <v>238.21000671386719</v>
      </c>
      <c r="E735">
        <v>240.33000183105469</v>
      </c>
      <c r="F735">
        <v>17956300</v>
      </c>
      <c r="G735">
        <v>235.15745544433594</v>
      </c>
      <c r="H735" s="2">
        <f>MONTH(Query1[[#This Row],[Date]])</f>
        <v>11</v>
      </c>
      <c r="I735" s="3">
        <f>Query1[[#This Row],[Shares]]*Query1[[#This Row],[Adj Close]]</f>
        <v>844755.88393075508</v>
      </c>
      <c r="J735" s="3">
        <f>IF(ROW()&lt;3, Dashboard!$E$7, IF(Query1[[#This Row],[Month]]&lt;&gt;H734,J734*(1+Dashboard!$E$4)+Dashboard!$E$5,J734))</f>
        <v>781803.89031870081</v>
      </c>
      <c r="K735">
        <f>IF(ROW()&lt;3, 0,IF(Query1[[#This Row],[Month]]&lt;&gt;H734,IF((J735-I735&gt;0),J735-I735,0),0))</f>
        <v>0</v>
      </c>
      <c r="L735" s="2">
        <f t="shared" si="11"/>
        <v>3592.2989655359538</v>
      </c>
      <c r="M735">
        <f>IF(ROW()&lt;3, 0, IF(Query1[[#This Row],[Month]]&lt;&gt;H734, Dashboard!$J$5,0))</f>
        <v>0</v>
      </c>
      <c r="N735" s="2">
        <f>IF(ROW()&lt;3, Query1[[#This Row],[Shares]], IF(Query1[[#This Row],[Month]]&lt;&gt;H734, N734+Query1[[#This Row],[Fix Top Up]]/Query1[[#This Row],[Adj Close]], N734))</f>
        <v>3386.8168970912366</v>
      </c>
      <c r="O735">
        <f>IF(AND(Query1[[#This Row],[avg]]&gt;0, Query1[[#This Row],[Month]]&lt;&gt;H734),
    IF(Query1[[#This Row],[Adj Close]]&gt;Query1[[#This Row],[avg]],
       Dashboard!$L$5-Dashboard!$E$6,
       Dashboard!$L$5+Dashboard!$E$6
    ), 0
)</f>
        <v>0</v>
      </c>
      <c r="P735" s="2">
        <f>IF(ROW()&lt;3, Query1[[#This Row],[Shares]], IF(Query1[[#This Row],[Month]]&lt;&gt;H734, P734+Query1[[#This Row],[Enhanced top up]]/Query1[[#This Row],[Adj Close]], P734))</f>
        <v>3381.1275770251004</v>
      </c>
      <c r="Q735" s="2">
        <f>IFERROR(AVERAGE(
  IF(ROW()&gt;20, INDEX(G:G, ROW()-20), 0) :
  INDEX(G:G, ROW())
),0)</f>
        <v>230.73346819196428</v>
      </c>
    </row>
    <row r="736" spans="1:17" x14ac:dyDescent="0.4">
      <c r="A736" s="1">
        <v>44895</v>
      </c>
      <c r="B736">
        <v>240.57000732421875</v>
      </c>
      <c r="C736">
        <v>255.33000183105469</v>
      </c>
      <c r="D736">
        <v>239.86000061035156</v>
      </c>
      <c r="E736">
        <v>255.13999938964844</v>
      </c>
      <c r="F736">
        <v>47594200</v>
      </c>
      <c r="G736">
        <v>249.648681640625</v>
      </c>
      <c r="H736" s="2">
        <f>MONTH(Query1[[#This Row],[Date]])</f>
        <v>11</v>
      </c>
      <c r="I736" s="3">
        <f>Query1[[#This Row],[Shares]]*Query1[[#This Row],[Adj Close]]</f>
        <v>896812.70080503181</v>
      </c>
      <c r="J736" s="3">
        <f>IF(ROW()&lt;3, Dashboard!$E$7, IF(Query1[[#This Row],[Month]]&lt;&gt;H735,J735*(1+Dashboard!$E$4)+Dashboard!$E$5,J735))</f>
        <v>781803.89031870081</v>
      </c>
      <c r="K736">
        <f>IF(ROW()&lt;3, 0,IF(Query1[[#This Row],[Month]]&lt;&gt;H735,IF((J736-I736&gt;0),J736-I736,0),0))</f>
        <v>0</v>
      </c>
      <c r="L736" s="2">
        <f t="shared" si="11"/>
        <v>3592.2989655359538</v>
      </c>
      <c r="M736">
        <f>IF(ROW()&lt;3, 0, IF(Query1[[#This Row],[Month]]&lt;&gt;H735, Dashboard!$J$5,0))</f>
        <v>0</v>
      </c>
      <c r="N736" s="2">
        <f>IF(ROW()&lt;3, Query1[[#This Row],[Shares]], IF(Query1[[#This Row],[Month]]&lt;&gt;H735, N735+Query1[[#This Row],[Fix Top Up]]/Query1[[#This Row],[Adj Close]], N735))</f>
        <v>3386.8168970912366</v>
      </c>
      <c r="O736">
        <f>IF(AND(Query1[[#This Row],[avg]]&gt;0, Query1[[#This Row],[Month]]&lt;&gt;H735),
    IF(Query1[[#This Row],[Adj Close]]&gt;Query1[[#This Row],[avg]],
       Dashboard!$L$5-Dashboard!$E$6,
       Dashboard!$L$5+Dashboard!$E$6
    ), 0
)</f>
        <v>0</v>
      </c>
      <c r="P736" s="2">
        <f>IF(ROW()&lt;3, Query1[[#This Row],[Shares]], IF(Query1[[#This Row],[Month]]&lt;&gt;H735, P735+Query1[[#This Row],[Enhanced top up]]/Query1[[#This Row],[Adj Close]], P735))</f>
        <v>3381.1275770251004</v>
      </c>
      <c r="Q736" s="2">
        <f>IFERROR(AVERAGE(
  IF(ROW()&gt;20, INDEX(G:G, ROW()-20), 0) :
  INDEX(G:G, ROW())
),0)</f>
        <v>231.83599344889322</v>
      </c>
    </row>
    <row r="737" spans="1:17" x14ac:dyDescent="0.4">
      <c r="A737" s="1">
        <v>44896</v>
      </c>
      <c r="B737">
        <v>253.8699951171875</v>
      </c>
      <c r="C737">
        <v>256.1199951171875</v>
      </c>
      <c r="D737">
        <v>250.91999816894531</v>
      </c>
      <c r="E737">
        <v>254.69000244140625</v>
      </c>
      <c r="F737">
        <v>26041500</v>
      </c>
      <c r="G737">
        <v>249.20834350585938</v>
      </c>
      <c r="H737" s="2">
        <f>MONTH(Query1[[#This Row],[Date]])</f>
        <v>12</v>
      </c>
      <c r="I737" s="3">
        <f>Query1[[#This Row],[Shares]]*Query1[[#This Row],[Adj Close]]</f>
        <v>895230.8745790273</v>
      </c>
      <c r="J737" s="3">
        <f>IF(ROW()&lt;3, Dashboard!$E$7, IF(Query1[[#This Row],[Month]]&lt;&gt;H736,J736*(1+Dashboard!$E$4)+Dashboard!$E$5,J736))</f>
        <v>791621.92922188784</v>
      </c>
      <c r="K737">
        <f>IF(ROW()&lt;3, 0,IF(Query1[[#This Row],[Month]]&lt;&gt;H736,IF((J737-I737&gt;0),J737-I737,0),0))</f>
        <v>0</v>
      </c>
      <c r="L737" s="2">
        <f t="shared" si="11"/>
        <v>3592.2989655359538</v>
      </c>
      <c r="M737">
        <f>IF(ROW()&lt;3, 0, IF(Query1[[#This Row],[Month]]&lt;&gt;H736, Dashboard!$J$5,0))</f>
        <v>773.47399999999971</v>
      </c>
      <c r="N737" s="2">
        <f>IF(ROW()&lt;3, Query1[[#This Row],[Shares]], IF(Query1[[#This Row],[Month]]&lt;&gt;H736, N736+Query1[[#This Row],[Fix Top Up]]/Query1[[#This Row],[Adj Close]], N736))</f>
        <v>3389.9206214253372</v>
      </c>
      <c r="O737">
        <f>IF(AND(Query1[[#This Row],[avg]]&gt;0, Query1[[#This Row],[Month]]&lt;&gt;H736),
    IF(Query1[[#This Row],[Adj Close]]&gt;Query1[[#This Row],[avg]],
       Dashboard!$L$5-Dashboard!$E$6,
       Dashboard!$L$5+Dashboard!$E$6
    ), 0
)</f>
        <v>390.14066666666668</v>
      </c>
      <c r="P737" s="2">
        <f>IF(ROW()&lt;3, Query1[[#This Row],[Shares]], IF(Query1[[#This Row],[Month]]&lt;&gt;H736, P736+Query1[[#This Row],[Enhanced top up]]/Query1[[#This Row],[Adj Close]], P736))</f>
        <v>3382.6930971083293</v>
      </c>
      <c r="Q737" s="2">
        <f>IFERROR(AVERAGE(
  IF(ROW()&gt;20, INDEX(G:G, ROW()-20), 0) :
  INDEX(G:G, ROW())
),0)</f>
        <v>233.10154651460192</v>
      </c>
    </row>
    <row r="738" spans="1:17" x14ac:dyDescent="0.4">
      <c r="A738" s="1">
        <v>44897</v>
      </c>
      <c r="B738">
        <v>249.82000732421875</v>
      </c>
      <c r="C738">
        <v>256.05999755859375</v>
      </c>
      <c r="D738">
        <v>249.69000244140625</v>
      </c>
      <c r="E738">
        <v>255.02000427246094</v>
      </c>
      <c r="F738">
        <v>21528500</v>
      </c>
      <c r="G738">
        <v>249.53129577636719</v>
      </c>
      <c r="H738" s="2">
        <f>MONTH(Query1[[#This Row],[Date]])</f>
        <v>12</v>
      </c>
      <c r="I738" s="3">
        <f>Query1[[#This Row],[Shares]]*Query1[[#This Row],[Adj Close]]</f>
        <v>896391.01568628999</v>
      </c>
      <c r="J738" s="3">
        <f>IF(ROW()&lt;3, Dashboard!$E$7, IF(Query1[[#This Row],[Month]]&lt;&gt;H737,J737*(1+Dashboard!$E$4)+Dashboard!$E$5,J737))</f>
        <v>791621.92922188784</v>
      </c>
      <c r="K738">
        <f>IF(ROW()&lt;3, 0,IF(Query1[[#This Row],[Month]]&lt;&gt;H737,IF((J738-I738&gt;0),J738-I738,0),0))</f>
        <v>0</v>
      </c>
      <c r="L738" s="2">
        <f t="shared" si="11"/>
        <v>3592.2989655359538</v>
      </c>
      <c r="M738">
        <f>IF(ROW()&lt;3, 0, IF(Query1[[#This Row],[Month]]&lt;&gt;H737, Dashboard!$J$5,0))</f>
        <v>0</v>
      </c>
      <c r="N738" s="2">
        <f>IF(ROW()&lt;3, Query1[[#This Row],[Shares]], IF(Query1[[#This Row],[Month]]&lt;&gt;H737, N737+Query1[[#This Row],[Fix Top Up]]/Query1[[#This Row],[Adj Close]], N737))</f>
        <v>3389.9206214253372</v>
      </c>
      <c r="O738">
        <f>IF(AND(Query1[[#This Row],[avg]]&gt;0, Query1[[#This Row],[Month]]&lt;&gt;H737),
    IF(Query1[[#This Row],[Adj Close]]&gt;Query1[[#This Row],[avg]],
       Dashboard!$L$5-Dashboard!$E$6,
       Dashboard!$L$5+Dashboard!$E$6
    ), 0
)</f>
        <v>0</v>
      </c>
      <c r="P738" s="2">
        <f>IF(ROW()&lt;3, Query1[[#This Row],[Shares]], IF(Query1[[#This Row],[Month]]&lt;&gt;H737, P737+Query1[[#This Row],[Enhanced top up]]/Query1[[#This Row],[Adj Close]], P737))</f>
        <v>3382.6930971083293</v>
      </c>
      <c r="Q738" s="2">
        <f>IFERROR(AVERAGE(
  IF(ROW()&gt;20, INDEX(G:G, ROW()-20), 0) :
  INDEX(G:G, ROW())
),0)</f>
        <v>234.75743611653647</v>
      </c>
    </row>
    <row r="739" spans="1:17" x14ac:dyDescent="0.4">
      <c r="A739" s="1">
        <v>44900</v>
      </c>
      <c r="B739">
        <v>252.00999450683594</v>
      </c>
      <c r="C739">
        <v>253.82000732421875</v>
      </c>
      <c r="D739">
        <v>248.05999755859375</v>
      </c>
      <c r="E739">
        <v>250.19999694824219</v>
      </c>
      <c r="F739">
        <v>23435300</v>
      </c>
      <c r="G739">
        <v>244.81498718261719</v>
      </c>
      <c r="H739" s="2">
        <f>MONTH(Query1[[#This Row],[Date]])</f>
        <v>12</v>
      </c>
      <c r="I739" s="3">
        <f>Query1[[#This Row],[Shares]]*Query1[[#This Row],[Adj Close]]</f>
        <v>879448.62520381354</v>
      </c>
      <c r="J739" s="3">
        <f>IF(ROW()&lt;3, Dashboard!$E$7, IF(Query1[[#This Row],[Month]]&lt;&gt;H738,J738*(1+Dashboard!$E$4)+Dashboard!$E$5,J738))</f>
        <v>791621.92922188784</v>
      </c>
      <c r="K739">
        <f>IF(ROW()&lt;3, 0,IF(Query1[[#This Row],[Month]]&lt;&gt;H738,IF((J739-I739&gt;0),J739-I739,0),0))</f>
        <v>0</v>
      </c>
      <c r="L739" s="2">
        <f t="shared" si="11"/>
        <v>3592.2989655359538</v>
      </c>
      <c r="M739">
        <f>IF(ROW()&lt;3, 0, IF(Query1[[#This Row],[Month]]&lt;&gt;H738, Dashboard!$J$5,0))</f>
        <v>0</v>
      </c>
      <c r="N739" s="2">
        <f>IF(ROW()&lt;3, Query1[[#This Row],[Shares]], IF(Query1[[#This Row],[Month]]&lt;&gt;H738, N738+Query1[[#This Row],[Fix Top Up]]/Query1[[#This Row],[Adj Close]], N738))</f>
        <v>3389.9206214253372</v>
      </c>
      <c r="O739">
        <f>IF(AND(Query1[[#This Row],[avg]]&gt;0, Query1[[#This Row],[Month]]&lt;&gt;H738),
    IF(Query1[[#This Row],[Adj Close]]&gt;Query1[[#This Row],[avg]],
       Dashboard!$L$5-Dashboard!$E$6,
       Dashboard!$L$5+Dashboard!$E$6
    ), 0
)</f>
        <v>0</v>
      </c>
      <c r="P739" s="2">
        <f>IF(ROW()&lt;3, Query1[[#This Row],[Shares]], IF(Query1[[#This Row],[Month]]&lt;&gt;H738, P738+Query1[[#This Row],[Enhanced top up]]/Query1[[#This Row],[Adj Close]], P738))</f>
        <v>3382.6930971083293</v>
      </c>
      <c r="Q739" s="2">
        <f>IFERROR(AVERAGE(
  IF(ROW()&gt;20, INDEX(G:G, ROW()-20), 0) :
  INDEX(G:G, ROW())
),0)</f>
        <v>236.46054876418341</v>
      </c>
    </row>
    <row r="740" spans="1:17" x14ac:dyDescent="0.4">
      <c r="A740" s="1">
        <v>44901</v>
      </c>
      <c r="B740">
        <v>250.82000732421875</v>
      </c>
      <c r="C740">
        <v>251.86000061035156</v>
      </c>
      <c r="D740">
        <v>243.77999877929688</v>
      </c>
      <c r="E740">
        <v>245.1199951171875</v>
      </c>
      <c r="F740">
        <v>22463700</v>
      </c>
      <c r="G740">
        <v>239.8443603515625</v>
      </c>
      <c r="H740" s="2">
        <f>MONTH(Query1[[#This Row],[Date]])</f>
        <v>12</v>
      </c>
      <c r="I740" s="3">
        <f>Query1[[#This Row],[Shares]]*Query1[[#This Row],[Adj Close]]</f>
        <v>861592.64758055052</v>
      </c>
      <c r="J740" s="3">
        <f>IF(ROW()&lt;3, Dashboard!$E$7, IF(Query1[[#This Row],[Month]]&lt;&gt;H739,J739*(1+Dashboard!$E$4)+Dashboard!$E$5,J739))</f>
        <v>791621.92922188784</v>
      </c>
      <c r="K740">
        <f>IF(ROW()&lt;3, 0,IF(Query1[[#This Row],[Month]]&lt;&gt;H739,IF((J740-I740&gt;0),J740-I740,0),0))</f>
        <v>0</v>
      </c>
      <c r="L740" s="2">
        <f t="shared" si="11"/>
        <v>3592.2989655359538</v>
      </c>
      <c r="M740">
        <f>IF(ROW()&lt;3, 0, IF(Query1[[#This Row],[Month]]&lt;&gt;H739, Dashboard!$J$5,0))</f>
        <v>0</v>
      </c>
      <c r="N740" s="2">
        <f>IF(ROW()&lt;3, Query1[[#This Row],[Shares]], IF(Query1[[#This Row],[Month]]&lt;&gt;H739, N739+Query1[[#This Row],[Fix Top Up]]/Query1[[#This Row],[Adj Close]], N739))</f>
        <v>3389.9206214253372</v>
      </c>
      <c r="O740">
        <f>IF(AND(Query1[[#This Row],[avg]]&gt;0, Query1[[#This Row],[Month]]&lt;&gt;H739),
    IF(Query1[[#This Row],[Adj Close]]&gt;Query1[[#This Row],[avg]],
       Dashboard!$L$5-Dashboard!$E$6,
       Dashboard!$L$5+Dashboard!$E$6
    ), 0
)</f>
        <v>0</v>
      </c>
      <c r="P740" s="2">
        <f>IF(ROW()&lt;3, Query1[[#This Row],[Shares]], IF(Query1[[#This Row],[Month]]&lt;&gt;H739, P739+Query1[[#This Row],[Enhanced top up]]/Query1[[#This Row],[Adj Close]], P739))</f>
        <v>3382.6930971083293</v>
      </c>
      <c r="Q740" s="2">
        <f>IFERROR(AVERAGE(
  IF(ROW()&gt;20, INDEX(G:G, ROW()-20), 0) :
  INDEX(G:G, ROW())
),0)</f>
        <v>237.59521775018601</v>
      </c>
    </row>
    <row r="741" spans="1:17" x14ac:dyDescent="0.4">
      <c r="A741" s="1">
        <v>44902</v>
      </c>
      <c r="B741">
        <v>244.83000183105469</v>
      </c>
      <c r="C741">
        <v>246.16000366210938</v>
      </c>
      <c r="D741">
        <v>242.21000671386719</v>
      </c>
      <c r="E741">
        <v>244.3699951171875</v>
      </c>
      <c r="F741">
        <v>20481500</v>
      </c>
      <c r="G741">
        <v>239.1104736328125</v>
      </c>
      <c r="H741" s="2">
        <f>MONTH(Query1[[#This Row],[Date]])</f>
        <v>12</v>
      </c>
      <c r="I741" s="3">
        <f>Query1[[#This Row],[Shares]]*Query1[[#This Row],[Adj Close]]</f>
        <v>858956.30707996432</v>
      </c>
      <c r="J741" s="3">
        <f>IF(ROW()&lt;3, Dashboard!$E$7, IF(Query1[[#This Row],[Month]]&lt;&gt;H740,J740*(1+Dashboard!$E$4)+Dashboard!$E$5,J740))</f>
        <v>791621.92922188784</v>
      </c>
      <c r="K741">
        <f>IF(ROW()&lt;3, 0,IF(Query1[[#This Row],[Month]]&lt;&gt;H740,IF((J741-I741&gt;0),J741-I741,0),0))</f>
        <v>0</v>
      </c>
      <c r="L741" s="2">
        <f t="shared" si="11"/>
        <v>3592.2989655359538</v>
      </c>
      <c r="M741">
        <f>IF(ROW()&lt;3, 0, IF(Query1[[#This Row],[Month]]&lt;&gt;H740, Dashboard!$J$5,0))</f>
        <v>0</v>
      </c>
      <c r="N741" s="2">
        <f>IF(ROW()&lt;3, Query1[[#This Row],[Shares]], IF(Query1[[#This Row],[Month]]&lt;&gt;H740, N740+Query1[[#This Row],[Fix Top Up]]/Query1[[#This Row],[Adj Close]], N740))</f>
        <v>3389.9206214253372</v>
      </c>
      <c r="O741">
        <f>IF(AND(Query1[[#This Row],[avg]]&gt;0, Query1[[#This Row],[Month]]&lt;&gt;H740),
    IF(Query1[[#This Row],[Adj Close]]&gt;Query1[[#This Row],[avg]],
       Dashboard!$L$5-Dashboard!$E$6,
       Dashboard!$L$5+Dashboard!$E$6
    ), 0
)</f>
        <v>0</v>
      </c>
      <c r="P741" s="2">
        <f>IF(ROW()&lt;3, Query1[[#This Row],[Shares]], IF(Query1[[#This Row],[Month]]&lt;&gt;H740, P740+Query1[[#This Row],[Enhanced top up]]/Query1[[#This Row],[Adj Close]], P740))</f>
        <v>3382.6930971083293</v>
      </c>
      <c r="Q741" s="2">
        <f>IFERROR(AVERAGE(
  IF(ROW()&gt;20, INDEX(G:G, ROW()-20), 0) :
  INDEX(G:G, ROW())
),0)</f>
        <v>238.39385841006325</v>
      </c>
    </row>
    <row r="742" spans="1:17" x14ac:dyDescent="0.4">
      <c r="A742" s="1">
        <v>44903</v>
      </c>
      <c r="B742">
        <v>244.83999633789063</v>
      </c>
      <c r="C742">
        <v>248.74000549316406</v>
      </c>
      <c r="D742">
        <v>243.05999755859375</v>
      </c>
      <c r="E742">
        <v>247.39999389648438</v>
      </c>
      <c r="F742">
        <v>22611800</v>
      </c>
      <c r="G742">
        <v>242.07524108886719</v>
      </c>
      <c r="H742" s="2">
        <f>MONTH(Query1[[#This Row],[Date]])</f>
        <v>12</v>
      </c>
      <c r="I742" s="3">
        <f>Query1[[#This Row],[Shares]]*Query1[[#This Row],[Adj Close]]</f>
        <v>869606.63814540417</v>
      </c>
      <c r="J742" s="3">
        <f>IF(ROW()&lt;3, Dashboard!$E$7, IF(Query1[[#This Row],[Month]]&lt;&gt;H741,J741*(1+Dashboard!$E$4)+Dashboard!$E$5,J741))</f>
        <v>791621.92922188784</v>
      </c>
      <c r="K742">
        <f>IF(ROW()&lt;3, 0,IF(Query1[[#This Row],[Month]]&lt;&gt;H741,IF((J742-I742&gt;0),J742-I742,0),0))</f>
        <v>0</v>
      </c>
      <c r="L742" s="2">
        <f t="shared" si="11"/>
        <v>3592.2989655359538</v>
      </c>
      <c r="M742">
        <f>IF(ROW()&lt;3, 0, IF(Query1[[#This Row],[Month]]&lt;&gt;H741, Dashboard!$J$5,0))</f>
        <v>0</v>
      </c>
      <c r="N742" s="2">
        <f>IF(ROW()&lt;3, Query1[[#This Row],[Shares]], IF(Query1[[#This Row],[Month]]&lt;&gt;H741, N741+Query1[[#This Row],[Fix Top Up]]/Query1[[#This Row],[Adj Close]], N741))</f>
        <v>3389.9206214253372</v>
      </c>
      <c r="O742">
        <f>IF(AND(Query1[[#This Row],[avg]]&gt;0, Query1[[#This Row],[Month]]&lt;&gt;H741),
    IF(Query1[[#This Row],[Adj Close]]&gt;Query1[[#This Row],[avg]],
       Dashboard!$L$5-Dashboard!$E$6,
       Dashboard!$L$5+Dashboard!$E$6
    ), 0
)</f>
        <v>0</v>
      </c>
      <c r="P742" s="2">
        <f>IF(ROW()&lt;3, Query1[[#This Row],[Shares]], IF(Query1[[#This Row],[Month]]&lt;&gt;H741, P741+Query1[[#This Row],[Enhanced top up]]/Query1[[#This Row],[Adj Close]], P741))</f>
        <v>3382.6930971083293</v>
      </c>
      <c r="Q742" s="2">
        <f>IFERROR(AVERAGE(
  IF(ROW()&gt;20, INDEX(G:G, ROW()-20), 0) :
  INDEX(G:G, ROW())
),0)</f>
        <v>239.28721400669642</v>
      </c>
    </row>
    <row r="743" spans="1:17" x14ac:dyDescent="0.4">
      <c r="A743" s="1">
        <v>44904</v>
      </c>
      <c r="B743">
        <v>244.69999694824219</v>
      </c>
      <c r="C743">
        <v>248.30999755859375</v>
      </c>
      <c r="D743">
        <v>244.16000366210938</v>
      </c>
      <c r="E743">
        <v>245.41999816894531</v>
      </c>
      <c r="F743">
        <v>20609700</v>
      </c>
      <c r="G743">
        <v>240.13787841796875</v>
      </c>
      <c r="H743" s="2">
        <f>MONTH(Query1[[#This Row],[Date]])</f>
        <v>12</v>
      </c>
      <c r="I743" s="3">
        <f>Query1[[#This Row],[Shares]]*Query1[[#This Row],[Adj Close]]</f>
        <v>862647.05222686776</v>
      </c>
      <c r="J743" s="3">
        <f>IF(ROW()&lt;3, Dashboard!$E$7, IF(Query1[[#This Row],[Month]]&lt;&gt;H742,J742*(1+Dashboard!$E$4)+Dashboard!$E$5,J742))</f>
        <v>791621.92922188784</v>
      </c>
      <c r="K743">
        <f>IF(ROW()&lt;3, 0,IF(Query1[[#This Row],[Month]]&lt;&gt;H742,IF((J743-I743&gt;0),J743-I743,0),0))</f>
        <v>0</v>
      </c>
      <c r="L743" s="2">
        <f t="shared" si="11"/>
        <v>3592.2989655359538</v>
      </c>
      <c r="M743">
        <f>IF(ROW()&lt;3, 0, IF(Query1[[#This Row],[Month]]&lt;&gt;H742, Dashboard!$J$5,0))</f>
        <v>0</v>
      </c>
      <c r="N743" s="2">
        <f>IF(ROW()&lt;3, Query1[[#This Row],[Shares]], IF(Query1[[#This Row],[Month]]&lt;&gt;H742, N742+Query1[[#This Row],[Fix Top Up]]/Query1[[#This Row],[Adj Close]], N742))</f>
        <v>3389.9206214253372</v>
      </c>
      <c r="O743">
        <f>IF(AND(Query1[[#This Row],[avg]]&gt;0, Query1[[#This Row],[Month]]&lt;&gt;H742),
    IF(Query1[[#This Row],[Adj Close]]&gt;Query1[[#This Row],[avg]],
       Dashboard!$L$5-Dashboard!$E$6,
       Dashboard!$L$5+Dashboard!$E$6
    ), 0
)</f>
        <v>0</v>
      </c>
      <c r="P743" s="2">
        <f>IF(ROW()&lt;3, Query1[[#This Row],[Shares]], IF(Query1[[#This Row],[Month]]&lt;&gt;H742, P742+Query1[[#This Row],[Enhanced top up]]/Query1[[#This Row],[Adj Close]], P742))</f>
        <v>3382.6930971083293</v>
      </c>
      <c r="Q743" s="2">
        <f>IFERROR(AVERAGE(
  IF(ROW()&gt;20, INDEX(G:G, ROW()-20), 0) :
  INDEX(G:G, ROW())
),0)</f>
        <v>240.29089646112351</v>
      </c>
    </row>
    <row r="744" spans="1:17" x14ac:dyDescent="0.4">
      <c r="A744" s="1">
        <v>44907</v>
      </c>
      <c r="B744">
        <v>247.44999694824219</v>
      </c>
      <c r="C744">
        <v>252.53999328613281</v>
      </c>
      <c r="D744">
        <v>247.16999816894531</v>
      </c>
      <c r="E744">
        <v>252.50999450683594</v>
      </c>
      <c r="F744">
        <v>30665100</v>
      </c>
      <c r="G744">
        <v>247.07528686523438</v>
      </c>
      <c r="H744" s="2">
        <f>MONTH(Query1[[#This Row],[Date]])</f>
        <v>12</v>
      </c>
      <c r="I744" s="3">
        <f>Query1[[#This Row],[Shares]]*Query1[[#This Row],[Adj Close]]</f>
        <v>887568.29741548048</v>
      </c>
      <c r="J744" s="3">
        <f>IF(ROW()&lt;3, Dashboard!$E$7, IF(Query1[[#This Row],[Month]]&lt;&gt;H743,J743*(1+Dashboard!$E$4)+Dashboard!$E$5,J743))</f>
        <v>791621.92922188784</v>
      </c>
      <c r="K744">
        <f>IF(ROW()&lt;3, 0,IF(Query1[[#This Row],[Month]]&lt;&gt;H743,IF((J744-I744&gt;0),J744-I744,0),0))</f>
        <v>0</v>
      </c>
      <c r="L744" s="2">
        <f t="shared" si="11"/>
        <v>3592.2989655359538</v>
      </c>
      <c r="M744">
        <f>IF(ROW()&lt;3, 0, IF(Query1[[#This Row],[Month]]&lt;&gt;H743, Dashboard!$J$5,0))</f>
        <v>0</v>
      </c>
      <c r="N744" s="2">
        <f>IF(ROW()&lt;3, Query1[[#This Row],[Shares]], IF(Query1[[#This Row],[Month]]&lt;&gt;H743, N743+Query1[[#This Row],[Fix Top Up]]/Query1[[#This Row],[Adj Close]], N743))</f>
        <v>3389.9206214253372</v>
      </c>
      <c r="O744">
        <f>IF(AND(Query1[[#This Row],[avg]]&gt;0, Query1[[#This Row],[Month]]&lt;&gt;H743),
    IF(Query1[[#This Row],[Adj Close]]&gt;Query1[[#This Row],[avg]],
       Dashboard!$L$5-Dashboard!$E$6,
       Dashboard!$L$5+Dashboard!$E$6
    ), 0
)</f>
        <v>0</v>
      </c>
      <c r="P744" s="2">
        <f>IF(ROW()&lt;3, Query1[[#This Row],[Shares]], IF(Query1[[#This Row],[Month]]&lt;&gt;H743, P743+Query1[[#This Row],[Enhanced top up]]/Query1[[#This Row],[Adj Close]], P743))</f>
        <v>3382.6930971083293</v>
      </c>
      <c r="Q744" s="2">
        <f>IFERROR(AVERAGE(
  IF(ROW()&gt;20, INDEX(G:G, ROW()-20), 0) :
  INDEX(G:G, ROW())
),0)</f>
        <v>240.76675487699964</v>
      </c>
    </row>
    <row r="745" spans="1:17" x14ac:dyDescent="0.4">
      <c r="A745" s="1">
        <v>44908</v>
      </c>
      <c r="B745">
        <v>261.69000244140625</v>
      </c>
      <c r="C745">
        <v>263.92001342773438</v>
      </c>
      <c r="D745">
        <v>253.07000732421875</v>
      </c>
      <c r="E745">
        <v>256.92001342773438</v>
      </c>
      <c r="F745">
        <v>42196900</v>
      </c>
      <c r="G745">
        <v>251.39036560058594</v>
      </c>
      <c r="H745" s="2">
        <f>MONTH(Query1[[#This Row],[Date]])</f>
        <v>12</v>
      </c>
      <c r="I745" s="3">
        <f>Query1[[#This Row],[Shares]]*Query1[[#This Row],[Adj Close]]</f>
        <v>903069.3502926901</v>
      </c>
      <c r="J745" s="3">
        <f>IF(ROW()&lt;3, Dashboard!$E$7, IF(Query1[[#This Row],[Month]]&lt;&gt;H744,J744*(1+Dashboard!$E$4)+Dashboard!$E$5,J744))</f>
        <v>791621.92922188784</v>
      </c>
      <c r="K745">
        <f>IF(ROW()&lt;3, 0,IF(Query1[[#This Row],[Month]]&lt;&gt;H744,IF((J745-I745&gt;0),J745-I745,0),0))</f>
        <v>0</v>
      </c>
      <c r="L745" s="2">
        <f t="shared" si="11"/>
        <v>3592.2989655359538</v>
      </c>
      <c r="M745">
        <f>IF(ROW()&lt;3, 0, IF(Query1[[#This Row],[Month]]&lt;&gt;H744, Dashboard!$J$5,0))</f>
        <v>0</v>
      </c>
      <c r="N745" s="2">
        <f>IF(ROW()&lt;3, Query1[[#This Row],[Shares]], IF(Query1[[#This Row],[Month]]&lt;&gt;H744, N744+Query1[[#This Row],[Fix Top Up]]/Query1[[#This Row],[Adj Close]], N744))</f>
        <v>3389.9206214253372</v>
      </c>
      <c r="O745">
        <f>IF(AND(Query1[[#This Row],[avg]]&gt;0, Query1[[#This Row],[Month]]&lt;&gt;H744),
    IF(Query1[[#This Row],[Adj Close]]&gt;Query1[[#This Row],[avg]],
       Dashboard!$L$5-Dashboard!$E$6,
       Dashboard!$L$5+Dashboard!$E$6
    ), 0
)</f>
        <v>0</v>
      </c>
      <c r="P745" s="2">
        <f>IF(ROW()&lt;3, Query1[[#This Row],[Shares]], IF(Query1[[#This Row],[Month]]&lt;&gt;H744, P744+Query1[[#This Row],[Enhanced top up]]/Query1[[#This Row],[Adj Close]], P744))</f>
        <v>3382.6930971083293</v>
      </c>
      <c r="Q745" s="2">
        <f>IFERROR(AVERAGE(
  IF(ROW()&gt;20, INDEX(G:G, ROW()-20), 0) :
  INDEX(G:G, ROW())
),0)</f>
        <v>241.25620015462241</v>
      </c>
    </row>
    <row r="746" spans="1:17" x14ac:dyDescent="0.4">
      <c r="A746" s="1">
        <v>44909</v>
      </c>
      <c r="B746">
        <v>257.1300048828125</v>
      </c>
      <c r="C746">
        <v>262.58999633789063</v>
      </c>
      <c r="D746">
        <v>254.30999755859375</v>
      </c>
      <c r="E746">
        <v>257.22000122070313</v>
      </c>
      <c r="F746">
        <v>35410900</v>
      </c>
      <c r="G746">
        <v>251.6839599609375</v>
      </c>
      <c r="H746" s="2">
        <f>MONTH(Query1[[#This Row],[Date]])</f>
        <v>12</v>
      </c>
      <c r="I746" s="3">
        <f>Query1[[#This Row],[Shares]]*Query1[[#This Row],[Adj Close]]</f>
        <v>904124.02900966816</v>
      </c>
      <c r="J746" s="3">
        <f>IF(ROW()&lt;3, Dashboard!$E$7, IF(Query1[[#This Row],[Month]]&lt;&gt;H745,J745*(1+Dashboard!$E$4)+Dashboard!$E$5,J745))</f>
        <v>791621.92922188784</v>
      </c>
      <c r="K746">
        <f>IF(ROW()&lt;3, 0,IF(Query1[[#This Row],[Month]]&lt;&gt;H745,IF((J746-I746&gt;0),J746-I746,0),0))</f>
        <v>0</v>
      </c>
      <c r="L746" s="2">
        <f t="shared" si="11"/>
        <v>3592.2989655359538</v>
      </c>
      <c r="M746">
        <f>IF(ROW()&lt;3, 0, IF(Query1[[#This Row],[Month]]&lt;&gt;H745, Dashboard!$J$5,0))</f>
        <v>0</v>
      </c>
      <c r="N746" s="2">
        <f>IF(ROW()&lt;3, Query1[[#This Row],[Shares]], IF(Query1[[#This Row],[Month]]&lt;&gt;H745, N745+Query1[[#This Row],[Fix Top Up]]/Query1[[#This Row],[Adj Close]], N745))</f>
        <v>3389.9206214253372</v>
      </c>
      <c r="O746">
        <f>IF(AND(Query1[[#This Row],[avg]]&gt;0, Query1[[#This Row],[Month]]&lt;&gt;H745),
    IF(Query1[[#This Row],[Adj Close]]&gt;Query1[[#This Row],[avg]],
       Dashboard!$L$5-Dashboard!$E$6,
       Dashboard!$L$5+Dashboard!$E$6
    ), 0
)</f>
        <v>0</v>
      </c>
      <c r="P746" s="2">
        <f>IF(ROW()&lt;3, Query1[[#This Row],[Shares]], IF(Query1[[#This Row],[Month]]&lt;&gt;H745, P745+Query1[[#This Row],[Enhanced top up]]/Query1[[#This Row],[Adj Close]], P745))</f>
        <v>3382.6930971083293</v>
      </c>
      <c r="Q746" s="2">
        <f>IFERROR(AVERAGE(
  IF(ROW()&gt;20, INDEX(G:G, ROW()-20), 0) :
  INDEX(G:G, ROW())
),0)</f>
        <v>242.01795959472656</v>
      </c>
    </row>
    <row r="747" spans="1:17" x14ac:dyDescent="0.4">
      <c r="A747" s="1">
        <v>44910</v>
      </c>
      <c r="B747">
        <v>253.72000122070313</v>
      </c>
      <c r="C747">
        <v>254.19999694824219</v>
      </c>
      <c r="D747">
        <v>247.33999633789063</v>
      </c>
      <c r="E747">
        <v>249.00999450683594</v>
      </c>
      <c r="F747">
        <v>35560400</v>
      </c>
      <c r="G747">
        <v>243.65060424804688</v>
      </c>
      <c r="H747" s="2">
        <f>MONTH(Query1[[#This Row],[Date]])</f>
        <v>12</v>
      </c>
      <c r="I747" s="3">
        <f>Query1[[#This Row],[Shares]]*Query1[[#This Row],[Adj Close]]</f>
        <v>875265.81359246885</v>
      </c>
      <c r="J747" s="3">
        <f>IF(ROW()&lt;3, Dashboard!$E$7, IF(Query1[[#This Row],[Month]]&lt;&gt;H746,J746*(1+Dashboard!$E$4)+Dashboard!$E$5,J746))</f>
        <v>791621.92922188784</v>
      </c>
      <c r="K747">
        <f>IF(ROW()&lt;3, 0,IF(Query1[[#This Row],[Month]]&lt;&gt;H746,IF((J747-I747&gt;0),J747-I747,0),0))</f>
        <v>0</v>
      </c>
      <c r="L747" s="2">
        <f t="shared" si="11"/>
        <v>3592.2989655359538</v>
      </c>
      <c r="M747">
        <f>IF(ROW()&lt;3, 0, IF(Query1[[#This Row],[Month]]&lt;&gt;H746, Dashboard!$J$5,0))</f>
        <v>0</v>
      </c>
      <c r="N747" s="2">
        <f>IF(ROW()&lt;3, Query1[[#This Row],[Shares]], IF(Query1[[#This Row],[Month]]&lt;&gt;H746, N746+Query1[[#This Row],[Fix Top Up]]/Query1[[#This Row],[Adj Close]], N746))</f>
        <v>3389.9206214253372</v>
      </c>
      <c r="O747">
        <f>IF(AND(Query1[[#This Row],[avg]]&gt;0, Query1[[#This Row],[Month]]&lt;&gt;H746),
    IF(Query1[[#This Row],[Adj Close]]&gt;Query1[[#This Row],[avg]],
       Dashboard!$L$5-Dashboard!$E$6,
       Dashboard!$L$5+Dashboard!$E$6
    ), 0
)</f>
        <v>0</v>
      </c>
      <c r="P747" s="2">
        <f>IF(ROW()&lt;3, Query1[[#This Row],[Shares]], IF(Query1[[#This Row],[Month]]&lt;&gt;H746, P746+Query1[[#This Row],[Enhanced top up]]/Query1[[#This Row],[Adj Close]], P746))</f>
        <v>3382.6930971083293</v>
      </c>
      <c r="Q747" s="2">
        <f>IFERROR(AVERAGE(
  IF(ROW()&gt;20, INDEX(G:G, ROW()-20), 0) :
  INDEX(G:G, ROW())
),0)</f>
        <v>242.37766520182291</v>
      </c>
    </row>
    <row r="748" spans="1:17" x14ac:dyDescent="0.4">
      <c r="A748" s="1">
        <v>44911</v>
      </c>
      <c r="B748">
        <v>248.55000305175781</v>
      </c>
      <c r="C748">
        <v>249.83999633789063</v>
      </c>
      <c r="D748">
        <v>243.50999450683594</v>
      </c>
      <c r="E748">
        <v>244.69000244140625</v>
      </c>
      <c r="F748">
        <v>86102000</v>
      </c>
      <c r="G748">
        <v>239.42362976074219</v>
      </c>
      <c r="H748" s="2">
        <f>MONTH(Query1[[#This Row],[Date]])</f>
        <v>12</v>
      </c>
      <c r="I748" s="3">
        <f>Query1[[#This Row],[Shares]]*Query1[[#This Row],[Adj Close]]</f>
        <v>860081.25751437736</v>
      </c>
      <c r="J748" s="3">
        <f>IF(ROW()&lt;3, Dashboard!$E$7, IF(Query1[[#This Row],[Month]]&lt;&gt;H747,J747*(1+Dashboard!$E$4)+Dashboard!$E$5,J747))</f>
        <v>791621.92922188784</v>
      </c>
      <c r="K748">
        <f>IF(ROW()&lt;3, 0,IF(Query1[[#This Row],[Month]]&lt;&gt;H747,IF((J748-I748&gt;0),J748-I748,0),0))</f>
        <v>0</v>
      </c>
      <c r="L748" s="2">
        <f t="shared" si="11"/>
        <v>3592.2989655359538</v>
      </c>
      <c r="M748">
        <f>IF(ROW()&lt;3, 0, IF(Query1[[#This Row],[Month]]&lt;&gt;H747, Dashboard!$J$5,0))</f>
        <v>0</v>
      </c>
      <c r="N748" s="2">
        <f>IF(ROW()&lt;3, Query1[[#This Row],[Shares]], IF(Query1[[#This Row],[Month]]&lt;&gt;H747, N747+Query1[[#This Row],[Fix Top Up]]/Query1[[#This Row],[Adj Close]], N747))</f>
        <v>3389.9206214253372</v>
      </c>
      <c r="O748">
        <f>IF(AND(Query1[[#This Row],[avg]]&gt;0, Query1[[#This Row],[Month]]&lt;&gt;H747),
    IF(Query1[[#This Row],[Adj Close]]&gt;Query1[[#This Row],[avg]],
       Dashboard!$L$5-Dashboard!$E$6,
       Dashboard!$L$5+Dashboard!$E$6
    ), 0
)</f>
        <v>0</v>
      </c>
      <c r="P748" s="2">
        <f>IF(ROW()&lt;3, Query1[[#This Row],[Shares]], IF(Query1[[#This Row],[Month]]&lt;&gt;H747, P747+Query1[[#This Row],[Enhanced top up]]/Query1[[#This Row],[Adj Close]], P747))</f>
        <v>3382.6930971083293</v>
      </c>
      <c r="Q748" s="2">
        <f>IFERROR(AVERAGE(
  IF(ROW()&gt;20, INDEX(G:G, ROW()-20), 0) :
  INDEX(G:G, ROW())
),0)</f>
        <v>242.51558576311385</v>
      </c>
    </row>
    <row r="749" spans="1:17" x14ac:dyDescent="0.4">
      <c r="A749" s="1">
        <v>44914</v>
      </c>
      <c r="B749">
        <v>244.86000061035156</v>
      </c>
      <c r="C749">
        <v>245.21000671386719</v>
      </c>
      <c r="D749">
        <v>238.71000671386719</v>
      </c>
      <c r="E749">
        <v>240.44999694824219</v>
      </c>
      <c r="F749">
        <v>29696400</v>
      </c>
      <c r="G749">
        <v>235.27484130859375</v>
      </c>
      <c r="H749" s="2">
        <f>MONTH(Query1[[#This Row],[Date]])</f>
        <v>12</v>
      </c>
      <c r="I749" s="3">
        <f>Query1[[#This Row],[Shares]]*Query1[[#This Row],[Adj Close]]</f>
        <v>845177.56904949702</v>
      </c>
      <c r="J749" s="3">
        <f>IF(ROW()&lt;3, Dashboard!$E$7, IF(Query1[[#This Row],[Month]]&lt;&gt;H748,J748*(1+Dashboard!$E$4)+Dashboard!$E$5,J748))</f>
        <v>791621.92922188784</v>
      </c>
      <c r="K749">
        <f>IF(ROW()&lt;3, 0,IF(Query1[[#This Row],[Month]]&lt;&gt;H748,IF((J749-I749&gt;0),J749-I749,0),0))</f>
        <v>0</v>
      </c>
      <c r="L749" s="2">
        <f t="shared" si="11"/>
        <v>3592.2989655359538</v>
      </c>
      <c r="M749">
        <f>IF(ROW()&lt;3, 0, IF(Query1[[#This Row],[Month]]&lt;&gt;H748, Dashboard!$J$5,0))</f>
        <v>0</v>
      </c>
      <c r="N749" s="2">
        <f>IF(ROW()&lt;3, Query1[[#This Row],[Shares]], IF(Query1[[#This Row],[Month]]&lt;&gt;H748, N748+Query1[[#This Row],[Fix Top Up]]/Query1[[#This Row],[Adj Close]], N748))</f>
        <v>3389.9206214253372</v>
      </c>
      <c r="O749">
        <f>IF(AND(Query1[[#This Row],[avg]]&gt;0, Query1[[#This Row],[Month]]&lt;&gt;H748),
    IF(Query1[[#This Row],[Adj Close]]&gt;Query1[[#This Row],[avg]],
       Dashboard!$L$5-Dashboard!$E$6,
       Dashboard!$L$5+Dashboard!$E$6
    ), 0
)</f>
        <v>0</v>
      </c>
      <c r="P749" s="2">
        <f>IF(ROW()&lt;3, Query1[[#This Row],[Shares]], IF(Query1[[#This Row],[Month]]&lt;&gt;H748, P748+Query1[[#This Row],[Enhanced top up]]/Query1[[#This Row],[Adj Close]], P748))</f>
        <v>3382.6930971083293</v>
      </c>
      <c r="Q749" s="2">
        <f>IFERROR(AVERAGE(
  IF(ROW()&gt;20, INDEX(G:G, ROW()-20), 0) :
  INDEX(G:G, ROW())
),0)</f>
        <v>242.45827447800409</v>
      </c>
    </row>
    <row r="750" spans="1:17" x14ac:dyDescent="0.4">
      <c r="A750" s="1">
        <v>44915</v>
      </c>
      <c r="B750">
        <v>239.39999389648438</v>
      </c>
      <c r="C750">
        <v>242.91000366210938</v>
      </c>
      <c r="D750">
        <v>238.41999816894531</v>
      </c>
      <c r="E750">
        <v>241.80000305175781</v>
      </c>
      <c r="F750">
        <v>25150800</v>
      </c>
      <c r="G750">
        <v>236.59577941894531</v>
      </c>
      <c r="H750" s="2">
        <f>MONTH(Query1[[#This Row],[Date]])</f>
        <v>12</v>
      </c>
      <c r="I750" s="3">
        <f>Query1[[#This Row],[Shares]]*Query1[[#This Row],[Adj Close]]</f>
        <v>849922.77365684998</v>
      </c>
      <c r="J750" s="3">
        <f>IF(ROW()&lt;3, Dashboard!$E$7, IF(Query1[[#This Row],[Month]]&lt;&gt;H749,J749*(1+Dashboard!$E$4)+Dashboard!$E$5,J749))</f>
        <v>791621.92922188784</v>
      </c>
      <c r="K750">
        <f>IF(ROW()&lt;3, 0,IF(Query1[[#This Row],[Month]]&lt;&gt;H749,IF((J750-I750&gt;0),J750-I750,0),0))</f>
        <v>0</v>
      </c>
      <c r="L750" s="2">
        <f t="shared" si="11"/>
        <v>3592.2989655359538</v>
      </c>
      <c r="M750">
        <f>IF(ROW()&lt;3, 0, IF(Query1[[#This Row],[Month]]&lt;&gt;H749, Dashboard!$J$5,0))</f>
        <v>0</v>
      </c>
      <c r="N750" s="2">
        <f>IF(ROW()&lt;3, Query1[[#This Row],[Shares]], IF(Query1[[#This Row],[Month]]&lt;&gt;H749, N749+Query1[[#This Row],[Fix Top Up]]/Query1[[#This Row],[Adj Close]], N749))</f>
        <v>3389.9206214253372</v>
      </c>
      <c r="O750">
        <f>IF(AND(Query1[[#This Row],[avg]]&gt;0, Query1[[#This Row],[Month]]&lt;&gt;H749),
    IF(Query1[[#This Row],[Adj Close]]&gt;Query1[[#This Row],[avg]],
       Dashboard!$L$5-Dashboard!$E$6,
       Dashboard!$L$5+Dashboard!$E$6
    ), 0
)</f>
        <v>0</v>
      </c>
      <c r="P750" s="2">
        <f>IF(ROW()&lt;3, Query1[[#This Row],[Shares]], IF(Query1[[#This Row],[Month]]&lt;&gt;H749, P749+Query1[[#This Row],[Enhanced top up]]/Query1[[#This Row],[Adj Close]], P749))</f>
        <v>3382.6930971083293</v>
      </c>
      <c r="Q750" s="2">
        <f>IFERROR(AVERAGE(
  IF(ROW()&gt;20, INDEX(G:G, ROW()-20), 0) :
  INDEX(G:G, ROW())
),0)</f>
        <v>242.48529779343377</v>
      </c>
    </row>
    <row r="751" spans="1:17" x14ac:dyDescent="0.4">
      <c r="A751" s="1">
        <v>44916</v>
      </c>
      <c r="B751">
        <v>241.69000244140625</v>
      </c>
      <c r="C751">
        <v>245.6199951171875</v>
      </c>
      <c r="D751">
        <v>240.11000061035156</v>
      </c>
      <c r="E751">
        <v>244.42999267578125</v>
      </c>
      <c r="F751">
        <v>23690600</v>
      </c>
      <c r="G751">
        <v>239.169189453125</v>
      </c>
      <c r="H751" s="2">
        <f>MONTH(Query1[[#This Row],[Date]])</f>
        <v>12</v>
      </c>
      <c r="I751" s="3">
        <f>Query1[[#This Row],[Shares]]*Query1[[#This Row],[Adj Close]]</f>
        <v>859167.23186053347</v>
      </c>
      <c r="J751" s="3">
        <f>IF(ROW()&lt;3, Dashboard!$E$7, IF(Query1[[#This Row],[Month]]&lt;&gt;H750,J750*(1+Dashboard!$E$4)+Dashboard!$E$5,J750))</f>
        <v>791621.92922188784</v>
      </c>
      <c r="K751">
        <f>IF(ROW()&lt;3, 0,IF(Query1[[#This Row],[Month]]&lt;&gt;H750,IF((J751-I751&gt;0),J751-I751,0),0))</f>
        <v>0</v>
      </c>
      <c r="L751" s="2">
        <f t="shared" si="11"/>
        <v>3592.2989655359538</v>
      </c>
      <c r="M751">
        <f>IF(ROW()&lt;3, 0, IF(Query1[[#This Row],[Month]]&lt;&gt;H750, Dashboard!$J$5,0))</f>
        <v>0</v>
      </c>
      <c r="N751" s="2">
        <f>IF(ROW()&lt;3, Query1[[#This Row],[Shares]], IF(Query1[[#This Row],[Month]]&lt;&gt;H750, N750+Query1[[#This Row],[Fix Top Up]]/Query1[[#This Row],[Adj Close]], N750))</f>
        <v>3389.9206214253372</v>
      </c>
      <c r="O751">
        <f>IF(AND(Query1[[#This Row],[avg]]&gt;0, Query1[[#This Row],[Month]]&lt;&gt;H750),
    IF(Query1[[#This Row],[Adj Close]]&gt;Query1[[#This Row],[avg]],
       Dashboard!$L$5-Dashboard!$E$6,
       Dashboard!$L$5+Dashboard!$E$6
    ), 0
)</f>
        <v>0</v>
      </c>
      <c r="P751" s="2">
        <f>IF(ROW()&lt;3, Query1[[#This Row],[Shares]], IF(Query1[[#This Row],[Month]]&lt;&gt;H750, P750+Query1[[#This Row],[Enhanced top up]]/Query1[[#This Row],[Adj Close]], P750))</f>
        <v>3382.6930971083293</v>
      </c>
      <c r="Q751" s="2">
        <f>IFERROR(AVERAGE(
  IF(ROW()&gt;20, INDEX(G:G, ROW()-20), 0) :
  INDEX(G:G, ROW())
),0)</f>
        <v>242.59619140625</v>
      </c>
    </row>
    <row r="752" spans="1:17" x14ac:dyDescent="0.4">
      <c r="A752" s="1">
        <v>44917</v>
      </c>
      <c r="B752">
        <v>241.25999450683594</v>
      </c>
      <c r="C752">
        <v>241.99000549316406</v>
      </c>
      <c r="D752">
        <v>233.8699951171875</v>
      </c>
      <c r="E752">
        <v>238.19000244140625</v>
      </c>
      <c r="F752">
        <v>28651700</v>
      </c>
      <c r="G752">
        <v>233.06349182128906</v>
      </c>
      <c r="H752" s="2">
        <f>MONTH(Query1[[#This Row],[Date]])</f>
        <v>12</v>
      </c>
      <c r="I752" s="3">
        <f>Query1[[#This Row],[Shares]]*Query1[[#This Row],[Adj Close]]</f>
        <v>837233.74057381391</v>
      </c>
      <c r="J752" s="3">
        <f>IF(ROW()&lt;3, Dashboard!$E$7, IF(Query1[[#This Row],[Month]]&lt;&gt;H751,J751*(1+Dashboard!$E$4)+Dashboard!$E$5,J751))</f>
        <v>791621.92922188784</v>
      </c>
      <c r="K752">
        <f>IF(ROW()&lt;3, 0,IF(Query1[[#This Row],[Month]]&lt;&gt;H751,IF((J752-I752&gt;0),J752-I752,0),0))</f>
        <v>0</v>
      </c>
      <c r="L752" s="2">
        <f t="shared" si="11"/>
        <v>3592.2989655359538</v>
      </c>
      <c r="M752">
        <f>IF(ROW()&lt;3, 0, IF(Query1[[#This Row],[Month]]&lt;&gt;H751, Dashboard!$J$5,0))</f>
        <v>0</v>
      </c>
      <c r="N752" s="2">
        <f>IF(ROW()&lt;3, Query1[[#This Row],[Shares]], IF(Query1[[#This Row],[Month]]&lt;&gt;H751, N751+Query1[[#This Row],[Fix Top Up]]/Query1[[#This Row],[Adj Close]], N751))</f>
        <v>3389.9206214253372</v>
      </c>
      <c r="O752">
        <f>IF(AND(Query1[[#This Row],[avg]]&gt;0, Query1[[#This Row],[Month]]&lt;&gt;H751),
    IF(Query1[[#This Row],[Adj Close]]&gt;Query1[[#This Row],[avg]],
       Dashboard!$L$5-Dashboard!$E$6,
       Dashboard!$L$5+Dashboard!$E$6
    ), 0
)</f>
        <v>0</v>
      </c>
      <c r="P752" s="2">
        <f>IF(ROW()&lt;3, Query1[[#This Row],[Shares]], IF(Query1[[#This Row],[Month]]&lt;&gt;H751, P751+Query1[[#This Row],[Enhanced top up]]/Query1[[#This Row],[Adj Close]], P751))</f>
        <v>3382.6930971083293</v>
      </c>
      <c r="Q752" s="2">
        <f>IFERROR(AVERAGE(
  IF(ROW()&gt;20, INDEX(G:G, ROW()-20), 0) :
  INDEX(G:G, ROW())
),0)</f>
        <v>242.2774876185826</v>
      </c>
    </row>
    <row r="753" spans="1:17" x14ac:dyDescent="0.4">
      <c r="A753" s="1">
        <v>44918</v>
      </c>
      <c r="B753">
        <v>236.11000061035156</v>
      </c>
      <c r="C753">
        <v>238.8699951171875</v>
      </c>
      <c r="D753">
        <v>233.94000244140625</v>
      </c>
      <c r="E753">
        <v>238.72999572753906</v>
      </c>
      <c r="F753">
        <v>21207000</v>
      </c>
      <c r="G753">
        <v>233.59185791015625</v>
      </c>
      <c r="H753" s="2">
        <f>MONTH(Query1[[#This Row],[Date]])</f>
        <v>12</v>
      </c>
      <c r="I753" s="3">
        <f>Query1[[#This Row],[Shares]]*Query1[[#This Row],[Adj Close]]</f>
        <v>839131.78952827584</v>
      </c>
      <c r="J753" s="3">
        <f>IF(ROW()&lt;3, Dashboard!$E$7, IF(Query1[[#This Row],[Month]]&lt;&gt;H752,J752*(1+Dashboard!$E$4)+Dashboard!$E$5,J752))</f>
        <v>791621.92922188784</v>
      </c>
      <c r="K753">
        <f>IF(ROW()&lt;3, 0,IF(Query1[[#This Row],[Month]]&lt;&gt;H752,IF((J753-I753&gt;0),J753-I753,0),0))</f>
        <v>0</v>
      </c>
      <c r="L753" s="2">
        <f t="shared" si="11"/>
        <v>3592.2989655359538</v>
      </c>
      <c r="M753">
        <f>IF(ROW()&lt;3, 0, IF(Query1[[#This Row],[Month]]&lt;&gt;H752, Dashboard!$J$5,0))</f>
        <v>0</v>
      </c>
      <c r="N753" s="2">
        <f>IF(ROW()&lt;3, Query1[[#This Row],[Shares]], IF(Query1[[#This Row],[Month]]&lt;&gt;H752, N752+Query1[[#This Row],[Fix Top Up]]/Query1[[#This Row],[Adj Close]], N752))</f>
        <v>3389.9206214253372</v>
      </c>
      <c r="O753">
        <f>IF(AND(Query1[[#This Row],[avg]]&gt;0, Query1[[#This Row],[Month]]&lt;&gt;H752),
    IF(Query1[[#This Row],[Adj Close]]&gt;Query1[[#This Row],[avg]],
       Dashboard!$L$5-Dashboard!$E$6,
       Dashboard!$L$5+Dashboard!$E$6
    ), 0
)</f>
        <v>0</v>
      </c>
      <c r="P753" s="2">
        <f>IF(ROW()&lt;3, Query1[[#This Row],[Shares]], IF(Query1[[#This Row],[Month]]&lt;&gt;H752, P752+Query1[[#This Row],[Enhanced top up]]/Query1[[#This Row],[Adj Close]], P752))</f>
        <v>3382.6930971083293</v>
      </c>
      <c r="Q753" s="2">
        <f>IFERROR(AVERAGE(
  IF(ROW()&gt;20, INDEX(G:G, ROW()-20), 0) :
  INDEX(G:G, ROW())
),0)</f>
        <v>241.86512901669457</v>
      </c>
    </row>
    <row r="754" spans="1:17" x14ac:dyDescent="0.4">
      <c r="A754" s="1">
        <v>44922</v>
      </c>
      <c r="B754">
        <v>238.69999694824219</v>
      </c>
      <c r="C754">
        <v>238.92999267578125</v>
      </c>
      <c r="D754">
        <v>235.83000183105469</v>
      </c>
      <c r="E754">
        <v>236.96000671386719</v>
      </c>
      <c r="F754">
        <v>16688600</v>
      </c>
      <c r="G754">
        <v>231.85995483398438</v>
      </c>
      <c r="H754" s="2">
        <f>MONTH(Query1[[#This Row],[Date]])</f>
        <v>12</v>
      </c>
      <c r="I754" s="3">
        <f>Query1[[#This Row],[Shares]]*Query1[[#This Row],[Adj Close]]</f>
        <v>832910.27589933504</v>
      </c>
      <c r="J754" s="3">
        <f>IF(ROW()&lt;3, Dashboard!$E$7, IF(Query1[[#This Row],[Month]]&lt;&gt;H753,J753*(1+Dashboard!$E$4)+Dashboard!$E$5,J753))</f>
        <v>791621.92922188784</v>
      </c>
      <c r="K754">
        <f>IF(ROW()&lt;3, 0,IF(Query1[[#This Row],[Month]]&lt;&gt;H753,IF((J754-I754&gt;0),J754-I754,0),0))</f>
        <v>0</v>
      </c>
      <c r="L754" s="2">
        <f t="shared" si="11"/>
        <v>3592.2989655359538</v>
      </c>
      <c r="M754">
        <f>IF(ROW()&lt;3, 0, IF(Query1[[#This Row],[Month]]&lt;&gt;H753, Dashboard!$J$5,0))</f>
        <v>0</v>
      </c>
      <c r="N754" s="2">
        <f>IF(ROW()&lt;3, Query1[[#This Row],[Shares]], IF(Query1[[#This Row],[Month]]&lt;&gt;H753, N753+Query1[[#This Row],[Fix Top Up]]/Query1[[#This Row],[Adj Close]], N753))</f>
        <v>3389.9206214253372</v>
      </c>
      <c r="O754">
        <f>IF(AND(Query1[[#This Row],[avg]]&gt;0, Query1[[#This Row],[Month]]&lt;&gt;H753),
    IF(Query1[[#This Row],[Adj Close]]&gt;Query1[[#This Row],[avg]],
       Dashboard!$L$5-Dashboard!$E$6,
       Dashboard!$L$5+Dashboard!$E$6
    ), 0
)</f>
        <v>0</v>
      </c>
      <c r="P754" s="2">
        <f>IF(ROW()&lt;3, Query1[[#This Row],[Shares]], IF(Query1[[#This Row],[Month]]&lt;&gt;H753, P753+Query1[[#This Row],[Enhanced top up]]/Query1[[#This Row],[Adj Close]], P753))</f>
        <v>3382.6930971083293</v>
      </c>
      <c r="Q754" s="2">
        <f>IFERROR(AVERAGE(
  IF(ROW()&gt;20, INDEX(G:G, ROW()-20), 0) :
  INDEX(G:G, ROW())
),0)</f>
        <v>241.37449137369791</v>
      </c>
    </row>
    <row r="755" spans="1:17" x14ac:dyDescent="0.4">
      <c r="A755" s="1">
        <v>44923</v>
      </c>
      <c r="B755">
        <v>236.88999938964844</v>
      </c>
      <c r="C755">
        <v>239.72000122070313</v>
      </c>
      <c r="D755">
        <v>234.16999816894531</v>
      </c>
      <c r="E755">
        <v>234.52999877929688</v>
      </c>
      <c r="F755">
        <v>17457100</v>
      </c>
      <c r="G755">
        <v>229.48226928710938</v>
      </c>
      <c r="H755" s="2">
        <f>MONTH(Query1[[#This Row],[Date]])</f>
        <v>12</v>
      </c>
      <c r="I755" s="3">
        <f>Query1[[#This Row],[Shares]]*Query1[[#This Row],[Adj Close]]</f>
        <v>824368.91856892616</v>
      </c>
      <c r="J755" s="3">
        <f>IF(ROW()&lt;3, Dashboard!$E$7, IF(Query1[[#This Row],[Month]]&lt;&gt;H754,J754*(1+Dashboard!$E$4)+Dashboard!$E$5,J754))</f>
        <v>791621.92922188784</v>
      </c>
      <c r="K755">
        <f>IF(ROW()&lt;3, 0,IF(Query1[[#This Row],[Month]]&lt;&gt;H754,IF((J755-I755&gt;0),J755-I755,0),0))</f>
        <v>0</v>
      </c>
      <c r="L755" s="2">
        <f t="shared" si="11"/>
        <v>3592.2989655359538</v>
      </c>
      <c r="M755">
        <f>IF(ROW()&lt;3, 0, IF(Query1[[#This Row],[Month]]&lt;&gt;H754, Dashboard!$J$5,0))</f>
        <v>0</v>
      </c>
      <c r="N755" s="2">
        <f>IF(ROW()&lt;3, Query1[[#This Row],[Shares]], IF(Query1[[#This Row],[Month]]&lt;&gt;H754, N754+Query1[[#This Row],[Fix Top Up]]/Query1[[#This Row],[Adj Close]], N754))</f>
        <v>3389.9206214253372</v>
      </c>
      <c r="O755">
        <f>IF(AND(Query1[[#This Row],[avg]]&gt;0, Query1[[#This Row],[Month]]&lt;&gt;H754),
    IF(Query1[[#This Row],[Adj Close]]&gt;Query1[[#This Row],[avg]],
       Dashboard!$L$5-Dashboard!$E$6,
       Dashboard!$L$5+Dashboard!$E$6
    ), 0
)</f>
        <v>0</v>
      </c>
      <c r="P755" s="2">
        <f>IF(ROW()&lt;3, Query1[[#This Row],[Shares]], IF(Query1[[#This Row],[Month]]&lt;&gt;H754, P754+Query1[[#This Row],[Enhanced top up]]/Query1[[#This Row],[Adj Close]], P754))</f>
        <v>3382.6930971083293</v>
      </c>
      <c r="Q755" s="2">
        <f>IFERROR(AVERAGE(
  IF(ROW()&gt;20, INDEX(G:G, ROW()-20), 0) :
  INDEX(G:G, ROW())
),0)</f>
        <v>241.03761654808409</v>
      </c>
    </row>
    <row r="756" spans="1:17" x14ac:dyDescent="0.4">
      <c r="A756" s="1">
        <v>44924</v>
      </c>
      <c r="B756">
        <v>235.64999389648438</v>
      </c>
      <c r="C756">
        <v>241.91999816894531</v>
      </c>
      <c r="D756">
        <v>235.64999389648438</v>
      </c>
      <c r="E756">
        <v>241.00999450683594</v>
      </c>
      <c r="F756">
        <v>19770700</v>
      </c>
      <c r="G756">
        <v>235.82278442382813</v>
      </c>
      <c r="H756" s="2">
        <f>MONTH(Query1[[#This Row],[Date]])</f>
        <v>12</v>
      </c>
      <c r="I756" s="3">
        <f>Query1[[#This Row],[Shares]]*Query1[[#This Row],[Adj Close]]</f>
        <v>847145.94453552598</v>
      </c>
      <c r="J756" s="3">
        <f>IF(ROW()&lt;3, Dashboard!$E$7, IF(Query1[[#This Row],[Month]]&lt;&gt;H755,J755*(1+Dashboard!$E$4)+Dashboard!$E$5,J755))</f>
        <v>791621.92922188784</v>
      </c>
      <c r="K756">
        <f>IF(ROW()&lt;3, 0,IF(Query1[[#This Row],[Month]]&lt;&gt;H755,IF((J756-I756&gt;0),J756-I756,0),0))</f>
        <v>0</v>
      </c>
      <c r="L756" s="2">
        <f t="shared" si="11"/>
        <v>3592.2989655359538</v>
      </c>
      <c r="M756">
        <f>IF(ROW()&lt;3, 0, IF(Query1[[#This Row],[Month]]&lt;&gt;H755, Dashboard!$J$5,0))</f>
        <v>0</v>
      </c>
      <c r="N756" s="2">
        <f>IF(ROW()&lt;3, Query1[[#This Row],[Shares]], IF(Query1[[#This Row],[Month]]&lt;&gt;H755, N755+Query1[[#This Row],[Fix Top Up]]/Query1[[#This Row],[Adj Close]], N755))</f>
        <v>3389.9206214253372</v>
      </c>
      <c r="O756">
        <f>IF(AND(Query1[[#This Row],[avg]]&gt;0, Query1[[#This Row],[Month]]&lt;&gt;H755),
    IF(Query1[[#This Row],[Adj Close]]&gt;Query1[[#This Row],[avg]],
       Dashboard!$L$5-Dashboard!$E$6,
       Dashboard!$L$5+Dashboard!$E$6
    ), 0
)</f>
        <v>0</v>
      </c>
      <c r="P756" s="2">
        <f>IF(ROW()&lt;3, Query1[[#This Row],[Shares]], IF(Query1[[#This Row],[Month]]&lt;&gt;H755, P755+Query1[[#This Row],[Enhanced top up]]/Query1[[#This Row],[Adj Close]], P755))</f>
        <v>3382.6930971083293</v>
      </c>
      <c r="Q756" s="2">
        <f>IFERROR(AVERAGE(
  IF(ROW()&gt;20, INDEX(G:G, ROW()-20), 0) :
  INDEX(G:G, ROW())
),0)</f>
        <v>241.06929888044084</v>
      </c>
    </row>
    <row r="757" spans="1:17" x14ac:dyDescent="0.4">
      <c r="A757" s="1">
        <v>44925</v>
      </c>
      <c r="B757">
        <v>238.21000671386719</v>
      </c>
      <c r="C757">
        <v>239.96000671386719</v>
      </c>
      <c r="D757">
        <v>236.66000366210938</v>
      </c>
      <c r="E757">
        <v>239.82000732421875</v>
      </c>
      <c r="F757">
        <v>21938500</v>
      </c>
      <c r="G757">
        <v>234.65841674804688</v>
      </c>
      <c r="H757" s="2">
        <f>MONTH(Query1[[#This Row],[Date]])</f>
        <v>12</v>
      </c>
      <c r="I757" s="3">
        <f>Query1[[#This Row],[Shares]]*Query1[[#This Row],[Adj Close]]</f>
        <v>842963.18773831357</v>
      </c>
      <c r="J757" s="3">
        <f>IF(ROW()&lt;3, Dashboard!$E$7, IF(Query1[[#This Row],[Month]]&lt;&gt;H756,J756*(1+Dashboard!$E$4)+Dashboard!$E$5,J756))</f>
        <v>791621.92922188784</v>
      </c>
      <c r="K757">
        <f>IF(ROW()&lt;3, 0,IF(Query1[[#This Row],[Month]]&lt;&gt;H756,IF((J757-I757&gt;0),J757-I757,0),0))</f>
        <v>0</v>
      </c>
      <c r="L757" s="2">
        <f t="shared" si="11"/>
        <v>3592.2989655359538</v>
      </c>
      <c r="M757">
        <f>IF(ROW()&lt;3, 0, IF(Query1[[#This Row],[Month]]&lt;&gt;H756, Dashboard!$J$5,0))</f>
        <v>0</v>
      </c>
      <c r="N757" s="2">
        <f>IF(ROW()&lt;3, Query1[[#This Row],[Shares]], IF(Query1[[#This Row],[Month]]&lt;&gt;H756, N756+Query1[[#This Row],[Fix Top Up]]/Query1[[#This Row],[Adj Close]], N756))</f>
        <v>3389.9206214253372</v>
      </c>
      <c r="O757">
        <f>IF(AND(Query1[[#This Row],[avg]]&gt;0, Query1[[#This Row],[Month]]&lt;&gt;H756),
    IF(Query1[[#This Row],[Adj Close]]&gt;Query1[[#This Row],[avg]],
       Dashboard!$L$5-Dashboard!$E$6,
       Dashboard!$L$5+Dashboard!$E$6
    ), 0
)</f>
        <v>0</v>
      </c>
      <c r="P757" s="2">
        <f>IF(ROW()&lt;3, Query1[[#This Row],[Shares]], IF(Query1[[#This Row],[Month]]&lt;&gt;H756, P756+Query1[[#This Row],[Enhanced top up]]/Query1[[#This Row],[Adj Close]], P756))</f>
        <v>3382.6930971083293</v>
      </c>
      <c r="Q757" s="2">
        <f>IFERROR(AVERAGE(
  IF(ROW()&gt;20, INDEX(G:G, ROW()-20), 0) :
  INDEX(G:G, ROW())
),0)</f>
        <v>240.35547674269904</v>
      </c>
    </row>
    <row r="758" spans="1:17" x14ac:dyDescent="0.4">
      <c r="A758" s="1">
        <v>44929</v>
      </c>
      <c r="B758">
        <v>243.08000183105469</v>
      </c>
      <c r="C758">
        <v>245.75</v>
      </c>
      <c r="D758">
        <v>237.39999389648438</v>
      </c>
      <c r="E758">
        <v>239.58000183105469</v>
      </c>
      <c r="F758">
        <v>25740000</v>
      </c>
      <c r="G758">
        <v>234.423583984375</v>
      </c>
      <c r="H758" s="2">
        <f>MONTH(Query1[[#This Row],[Date]])</f>
        <v>1</v>
      </c>
      <c r="I758" s="3">
        <f>Query1[[#This Row],[Shares]]*Query1[[#This Row],[Adj Close]]</f>
        <v>842119.59824430116</v>
      </c>
      <c r="J758" s="3">
        <f>IF(ROW()&lt;3, Dashboard!$E$7, IF(Query1[[#This Row],[Month]]&lt;&gt;H757,J757*(1+Dashboard!$E$4)+Dashboard!$E$5,J757))</f>
        <v>801538.14851410675</v>
      </c>
      <c r="K758">
        <f>IF(ROW()&lt;3, 0,IF(Query1[[#This Row],[Month]]&lt;&gt;H757,IF((J758-I758&gt;0),J758-I758,0),0))</f>
        <v>0</v>
      </c>
      <c r="L758" s="2">
        <f t="shared" si="11"/>
        <v>3592.2989655359538</v>
      </c>
      <c r="M758">
        <f>IF(ROW()&lt;3, 0, IF(Query1[[#This Row],[Month]]&lt;&gt;H757, Dashboard!$J$5,0))</f>
        <v>773.47399999999971</v>
      </c>
      <c r="N758" s="2">
        <f>IF(ROW()&lt;3, Query1[[#This Row],[Shares]], IF(Query1[[#This Row],[Month]]&lt;&gt;H757, N757+Query1[[#This Row],[Fix Top Up]]/Query1[[#This Row],[Adj Close]], N757))</f>
        <v>3393.2200932056662</v>
      </c>
      <c r="O758">
        <f>IF(AND(Query1[[#This Row],[avg]]&gt;0, Query1[[#This Row],[Month]]&lt;&gt;H757),
    IF(Query1[[#This Row],[Adj Close]]&gt;Query1[[#This Row],[avg]],
       Dashboard!$L$5-Dashboard!$E$6,
       Dashboard!$L$5+Dashboard!$E$6
    ), 0
)</f>
        <v>1390.1406666666667</v>
      </c>
      <c r="P758" s="2">
        <f>IF(ROW()&lt;3, Query1[[#This Row],[Shares]], IF(Query1[[#This Row],[Month]]&lt;&gt;H757, P757+Query1[[#This Row],[Enhanced top up]]/Query1[[#This Row],[Adj Close]], P757))</f>
        <v>3388.6231347053968</v>
      </c>
      <c r="Q758" s="2">
        <f>IFERROR(AVERAGE(
  IF(ROW()&gt;20, INDEX(G:G, ROW()-20), 0) :
  INDEX(G:G, ROW())
),0)</f>
        <v>239.6514405750093</v>
      </c>
    </row>
    <row r="759" spans="1:17" x14ac:dyDescent="0.4">
      <c r="A759" s="1">
        <v>44930</v>
      </c>
      <c r="B759">
        <v>232.27999877929688</v>
      </c>
      <c r="C759">
        <v>232.8699951171875</v>
      </c>
      <c r="D759">
        <v>225.96000671386719</v>
      </c>
      <c r="E759">
        <v>229.10000610351563</v>
      </c>
      <c r="F759">
        <v>50623400</v>
      </c>
      <c r="G759">
        <v>224.16912841796875</v>
      </c>
      <c r="H759" s="2">
        <f>MONTH(Query1[[#This Row],[Date]])</f>
        <v>1</v>
      </c>
      <c r="I759" s="3">
        <f>Query1[[#This Row],[Shares]]*Query1[[#This Row],[Adj Close]]</f>
        <v>805282.52812096558</v>
      </c>
      <c r="J759" s="3">
        <f>IF(ROW()&lt;3, Dashboard!$E$7, IF(Query1[[#This Row],[Month]]&lt;&gt;H758,J758*(1+Dashboard!$E$4)+Dashboard!$E$5,J758))</f>
        <v>801538.14851410675</v>
      </c>
      <c r="K759">
        <f>IF(ROW()&lt;3, 0,IF(Query1[[#This Row],[Month]]&lt;&gt;H758,IF((J759-I759&gt;0),J759-I759,0),0))</f>
        <v>0</v>
      </c>
      <c r="L759" s="2">
        <f t="shared" si="11"/>
        <v>3592.2989655359538</v>
      </c>
      <c r="M759">
        <f>IF(ROW()&lt;3, 0, IF(Query1[[#This Row],[Month]]&lt;&gt;H758, Dashboard!$J$5,0))</f>
        <v>0</v>
      </c>
      <c r="N759" s="2">
        <f>IF(ROW()&lt;3, Query1[[#This Row],[Shares]], IF(Query1[[#This Row],[Month]]&lt;&gt;H758, N758+Query1[[#This Row],[Fix Top Up]]/Query1[[#This Row],[Adj Close]], N758))</f>
        <v>3393.2200932056662</v>
      </c>
      <c r="O759">
        <f>IF(AND(Query1[[#This Row],[avg]]&gt;0, Query1[[#This Row],[Month]]&lt;&gt;H758),
    IF(Query1[[#This Row],[Adj Close]]&gt;Query1[[#This Row],[avg]],
       Dashboard!$L$5-Dashboard!$E$6,
       Dashboard!$L$5+Dashboard!$E$6
    ), 0
)</f>
        <v>0</v>
      </c>
      <c r="P759" s="2">
        <f>IF(ROW()&lt;3, Query1[[#This Row],[Shares]], IF(Query1[[#This Row],[Month]]&lt;&gt;H758, P758+Query1[[#This Row],[Enhanced top up]]/Query1[[#This Row],[Adj Close]], P758))</f>
        <v>3388.6231347053968</v>
      </c>
      <c r="Q759" s="2">
        <f>IFERROR(AVERAGE(
  IF(ROW()&gt;20, INDEX(G:G, ROW()-20), 0) :
  INDEX(G:G, ROW())
),0)</f>
        <v>238.44371831984748</v>
      </c>
    </row>
    <row r="760" spans="1:17" x14ac:dyDescent="0.4">
      <c r="A760" s="1">
        <v>44931</v>
      </c>
      <c r="B760">
        <v>227.19999694824219</v>
      </c>
      <c r="C760">
        <v>227.55000305175781</v>
      </c>
      <c r="D760">
        <v>221.75999450683594</v>
      </c>
      <c r="E760">
        <v>222.30999755859375</v>
      </c>
      <c r="F760">
        <v>39585600</v>
      </c>
      <c r="G760">
        <v>217.5252685546875</v>
      </c>
      <c r="H760" s="2">
        <f>MONTH(Query1[[#This Row],[Date]])</f>
        <v>1</v>
      </c>
      <c r="I760" s="3">
        <f>Query1[[#This Row],[Shares]]*Query1[[#This Row],[Adj Close]]</f>
        <v>781415.79720693443</v>
      </c>
      <c r="J760" s="3">
        <f>IF(ROW()&lt;3, Dashboard!$E$7, IF(Query1[[#This Row],[Month]]&lt;&gt;H759,J759*(1+Dashboard!$E$4)+Dashboard!$E$5,J759))</f>
        <v>801538.14851410675</v>
      </c>
      <c r="K760">
        <f>IF(ROW()&lt;3, 0,IF(Query1[[#This Row],[Month]]&lt;&gt;H759,IF((J760-I760&gt;0),J760-I760,0),0))</f>
        <v>0</v>
      </c>
      <c r="L760" s="2">
        <f t="shared" si="11"/>
        <v>3592.2989655359538</v>
      </c>
      <c r="M760">
        <f>IF(ROW()&lt;3, 0, IF(Query1[[#This Row],[Month]]&lt;&gt;H759, Dashboard!$J$5,0))</f>
        <v>0</v>
      </c>
      <c r="N760" s="2">
        <f>IF(ROW()&lt;3, Query1[[#This Row],[Shares]], IF(Query1[[#This Row],[Month]]&lt;&gt;H759, N759+Query1[[#This Row],[Fix Top Up]]/Query1[[#This Row],[Adj Close]], N759))</f>
        <v>3393.2200932056662</v>
      </c>
      <c r="O760">
        <f>IF(AND(Query1[[#This Row],[avg]]&gt;0, Query1[[#This Row],[Month]]&lt;&gt;H759),
    IF(Query1[[#This Row],[Adj Close]]&gt;Query1[[#This Row],[avg]],
       Dashboard!$L$5-Dashboard!$E$6,
       Dashboard!$L$5+Dashboard!$E$6
    ), 0
)</f>
        <v>0</v>
      </c>
      <c r="P760" s="2">
        <f>IF(ROW()&lt;3, Query1[[#This Row],[Shares]], IF(Query1[[#This Row],[Month]]&lt;&gt;H759, P759+Query1[[#This Row],[Enhanced top up]]/Query1[[#This Row],[Adj Close]], P759))</f>
        <v>3388.6231347053968</v>
      </c>
      <c r="Q760" s="2">
        <f>IFERROR(AVERAGE(
  IF(ROW()&gt;20, INDEX(G:G, ROW()-20), 0) :
  INDEX(G:G, ROW())
),0)</f>
        <v>237.14420790899368</v>
      </c>
    </row>
    <row r="761" spans="1:17" x14ac:dyDescent="0.4">
      <c r="A761" s="1">
        <v>44932</v>
      </c>
      <c r="B761">
        <v>223</v>
      </c>
      <c r="C761">
        <v>225.75999450683594</v>
      </c>
      <c r="D761">
        <v>219.35000610351563</v>
      </c>
      <c r="E761">
        <v>224.92999267578125</v>
      </c>
      <c r="F761">
        <v>43613600</v>
      </c>
      <c r="G761">
        <v>220.08888244628906</v>
      </c>
      <c r="H761" s="2">
        <f>MONTH(Query1[[#This Row],[Date]])</f>
        <v>1</v>
      </c>
      <c r="I761" s="3">
        <f>Query1[[#This Row],[Shares]]*Query1[[#This Row],[Adj Close]]</f>
        <v>790625.06473776838</v>
      </c>
      <c r="J761" s="3">
        <f>IF(ROW()&lt;3, Dashboard!$E$7, IF(Query1[[#This Row],[Month]]&lt;&gt;H760,J760*(1+Dashboard!$E$4)+Dashboard!$E$5,J760))</f>
        <v>801538.14851410675</v>
      </c>
      <c r="K761">
        <f>IF(ROW()&lt;3, 0,IF(Query1[[#This Row],[Month]]&lt;&gt;H760,IF((J761-I761&gt;0),J761-I761,0),0))</f>
        <v>0</v>
      </c>
      <c r="L761" s="2">
        <f t="shared" si="11"/>
        <v>3592.2989655359538</v>
      </c>
      <c r="M761">
        <f>IF(ROW()&lt;3, 0, IF(Query1[[#This Row],[Month]]&lt;&gt;H760, Dashboard!$J$5,0))</f>
        <v>0</v>
      </c>
      <c r="N761" s="2">
        <f>IF(ROW()&lt;3, Query1[[#This Row],[Shares]], IF(Query1[[#This Row],[Month]]&lt;&gt;H760, N760+Query1[[#This Row],[Fix Top Up]]/Query1[[#This Row],[Adj Close]], N760))</f>
        <v>3393.2200932056662</v>
      </c>
      <c r="O761">
        <f>IF(AND(Query1[[#This Row],[avg]]&gt;0, Query1[[#This Row],[Month]]&lt;&gt;H760),
    IF(Query1[[#This Row],[Adj Close]]&gt;Query1[[#This Row],[avg]],
       Dashboard!$L$5-Dashboard!$E$6,
       Dashboard!$L$5+Dashboard!$E$6
    ), 0
)</f>
        <v>0</v>
      </c>
      <c r="P761" s="2">
        <f>IF(ROW()&lt;3, Query1[[#This Row],[Shares]], IF(Query1[[#This Row],[Month]]&lt;&gt;H760, P760+Query1[[#This Row],[Enhanced top up]]/Query1[[#This Row],[Adj Close]], P760))</f>
        <v>3388.6231347053968</v>
      </c>
      <c r="Q761" s="2">
        <f>IFERROR(AVERAGE(
  IF(ROW()&gt;20, INDEX(G:G, ROW()-20), 0) :
  INDEX(G:G, ROW())
),0)</f>
        <v>236.20347086588541</v>
      </c>
    </row>
    <row r="762" spans="1:17" x14ac:dyDescent="0.4">
      <c r="A762" s="1">
        <v>44935</v>
      </c>
      <c r="B762">
        <v>226.44999694824219</v>
      </c>
      <c r="C762">
        <v>231.24000549316406</v>
      </c>
      <c r="D762">
        <v>226.41000366210938</v>
      </c>
      <c r="E762">
        <v>227.1199951171875</v>
      </c>
      <c r="F762">
        <v>27369800</v>
      </c>
      <c r="G762">
        <v>222.23175048828125</v>
      </c>
      <c r="H762" s="2">
        <f>MONTH(Query1[[#This Row],[Date]])</f>
        <v>1</v>
      </c>
      <c r="I762" s="3">
        <f>Query1[[#This Row],[Shares]]*Query1[[#This Row],[Adj Close]]</f>
        <v>798322.88738829689</v>
      </c>
      <c r="J762" s="3">
        <f>IF(ROW()&lt;3, Dashboard!$E$7, IF(Query1[[#This Row],[Month]]&lt;&gt;H761,J761*(1+Dashboard!$E$4)+Dashboard!$E$5,J761))</f>
        <v>801538.14851410675</v>
      </c>
      <c r="K762">
        <f>IF(ROW()&lt;3, 0,IF(Query1[[#This Row],[Month]]&lt;&gt;H761,IF((J762-I762&gt;0),J762-I762,0),0))</f>
        <v>0</v>
      </c>
      <c r="L762" s="2">
        <f t="shared" si="11"/>
        <v>3592.2989655359538</v>
      </c>
      <c r="M762">
        <f>IF(ROW()&lt;3, 0, IF(Query1[[#This Row],[Month]]&lt;&gt;H761, Dashboard!$J$5,0))</f>
        <v>0</v>
      </c>
      <c r="N762" s="2">
        <f>IF(ROW()&lt;3, Query1[[#This Row],[Shares]], IF(Query1[[#This Row],[Month]]&lt;&gt;H761, N761+Query1[[#This Row],[Fix Top Up]]/Query1[[#This Row],[Adj Close]], N761))</f>
        <v>3393.2200932056662</v>
      </c>
      <c r="O762">
        <f>IF(AND(Query1[[#This Row],[avg]]&gt;0, Query1[[#This Row],[Month]]&lt;&gt;H761),
    IF(Query1[[#This Row],[Adj Close]]&gt;Query1[[#This Row],[avg]],
       Dashboard!$L$5-Dashboard!$E$6,
       Dashboard!$L$5+Dashboard!$E$6
    ), 0
)</f>
        <v>0</v>
      </c>
      <c r="P762" s="2">
        <f>IF(ROW()&lt;3, Query1[[#This Row],[Shares]], IF(Query1[[#This Row],[Month]]&lt;&gt;H761, P761+Query1[[#This Row],[Enhanced top up]]/Query1[[#This Row],[Adj Close]], P761))</f>
        <v>3388.6231347053968</v>
      </c>
      <c r="Q762" s="2">
        <f>IFERROR(AVERAGE(
  IF(ROW()&gt;20, INDEX(G:G, ROW()-20), 0) :
  INDEX(G:G, ROW())
),0)</f>
        <v>235.39972214471726</v>
      </c>
    </row>
    <row r="763" spans="1:17" x14ac:dyDescent="0.4">
      <c r="A763" s="1">
        <v>44936</v>
      </c>
      <c r="B763">
        <v>227.75999450683594</v>
      </c>
      <c r="C763">
        <v>231.30999755859375</v>
      </c>
      <c r="D763">
        <v>227.33000183105469</v>
      </c>
      <c r="E763">
        <v>228.85000610351563</v>
      </c>
      <c r="F763">
        <v>27033900</v>
      </c>
      <c r="G763">
        <v>223.92451477050781</v>
      </c>
      <c r="H763" s="2">
        <f>MONTH(Query1[[#This Row],[Date]])</f>
        <v>1</v>
      </c>
      <c r="I763" s="3">
        <f>Query1[[#This Row],[Shares]]*Query1[[#This Row],[Adj Close]]</f>
        <v>804403.80276823568</v>
      </c>
      <c r="J763" s="3">
        <f>IF(ROW()&lt;3, Dashboard!$E$7, IF(Query1[[#This Row],[Month]]&lt;&gt;H762,J762*(1+Dashboard!$E$4)+Dashboard!$E$5,J762))</f>
        <v>801538.14851410675</v>
      </c>
      <c r="K763">
        <f>IF(ROW()&lt;3, 0,IF(Query1[[#This Row],[Month]]&lt;&gt;H762,IF((J763-I763&gt;0),J763-I763,0),0))</f>
        <v>0</v>
      </c>
      <c r="L763" s="2">
        <f t="shared" si="11"/>
        <v>3592.2989655359538</v>
      </c>
      <c r="M763">
        <f>IF(ROW()&lt;3, 0, IF(Query1[[#This Row],[Month]]&lt;&gt;H762, Dashboard!$J$5,0))</f>
        <v>0</v>
      </c>
      <c r="N763" s="2">
        <f>IF(ROW()&lt;3, Query1[[#This Row],[Shares]], IF(Query1[[#This Row],[Month]]&lt;&gt;H762, N762+Query1[[#This Row],[Fix Top Up]]/Query1[[#This Row],[Adj Close]], N762))</f>
        <v>3393.2200932056662</v>
      </c>
      <c r="O763">
        <f>IF(AND(Query1[[#This Row],[avg]]&gt;0, Query1[[#This Row],[Month]]&lt;&gt;H762),
    IF(Query1[[#This Row],[Adj Close]]&gt;Query1[[#This Row],[avg]],
       Dashboard!$L$5-Dashboard!$E$6,
       Dashboard!$L$5+Dashboard!$E$6
    ), 0
)</f>
        <v>0</v>
      </c>
      <c r="P763" s="2">
        <f>IF(ROW()&lt;3, Query1[[#This Row],[Shares]], IF(Query1[[#This Row],[Month]]&lt;&gt;H762, P762+Query1[[#This Row],[Enhanced top up]]/Query1[[#This Row],[Adj Close]], P762))</f>
        <v>3388.6231347053968</v>
      </c>
      <c r="Q763" s="2">
        <f>IFERROR(AVERAGE(
  IF(ROW()&gt;20, INDEX(G:G, ROW()-20), 0) :
  INDEX(G:G, ROW())
),0)</f>
        <v>234.535401843843</v>
      </c>
    </row>
    <row r="764" spans="1:17" x14ac:dyDescent="0.4">
      <c r="A764" s="1">
        <v>44937</v>
      </c>
      <c r="B764">
        <v>231.28999328613281</v>
      </c>
      <c r="C764">
        <v>235.94999694824219</v>
      </c>
      <c r="D764">
        <v>231.11000061035156</v>
      </c>
      <c r="E764">
        <v>235.77000427246094</v>
      </c>
      <c r="F764">
        <v>28669300</v>
      </c>
      <c r="G764">
        <v>230.69557189941406</v>
      </c>
      <c r="H764" s="2">
        <f>MONTH(Query1[[#This Row],[Date]])</f>
        <v>1</v>
      </c>
      <c r="I764" s="3">
        <f>Query1[[#This Row],[Shares]]*Query1[[#This Row],[Adj Close]]</f>
        <v>828727.46428799035</v>
      </c>
      <c r="J764" s="3">
        <f>IF(ROW()&lt;3, Dashboard!$E$7, IF(Query1[[#This Row],[Month]]&lt;&gt;H763,J763*(1+Dashboard!$E$4)+Dashboard!$E$5,J763))</f>
        <v>801538.14851410675</v>
      </c>
      <c r="K764">
        <f>IF(ROW()&lt;3, 0,IF(Query1[[#This Row],[Month]]&lt;&gt;H763,IF((J764-I764&gt;0),J764-I764,0),0))</f>
        <v>0</v>
      </c>
      <c r="L764" s="2">
        <f t="shared" si="11"/>
        <v>3592.2989655359538</v>
      </c>
      <c r="M764">
        <f>IF(ROW()&lt;3, 0, IF(Query1[[#This Row],[Month]]&lt;&gt;H763, Dashboard!$J$5,0))</f>
        <v>0</v>
      </c>
      <c r="N764" s="2">
        <f>IF(ROW()&lt;3, Query1[[#This Row],[Shares]], IF(Query1[[#This Row],[Month]]&lt;&gt;H763, N763+Query1[[#This Row],[Fix Top Up]]/Query1[[#This Row],[Adj Close]], N763))</f>
        <v>3393.2200932056662</v>
      </c>
      <c r="O764">
        <f>IF(AND(Query1[[#This Row],[avg]]&gt;0, Query1[[#This Row],[Month]]&lt;&gt;H763),
    IF(Query1[[#This Row],[Adj Close]]&gt;Query1[[#This Row],[avg]],
       Dashboard!$L$5-Dashboard!$E$6,
       Dashboard!$L$5+Dashboard!$E$6
    ), 0
)</f>
        <v>0</v>
      </c>
      <c r="P764" s="2">
        <f>IF(ROW()&lt;3, Query1[[#This Row],[Shares]], IF(Query1[[#This Row],[Month]]&lt;&gt;H763, P763+Query1[[#This Row],[Enhanced top up]]/Query1[[#This Row],[Adj Close]], P763))</f>
        <v>3388.6231347053968</v>
      </c>
      <c r="Q764" s="2">
        <f>IFERROR(AVERAGE(
  IF(ROW()&gt;20, INDEX(G:G, ROW()-20), 0) :
  INDEX(G:G, ROW())
),0)</f>
        <v>234.08576820010231</v>
      </c>
    </row>
    <row r="765" spans="1:17" x14ac:dyDescent="0.4">
      <c r="A765" s="1">
        <v>44938</v>
      </c>
      <c r="B765">
        <v>235.25999450683594</v>
      </c>
      <c r="C765">
        <v>239.89999389648438</v>
      </c>
      <c r="D765">
        <v>233.55999755859375</v>
      </c>
      <c r="E765">
        <v>238.50999450683594</v>
      </c>
      <c r="F765">
        <v>27269500</v>
      </c>
      <c r="G765">
        <v>233.37660217285156</v>
      </c>
      <c r="H765" s="2">
        <f>MONTH(Query1[[#This Row],[Date]])</f>
        <v>1</v>
      </c>
      <c r="I765" s="3">
        <f>Query1[[#This Row],[Shares]]*Query1[[#This Row],[Adj Close]]</f>
        <v>838358.52656583046</v>
      </c>
      <c r="J765" s="3">
        <f>IF(ROW()&lt;3, Dashboard!$E$7, IF(Query1[[#This Row],[Month]]&lt;&gt;H764,J764*(1+Dashboard!$E$4)+Dashboard!$E$5,J764))</f>
        <v>801538.14851410675</v>
      </c>
      <c r="K765">
        <f>IF(ROW()&lt;3, 0,IF(Query1[[#This Row],[Month]]&lt;&gt;H764,IF((J765-I765&gt;0),J765-I765,0),0))</f>
        <v>0</v>
      </c>
      <c r="L765" s="2">
        <f t="shared" si="11"/>
        <v>3592.2989655359538</v>
      </c>
      <c r="M765">
        <f>IF(ROW()&lt;3, 0, IF(Query1[[#This Row],[Month]]&lt;&gt;H764, Dashboard!$J$5,0))</f>
        <v>0</v>
      </c>
      <c r="N765" s="2">
        <f>IF(ROW()&lt;3, Query1[[#This Row],[Shares]], IF(Query1[[#This Row],[Month]]&lt;&gt;H764, N764+Query1[[#This Row],[Fix Top Up]]/Query1[[#This Row],[Adj Close]], N764))</f>
        <v>3393.2200932056662</v>
      </c>
      <c r="O765">
        <f>IF(AND(Query1[[#This Row],[avg]]&gt;0, Query1[[#This Row],[Month]]&lt;&gt;H764),
    IF(Query1[[#This Row],[Adj Close]]&gt;Query1[[#This Row],[avg]],
       Dashboard!$L$5-Dashboard!$E$6,
       Dashboard!$L$5+Dashboard!$E$6
    ), 0
)</f>
        <v>0</v>
      </c>
      <c r="P765" s="2">
        <f>IF(ROW()&lt;3, Query1[[#This Row],[Shares]], IF(Query1[[#This Row],[Month]]&lt;&gt;H764, P764+Query1[[#This Row],[Enhanced top up]]/Query1[[#This Row],[Adj Close]], P764))</f>
        <v>3388.6231347053968</v>
      </c>
      <c r="Q765" s="2">
        <f>IFERROR(AVERAGE(
  IF(ROW()&gt;20, INDEX(G:G, ROW()-20), 0) :
  INDEX(G:G, ROW())
),0)</f>
        <v>233.4334498814174</v>
      </c>
    </row>
    <row r="766" spans="1:17" x14ac:dyDescent="0.4">
      <c r="A766" s="1">
        <v>44939</v>
      </c>
      <c r="B766">
        <v>237</v>
      </c>
      <c r="C766">
        <v>239.3699951171875</v>
      </c>
      <c r="D766">
        <v>234.91999816894531</v>
      </c>
      <c r="E766">
        <v>239.22999572753906</v>
      </c>
      <c r="F766">
        <v>21333300</v>
      </c>
      <c r="G766">
        <v>234.08111572265625</v>
      </c>
      <c r="H766" s="2">
        <f>MONTH(Query1[[#This Row],[Date]])</f>
        <v>1</v>
      </c>
      <c r="I766" s="3">
        <f>Query1[[#This Row],[Shares]]*Query1[[#This Row],[Adj Close]]</f>
        <v>840889.34986199997</v>
      </c>
      <c r="J766" s="3">
        <f>IF(ROW()&lt;3, Dashboard!$E$7, IF(Query1[[#This Row],[Month]]&lt;&gt;H765,J765*(1+Dashboard!$E$4)+Dashboard!$E$5,J765))</f>
        <v>801538.14851410675</v>
      </c>
      <c r="K766">
        <f>IF(ROW()&lt;3, 0,IF(Query1[[#This Row],[Month]]&lt;&gt;H765,IF((J766-I766&gt;0),J766-I766,0),0))</f>
        <v>0</v>
      </c>
      <c r="L766" s="2">
        <f t="shared" si="11"/>
        <v>3592.2989655359538</v>
      </c>
      <c r="M766">
        <f>IF(ROW()&lt;3, 0, IF(Query1[[#This Row],[Month]]&lt;&gt;H765, Dashboard!$J$5,0))</f>
        <v>0</v>
      </c>
      <c r="N766" s="2">
        <f>IF(ROW()&lt;3, Query1[[#This Row],[Shares]], IF(Query1[[#This Row],[Month]]&lt;&gt;H765, N765+Query1[[#This Row],[Fix Top Up]]/Query1[[#This Row],[Adj Close]], N765))</f>
        <v>3393.2200932056662</v>
      </c>
      <c r="O766">
        <f>IF(AND(Query1[[#This Row],[avg]]&gt;0, Query1[[#This Row],[Month]]&lt;&gt;H765),
    IF(Query1[[#This Row],[Adj Close]]&gt;Query1[[#This Row],[avg]],
       Dashboard!$L$5-Dashboard!$E$6,
       Dashboard!$L$5+Dashboard!$E$6
    ), 0
)</f>
        <v>0</v>
      </c>
      <c r="P766" s="2">
        <f>IF(ROW()&lt;3, Query1[[#This Row],[Shares]], IF(Query1[[#This Row],[Month]]&lt;&gt;H765, P765+Query1[[#This Row],[Enhanced top up]]/Query1[[#This Row],[Adj Close]], P765))</f>
        <v>3388.6231347053968</v>
      </c>
      <c r="Q766" s="2">
        <f>IFERROR(AVERAGE(
  IF(ROW()&gt;20, INDEX(G:G, ROW()-20), 0) :
  INDEX(G:G, ROW())
),0)</f>
        <v>232.60919988723029</v>
      </c>
    </row>
    <row r="767" spans="1:17" x14ac:dyDescent="0.4">
      <c r="A767" s="1">
        <v>44943</v>
      </c>
      <c r="B767">
        <v>237.97000122070313</v>
      </c>
      <c r="C767">
        <v>240.91000366210938</v>
      </c>
      <c r="D767">
        <v>237.08999633789063</v>
      </c>
      <c r="E767">
        <v>240.35000610351563</v>
      </c>
      <c r="F767">
        <v>29831300</v>
      </c>
      <c r="G767">
        <v>235.177001953125</v>
      </c>
      <c r="H767" s="2">
        <f>MONTH(Query1[[#This Row],[Date]])</f>
        <v>1</v>
      </c>
      <c r="I767" s="3">
        <f>Query1[[#This Row],[Shares]]*Query1[[#This Row],[Adj Close]]</f>
        <v>844826.1008340579</v>
      </c>
      <c r="J767" s="3">
        <f>IF(ROW()&lt;3, Dashboard!$E$7, IF(Query1[[#This Row],[Month]]&lt;&gt;H766,J766*(1+Dashboard!$E$4)+Dashboard!$E$5,J766))</f>
        <v>801538.14851410675</v>
      </c>
      <c r="K767">
        <f>IF(ROW()&lt;3, 0,IF(Query1[[#This Row],[Month]]&lt;&gt;H766,IF((J767-I767&gt;0),J767-I767,0),0))</f>
        <v>0</v>
      </c>
      <c r="L767" s="2">
        <f t="shared" si="11"/>
        <v>3592.2989655359538</v>
      </c>
      <c r="M767">
        <f>IF(ROW()&lt;3, 0, IF(Query1[[#This Row],[Month]]&lt;&gt;H766, Dashboard!$J$5,0))</f>
        <v>0</v>
      </c>
      <c r="N767" s="2">
        <f>IF(ROW()&lt;3, Query1[[#This Row],[Shares]], IF(Query1[[#This Row],[Month]]&lt;&gt;H766, N766+Query1[[#This Row],[Fix Top Up]]/Query1[[#This Row],[Adj Close]], N766))</f>
        <v>3393.2200932056662</v>
      </c>
      <c r="O767">
        <f>IF(AND(Query1[[#This Row],[avg]]&gt;0, Query1[[#This Row],[Month]]&lt;&gt;H766),
    IF(Query1[[#This Row],[Adj Close]]&gt;Query1[[#This Row],[avg]],
       Dashboard!$L$5-Dashboard!$E$6,
       Dashboard!$L$5+Dashboard!$E$6
    ), 0
)</f>
        <v>0</v>
      </c>
      <c r="P767" s="2">
        <f>IF(ROW()&lt;3, Query1[[#This Row],[Shares]], IF(Query1[[#This Row],[Month]]&lt;&gt;H766, P766+Query1[[#This Row],[Enhanced top up]]/Query1[[#This Row],[Adj Close]], P766))</f>
        <v>3388.6231347053968</v>
      </c>
      <c r="Q767" s="2">
        <f>IFERROR(AVERAGE(
  IF(ROW()&gt;20, INDEX(G:G, ROW()-20), 0) :
  INDEX(G:G, ROW())
),0)</f>
        <v>231.82315426781065</v>
      </c>
    </row>
    <row r="768" spans="1:17" x14ac:dyDescent="0.4">
      <c r="A768" s="1">
        <v>44944</v>
      </c>
      <c r="B768">
        <v>241.57000732421875</v>
      </c>
      <c r="C768">
        <v>242.3800048828125</v>
      </c>
      <c r="D768">
        <v>235.52000427246094</v>
      </c>
      <c r="E768">
        <v>235.80999755859375</v>
      </c>
      <c r="F768">
        <v>30028700</v>
      </c>
      <c r="G768">
        <v>230.7347412109375</v>
      </c>
      <c r="H768" s="2">
        <f>MONTH(Query1[[#This Row],[Date]])</f>
        <v>1</v>
      </c>
      <c r="I768" s="3">
        <f>Query1[[#This Row],[Shares]]*Query1[[#This Row],[Adj Close]]</f>
        <v>828868.17216525681</v>
      </c>
      <c r="J768" s="3">
        <f>IF(ROW()&lt;3, Dashboard!$E$7, IF(Query1[[#This Row],[Month]]&lt;&gt;H767,J767*(1+Dashboard!$E$4)+Dashboard!$E$5,J767))</f>
        <v>801538.14851410675</v>
      </c>
      <c r="K768">
        <f>IF(ROW()&lt;3, 0,IF(Query1[[#This Row],[Month]]&lt;&gt;H767,IF((J768-I768&gt;0),J768-I768,0),0))</f>
        <v>0</v>
      </c>
      <c r="L768" s="2">
        <f t="shared" si="11"/>
        <v>3592.2989655359538</v>
      </c>
      <c r="M768">
        <f>IF(ROW()&lt;3, 0, IF(Query1[[#This Row],[Month]]&lt;&gt;H767, Dashboard!$J$5,0))</f>
        <v>0</v>
      </c>
      <c r="N768" s="2">
        <f>IF(ROW()&lt;3, Query1[[#This Row],[Shares]], IF(Query1[[#This Row],[Month]]&lt;&gt;H767, N767+Query1[[#This Row],[Fix Top Up]]/Query1[[#This Row],[Adj Close]], N767))</f>
        <v>3393.2200932056662</v>
      </c>
      <c r="O768">
        <f>IF(AND(Query1[[#This Row],[avg]]&gt;0, Query1[[#This Row],[Month]]&lt;&gt;H767),
    IF(Query1[[#This Row],[Adj Close]]&gt;Query1[[#This Row],[avg]],
       Dashboard!$L$5-Dashboard!$E$6,
       Dashboard!$L$5+Dashboard!$E$6
    ), 0
)</f>
        <v>0</v>
      </c>
      <c r="P768" s="2">
        <f>IF(ROW()&lt;3, Query1[[#This Row],[Shares]], IF(Query1[[#This Row],[Month]]&lt;&gt;H767, P767+Query1[[#This Row],[Enhanced top up]]/Query1[[#This Row],[Adj Close]], P767))</f>
        <v>3388.6231347053968</v>
      </c>
      <c r="Q768" s="2">
        <f>IFERROR(AVERAGE(
  IF(ROW()&gt;20, INDEX(G:G, ROW()-20), 0) :
  INDEX(G:G, ROW())
),0)</f>
        <v>231.20811317080543</v>
      </c>
    </row>
    <row r="769" spans="1:17" x14ac:dyDescent="0.4">
      <c r="A769" s="1">
        <v>44945</v>
      </c>
      <c r="B769">
        <v>233.77999877929688</v>
      </c>
      <c r="C769">
        <v>235.52000427246094</v>
      </c>
      <c r="D769">
        <v>230.67999267578125</v>
      </c>
      <c r="E769">
        <v>231.92999267578125</v>
      </c>
      <c r="F769">
        <v>28623000</v>
      </c>
      <c r="G769">
        <v>226.938232421875</v>
      </c>
      <c r="H769" s="2">
        <f>MONTH(Query1[[#This Row],[Date]])</f>
        <v>1</v>
      </c>
      <c r="I769" s="3">
        <f>Query1[[#This Row],[Shares]]*Query1[[#This Row],[Adj Close]]</f>
        <v>815229.97756965947</v>
      </c>
      <c r="J769" s="3">
        <f>IF(ROW()&lt;3, Dashboard!$E$7, IF(Query1[[#This Row],[Month]]&lt;&gt;H768,J768*(1+Dashboard!$E$4)+Dashboard!$E$5,J768))</f>
        <v>801538.14851410675</v>
      </c>
      <c r="K769">
        <f>IF(ROW()&lt;3, 0,IF(Query1[[#This Row],[Month]]&lt;&gt;H768,IF((J769-I769&gt;0),J769-I769,0),0))</f>
        <v>0</v>
      </c>
      <c r="L769" s="2">
        <f t="shared" si="11"/>
        <v>3592.2989655359538</v>
      </c>
      <c r="M769">
        <f>IF(ROW()&lt;3, 0, IF(Query1[[#This Row],[Month]]&lt;&gt;H768, Dashboard!$J$5,0))</f>
        <v>0</v>
      </c>
      <c r="N769" s="2">
        <f>IF(ROW()&lt;3, Query1[[#This Row],[Shares]], IF(Query1[[#This Row],[Month]]&lt;&gt;H768, N768+Query1[[#This Row],[Fix Top Up]]/Query1[[#This Row],[Adj Close]], N768))</f>
        <v>3393.2200932056662</v>
      </c>
      <c r="O769">
        <f>IF(AND(Query1[[#This Row],[avg]]&gt;0, Query1[[#This Row],[Month]]&lt;&gt;H768),
    IF(Query1[[#This Row],[Adj Close]]&gt;Query1[[#This Row],[avg]],
       Dashboard!$L$5-Dashboard!$E$6,
       Dashboard!$L$5+Dashboard!$E$6
    ), 0
)</f>
        <v>0</v>
      </c>
      <c r="P769" s="2">
        <f>IF(ROW()&lt;3, Query1[[#This Row],[Shares]], IF(Query1[[#This Row],[Month]]&lt;&gt;H768, P768+Query1[[#This Row],[Enhanced top up]]/Query1[[#This Row],[Adj Close]], P768))</f>
        <v>3388.6231347053968</v>
      </c>
      <c r="Q769" s="2">
        <f>IFERROR(AVERAGE(
  IF(ROW()&gt;20, INDEX(G:G, ROW()-20), 0) :
  INDEX(G:G, ROW())
),0)</f>
        <v>230.61357044038317</v>
      </c>
    </row>
    <row r="770" spans="1:17" x14ac:dyDescent="0.4">
      <c r="A770" s="1">
        <v>44946</v>
      </c>
      <c r="B770">
        <v>234.86000061035156</v>
      </c>
      <c r="C770">
        <v>240.74000549316406</v>
      </c>
      <c r="D770">
        <v>234.50999450683594</v>
      </c>
      <c r="E770">
        <v>240.22000122070313</v>
      </c>
      <c r="F770">
        <v>35389800</v>
      </c>
      <c r="G770">
        <v>235.04981994628906</v>
      </c>
      <c r="H770" s="2">
        <f>MONTH(Query1[[#This Row],[Date]])</f>
        <v>1</v>
      </c>
      <c r="I770" s="3">
        <f>Query1[[#This Row],[Shares]]*Query1[[#This Row],[Adj Close]]</f>
        <v>844369.22504246642</v>
      </c>
      <c r="J770" s="3">
        <f>IF(ROW()&lt;3, Dashboard!$E$7, IF(Query1[[#This Row],[Month]]&lt;&gt;H769,J769*(1+Dashboard!$E$4)+Dashboard!$E$5,J769))</f>
        <v>801538.14851410675</v>
      </c>
      <c r="K770">
        <f>IF(ROW()&lt;3, 0,IF(Query1[[#This Row],[Month]]&lt;&gt;H769,IF((J770-I770&gt;0),J770-I770,0),0))</f>
        <v>0</v>
      </c>
      <c r="L770" s="2">
        <f t="shared" ref="L770:L833" si="12">IF(ROW()&lt;3, J770/G770, L769+K769/G769)</f>
        <v>3592.2989655359538</v>
      </c>
      <c r="M770">
        <f>IF(ROW()&lt;3, 0, IF(Query1[[#This Row],[Month]]&lt;&gt;H769, Dashboard!$J$5,0))</f>
        <v>0</v>
      </c>
      <c r="N770" s="2">
        <f>IF(ROW()&lt;3, Query1[[#This Row],[Shares]], IF(Query1[[#This Row],[Month]]&lt;&gt;H769, N769+Query1[[#This Row],[Fix Top Up]]/Query1[[#This Row],[Adj Close]], N769))</f>
        <v>3393.2200932056662</v>
      </c>
      <c r="O770">
        <f>IF(AND(Query1[[#This Row],[avg]]&gt;0, Query1[[#This Row],[Month]]&lt;&gt;H769),
    IF(Query1[[#This Row],[Adj Close]]&gt;Query1[[#This Row],[avg]],
       Dashboard!$L$5-Dashboard!$E$6,
       Dashboard!$L$5+Dashboard!$E$6
    ), 0
)</f>
        <v>0</v>
      </c>
      <c r="P770" s="2">
        <f>IF(ROW()&lt;3, Query1[[#This Row],[Shares]], IF(Query1[[#This Row],[Month]]&lt;&gt;H769, P769+Query1[[#This Row],[Enhanced top up]]/Query1[[#This Row],[Adj Close]], P769))</f>
        <v>3388.6231347053968</v>
      </c>
      <c r="Q770" s="2">
        <f>IFERROR(AVERAGE(
  IF(ROW()&gt;20, INDEX(G:G, ROW()-20), 0) :
  INDEX(G:G, ROW())
),0)</f>
        <v>230.6028551374163</v>
      </c>
    </row>
    <row r="771" spans="1:17" x14ac:dyDescent="0.4">
      <c r="A771" s="1">
        <v>44949</v>
      </c>
      <c r="B771">
        <v>241.10000610351563</v>
      </c>
      <c r="C771">
        <v>245.16999816894531</v>
      </c>
      <c r="D771">
        <v>239.64999389648438</v>
      </c>
      <c r="E771">
        <v>242.58000183105469</v>
      </c>
      <c r="F771">
        <v>31934000</v>
      </c>
      <c r="G771">
        <v>237.35902404785156</v>
      </c>
      <c r="H771" s="2">
        <f>MONTH(Query1[[#This Row],[Date]])</f>
        <v>1</v>
      </c>
      <c r="I771" s="3">
        <f>Query1[[#This Row],[Shares]]*Query1[[#This Row],[Adj Close]]</f>
        <v>852664.5765477207</v>
      </c>
      <c r="J771" s="3">
        <f>IF(ROW()&lt;3, Dashboard!$E$7, IF(Query1[[#This Row],[Month]]&lt;&gt;H770,J770*(1+Dashboard!$E$4)+Dashboard!$E$5,J770))</f>
        <v>801538.14851410675</v>
      </c>
      <c r="K771">
        <f>IF(ROW()&lt;3, 0,IF(Query1[[#This Row],[Month]]&lt;&gt;H770,IF((J771-I771&gt;0),J771-I771,0),0))</f>
        <v>0</v>
      </c>
      <c r="L771" s="2">
        <f t="shared" si="12"/>
        <v>3592.2989655359538</v>
      </c>
      <c r="M771">
        <f>IF(ROW()&lt;3, 0, IF(Query1[[#This Row],[Month]]&lt;&gt;H770, Dashboard!$J$5,0))</f>
        <v>0</v>
      </c>
      <c r="N771" s="2">
        <f>IF(ROW()&lt;3, Query1[[#This Row],[Shares]], IF(Query1[[#This Row],[Month]]&lt;&gt;H770, N770+Query1[[#This Row],[Fix Top Up]]/Query1[[#This Row],[Adj Close]], N770))</f>
        <v>3393.2200932056662</v>
      </c>
      <c r="O771">
        <f>IF(AND(Query1[[#This Row],[avg]]&gt;0, Query1[[#This Row],[Month]]&lt;&gt;H770),
    IF(Query1[[#This Row],[Adj Close]]&gt;Query1[[#This Row],[avg]],
       Dashboard!$L$5-Dashboard!$E$6,
       Dashboard!$L$5+Dashboard!$E$6
    ), 0
)</f>
        <v>0</v>
      </c>
      <c r="P771" s="2">
        <f>IF(ROW()&lt;3, Query1[[#This Row],[Shares]], IF(Query1[[#This Row],[Month]]&lt;&gt;H770, P770+Query1[[#This Row],[Enhanced top up]]/Query1[[#This Row],[Adj Close]], P770))</f>
        <v>3388.6231347053968</v>
      </c>
      <c r="Q771" s="2">
        <f>IFERROR(AVERAGE(
  IF(ROW()&gt;20, INDEX(G:G, ROW()-20), 0) :
  INDEX(G:G, ROW())
),0)</f>
        <v>230.63920011974517</v>
      </c>
    </row>
    <row r="772" spans="1:17" x14ac:dyDescent="0.4">
      <c r="A772" s="1">
        <v>44950</v>
      </c>
      <c r="B772">
        <v>242.5</v>
      </c>
      <c r="C772">
        <v>243.94999694824219</v>
      </c>
      <c r="D772">
        <v>240.44000244140625</v>
      </c>
      <c r="E772">
        <v>242.03999328613281</v>
      </c>
      <c r="F772">
        <v>40234400</v>
      </c>
      <c r="G772">
        <v>236.83062744140625</v>
      </c>
      <c r="H772" s="2">
        <f>MONTH(Query1[[#This Row],[Date]])</f>
        <v>1</v>
      </c>
      <c r="I772" s="3">
        <f>Query1[[#This Row],[Shares]]*Query1[[#This Row],[Adj Close]]</f>
        <v>850766.41796499456</v>
      </c>
      <c r="J772" s="3">
        <f>IF(ROW()&lt;3, Dashboard!$E$7, IF(Query1[[#This Row],[Month]]&lt;&gt;H771,J771*(1+Dashboard!$E$4)+Dashboard!$E$5,J771))</f>
        <v>801538.14851410675</v>
      </c>
      <c r="K772">
        <f>IF(ROW()&lt;3, 0,IF(Query1[[#This Row],[Month]]&lt;&gt;H771,IF((J772-I772&gt;0),J772-I772,0),0))</f>
        <v>0</v>
      </c>
      <c r="L772" s="2">
        <f t="shared" si="12"/>
        <v>3592.2989655359538</v>
      </c>
      <c r="M772">
        <f>IF(ROW()&lt;3, 0, IF(Query1[[#This Row],[Month]]&lt;&gt;H771, Dashboard!$J$5,0))</f>
        <v>0</v>
      </c>
      <c r="N772" s="2">
        <f>IF(ROW()&lt;3, Query1[[#This Row],[Shares]], IF(Query1[[#This Row],[Month]]&lt;&gt;H771, N771+Query1[[#This Row],[Fix Top Up]]/Query1[[#This Row],[Adj Close]], N771))</f>
        <v>3393.2200932056662</v>
      </c>
      <c r="O772">
        <f>IF(AND(Query1[[#This Row],[avg]]&gt;0, Query1[[#This Row],[Month]]&lt;&gt;H771),
    IF(Query1[[#This Row],[Adj Close]]&gt;Query1[[#This Row],[avg]],
       Dashboard!$L$5-Dashboard!$E$6,
       Dashboard!$L$5+Dashboard!$E$6
    ), 0
)</f>
        <v>0</v>
      </c>
      <c r="P772" s="2">
        <f>IF(ROW()&lt;3, Query1[[#This Row],[Shares]], IF(Query1[[#This Row],[Month]]&lt;&gt;H771, P771+Query1[[#This Row],[Enhanced top up]]/Query1[[#This Row],[Adj Close]], P771))</f>
        <v>3388.6231347053968</v>
      </c>
      <c r="Q772" s="2">
        <f>IFERROR(AVERAGE(
  IF(ROW()&gt;20, INDEX(G:G, ROW()-20), 0) :
  INDEX(G:G, ROW())
),0)</f>
        <v>230.52784002394904</v>
      </c>
    </row>
    <row r="773" spans="1:17" x14ac:dyDescent="0.4">
      <c r="A773" s="1">
        <v>44951</v>
      </c>
      <c r="B773">
        <v>234.47999572753906</v>
      </c>
      <c r="C773">
        <v>243.30000305175781</v>
      </c>
      <c r="D773">
        <v>230.89999389648438</v>
      </c>
      <c r="E773">
        <v>240.61000061035156</v>
      </c>
      <c r="F773">
        <v>66526600</v>
      </c>
      <c r="G773">
        <v>235.431396484375</v>
      </c>
      <c r="H773" s="2">
        <f>MONTH(Query1[[#This Row],[Date]])</f>
        <v>1</v>
      </c>
      <c r="I773" s="3">
        <f>Query1[[#This Row],[Shares]]*Query1[[#This Row],[Adj Close]]</f>
        <v>845739.96204550529</v>
      </c>
      <c r="J773" s="3">
        <f>IF(ROW()&lt;3, Dashboard!$E$7, IF(Query1[[#This Row],[Month]]&lt;&gt;H772,J772*(1+Dashboard!$E$4)+Dashboard!$E$5,J772))</f>
        <v>801538.14851410675</v>
      </c>
      <c r="K773">
        <f>IF(ROW()&lt;3, 0,IF(Query1[[#This Row],[Month]]&lt;&gt;H772,IF((J773-I773&gt;0),J773-I773,0),0))</f>
        <v>0</v>
      </c>
      <c r="L773" s="2">
        <f t="shared" si="12"/>
        <v>3592.2989655359538</v>
      </c>
      <c r="M773">
        <f>IF(ROW()&lt;3, 0, IF(Query1[[#This Row],[Month]]&lt;&gt;H772, Dashboard!$J$5,0))</f>
        <v>0</v>
      </c>
      <c r="N773" s="2">
        <f>IF(ROW()&lt;3, Query1[[#This Row],[Shares]], IF(Query1[[#This Row],[Month]]&lt;&gt;H772, N772+Query1[[#This Row],[Fix Top Up]]/Query1[[#This Row],[Adj Close]], N772))</f>
        <v>3393.2200932056662</v>
      </c>
      <c r="O773">
        <f>IF(AND(Query1[[#This Row],[avg]]&gt;0, Query1[[#This Row],[Month]]&lt;&gt;H772),
    IF(Query1[[#This Row],[Adj Close]]&gt;Query1[[#This Row],[avg]],
       Dashboard!$L$5-Dashboard!$E$6,
       Dashboard!$L$5+Dashboard!$E$6
    ), 0
)</f>
        <v>0</v>
      </c>
      <c r="P773" s="2">
        <f>IF(ROW()&lt;3, Query1[[#This Row],[Shares]], IF(Query1[[#This Row],[Month]]&lt;&gt;H772, P772+Query1[[#This Row],[Enhanced top up]]/Query1[[#This Row],[Adj Close]], P772))</f>
        <v>3388.6231347053968</v>
      </c>
      <c r="Q773" s="2">
        <f>IFERROR(AVERAGE(
  IF(ROW()&gt;20, INDEX(G:G, ROW()-20), 0) :
  INDEX(G:G, ROW())
),0)</f>
        <v>230.64059738885788</v>
      </c>
    </row>
    <row r="774" spans="1:17" x14ac:dyDescent="0.4">
      <c r="A774" s="1">
        <v>44952</v>
      </c>
      <c r="B774">
        <v>243.64999389648438</v>
      </c>
      <c r="C774">
        <v>248.30999755859375</v>
      </c>
      <c r="D774">
        <v>242</v>
      </c>
      <c r="E774">
        <v>248</v>
      </c>
      <c r="F774">
        <v>33454500</v>
      </c>
      <c r="G774">
        <v>242.66236877441406</v>
      </c>
      <c r="H774" s="2">
        <f>MONTH(Query1[[#This Row],[Date]])</f>
        <v>1</v>
      </c>
      <c r="I774" s="3">
        <f>Query1[[#This Row],[Shares]]*Query1[[#This Row],[Adj Close]]</f>
        <v>871715.77632283175</v>
      </c>
      <c r="J774" s="3">
        <f>IF(ROW()&lt;3, Dashboard!$E$7, IF(Query1[[#This Row],[Month]]&lt;&gt;H773,J773*(1+Dashboard!$E$4)+Dashboard!$E$5,J773))</f>
        <v>801538.14851410675</v>
      </c>
      <c r="K774">
        <f>IF(ROW()&lt;3, 0,IF(Query1[[#This Row],[Month]]&lt;&gt;H773,IF((J774-I774&gt;0),J774-I774,0),0))</f>
        <v>0</v>
      </c>
      <c r="L774" s="2">
        <f t="shared" si="12"/>
        <v>3592.2989655359538</v>
      </c>
      <c r="M774">
        <f>IF(ROW()&lt;3, 0, IF(Query1[[#This Row],[Month]]&lt;&gt;H773, Dashboard!$J$5,0))</f>
        <v>0</v>
      </c>
      <c r="N774" s="2">
        <f>IF(ROW()&lt;3, Query1[[#This Row],[Shares]], IF(Query1[[#This Row],[Month]]&lt;&gt;H773, N773+Query1[[#This Row],[Fix Top Up]]/Query1[[#This Row],[Adj Close]], N773))</f>
        <v>3393.2200932056662</v>
      </c>
      <c r="O774">
        <f>IF(AND(Query1[[#This Row],[avg]]&gt;0, Query1[[#This Row],[Month]]&lt;&gt;H773),
    IF(Query1[[#This Row],[Adj Close]]&gt;Query1[[#This Row],[avg]],
       Dashboard!$L$5-Dashboard!$E$6,
       Dashboard!$L$5+Dashboard!$E$6
    ), 0
)</f>
        <v>0</v>
      </c>
      <c r="P774" s="2">
        <f>IF(ROW()&lt;3, Query1[[#This Row],[Shares]], IF(Query1[[#This Row],[Month]]&lt;&gt;H773, P773+Query1[[#This Row],[Enhanced top up]]/Query1[[#This Row],[Adj Close]], P773))</f>
        <v>3388.6231347053968</v>
      </c>
      <c r="Q774" s="2">
        <f>IFERROR(AVERAGE(
  IF(ROW()&gt;20, INDEX(G:G, ROW()-20), 0) :
  INDEX(G:G, ROW())
),0)</f>
        <v>231.07252647763207</v>
      </c>
    </row>
    <row r="775" spans="1:17" x14ac:dyDescent="0.4">
      <c r="A775" s="1">
        <v>44953</v>
      </c>
      <c r="B775">
        <v>248.99000549316406</v>
      </c>
      <c r="C775">
        <v>249.83000183105469</v>
      </c>
      <c r="D775">
        <v>246.83000183105469</v>
      </c>
      <c r="E775">
        <v>248.16000366210938</v>
      </c>
      <c r="F775">
        <v>26498900</v>
      </c>
      <c r="G775">
        <v>242.81892395019531</v>
      </c>
      <c r="H775" s="2">
        <f>MONTH(Query1[[#This Row],[Date]])</f>
        <v>1</v>
      </c>
      <c r="I775" s="3">
        <f>Query1[[#This Row],[Shares]]*Query1[[#This Row],[Adj Close]]</f>
        <v>872278.16931884002</v>
      </c>
      <c r="J775" s="3">
        <f>IF(ROW()&lt;3, Dashboard!$E$7, IF(Query1[[#This Row],[Month]]&lt;&gt;H774,J774*(1+Dashboard!$E$4)+Dashboard!$E$5,J774))</f>
        <v>801538.14851410675</v>
      </c>
      <c r="K775">
        <f>IF(ROW()&lt;3, 0,IF(Query1[[#This Row],[Month]]&lt;&gt;H774,IF((J775-I775&gt;0),J775-I775,0),0))</f>
        <v>0</v>
      </c>
      <c r="L775" s="2">
        <f t="shared" si="12"/>
        <v>3592.2989655359538</v>
      </c>
      <c r="M775">
        <f>IF(ROW()&lt;3, 0, IF(Query1[[#This Row],[Month]]&lt;&gt;H774, Dashboard!$J$5,0))</f>
        <v>0</v>
      </c>
      <c r="N775" s="2">
        <f>IF(ROW()&lt;3, Query1[[#This Row],[Shares]], IF(Query1[[#This Row],[Month]]&lt;&gt;H774, N774+Query1[[#This Row],[Fix Top Up]]/Query1[[#This Row],[Adj Close]], N774))</f>
        <v>3393.2200932056662</v>
      </c>
      <c r="O775">
        <f>IF(AND(Query1[[#This Row],[avg]]&gt;0, Query1[[#This Row],[Month]]&lt;&gt;H774),
    IF(Query1[[#This Row],[Adj Close]]&gt;Query1[[#This Row],[avg]],
       Dashboard!$L$5-Dashboard!$E$6,
       Dashboard!$L$5+Dashboard!$E$6
    ), 0
)</f>
        <v>0</v>
      </c>
      <c r="P775" s="2">
        <f>IF(ROW()&lt;3, Query1[[#This Row],[Shares]], IF(Query1[[#This Row],[Month]]&lt;&gt;H774, P774+Query1[[#This Row],[Enhanced top up]]/Query1[[#This Row],[Adj Close]], P774))</f>
        <v>3388.6231347053968</v>
      </c>
      <c r="Q775" s="2">
        <f>IFERROR(AVERAGE(
  IF(ROW()&gt;20, INDEX(G:G, ROW()-20), 0) :
  INDEX(G:G, ROW())
),0)</f>
        <v>231.5943821498326</v>
      </c>
    </row>
    <row r="776" spans="1:17" x14ac:dyDescent="0.4">
      <c r="A776" s="1">
        <v>44956</v>
      </c>
      <c r="B776">
        <v>244.50999450683594</v>
      </c>
      <c r="C776">
        <v>245.60000610351563</v>
      </c>
      <c r="D776">
        <v>242.19999694824219</v>
      </c>
      <c r="E776">
        <v>242.71000671386719</v>
      </c>
      <c r="F776">
        <v>25867400</v>
      </c>
      <c r="G776">
        <v>237.48619079589844</v>
      </c>
      <c r="H776" s="2">
        <f>MONTH(Query1[[#This Row],[Date]])</f>
        <v>1</v>
      </c>
      <c r="I776" s="3">
        <f>Query1[[#This Row],[Shares]]*Query1[[#This Row],[Adj Close]]</f>
        <v>853121.39752518013</v>
      </c>
      <c r="J776" s="3">
        <f>IF(ROW()&lt;3, Dashboard!$E$7, IF(Query1[[#This Row],[Month]]&lt;&gt;H775,J775*(1+Dashboard!$E$4)+Dashboard!$E$5,J775))</f>
        <v>801538.14851410675</v>
      </c>
      <c r="K776">
        <f>IF(ROW()&lt;3, 0,IF(Query1[[#This Row],[Month]]&lt;&gt;H775,IF((J776-I776&gt;0),J776-I776,0),0))</f>
        <v>0</v>
      </c>
      <c r="L776" s="2">
        <f t="shared" si="12"/>
        <v>3592.2989655359538</v>
      </c>
      <c r="M776">
        <f>IF(ROW()&lt;3, 0, IF(Query1[[#This Row],[Month]]&lt;&gt;H775, Dashboard!$J$5,0))</f>
        <v>0</v>
      </c>
      <c r="N776" s="2">
        <f>IF(ROW()&lt;3, Query1[[#This Row],[Shares]], IF(Query1[[#This Row],[Month]]&lt;&gt;H775, N775+Query1[[#This Row],[Fix Top Up]]/Query1[[#This Row],[Adj Close]], N775))</f>
        <v>3393.2200932056662</v>
      </c>
      <c r="O776">
        <f>IF(AND(Query1[[#This Row],[avg]]&gt;0, Query1[[#This Row],[Month]]&lt;&gt;H775),
    IF(Query1[[#This Row],[Adj Close]]&gt;Query1[[#This Row],[avg]],
       Dashboard!$L$5-Dashboard!$E$6,
       Dashboard!$L$5+Dashboard!$E$6
    ), 0
)</f>
        <v>0</v>
      </c>
      <c r="P776" s="2">
        <f>IF(ROW()&lt;3, Query1[[#This Row],[Shares]], IF(Query1[[#This Row],[Month]]&lt;&gt;H775, P775+Query1[[#This Row],[Enhanced top up]]/Query1[[#This Row],[Adj Close]], P775))</f>
        <v>3388.6231347053968</v>
      </c>
      <c r="Q776" s="2">
        <f>IFERROR(AVERAGE(
  IF(ROW()&gt;20, INDEX(G:G, ROW()-20), 0) :
  INDEX(G:G, ROW())
),0)</f>
        <v>231.97552126929872</v>
      </c>
    </row>
    <row r="777" spans="1:17" x14ac:dyDescent="0.4">
      <c r="A777" s="1">
        <v>44957</v>
      </c>
      <c r="B777">
        <v>243.44999694824219</v>
      </c>
      <c r="C777">
        <v>247.94999694824219</v>
      </c>
      <c r="D777">
        <v>242.94999694824219</v>
      </c>
      <c r="E777">
        <v>247.80999755859375</v>
      </c>
      <c r="F777">
        <v>26541100</v>
      </c>
      <c r="G777">
        <v>242.47647094726563</v>
      </c>
      <c r="H777" s="2">
        <f>MONTH(Query1[[#This Row],[Date]])</f>
        <v>1</v>
      </c>
      <c r="I777" s="3">
        <f>Query1[[#This Row],[Shares]]*Query1[[#This Row],[Adj Close]]</f>
        <v>871047.97575067112</v>
      </c>
      <c r="J777" s="3">
        <f>IF(ROW()&lt;3, Dashboard!$E$7, IF(Query1[[#This Row],[Month]]&lt;&gt;H776,J776*(1+Dashboard!$E$4)+Dashboard!$E$5,J776))</f>
        <v>801538.14851410675</v>
      </c>
      <c r="K777">
        <f>IF(ROW()&lt;3, 0,IF(Query1[[#This Row],[Month]]&lt;&gt;H776,IF((J777-I777&gt;0),J777-I777,0),0))</f>
        <v>0</v>
      </c>
      <c r="L777" s="2">
        <f t="shared" si="12"/>
        <v>3592.2989655359538</v>
      </c>
      <c r="M777">
        <f>IF(ROW()&lt;3, 0, IF(Query1[[#This Row],[Month]]&lt;&gt;H776, Dashboard!$J$5,0))</f>
        <v>0</v>
      </c>
      <c r="N777" s="2">
        <f>IF(ROW()&lt;3, Query1[[#This Row],[Shares]], IF(Query1[[#This Row],[Month]]&lt;&gt;H776, N776+Query1[[#This Row],[Fix Top Up]]/Query1[[#This Row],[Adj Close]], N776))</f>
        <v>3393.2200932056662</v>
      </c>
      <c r="O777">
        <f>IF(AND(Query1[[#This Row],[avg]]&gt;0, Query1[[#This Row],[Month]]&lt;&gt;H776),
    IF(Query1[[#This Row],[Adj Close]]&gt;Query1[[#This Row],[avg]],
       Dashboard!$L$5-Dashboard!$E$6,
       Dashboard!$L$5+Dashboard!$E$6
    ), 0
)</f>
        <v>0</v>
      </c>
      <c r="P777" s="2">
        <f>IF(ROW()&lt;3, Query1[[#This Row],[Shares]], IF(Query1[[#This Row],[Month]]&lt;&gt;H776, P776+Query1[[#This Row],[Enhanced top up]]/Query1[[#This Row],[Adj Close]], P776))</f>
        <v>3388.6231347053968</v>
      </c>
      <c r="Q777" s="2">
        <f>IFERROR(AVERAGE(
  IF(ROW()&gt;20, INDEX(G:G, ROW()-20), 0) :
  INDEX(G:G, ROW())
),0)</f>
        <v>232.29236348470053</v>
      </c>
    </row>
    <row r="778" spans="1:17" x14ac:dyDescent="0.4">
      <c r="A778" s="1">
        <v>44958</v>
      </c>
      <c r="B778">
        <v>248</v>
      </c>
      <c r="C778">
        <v>255.17999267578125</v>
      </c>
      <c r="D778">
        <v>245.47000122070313</v>
      </c>
      <c r="E778">
        <v>252.75</v>
      </c>
      <c r="F778">
        <v>31259900</v>
      </c>
      <c r="G778">
        <v>247.31013488769531</v>
      </c>
      <c r="H778" s="2">
        <f>MONTH(Query1[[#This Row],[Date]])</f>
        <v>2</v>
      </c>
      <c r="I778" s="3">
        <f>Query1[[#This Row],[Shares]]*Query1[[#This Row],[Adj Close]]</f>
        <v>888411.94172362506</v>
      </c>
      <c r="J778" s="3">
        <f>IF(ROW()&lt;3, Dashboard!$E$7, IF(Query1[[#This Row],[Month]]&lt;&gt;H777,J777*(1+Dashboard!$E$4)+Dashboard!$E$5,J777))</f>
        <v>811553.52999924787</v>
      </c>
      <c r="K778">
        <f>IF(ROW()&lt;3, 0,IF(Query1[[#This Row],[Month]]&lt;&gt;H777,IF((J778-I778&gt;0),J778-I778,0),0))</f>
        <v>0</v>
      </c>
      <c r="L778" s="2">
        <f t="shared" si="12"/>
        <v>3592.2989655359538</v>
      </c>
      <c r="M778">
        <f>IF(ROW()&lt;3, 0, IF(Query1[[#This Row],[Month]]&lt;&gt;H777, Dashboard!$J$5,0))</f>
        <v>773.47399999999971</v>
      </c>
      <c r="N778" s="2">
        <f>IF(ROW()&lt;3, Query1[[#This Row],[Shares]], IF(Query1[[#This Row],[Month]]&lt;&gt;H777, N777+Query1[[#This Row],[Fix Top Up]]/Query1[[#This Row],[Adj Close]], N777))</f>
        <v>3396.3476399208512</v>
      </c>
      <c r="O778">
        <f>IF(AND(Query1[[#This Row],[avg]]&gt;0, Query1[[#This Row],[Month]]&lt;&gt;H777),
    IF(Query1[[#This Row],[Adj Close]]&gt;Query1[[#This Row],[avg]],
       Dashboard!$L$5-Dashboard!$E$6,
       Dashboard!$L$5+Dashboard!$E$6
    ), 0
)</f>
        <v>390.14066666666668</v>
      </c>
      <c r="P778" s="2">
        <f>IF(ROW()&lt;3, Query1[[#This Row],[Shares]], IF(Query1[[#This Row],[Month]]&lt;&gt;H777, P777+Query1[[#This Row],[Enhanced top up]]/Query1[[#This Row],[Adj Close]], P777))</f>
        <v>3390.2006708093813</v>
      </c>
      <c r="Q778" s="2">
        <f>IFERROR(AVERAGE(
  IF(ROW()&gt;20, INDEX(G:G, ROW()-20), 0) :
  INDEX(G:G, ROW())
),0)</f>
        <v>232.89482625325522</v>
      </c>
    </row>
    <row r="779" spans="1:17" x14ac:dyDescent="0.4">
      <c r="A779" s="1">
        <v>44959</v>
      </c>
      <c r="B779">
        <v>258.82000732421875</v>
      </c>
      <c r="C779">
        <v>264.69000244140625</v>
      </c>
      <c r="D779">
        <v>257.25</v>
      </c>
      <c r="E779">
        <v>264.60000610351563</v>
      </c>
      <c r="F779">
        <v>39940400</v>
      </c>
      <c r="G779">
        <v>258.90509033203125</v>
      </c>
      <c r="H779" s="2">
        <f>MONTH(Query1[[#This Row],[Date]])</f>
        <v>2</v>
      </c>
      <c r="I779" s="3">
        <f>Query1[[#This Row],[Shares]]*Query1[[#This Row],[Adj Close]]</f>
        <v>930064.48817174858</v>
      </c>
      <c r="J779" s="3">
        <f>IF(ROW()&lt;3, Dashboard!$E$7, IF(Query1[[#This Row],[Month]]&lt;&gt;H778,J778*(1+Dashboard!$E$4)+Dashboard!$E$5,J778))</f>
        <v>811553.52999924787</v>
      </c>
      <c r="K779">
        <f>IF(ROW()&lt;3, 0,IF(Query1[[#This Row],[Month]]&lt;&gt;H778,IF((J779-I779&gt;0),J779-I779,0),0))</f>
        <v>0</v>
      </c>
      <c r="L779" s="2">
        <f t="shared" si="12"/>
        <v>3592.2989655359538</v>
      </c>
      <c r="M779">
        <f>IF(ROW()&lt;3, 0, IF(Query1[[#This Row],[Month]]&lt;&gt;H778, Dashboard!$J$5,0))</f>
        <v>0</v>
      </c>
      <c r="N779" s="2">
        <f>IF(ROW()&lt;3, Query1[[#This Row],[Shares]], IF(Query1[[#This Row],[Month]]&lt;&gt;H778, N778+Query1[[#This Row],[Fix Top Up]]/Query1[[#This Row],[Adj Close]], N778))</f>
        <v>3396.3476399208512</v>
      </c>
      <c r="O779">
        <f>IF(AND(Query1[[#This Row],[avg]]&gt;0, Query1[[#This Row],[Month]]&lt;&gt;H778),
    IF(Query1[[#This Row],[Adj Close]]&gt;Query1[[#This Row],[avg]],
       Dashboard!$L$5-Dashboard!$E$6,
       Dashboard!$L$5+Dashboard!$E$6
    ), 0
)</f>
        <v>0</v>
      </c>
      <c r="P779" s="2">
        <f>IF(ROW()&lt;3, Query1[[#This Row],[Shares]], IF(Query1[[#This Row],[Month]]&lt;&gt;H778, P778+Query1[[#This Row],[Enhanced top up]]/Query1[[#This Row],[Adj Close]], P778))</f>
        <v>3390.2006708093813</v>
      </c>
      <c r="Q779" s="2">
        <f>IFERROR(AVERAGE(
  IF(ROW()&gt;20, INDEX(G:G, ROW()-20), 0) :
  INDEX(G:G, ROW())
),0)</f>
        <v>234.06061226981026</v>
      </c>
    </row>
    <row r="780" spans="1:17" x14ac:dyDescent="0.4">
      <c r="A780" s="1">
        <v>44960</v>
      </c>
      <c r="B780">
        <v>259.54000854492188</v>
      </c>
      <c r="C780">
        <v>264.20001220703125</v>
      </c>
      <c r="D780">
        <v>257.10000610351563</v>
      </c>
      <c r="E780">
        <v>258.35000610351563</v>
      </c>
      <c r="F780">
        <v>29077300</v>
      </c>
      <c r="G780">
        <v>252.78959655761719</v>
      </c>
      <c r="H780" s="2">
        <f>MONTH(Query1[[#This Row],[Date]])</f>
        <v>2</v>
      </c>
      <c r="I780" s="3">
        <f>Query1[[#This Row],[Shares]]*Query1[[#This Row],[Adj Close]]</f>
        <v>908095.80621217936</v>
      </c>
      <c r="J780" s="3">
        <f>IF(ROW()&lt;3, Dashboard!$E$7, IF(Query1[[#This Row],[Month]]&lt;&gt;H779,J779*(1+Dashboard!$E$4)+Dashboard!$E$5,J779))</f>
        <v>811553.52999924787</v>
      </c>
      <c r="K780">
        <f>IF(ROW()&lt;3, 0,IF(Query1[[#This Row],[Month]]&lt;&gt;H779,IF((J780-I780&gt;0),J780-I780,0),0))</f>
        <v>0</v>
      </c>
      <c r="L780" s="2">
        <f t="shared" si="12"/>
        <v>3592.2989655359538</v>
      </c>
      <c r="M780">
        <f>IF(ROW()&lt;3, 0, IF(Query1[[#This Row],[Month]]&lt;&gt;H779, Dashboard!$J$5,0))</f>
        <v>0</v>
      </c>
      <c r="N780" s="2">
        <f>IF(ROW()&lt;3, Query1[[#This Row],[Shares]], IF(Query1[[#This Row],[Month]]&lt;&gt;H779, N779+Query1[[#This Row],[Fix Top Up]]/Query1[[#This Row],[Adj Close]], N779))</f>
        <v>3396.3476399208512</v>
      </c>
      <c r="O780">
        <f>IF(AND(Query1[[#This Row],[avg]]&gt;0, Query1[[#This Row],[Month]]&lt;&gt;H779),
    IF(Query1[[#This Row],[Adj Close]]&gt;Query1[[#This Row],[avg]],
       Dashboard!$L$5-Dashboard!$E$6,
       Dashboard!$L$5+Dashboard!$E$6
    ), 0
)</f>
        <v>0</v>
      </c>
      <c r="P780" s="2">
        <f>IF(ROW()&lt;3, Query1[[#This Row],[Shares]], IF(Query1[[#This Row],[Month]]&lt;&gt;H779, P779+Query1[[#This Row],[Enhanced top up]]/Query1[[#This Row],[Adj Close]], P779))</f>
        <v>3390.2006708093813</v>
      </c>
      <c r="Q780" s="2">
        <f>IFERROR(AVERAGE(
  IF(ROW()&gt;20, INDEX(G:G, ROW()-20), 0) :
  INDEX(G:G, ROW())
),0)</f>
        <v>235.42349170503161</v>
      </c>
    </row>
    <row r="781" spans="1:17" x14ac:dyDescent="0.4">
      <c r="A781" s="1">
        <v>44963</v>
      </c>
      <c r="B781">
        <v>257.44000244140625</v>
      </c>
      <c r="C781">
        <v>258.29998779296875</v>
      </c>
      <c r="D781">
        <v>254.77999877929688</v>
      </c>
      <c r="E781">
        <v>256.76998901367188</v>
      </c>
      <c r="F781">
        <v>22518000</v>
      </c>
      <c r="G781">
        <v>251.24360656738281</v>
      </c>
      <c r="H781" s="2">
        <f>MONTH(Query1[[#This Row],[Date]])</f>
        <v>2</v>
      </c>
      <c r="I781" s="3">
        <f>Query1[[#This Row],[Shares]]*Query1[[#This Row],[Adj Close]]</f>
        <v>902542.14796953148</v>
      </c>
      <c r="J781" s="3">
        <f>IF(ROW()&lt;3, Dashboard!$E$7, IF(Query1[[#This Row],[Month]]&lt;&gt;H780,J780*(1+Dashboard!$E$4)+Dashboard!$E$5,J780))</f>
        <v>811553.52999924787</v>
      </c>
      <c r="K781">
        <f>IF(ROW()&lt;3, 0,IF(Query1[[#This Row],[Month]]&lt;&gt;H780,IF((J781-I781&gt;0),J781-I781,0),0))</f>
        <v>0</v>
      </c>
      <c r="L781" s="2">
        <f t="shared" si="12"/>
        <v>3592.2989655359538</v>
      </c>
      <c r="M781">
        <f>IF(ROW()&lt;3, 0, IF(Query1[[#This Row],[Month]]&lt;&gt;H780, Dashboard!$J$5,0))</f>
        <v>0</v>
      </c>
      <c r="N781" s="2">
        <f>IF(ROW()&lt;3, Query1[[#This Row],[Shares]], IF(Query1[[#This Row],[Month]]&lt;&gt;H780, N780+Query1[[#This Row],[Fix Top Up]]/Query1[[#This Row],[Adj Close]], N780))</f>
        <v>3396.3476399208512</v>
      </c>
      <c r="O781">
        <f>IF(AND(Query1[[#This Row],[avg]]&gt;0, Query1[[#This Row],[Month]]&lt;&gt;H780),
    IF(Query1[[#This Row],[Adj Close]]&gt;Query1[[#This Row],[avg]],
       Dashboard!$L$5-Dashboard!$E$6,
       Dashboard!$L$5+Dashboard!$E$6
    ), 0
)</f>
        <v>0</v>
      </c>
      <c r="P781" s="2">
        <f>IF(ROW()&lt;3, Query1[[#This Row],[Shares]], IF(Query1[[#This Row],[Month]]&lt;&gt;H780, P780+Query1[[#This Row],[Enhanced top up]]/Query1[[#This Row],[Adj Close]], P780))</f>
        <v>3390.2006708093813</v>
      </c>
      <c r="Q781" s="2">
        <f>IFERROR(AVERAGE(
  IF(ROW()&gt;20, INDEX(G:G, ROW()-20), 0) :
  INDEX(G:G, ROW())
),0)</f>
        <v>237.02912684849329</v>
      </c>
    </row>
    <row r="782" spans="1:17" x14ac:dyDescent="0.4">
      <c r="A782" s="1">
        <v>44964</v>
      </c>
      <c r="B782">
        <v>260.52999877929688</v>
      </c>
      <c r="C782">
        <v>268.76998901367188</v>
      </c>
      <c r="D782">
        <v>260.07998657226563</v>
      </c>
      <c r="E782">
        <v>267.55999755859375</v>
      </c>
      <c r="F782">
        <v>50841400</v>
      </c>
      <c r="G782">
        <v>261.8013916015625</v>
      </c>
      <c r="H782" s="2">
        <f>MONTH(Query1[[#This Row],[Date]])</f>
        <v>2</v>
      </c>
      <c r="I782" s="3">
        <f>Query1[[#This Row],[Shares]]*Query1[[#This Row],[Adj Close]]</f>
        <v>940468.86822616612</v>
      </c>
      <c r="J782" s="3">
        <f>IF(ROW()&lt;3, Dashboard!$E$7, IF(Query1[[#This Row],[Month]]&lt;&gt;H781,J781*(1+Dashboard!$E$4)+Dashboard!$E$5,J781))</f>
        <v>811553.52999924787</v>
      </c>
      <c r="K782">
        <f>IF(ROW()&lt;3, 0,IF(Query1[[#This Row],[Month]]&lt;&gt;H781,IF((J782-I782&gt;0),J782-I782,0),0))</f>
        <v>0</v>
      </c>
      <c r="L782" s="2">
        <f t="shared" si="12"/>
        <v>3592.2989655359538</v>
      </c>
      <c r="M782">
        <f>IF(ROW()&lt;3, 0, IF(Query1[[#This Row],[Month]]&lt;&gt;H781, Dashboard!$J$5,0))</f>
        <v>0</v>
      </c>
      <c r="N782" s="2">
        <f>IF(ROW()&lt;3, Query1[[#This Row],[Shares]], IF(Query1[[#This Row],[Month]]&lt;&gt;H781, N781+Query1[[#This Row],[Fix Top Up]]/Query1[[#This Row],[Adj Close]], N781))</f>
        <v>3396.3476399208512</v>
      </c>
      <c r="O782">
        <f>IF(AND(Query1[[#This Row],[avg]]&gt;0, Query1[[#This Row],[Month]]&lt;&gt;H781),
    IF(Query1[[#This Row],[Adj Close]]&gt;Query1[[#This Row],[avg]],
       Dashboard!$L$5-Dashboard!$E$6,
       Dashboard!$L$5+Dashboard!$E$6
    ), 0
)</f>
        <v>0</v>
      </c>
      <c r="P782" s="2">
        <f>IF(ROW()&lt;3, Query1[[#This Row],[Shares]], IF(Query1[[#This Row],[Month]]&lt;&gt;H781, P781+Query1[[#This Row],[Enhanced top up]]/Query1[[#This Row],[Adj Close]], P781))</f>
        <v>3390.2006708093813</v>
      </c>
      <c r="Q782" s="2">
        <f>IFERROR(AVERAGE(
  IF(ROW()&gt;20, INDEX(G:G, ROW()-20), 0) :
  INDEX(G:G, ROW())
),0)</f>
        <v>239.01543680826822</v>
      </c>
    </row>
    <row r="783" spans="1:17" x14ac:dyDescent="0.4">
      <c r="A783" s="1">
        <v>44965</v>
      </c>
      <c r="B783">
        <v>273.20001220703125</v>
      </c>
      <c r="C783">
        <v>276.760009765625</v>
      </c>
      <c r="D783">
        <v>266.20999145507813</v>
      </c>
      <c r="E783">
        <v>266.73001098632813</v>
      </c>
      <c r="F783">
        <v>54686000</v>
      </c>
      <c r="G783">
        <v>260.9892578125</v>
      </c>
      <c r="H783" s="2">
        <f>MONTH(Query1[[#This Row],[Date]])</f>
        <v>2</v>
      </c>
      <c r="I783" s="3">
        <f>Query1[[#This Row],[Shares]]*Query1[[#This Row],[Adj Close]]</f>
        <v>937551.4408558401</v>
      </c>
      <c r="J783" s="3">
        <f>IF(ROW()&lt;3, Dashboard!$E$7, IF(Query1[[#This Row],[Month]]&lt;&gt;H782,J782*(1+Dashboard!$E$4)+Dashboard!$E$5,J782))</f>
        <v>811553.52999924787</v>
      </c>
      <c r="K783">
        <f>IF(ROW()&lt;3, 0,IF(Query1[[#This Row],[Month]]&lt;&gt;H782,IF((J783-I783&gt;0),J783-I783,0),0))</f>
        <v>0</v>
      </c>
      <c r="L783" s="2">
        <f t="shared" si="12"/>
        <v>3592.2989655359538</v>
      </c>
      <c r="M783">
        <f>IF(ROW()&lt;3, 0, IF(Query1[[#This Row],[Month]]&lt;&gt;H782, Dashboard!$J$5,0))</f>
        <v>0</v>
      </c>
      <c r="N783" s="2">
        <f>IF(ROW()&lt;3, Query1[[#This Row],[Shares]], IF(Query1[[#This Row],[Month]]&lt;&gt;H782, N782+Query1[[#This Row],[Fix Top Up]]/Query1[[#This Row],[Adj Close]], N782))</f>
        <v>3396.3476399208512</v>
      </c>
      <c r="O783">
        <f>IF(AND(Query1[[#This Row],[avg]]&gt;0, Query1[[#This Row],[Month]]&lt;&gt;H782),
    IF(Query1[[#This Row],[Adj Close]]&gt;Query1[[#This Row],[avg]],
       Dashboard!$L$5-Dashboard!$E$6,
       Dashboard!$L$5+Dashboard!$E$6
    ), 0
)</f>
        <v>0</v>
      </c>
      <c r="P783" s="2">
        <f>IF(ROW()&lt;3, Query1[[#This Row],[Shares]], IF(Query1[[#This Row],[Month]]&lt;&gt;H782, P782+Query1[[#This Row],[Enhanced top up]]/Query1[[#This Row],[Adj Close]], P782))</f>
        <v>3390.2006708093813</v>
      </c>
      <c r="Q783" s="2">
        <f>IFERROR(AVERAGE(
  IF(ROW()&gt;20, INDEX(G:G, ROW()-20), 0) :
  INDEX(G:G, ROW())
),0)</f>
        <v>240.86103239513579</v>
      </c>
    </row>
    <row r="784" spans="1:17" x14ac:dyDescent="0.4">
      <c r="A784" s="1">
        <v>44966</v>
      </c>
      <c r="B784">
        <v>273.79998779296875</v>
      </c>
      <c r="C784">
        <v>273.98001098632813</v>
      </c>
      <c r="D784">
        <v>262.79998779296875</v>
      </c>
      <c r="E784">
        <v>263.6199951171875</v>
      </c>
      <c r="F784">
        <v>42375100</v>
      </c>
      <c r="G784">
        <v>257.94613647460938</v>
      </c>
      <c r="H784" s="2">
        <f>MONTH(Query1[[#This Row],[Date]])</f>
        <v>2</v>
      </c>
      <c r="I784" s="3">
        <f>Query1[[#This Row],[Shares]]*Query1[[#This Row],[Adj Close]]</f>
        <v>926619.63922173518</v>
      </c>
      <c r="J784" s="3">
        <f>IF(ROW()&lt;3, Dashboard!$E$7, IF(Query1[[#This Row],[Month]]&lt;&gt;H783,J783*(1+Dashboard!$E$4)+Dashboard!$E$5,J783))</f>
        <v>811553.52999924787</v>
      </c>
      <c r="K784">
        <f>IF(ROW()&lt;3, 0,IF(Query1[[#This Row],[Month]]&lt;&gt;H783,IF((J784-I784&gt;0),J784-I784,0),0))</f>
        <v>0</v>
      </c>
      <c r="L784" s="2">
        <f t="shared" si="12"/>
        <v>3592.2989655359538</v>
      </c>
      <c r="M784">
        <f>IF(ROW()&lt;3, 0, IF(Query1[[#This Row],[Month]]&lt;&gt;H783, Dashboard!$J$5,0))</f>
        <v>0</v>
      </c>
      <c r="N784" s="2">
        <f>IF(ROW()&lt;3, Query1[[#This Row],[Shares]], IF(Query1[[#This Row],[Month]]&lt;&gt;H783, N783+Query1[[#This Row],[Fix Top Up]]/Query1[[#This Row],[Adj Close]], N783))</f>
        <v>3396.3476399208512</v>
      </c>
      <c r="O784">
        <f>IF(AND(Query1[[#This Row],[avg]]&gt;0, Query1[[#This Row],[Month]]&lt;&gt;H783),
    IF(Query1[[#This Row],[Adj Close]]&gt;Query1[[#This Row],[avg]],
       Dashboard!$L$5-Dashboard!$E$6,
       Dashboard!$L$5+Dashboard!$E$6
    ), 0
)</f>
        <v>0</v>
      </c>
      <c r="P784" s="2">
        <f>IF(ROW()&lt;3, Query1[[#This Row],[Shares]], IF(Query1[[#This Row],[Month]]&lt;&gt;H783, P783+Query1[[#This Row],[Enhanced top up]]/Query1[[#This Row],[Adj Close]], P783))</f>
        <v>3390.2006708093813</v>
      </c>
      <c r="Q784" s="2">
        <f>IFERROR(AVERAGE(
  IF(ROW()&gt;20, INDEX(G:G, ROW()-20), 0) :
  INDEX(G:G, ROW())
),0)</f>
        <v>242.48110961914063</v>
      </c>
    </row>
    <row r="785" spans="1:17" x14ac:dyDescent="0.4">
      <c r="A785" s="1">
        <v>44967</v>
      </c>
      <c r="B785">
        <v>261.52999877929688</v>
      </c>
      <c r="C785">
        <v>264.08999633789063</v>
      </c>
      <c r="D785">
        <v>260.66000366210938</v>
      </c>
      <c r="E785">
        <v>263.10000610351563</v>
      </c>
      <c r="F785">
        <v>25818500</v>
      </c>
      <c r="G785">
        <v>257.43734741210938</v>
      </c>
      <c r="H785" s="2">
        <f>MONTH(Query1[[#This Row],[Date]])</f>
        <v>2</v>
      </c>
      <c r="I785" s="3">
        <f>Query1[[#This Row],[Shares]]*Query1[[#This Row],[Adj Close]]</f>
        <v>924791.91679884051</v>
      </c>
      <c r="J785" s="3">
        <f>IF(ROW()&lt;3, Dashboard!$E$7, IF(Query1[[#This Row],[Month]]&lt;&gt;H784,J784*(1+Dashboard!$E$4)+Dashboard!$E$5,J784))</f>
        <v>811553.52999924787</v>
      </c>
      <c r="K785">
        <f>IF(ROW()&lt;3, 0,IF(Query1[[#This Row],[Month]]&lt;&gt;H784,IF((J785-I785&gt;0),J785-I785,0),0))</f>
        <v>0</v>
      </c>
      <c r="L785" s="2">
        <f t="shared" si="12"/>
        <v>3592.2989655359538</v>
      </c>
      <c r="M785">
        <f>IF(ROW()&lt;3, 0, IF(Query1[[#This Row],[Month]]&lt;&gt;H784, Dashboard!$J$5,0))</f>
        <v>0</v>
      </c>
      <c r="N785" s="2">
        <f>IF(ROW()&lt;3, Query1[[#This Row],[Shares]], IF(Query1[[#This Row],[Month]]&lt;&gt;H784, N784+Query1[[#This Row],[Fix Top Up]]/Query1[[#This Row],[Adj Close]], N784))</f>
        <v>3396.3476399208512</v>
      </c>
      <c r="O785">
        <f>IF(AND(Query1[[#This Row],[avg]]&gt;0, Query1[[#This Row],[Month]]&lt;&gt;H784),
    IF(Query1[[#This Row],[Adj Close]]&gt;Query1[[#This Row],[avg]],
       Dashboard!$L$5-Dashboard!$E$6,
       Dashboard!$L$5+Dashboard!$E$6
    ), 0
)</f>
        <v>0</v>
      </c>
      <c r="P785" s="2">
        <f>IF(ROW()&lt;3, Query1[[#This Row],[Shares]], IF(Query1[[#This Row],[Month]]&lt;&gt;H784, P784+Query1[[#This Row],[Enhanced top up]]/Query1[[#This Row],[Adj Close]], P784))</f>
        <v>3390.2006708093813</v>
      </c>
      <c r="Q785" s="2">
        <f>IFERROR(AVERAGE(
  IF(ROW()&gt;20, INDEX(G:G, ROW()-20), 0) :
  INDEX(G:G, ROW())
),0)</f>
        <v>243.75452750069755</v>
      </c>
    </row>
    <row r="786" spans="1:17" x14ac:dyDescent="0.4">
      <c r="A786" s="1">
        <v>44970</v>
      </c>
      <c r="B786">
        <v>267.6400146484375</v>
      </c>
      <c r="C786">
        <v>274.60000610351563</v>
      </c>
      <c r="D786">
        <v>267.14999389648438</v>
      </c>
      <c r="E786">
        <v>271.32000732421875</v>
      </c>
      <c r="F786">
        <v>44630900</v>
      </c>
      <c r="G786">
        <v>265.48049926757813</v>
      </c>
      <c r="H786" s="2">
        <f>MONTH(Query1[[#This Row],[Date]])</f>
        <v>2</v>
      </c>
      <c r="I786" s="3">
        <f>Query1[[#This Row],[Shares]]*Query1[[#This Row],[Adj Close]]</f>
        <v>953685.32288888947</v>
      </c>
      <c r="J786" s="3">
        <f>IF(ROW()&lt;3, Dashboard!$E$7, IF(Query1[[#This Row],[Month]]&lt;&gt;H785,J785*(1+Dashboard!$E$4)+Dashboard!$E$5,J785))</f>
        <v>811553.52999924787</v>
      </c>
      <c r="K786">
        <f>IF(ROW()&lt;3, 0,IF(Query1[[#This Row],[Month]]&lt;&gt;H785,IF((J786-I786&gt;0),J786-I786,0),0))</f>
        <v>0</v>
      </c>
      <c r="L786" s="2">
        <f t="shared" si="12"/>
        <v>3592.2989655359538</v>
      </c>
      <c r="M786">
        <f>IF(ROW()&lt;3, 0, IF(Query1[[#This Row],[Month]]&lt;&gt;H785, Dashboard!$J$5,0))</f>
        <v>0</v>
      </c>
      <c r="N786" s="2">
        <f>IF(ROW()&lt;3, Query1[[#This Row],[Shares]], IF(Query1[[#This Row],[Month]]&lt;&gt;H785, N785+Query1[[#This Row],[Fix Top Up]]/Query1[[#This Row],[Adj Close]], N785))</f>
        <v>3396.3476399208512</v>
      </c>
      <c r="O786">
        <f>IF(AND(Query1[[#This Row],[avg]]&gt;0, Query1[[#This Row],[Month]]&lt;&gt;H785),
    IF(Query1[[#This Row],[Adj Close]]&gt;Query1[[#This Row],[avg]],
       Dashboard!$L$5-Dashboard!$E$6,
       Dashboard!$L$5+Dashboard!$E$6
    ), 0
)</f>
        <v>0</v>
      </c>
      <c r="P786" s="2">
        <f>IF(ROW()&lt;3, Query1[[#This Row],[Shares]], IF(Query1[[#This Row],[Month]]&lt;&gt;H785, P785+Query1[[#This Row],[Enhanced top up]]/Query1[[#This Row],[Adj Close]], P785))</f>
        <v>3390.2006708093813</v>
      </c>
      <c r="Q786" s="2">
        <f>IFERROR(AVERAGE(
  IF(ROW()&gt;20, INDEX(G:G, ROW()-20), 0) :
  INDEX(G:G, ROW())
),0)</f>
        <v>245.28328450520834</v>
      </c>
    </row>
    <row r="787" spans="1:17" x14ac:dyDescent="0.4">
      <c r="A787" s="1">
        <v>44971</v>
      </c>
      <c r="B787">
        <v>272.67001342773438</v>
      </c>
      <c r="C787">
        <v>274.97000122070313</v>
      </c>
      <c r="D787">
        <v>269.27999877929688</v>
      </c>
      <c r="E787">
        <v>272.17001342773438</v>
      </c>
      <c r="F787">
        <v>37047900</v>
      </c>
      <c r="G787">
        <v>266.3121337890625</v>
      </c>
      <c r="H787" s="2">
        <f>MONTH(Query1[[#This Row],[Date]])</f>
        <v>2</v>
      </c>
      <c r="I787" s="3">
        <f>Query1[[#This Row],[Shares]]*Query1[[#This Row],[Adj Close]]</f>
        <v>956672.80272012181</v>
      </c>
      <c r="J787" s="3">
        <f>IF(ROW()&lt;3, Dashboard!$E$7, IF(Query1[[#This Row],[Month]]&lt;&gt;H786,J786*(1+Dashboard!$E$4)+Dashboard!$E$5,J786))</f>
        <v>811553.52999924787</v>
      </c>
      <c r="K787">
        <f>IF(ROW()&lt;3, 0,IF(Query1[[#This Row],[Month]]&lt;&gt;H786,IF((J787-I787&gt;0),J787-I787,0),0))</f>
        <v>0</v>
      </c>
      <c r="L787" s="2">
        <f t="shared" si="12"/>
        <v>3592.2989655359538</v>
      </c>
      <c r="M787">
        <f>IF(ROW()&lt;3, 0, IF(Query1[[#This Row],[Month]]&lt;&gt;H786, Dashboard!$J$5,0))</f>
        <v>0</v>
      </c>
      <c r="N787" s="2">
        <f>IF(ROW()&lt;3, Query1[[#This Row],[Shares]], IF(Query1[[#This Row],[Month]]&lt;&gt;H786, N786+Query1[[#This Row],[Fix Top Up]]/Query1[[#This Row],[Adj Close]], N786))</f>
        <v>3396.3476399208512</v>
      </c>
      <c r="O787">
        <f>IF(AND(Query1[[#This Row],[avg]]&gt;0, Query1[[#This Row],[Month]]&lt;&gt;H786),
    IF(Query1[[#This Row],[Adj Close]]&gt;Query1[[#This Row],[avg]],
       Dashboard!$L$5-Dashboard!$E$6,
       Dashboard!$L$5+Dashboard!$E$6
    ), 0
)</f>
        <v>0</v>
      </c>
      <c r="P787" s="2">
        <f>IF(ROW()&lt;3, Query1[[#This Row],[Shares]], IF(Query1[[#This Row],[Month]]&lt;&gt;H786, P786+Query1[[#This Row],[Enhanced top up]]/Query1[[#This Row],[Adj Close]], P786))</f>
        <v>3390.2006708093813</v>
      </c>
      <c r="Q787" s="2">
        <f>IFERROR(AVERAGE(
  IF(ROW()&gt;20, INDEX(G:G, ROW()-20), 0) :
  INDEX(G:G, ROW())
),0)</f>
        <v>246.81809488932291</v>
      </c>
    </row>
    <row r="788" spans="1:17" x14ac:dyDescent="0.4">
      <c r="A788" s="1">
        <v>44972</v>
      </c>
      <c r="B788">
        <v>268.32000732421875</v>
      </c>
      <c r="C788">
        <v>270.73001098632813</v>
      </c>
      <c r="D788">
        <v>266.17999267578125</v>
      </c>
      <c r="E788">
        <v>269.32000732421875</v>
      </c>
      <c r="F788">
        <v>28922400</v>
      </c>
      <c r="G788">
        <v>264.18353271484375</v>
      </c>
      <c r="H788" s="2">
        <f>MONTH(Query1[[#This Row],[Date]])</f>
        <v>2</v>
      </c>
      <c r="I788" s="3">
        <f>Query1[[#This Row],[Shares]]*Query1[[#This Row],[Adj Close]]</f>
        <v>949026.23128316703</v>
      </c>
      <c r="J788" s="3">
        <f>IF(ROW()&lt;3, Dashboard!$E$7, IF(Query1[[#This Row],[Month]]&lt;&gt;H787,J787*(1+Dashboard!$E$4)+Dashboard!$E$5,J787))</f>
        <v>811553.52999924787</v>
      </c>
      <c r="K788">
        <f>IF(ROW()&lt;3, 0,IF(Query1[[#This Row],[Month]]&lt;&gt;H787,IF((J788-I788&gt;0),J788-I788,0),0))</f>
        <v>0</v>
      </c>
      <c r="L788" s="2">
        <f t="shared" si="12"/>
        <v>3592.2989655359538</v>
      </c>
      <c r="M788">
        <f>IF(ROW()&lt;3, 0, IF(Query1[[#This Row],[Month]]&lt;&gt;H787, Dashboard!$J$5,0))</f>
        <v>0</v>
      </c>
      <c r="N788" s="2">
        <f>IF(ROW()&lt;3, Query1[[#This Row],[Shares]], IF(Query1[[#This Row],[Month]]&lt;&gt;H787, N787+Query1[[#This Row],[Fix Top Up]]/Query1[[#This Row],[Adj Close]], N787))</f>
        <v>3396.3476399208512</v>
      </c>
      <c r="O788">
        <f>IF(AND(Query1[[#This Row],[avg]]&gt;0, Query1[[#This Row],[Month]]&lt;&gt;H787),
    IF(Query1[[#This Row],[Adj Close]]&gt;Query1[[#This Row],[avg]],
       Dashboard!$L$5-Dashboard!$E$6,
       Dashboard!$L$5+Dashboard!$E$6
    ), 0
)</f>
        <v>0</v>
      </c>
      <c r="P788" s="2">
        <f>IF(ROW()&lt;3, Query1[[#This Row],[Shares]], IF(Query1[[#This Row],[Month]]&lt;&gt;H787, P787+Query1[[#This Row],[Enhanced top up]]/Query1[[#This Row],[Adj Close]], P787))</f>
        <v>3390.2006708093813</v>
      </c>
      <c r="Q788" s="2">
        <f>IFERROR(AVERAGE(
  IF(ROW()&gt;20, INDEX(G:G, ROW()-20), 0) :
  INDEX(G:G, ROW())
),0)</f>
        <v>248.19935825892858</v>
      </c>
    </row>
    <row r="789" spans="1:17" x14ac:dyDescent="0.4">
      <c r="A789" s="1">
        <v>44973</v>
      </c>
      <c r="B789">
        <v>264.01998901367188</v>
      </c>
      <c r="C789">
        <v>266.739990234375</v>
      </c>
      <c r="D789">
        <v>261.89999389648438</v>
      </c>
      <c r="E789">
        <v>262.14999389648438</v>
      </c>
      <c r="F789">
        <v>29603600</v>
      </c>
      <c r="G789">
        <v>257.15029907226563</v>
      </c>
      <c r="H789" s="2">
        <f>MONTH(Query1[[#This Row],[Date]])</f>
        <v>2</v>
      </c>
      <c r="I789" s="3">
        <f>Query1[[#This Row],[Shares]]*Query1[[#This Row],[Adj Close]]</f>
        <v>923760.75334456097</v>
      </c>
      <c r="J789" s="3">
        <f>IF(ROW()&lt;3, Dashboard!$E$7, IF(Query1[[#This Row],[Month]]&lt;&gt;H788,J788*(1+Dashboard!$E$4)+Dashboard!$E$5,J788))</f>
        <v>811553.52999924787</v>
      </c>
      <c r="K789">
        <f>IF(ROW()&lt;3, 0,IF(Query1[[#This Row],[Month]]&lt;&gt;H788,IF((J789-I789&gt;0),J789-I789,0),0))</f>
        <v>0</v>
      </c>
      <c r="L789" s="2">
        <f t="shared" si="12"/>
        <v>3592.2989655359538</v>
      </c>
      <c r="M789">
        <f>IF(ROW()&lt;3, 0, IF(Query1[[#This Row],[Month]]&lt;&gt;H788, Dashboard!$J$5,0))</f>
        <v>0</v>
      </c>
      <c r="N789" s="2">
        <f>IF(ROW()&lt;3, Query1[[#This Row],[Shares]], IF(Query1[[#This Row],[Month]]&lt;&gt;H788, N788+Query1[[#This Row],[Fix Top Up]]/Query1[[#This Row],[Adj Close]], N788))</f>
        <v>3396.3476399208512</v>
      </c>
      <c r="O789">
        <f>IF(AND(Query1[[#This Row],[avg]]&gt;0, Query1[[#This Row],[Month]]&lt;&gt;H788),
    IF(Query1[[#This Row],[Adj Close]]&gt;Query1[[#This Row],[avg]],
       Dashboard!$L$5-Dashboard!$E$6,
       Dashboard!$L$5+Dashboard!$E$6
    ), 0
)</f>
        <v>0</v>
      </c>
      <c r="P789" s="2">
        <f>IF(ROW()&lt;3, Query1[[#This Row],[Shares]], IF(Query1[[#This Row],[Month]]&lt;&gt;H788, P788+Query1[[#This Row],[Enhanced top up]]/Query1[[#This Row],[Adj Close]], P788))</f>
        <v>3390.2006708093813</v>
      </c>
      <c r="Q789" s="2">
        <f>IFERROR(AVERAGE(
  IF(ROW()&gt;20, INDEX(G:G, ROW()-20), 0) :
  INDEX(G:G, ROW())
),0)</f>
        <v>249.45724196661087</v>
      </c>
    </row>
    <row r="790" spans="1:17" x14ac:dyDescent="0.4">
      <c r="A790" s="1">
        <v>44974</v>
      </c>
      <c r="B790">
        <v>259.3900146484375</v>
      </c>
      <c r="C790">
        <v>260.08999633789063</v>
      </c>
      <c r="D790">
        <v>256</v>
      </c>
      <c r="E790">
        <v>258.05999755859375</v>
      </c>
      <c r="F790">
        <v>30000100</v>
      </c>
      <c r="G790">
        <v>253.13829040527344</v>
      </c>
      <c r="H790" s="2">
        <f>MONTH(Query1[[#This Row],[Date]])</f>
        <v>2</v>
      </c>
      <c r="I790" s="3">
        <f>Query1[[#This Row],[Shares]]*Query1[[#This Row],[Adj Close]]</f>
        <v>909348.41876040364</v>
      </c>
      <c r="J790" s="3">
        <f>IF(ROW()&lt;3, Dashboard!$E$7, IF(Query1[[#This Row],[Month]]&lt;&gt;H789,J789*(1+Dashboard!$E$4)+Dashboard!$E$5,J789))</f>
        <v>811553.52999924787</v>
      </c>
      <c r="K790">
        <f>IF(ROW()&lt;3, 0,IF(Query1[[#This Row],[Month]]&lt;&gt;H789,IF((J790-I790&gt;0),J790-I790,0),0))</f>
        <v>0</v>
      </c>
      <c r="L790" s="2">
        <f t="shared" si="12"/>
        <v>3592.2989655359538</v>
      </c>
      <c r="M790">
        <f>IF(ROW()&lt;3, 0, IF(Query1[[#This Row],[Month]]&lt;&gt;H789, Dashboard!$J$5,0))</f>
        <v>0</v>
      </c>
      <c r="N790" s="2">
        <f>IF(ROW()&lt;3, Query1[[#This Row],[Shares]], IF(Query1[[#This Row],[Month]]&lt;&gt;H789, N789+Query1[[#This Row],[Fix Top Up]]/Query1[[#This Row],[Adj Close]], N789))</f>
        <v>3396.3476399208512</v>
      </c>
      <c r="O790">
        <f>IF(AND(Query1[[#This Row],[avg]]&gt;0, Query1[[#This Row],[Month]]&lt;&gt;H789),
    IF(Query1[[#This Row],[Adj Close]]&gt;Query1[[#This Row],[avg]],
       Dashboard!$L$5-Dashboard!$E$6,
       Dashboard!$L$5+Dashboard!$E$6
    ), 0
)</f>
        <v>0</v>
      </c>
      <c r="P790" s="2">
        <f>IF(ROW()&lt;3, Query1[[#This Row],[Shares]], IF(Query1[[#This Row],[Month]]&lt;&gt;H789, P789+Query1[[#This Row],[Enhanced top up]]/Query1[[#This Row],[Adj Close]], P789))</f>
        <v>3390.2006708093813</v>
      </c>
      <c r="Q790" s="2">
        <f>IFERROR(AVERAGE(
  IF(ROW()&gt;20, INDEX(G:G, ROW()-20), 0) :
  INDEX(G:G, ROW())
),0)</f>
        <v>250.70486377534411</v>
      </c>
    </row>
    <row r="791" spans="1:17" x14ac:dyDescent="0.4">
      <c r="A791" s="1">
        <v>44978</v>
      </c>
      <c r="B791">
        <v>254.47999572753906</v>
      </c>
      <c r="C791">
        <v>255.49000549316406</v>
      </c>
      <c r="D791">
        <v>251.58999633789063</v>
      </c>
      <c r="E791">
        <v>252.66999816894531</v>
      </c>
      <c r="F791">
        <v>28397400</v>
      </c>
      <c r="G791">
        <v>247.85105895996094</v>
      </c>
      <c r="H791" s="2">
        <f>MONTH(Query1[[#This Row],[Date]])</f>
        <v>2</v>
      </c>
      <c r="I791" s="3">
        <f>Query1[[#This Row],[Shares]]*Query1[[#This Row],[Adj Close]]</f>
        <v>890355.10270885832</v>
      </c>
      <c r="J791" s="3">
        <f>IF(ROW()&lt;3, Dashboard!$E$7, IF(Query1[[#This Row],[Month]]&lt;&gt;H790,J790*(1+Dashboard!$E$4)+Dashboard!$E$5,J790))</f>
        <v>811553.52999924787</v>
      </c>
      <c r="K791">
        <f>IF(ROW()&lt;3, 0,IF(Query1[[#This Row],[Month]]&lt;&gt;H790,IF((J791-I791&gt;0),J791-I791,0),0))</f>
        <v>0</v>
      </c>
      <c r="L791" s="2">
        <f t="shared" si="12"/>
        <v>3592.2989655359538</v>
      </c>
      <c r="M791">
        <f>IF(ROW()&lt;3, 0, IF(Query1[[#This Row],[Month]]&lt;&gt;H790, Dashboard!$J$5,0))</f>
        <v>0</v>
      </c>
      <c r="N791" s="2">
        <f>IF(ROW()&lt;3, Query1[[#This Row],[Shares]], IF(Query1[[#This Row],[Month]]&lt;&gt;H790, N790+Query1[[#This Row],[Fix Top Up]]/Query1[[#This Row],[Adj Close]], N790))</f>
        <v>3396.3476399208512</v>
      </c>
      <c r="O791">
        <f>IF(AND(Query1[[#This Row],[avg]]&gt;0, Query1[[#This Row],[Month]]&lt;&gt;H790),
    IF(Query1[[#This Row],[Adj Close]]&gt;Query1[[#This Row],[avg]],
       Dashboard!$L$5-Dashboard!$E$6,
       Dashboard!$L$5+Dashboard!$E$6
    ), 0
)</f>
        <v>0</v>
      </c>
      <c r="P791" s="2">
        <f>IF(ROW()&lt;3, Query1[[#This Row],[Shares]], IF(Query1[[#This Row],[Month]]&lt;&gt;H790, P790+Query1[[#This Row],[Enhanced top up]]/Query1[[#This Row],[Adj Close]], P790))</f>
        <v>3390.2006708093813</v>
      </c>
      <c r="Q791" s="2">
        <f>IFERROR(AVERAGE(
  IF(ROW()&gt;20, INDEX(G:G, ROW()-20), 0) :
  INDEX(G:G, ROW())
),0)</f>
        <v>251.31444658551897</v>
      </c>
    </row>
    <row r="792" spans="1:17" x14ac:dyDescent="0.4">
      <c r="A792" s="1">
        <v>44979</v>
      </c>
      <c r="B792">
        <v>254.08999633789063</v>
      </c>
      <c r="C792">
        <v>254.33999633789063</v>
      </c>
      <c r="D792">
        <v>250.33999633789063</v>
      </c>
      <c r="E792">
        <v>251.50999450683594</v>
      </c>
      <c r="F792">
        <v>22491100</v>
      </c>
      <c r="G792">
        <v>246.71321105957031</v>
      </c>
      <c r="H792" s="2">
        <f>MONTH(Query1[[#This Row],[Date]])</f>
        <v>2</v>
      </c>
      <c r="I792" s="3">
        <f>Query1[[#This Row],[Shares]]*Query1[[#This Row],[Adj Close]]</f>
        <v>886267.61287334783</v>
      </c>
      <c r="J792" s="3">
        <f>IF(ROW()&lt;3, Dashboard!$E$7, IF(Query1[[#This Row],[Month]]&lt;&gt;H791,J791*(1+Dashboard!$E$4)+Dashboard!$E$5,J791))</f>
        <v>811553.52999924787</v>
      </c>
      <c r="K792">
        <f>IF(ROW()&lt;3, 0,IF(Query1[[#This Row],[Month]]&lt;&gt;H791,IF((J792-I792&gt;0),J792-I792,0),0))</f>
        <v>0</v>
      </c>
      <c r="L792" s="2">
        <f t="shared" si="12"/>
        <v>3592.2989655359538</v>
      </c>
      <c r="M792">
        <f>IF(ROW()&lt;3, 0, IF(Query1[[#This Row],[Month]]&lt;&gt;H791, Dashboard!$J$5,0))</f>
        <v>0</v>
      </c>
      <c r="N792" s="2">
        <f>IF(ROW()&lt;3, Query1[[#This Row],[Shares]], IF(Query1[[#This Row],[Month]]&lt;&gt;H791, N791+Query1[[#This Row],[Fix Top Up]]/Query1[[#This Row],[Adj Close]], N791))</f>
        <v>3396.3476399208512</v>
      </c>
      <c r="O792">
        <f>IF(AND(Query1[[#This Row],[avg]]&gt;0, Query1[[#This Row],[Month]]&lt;&gt;H791),
    IF(Query1[[#This Row],[Adj Close]]&gt;Query1[[#This Row],[avg]],
       Dashboard!$L$5-Dashboard!$E$6,
       Dashboard!$L$5+Dashboard!$E$6
    ), 0
)</f>
        <v>0</v>
      </c>
      <c r="P792" s="2">
        <f>IF(ROW()&lt;3, Query1[[#This Row],[Shares]], IF(Query1[[#This Row],[Month]]&lt;&gt;H791, P791+Query1[[#This Row],[Enhanced top up]]/Query1[[#This Row],[Adj Close]], P791))</f>
        <v>3390.2006708093813</v>
      </c>
      <c r="Q792" s="2">
        <f>IFERROR(AVERAGE(
  IF(ROW()&gt;20, INDEX(G:G, ROW()-20), 0) :
  INDEX(G:G, ROW())
),0)</f>
        <v>251.75988406226747</v>
      </c>
    </row>
    <row r="793" spans="1:17" x14ac:dyDescent="0.4">
      <c r="A793" s="1">
        <v>44980</v>
      </c>
      <c r="B793">
        <v>255.55999755859375</v>
      </c>
      <c r="C793">
        <v>256.83999633789063</v>
      </c>
      <c r="D793">
        <v>250.47999572753906</v>
      </c>
      <c r="E793">
        <v>254.77000427246094</v>
      </c>
      <c r="F793">
        <v>29219100</v>
      </c>
      <c r="G793">
        <v>249.91105651855469</v>
      </c>
      <c r="H793" s="2">
        <f>MONTH(Query1[[#This Row],[Date]])</f>
        <v>2</v>
      </c>
      <c r="I793" s="3">
        <f>Query1[[#This Row],[Shares]]*Query1[[#This Row],[Adj Close]]</f>
        <v>897755.22980760131</v>
      </c>
      <c r="J793" s="3">
        <f>IF(ROW()&lt;3, Dashboard!$E$7, IF(Query1[[#This Row],[Month]]&lt;&gt;H792,J792*(1+Dashboard!$E$4)+Dashboard!$E$5,J792))</f>
        <v>811553.52999924787</v>
      </c>
      <c r="K793">
        <f>IF(ROW()&lt;3, 0,IF(Query1[[#This Row],[Month]]&lt;&gt;H792,IF((J793-I793&gt;0),J793-I793,0),0))</f>
        <v>0</v>
      </c>
      <c r="L793" s="2">
        <f t="shared" si="12"/>
        <v>3592.2989655359538</v>
      </c>
      <c r="M793">
        <f>IF(ROW()&lt;3, 0, IF(Query1[[#This Row],[Month]]&lt;&gt;H792, Dashboard!$J$5,0))</f>
        <v>0</v>
      </c>
      <c r="N793" s="2">
        <f>IF(ROW()&lt;3, Query1[[#This Row],[Shares]], IF(Query1[[#This Row],[Month]]&lt;&gt;H792, N792+Query1[[#This Row],[Fix Top Up]]/Query1[[#This Row],[Adj Close]], N792))</f>
        <v>3396.3476399208512</v>
      </c>
      <c r="O793">
        <f>IF(AND(Query1[[#This Row],[avg]]&gt;0, Query1[[#This Row],[Month]]&lt;&gt;H792),
    IF(Query1[[#This Row],[Adj Close]]&gt;Query1[[#This Row],[avg]],
       Dashboard!$L$5-Dashboard!$E$6,
       Dashboard!$L$5+Dashboard!$E$6
    ), 0
)</f>
        <v>0</v>
      </c>
      <c r="P793" s="2">
        <f>IF(ROW()&lt;3, Query1[[#This Row],[Shares]], IF(Query1[[#This Row],[Month]]&lt;&gt;H792, P792+Query1[[#This Row],[Enhanced top up]]/Query1[[#This Row],[Adj Close]], P792))</f>
        <v>3390.2006708093813</v>
      </c>
      <c r="Q793" s="2">
        <f>IFERROR(AVERAGE(
  IF(ROW()&gt;20, INDEX(G:G, ROW()-20), 0) :
  INDEX(G:G, ROW())
),0)</f>
        <v>252.38276163736978</v>
      </c>
    </row>
    <row r="794" spans="1:17" x14ac:dyDescent="0.4">
      <c r="A794" s="1">
        <v>44981</v>
      </c>
      <c r="B794">
        <v>249.96000671386719</v>
      </c>
      <c r="C794">
        <v>251</v>
      </c>
      <c r="D794">
        <v>248.10000610351563</v>
      </c>
      <c r="E794">
        <v>249.22000122070313</v>
      </c>
      <c r="F794">
        <v>24990900</v>
      </c>
      <c r="G794">
        <v>244.46687316894531</v>
      </c>
      <c r="H794" s="2">
        <f>MONTH(Query1[[#This Row],[Date]])</f>
        <v>2</v>
      </c>
      <c r="I794" s="3">
        <f>Query1[[#This Row],[Shares]]*Query1[[#This Row],[Adj Close]]</f>
        <v>878198.09559261147</v>
      </c>
      <c r="J794" s="3">
        <f>IF(ROW()&lt;3, Dashboard!$E$7, IF(Query1[[#This Row],[Month]]&lt;&gt;H793,J793*(1+Dashboard!$E$4)+Dashboard!$E$5,J793))</f>
        <v>811553.52999924787</v>
      </c>
      <c r="K794">
        <f>IF(ROW()&lt;3, 0,IF(Query1[[#This Row],[Month]]&lt;&gt;H793,IF((J794-I794&gt;0),J794-I794,0),0))</f>
        <v>0</v>
      </c>
      <c r="L794" s="2">
        <f t="shared" si="12"/>
        <v>3592.2989655359538</v>
      </c>
      <c r="M794">
        <f>IF(ROW()&lt;3, 0, IF(Query1[[#This Row],[Month]]&lt;&gt;H793, Dashboard!$J$5,0))</f>
        <v>0</v>
      </c>
      <c r="N794" s="2">
        <f>IF(ROW()&lt;3, Query1[[#This Row],[Shares]], IF(Query1[[#This Row],[Month]]&lt;&gt;H793, N793+Query1[[#This Row],[Fix Top Up]]/Query1[[#This Row],[Adj Close]], N793))</f>
        <v>3396.3476399208512</v>
      </c>
      <c r="O794">
        <f>IF(AND(Query1[[#This Row],[avg]]&gt;0, Query1[[#This Row],[Month]]&lt;&gt;H793),
    IF(Query1[[#This Row],[Adj Close]]&gt;Query1[[#This Row],[avg]],
       Dashboard!$L$5-Dashboard!$E$6,
       Dashboard!$L$5+Dashboard!$E$6
    ), 0
)</f>
        <v>0</v>
      </c>
      <c r="P794" s="2">
        <f>IF(ROW()&lt;3, Query1[[#This Row],[Shares]], IF(Query1[[#This Row],[Month]]&lt;&gt;H793, P793+Query1[[#This Row],[Enhanced top up]]/Query1[[#This Row],[Adj Close]], P793))</f>
        <v>3390.2006708093813</v>
      </c>
      <c r="Q794" s="2">
        <f>IFERROR(AVERAGE(
  IF(ROW()&gt;20, INDEX(G:G, ROW()-20), 0) :
  INDEX(G:G, ROW())
),0)</f>
        <v>252.81302243187315</v>
      </c>
    </row>
    <row r="795" spans="1:17" x14ac:dyDescent="0.4">
      <c r="A795" s="1">
        <v>44984</v>
      </c>
      <c r="B795">
        <v>252.46000671386719</v>
      </c>
      <c r="C795">
        <v>252.82000732421875</v>
      </c>
      <c r="D795">
        <v>249.38999938964844</v>
      </c>
      <c r="E795">
        <v>250.16000366210938</v>
      </c>
      <c r="F795">
        <v>21190000</v>
      </c>
      <c r="G795">
        <v>245.38896179199219</v>
      </c>
      <c r="H795" s="2">
        <f>MONTH(Query1[[#This Row],[Date]])</f>
        <v>2</v>
      </c>
      <c r="I795" s="3">
        <f>Query1[[#This Row],[Shares]]*Query1[[#This Row],[Adj Close]]</f>
        <v>881510.51359931519</v>
      </c>
      <c r="J795" s="3">
        <f>IF(ROW()&lt;3, Dashboard!$E$7, IF(Query1[[#This Row],[Month]]&lt;&gt;H794,J794*(1+Dashboard!$E$4)+Dashboard!$E$5,J794))</f>
        <v>811553.52999924787</v>
      </c>
      <c r="K795">
        <f>IF(ROW()&lt;3, 0,IF(Query1[[#This Row],[Month]]&lt;&gt;H794,IF((J795-I795&gt;0),J795-I795,0),0))</f>
        <v>0</v>
      </c>
      <c r="L795" s="2">
        <f t="shared" si="12"/>
        <v>3592.2989655359538</v>
      </c>
      <c r="M795">
        <f>IF(ROW()&lt;3, 0, IF(Query1[[#This Row],[Month]]&lt;&gt;H794, Dashboard!$J$5,0))</f>
        <v>0</v>
      </c>
      <c r="N795" s="2">
        <f>IF(ROW()&lt;3, Query1[[#This Row],[Shares]], IF(Query1[[#This Row],[Month]]&lt;&gt;H794, N794+Query1[[#This Row],[Fix Top Up]]/Query1[[#This Row],[Adj Close]], N794))</f>
        <v>3396.3476399208512</v>
      </c>
      <c r="O795">
        <f>IF(AND(Query1[[#This Row],[avg]]&gt;0, Query1[[#This Row],[Month]]&lt;&gt;H794),
    IF(Query1[[#This Row],[Adj Close]]&gt;Query1[[#This Row],[avg]],
       Dashboard!$L$5-Dashboard!$E$6,
       Dashboard!$L$5+Dashboard!$E$6
    ), 0
)</f>
        <v>0</v>
      </c>
      <c r="P795" s="2">
        <f>IF(ROW()&lt;3, Query1[[#This Row],[Shares]], IF(Query1[[#This Row],[Month]]&lt;&gt;H794, P794+Query1[[#This Row],[Enhanced top up]]/Query1[[#This Row],[Adj Close]], P794))</f>
        <v>3390.2006708093813</v>
      </c>
      <c r="Q795" s="2">
        <f>IFERROR(AVERAGE(
  IF(ROW()&gt;20, INDEX(G:G, ROW()-20), 0) :
  INDEX(G:G, ROW())
),0)</f>
        <v>252.94286019461495</v>
      </c>
    </row>
    <row r="796" spans="1:17" x14ac:dyDescent="0.4">
      <c r="A796" s="1">
        <v>44985</v>
      </c>
      <c r="B796">
        <v>249.07000732421875</v>
      </c>
      <c r="C796">
        <v>251.49000549316406</v>
      </c>
      <c r="D796">
        <v>248.72999572753906</v>
      </c>
      <c r="E796">
        <v>249.41999816894531</v>
      </c>
      <c r="F796">
        <v>22491000</v>
      </c>
      <c r="G796">
        <v>244.66307067871094</v>
      </c>
      <c r="H796" s="2">
        <f>MONTH(Query1[[#This Row],[Date]])</f>
        <v>2</v>
      </c>
      <c r="I796" s="3">
        <f>Query1[[#This Row],[Shares]]*Query1[[#This Row],[Adj Close]]</f>
        <v>878902.89570398326</v>
      </c>
      <c r="J796" s="3">
        <f>IF(ROW()&lt;3, Dashboard!$E$7, IF(Query1[[#This Row],[Month]]&lt;&gt;H795,J795*(1+Dashboard!$E$4)+Dashboard!$E$5,J795))</f>
        <v>811553.52999924787</v>
      </c>
      <c r="K796">
        <f>IF(ROW()&lt;3, 0,IF(Query1[[#This Row],[Month]]&lt;&gt;H795,IF((J796-I796&gt;0),J796-I796,0),0))</f>
        <v>0</v>
      </c>
      <c r="L796" s="2">
        <f t="shared" si="12"/>
        <v>3592.2989655359538</v>
      </c>
      <c r="M796">
        <f>IF(ROW()&lt;3, 0, IF(Query1[[#This Row],[Month]]&lt;&gt;H795, Dashboard!$J$5,0))</f>
        <v>0</v>
      </c>
      <c r="N796" s="2">
        <f>IF(ROW()&lt;3, Query1[[#This Row],[Shares]], IF(Query1[[#This Row],[Month]]&lt;&gt;H795, N795+Query1[[#This Row],[Fix Top Up]]/Query1[[#This Row],[Adj Close]], N795))</f>
        <v>3396.3476399208512</v>
      </c>
      <c r="O796">
        <f>IF(AND(Query1[[#This Row],[avg]]&gt;0, Query1[[#This Row],[Month]]&lt;&gt;H795),
    IF(Query1[[#This Row],[Adj Close]]&gt;Query1[[#This Row],[avg]],
       Dashboard!$L$5-Dashboard!$E$6,
       Dashboard!$L$5+Dashboard!$E$6
    ), 0
)</f>
        <v>0</v>
      </c>
      <c r="P796" s="2">
        <f>IF(ROW()&lt;3, Query1[[#This Row],[Shares]], IF(Query1[[#This Row],[Month]]&lt;&gt;H795, P795+Query1[[#This Row],[Enhanced top up]]/Query1[[#This Row],[Adj Close]], P795))</f>
        <v>3390.2006708093813</v>
      </c>
      <c r="Q796" s="2">
        <f>IFERROR(AVERAGE(
  IF(ROW()&gt;20, INDEX(G:G, ROW()-20), 0) :
  INDEX(G:G, ROW())
),0)</f>
        <v>253.03067670549666</v>
      </c>
    </row>
    <row r="797" spans="1:17" x14ac:dyDescent="0.4">
      <c r="A797" s="1">
        <v>44986</v>
      </c>
      <c r="B797">
        <v>250.75999450683594</v>
      </c>
      <c r="C797">
        <v>250.92999267578125</v>
      </c>
      <c r="D797">
        <v>245.78999328613281</v>
      </c>
      <c r="E797">
        <v>246.27000427246094</v>
      </c>
      <c r="F797">
        <v>27565300</v>
      </c>
      <c r="G797">
        <v>241.57315063476563</v>
      </c>
      <c r="H797" s="2">
        <f>MONTH(Query1[[#This Row],[Date]])</f>
        <v>3</v>
      </c>
      <c r="I797" s="3">
        <f>Query1[[#This Row],[Shares]]*Query1[[#This Row],[Adj Close]]</f>
        <v>867802.97912652965</v>
      </c>
      <c r="J797" s="3">
        <f>IF(ROW()&lt;3, Dashboard!$E$7, IF(Query1[[#This Row],[Month]]&lt;&gt;H796,J796*(1+Dashboard!$E$4)+Dashboard!$E$5,J796))</f>
        <v>821669.06529924041</v>
      </c>
      <c r="K797">
        <f>IF(ROW()&lt;3, 0,IF(Query1[[#This Row],[Month]]&lt;&gt;H796,IF((J797-I797&gt;0),J797-I797,0),0))</f>
        <v>0</v>
      </c>
      <c r="L797" s="2">
        <f t="shared" si="12"/>
        <v>3592.2989655359538</v>
      </c>
      <c r="M797">
        <f>IF(ROW()&lt;3, 0, IF(Query1[[#This Row],[Month]]&lt;&gt;H796, Dashboard!$J$5,0))</f>
        <v>773.47399999999971</v>
      </c>
      <c r="N797" s="2">
        <f>IF(ROW()&lt;3, Query1[[#This Row],[Shares]], IF(Query1[[#This Row],[Month]]&lt;&gt;H796, N796+Query1[[#This Row],[Fix Top Up]]/Query1[[#This Row],[Adj Close]], N796))</f>
        <v>3399.5494609757475</v>
      </c>
      <c r="O797">
        <f>IF(AND(Query1[[#This Row],[avg]]&gt;0, Query1[[#This Row],[Month]]&lt;&gt;H796),
    IF(Query1[[#This Row],[Adj Close]]&gt;Query1[[#This Row],[avg]],
       Dashboard!$L$5-Dashboard!$E$6,
       Dashboard!$L$5+Dashboard!$E$6
    ), 0
)</f>
        <v>1390.1406666666667</v>
      </c>
      <c r="P797" s="2">
        <f>IF(ROW()&lt;3, Query1[[#This Row],[Shares]], IF(Query1[[#This Row],[Month]]&lt;&gt;H796, P796+Query1[[#This Row],[Enhanced top up]]/Query1[[#This Row],[Adj Close]], P796))</f>
        <v>3395.955203807001</v>
      </c>
      <c r="Q797" s="2">
        <f>IFERROR(AVERAGE(
  IF(ROW()&gt;20, INDEX(G:G, ROW()-20), 0) :
  INDEX(G:G, ROW())
),0)</f>
        <v>253.22529384068079</v>
      </c>
    </row>
    <row r="798" spans="1:17" x14ac:dyDescent="0.4">
      <c r="A798" s="1">
        <v>44987</v>
      </c>
      <c r="B798">
        <v>246.55000305175781</v>
      </c>
      <c r="C798">
        <v>251.39999389648438</v>
      </c>
      <c r="D798">
        <v>245.61000061035156</v>
      </c>
      <c r="E798">
        <v>251.11000061035156</v>
      </c>
      <c r="F798">
        <v>24808200</v>
      </c>
      <c r="G798">
        <v>246.32084655761719</v>
      </c>
      <c r="H798" s="2">
        <f>MONTH(Query1[[#This Row],[Date]])</f>
        <v>3</v>
      </c>
      <c r="I798" s="3">
        <f>Query1[[#This Row],[Shares]]*Query1[[#This Row],[Adj Close]]</f>
        <v>884858.12227886869</v>
      </c>
      <c r="J798" s="3">
        <f>IF(ROW()&lt;3, Dashboard!$E$7, IF(Query1[[#This Row],[Month]]&lt;&gt;H797,J797*(1+Dashboard!$E$4)+Dashboard!$E$5,J797))</f>
        <v>821669.06529924041</v>
      </c>
      <c r="K798">
        <f>IF(ROW()&lt;3, 0,IF(Query1[[#This Row],[Month]]&lt;&gt;H797,IF((J798-I798&gt;0),J798-I798,0),0))</f>
        <v>0</v>
      </c>
      <c r="L798" s="2">
        <f t="shared" si="12"/>
        <v>3592.2989655359538</v>
      </c>
      <c r="M798">
        <f>IF(ROW()&lt;3, 0, IF(Query1[[#This Row],[Month]]&lt;&gt;H797, Dashboard!$J$5,0))</f>
        <v>0</v>
      </c>
      <c r="N798" s="2">
        <f>IF(ROW()&lt;3, Query1[[#This Row],[Shares]], IF(Query1[[#This Row],[Month]]&lt;&gt;H797, N797+Query1[[#This Row],[Fix Top Up]]/Query1[[#This Row],[Adj Close]], N797))</f>
        <v>3399.5494609757475</v>
      </c>
      <c r="O798">
        <f>IF(AND(Query1[[#This Row],[avg]]&gt;0, Query1[[#This Row],[Month]]&lt;&gt;H797),
    IF(Query1[[#This Row],[Adj Close]]&gt;Query1[[#This Row],[avg]],
       Dashboard!$L$5-Dashboard!$E$6,
       Dashboard!$L$5+Dashboard!$E$6
    ), 0
)</f>
        <v>0</v>
      </c>
      <c r="P798" s="2">
        <f>IF(ROW()&lt;3, Query1[[#This Row],[Shares]], IF(Query1[[#This Row],[Month]]&lt;&gt;H797, P797+Query1[[#This Row],[Enhanced top up]]/Query1[[#This Row],[Adj Close]], P797))</f>
        <v>3395.955203807001</v>
      </c>
      <c r="Q798" s="2">
        <f>IFERROR(AVERAGE(
  IF(ROW()&gt;20, INDEX(G:G, ROW()-20), 0) :
  INDEX(G:G, ROW())
),0)</f>
        <v>253.40835934593565</v>
      </c>
    </row>
    <row r="799" spans="1:17" x14ac:dyDescent="0.4">
      <c r="A799" s="1">
        <v>44988</v>
      </c>
      <c r="B799">
        <v>252.19000244140625</v>
      </c>
      <c r="C799">
        <v>255.6199951171875</v>
      </c>
      <c r="D799">
        <v>251.38999938964844</v>
      </c>
      <c r="E799">
        <v>255.28999328613281</v>
      </c>
      <c r="F799">
        <v>30760100</v>
      </c>
      <c r="G799">
        <v>250.42111206054688</v>
      </c>
      <c r="H799" s="2">
        <f>MONTH(Query1[[#This Row],[Date]])</f>
        <v>3</v>
      </c>
      <c r="I799" s="3">
        <f>Query1[[#This Row],[Shares]]*Query1[[#This Row],[Adj Close]]</f>
        <v>899587.50180346565</v>
      </c>
      <c r="J799" s="3">
        <f>IF(ROW()&lt;3, Dashboard!$E$7, IF(Query1[[#This Row],[Month]]&lt;&gt;H798,J798*(1+Dashboard!$E$4)+Dashboard!$E$5,J798))</f>
        <v>821669.06529924041</v>
      </c>
      <c r="K799">
        <f>IF(ROW()&lt;3, 0,IF(Query1[[#This Row],[Month]]&lt;&gt;H798,IF((J799-I799&gt;0),J799-I799,0),0))</f>
        <v>0</v>
      </c>
      <c r="L799" s="2">
        <f t="shared" si="12"/>
        <v>3592.2989655359538</v>
      </c>
      <c r="M799">
        <f>IF(ROW()&lt;3, 0, IF(Query1[[#This Row],[Month]]&lt;&gt;H798, Dashboard!$J$5,0))</f>
        <v>0</v>
      </c>
      <c r="N799" s="2">
        <f>IF(ROW()&lt;3, Query1[[#This Row],[Shares]], IF(Query1[[#This Row],[Month]]&lt;&gt;H798, N798+Query1[[#This Row],[Fix Top Up]]/Query1[[#This Row],[Adj Close]], N798))</f>
        <v>3399.5494609757475</v>
      </c>
      <c r="O799">
        <f>IF(AND(Query1[[#This Row],[avg]]&gt;0, Query1[[#This Row],[Month]]&lt;&gt;H798),
    IF(Query1[[#This Row],[Adj Close]]&gt;Query1[[#This Row],[avg]],
       Dashboard!$L$5-Dashboard!$E$6,
       Dashboard!$L$5+Dashboard!$E$6
    ), 0
)</f>
        <v>0</v>
      </c>
      <c r="P799" s="2">
        <f>IF(ROW()&lt;3, Query1[[#This Row],[Shares]], IF(Query1[[#This Row],[Month]]&lt;&gt;H798, P798+Query1[[#This Row],[Enhanced top up]]/Query1[[#This Row],[Adj Close]], P798))</f>
        <v>3395.955203807001</v>
      </c>
      <c r="Q799" s="2">
        <f>IFERROR(AVERAGE(
  IF(ROW()&gt;20, INDEX(G:G, ROW()-20), 0) :
  INDEX(G:G, ROW())
),0)</f>
        <v>253.55650111607142</v>
      </c>
    </row>
    <row r="800" spans="1:17" x14ac:dyDescent="0.4">
      <c r="A800" s="1">
        <v>44991</v>
      </c>
      <c r="B800">
        <v>256.42999267578125</v>
      </c>
      <c r="C800">
        <v>260.1199951171875</v>
      </c>
      <c r="D800">
        <v>255.97999572753906</v>
      </c>
      <c r="E800">
        <v>256.8699951171875</v>
      </c>
      <c r="F800">
        <v>24109800</v>
      </c>
      <c r="G800">
        <v>251.97097778320313</v>
      </c>
      <c r="H800" s="2">
        <f>MONTH(Query1[[#This Row],[Date]])</f>
        <v>3</v>
      </c>
      <c r="I800" s="3">
        <f>Query1[[#This Row],[Shares]]*Query1[[#This Row],[Adj Close]]</f>
        <v>905155.08283568337</v>
      </c>
      <c r="J800" s="3">
        <f>IF(ROW()&lt;3, Dashboard!$E$7, IF(Query1[[#This Row],[Month]]&lt;&gt;H799,J799*(1+Dashboard!$E$4)+Dashboard!$E$5,J799))</f>
        <v>821669.06529924041</v>
      </c>
      <c r="K800">
        <f>IF(ROW()&lt;3, 0,IF(Query1[[#This Row],[Month]]&lt;&gt;H799,IF((J800-I800&gt;0),J800-I800,0),0))</f>
        <v>0</v>
      </c>
      <c r="L800" s="2">
        <f t="shared" si="12"/>
        <v>3592.2989655359538</v>
      </c>
      <c r="M800">
        <f>IF(ROW()&lt;3, 0, IF(Query1[[#This Row],[Month]]&lt;&gt;H799, Dashboard!$J$5,0))</f>
        <v>0</v>
      </c>
      <c r="N800" s="2">
        <f>IF(ROW()&lt;3, Query1[[#This Row],[Shares]], IF(Query1[[#This Row],[Month]]&lt;&gt;H799, N799+Query1[[#This Row],[Fix Top Up]]/Query1[[#This Row],[Adj Close]], N799))</f>
        <v>3399.5494609757475</v>
      </c>
      <c r="O800">
        <f>IF(AND(Query1[[#This Row],[avg]]&gt;0, Query1[[#This Row],[Month]]&lt;&gt;H799),
    IF(Query1[[#This Row],[Adj Close]]&gt;Query1[[#This Row],[avg]],
       Dashboard!$L$5-Dashboard!$E$6,
       Dashboard!$L$5+Dashboard!$E$6
    ), 0
)</f>
        <v>0</v>
      </c>
      <c r="P800" s="2">
        <f>IF(ROW()&lt;3, Query1[[#This Row],[Shares]], IF(Query1[[#This Row],[Month]]&lt;&gt;H799, P799+Query1[[#This Row],[Enhanced top up]]/Query1[[#This Row],[Adj Close]], P799))</f>
        <v>3395.955203807001</v>
      </c>
      <c r="Q800" s="2">
        <f>IFERROR(AVERAGE(
  IF(ROW()&gt;20, INDEX(G:G, ROW()-20), 0) :
  INDEX(G:G, ROW())
),0)</f>
        <v>253.22630528041296</v>
      </c>
    </row>
    <row r="801" spans="1:17" x14ac:dyDescent="0.4">
      <c r="A801" s="1">
        <v>44992</v>
      </c>
      <c r="B801">
        <v>256.29998779296875</v>
      </c>
      <c r="C801">
        <v>257.69000244140625</v>
      </c>
      <c r="D801">
        <v>253.38999938964844</v>
      </c>
      <c r="E801">
        <v>254.14999389648438</v>
      </c>
      <c r="F801">
        <v>21473200</v>
      </c>
      <c r="G801">
        <v>249.3028564453125</v>
      </c>
      <c r="H801" s="2">
        <f>MONTH(Query1[[#This Row],[Date]])</f>
        <v>3</v>
      </c>
      <c r="I801" s="3">
        <f>Query1[[#This Row],[Shares]]*Query1[[#This Row],[Adj Close]]</f>
        <v>895570.39331365447</v>
      </c>
      <c r="J801" s="3">
        <f>IF(ROW()&lt;3, Dashboard!$E$7, IF(Query1[[#This Row],[Month]]&lt;&gt;H800,J800*(1+Dashboard!$E$4)+Dashboard!$E$5,J800))</f>
        <v>821669.06529924041</v>
      </c>
      <c r="K801">
        <f>IF(ROW()&lt;3, 0,IF(Query1[[#This Row],[Month]]&lt;&gt;H800,IF((J801-I801&gt;0),J801-I801,0),0))</f>
        <v>0</v>
      </c>
      <c r="L801" s="2">
        <f t="shared" si="12"/>
        <v>3592.2989655359538</v>
      </c>
      <c r="M801">
        <f>IF(ROW()&lt;3, 0, IF(Query1[[#This Row],[Month]]&lt;&gt;H800, Dashboard!$J$5,0))</f>
        <v>0</v>
      </c>
      <c r="N801" s="2">
        <f>IF(ROW()&lt;3, Query1[[#This Row],[Shares]], IF(Query1[[#This Row],[Month]]&lt;&gt;H800, N800+Query1[[#This Row],[Fix Top Up]]/Query1[[#This Row],[Adj Close]], N800))</f>
        <v>3399.5494609757475</v>
      </c>
      <c r="O801">
        <f>IF(AND(Query1[[#This Row],[avg]]&gt;0, Query1[[#This Row],[Month]]&lt;&gt;H800),
    IF(Query1[[#This Row],[Adj Close]]&gt;Query1[[#This Row],[avg]],
       Dashboard!$L$5-Dashboard!$E$6,
       Dashboard!$L$5+Dashboard!$E$6
    ), 0
)</f>
        <v>0</v>
      </c>
      <c r="P801" s="2">
        <f>IF(ROW()&lt;3, Query1[[#This Row],[Shares]], IF(Query1[[#This Row],[Month]]&lt;&gt;H800, P800+Query1[[#This Row],[Enhanced top up]]/Query1[[#This Row],[Adj Close]], P800))</f>
        <v>3395.955203807001</v>
      </c>
      <c r="Q801" s="2">
        <f>IFERROR(AVERAGE(
  IF(ROW()&gt;20, INDEX(G:G, ROW()-20), 0) :
  INDEX(G:G, ROW())
),0)</f>
        <v>253.06027003696985</v>
      </c>
    </row>
    <row r="802" spans="1:17" x14ac:dyDescent="0.4">
      <c r="A802" s="1">
        <v>44993</v>
      </c>
      <c r="B802">
        <v>254.03999328613281</v>
      </c>
      <c r="C802">
        <v>254.53999328613281</v>
      </c>
      <c r="D802">
        <v>250.80999755859375</v>
      </c>
      <c r="E802">
        <v>253.69999694824219</v>
      </c>
      <c r="F802">
        <v>17340200</v>
      </c>
      <c r="G802">
        <v>248.8614501953125</v>
      </c>
      <c r="H802" s="2">
        <f>MONTH(Query1[[#This Row],[Date]])</f>
        <v>3</v>
      </c>
      <c r="I802" s="3">
        <f>Query1[[#This Row],[Shares]]*Query1[[#This Row],[Adj Close]]</f>
        <v>893984.7300983984</v>
      </c>
      <c r="J802" s="3">
        <f>IF(ROW()&lt;3, Dashboard!$E$7, IF(Query1[[#This Row],[Month]]&lt;&gt;H801,J801*(1+Dashboard!$E$4)+Dashboard!$E$5,J801))</f>
        <v>821669.06529924041</v>
      </c>
      <c r="K802">
        <f>IF(ROW()&lt;3, 0,IF(Query1[[#This Row],[Month]]&lt;&gt;H801,IF((J802-I802&gt;0),J802-I802,0),0))</f>
        <v>0</v>
      </c>
      <c r="L802" s="2">
        <f t="shared" si="12"/>
        <v>3592.2989655359538</v>
      </c>
      <c r="M802">
        <f>IF(ROW()&lt;3, 0, IF(Query1[[#This Row],[Month]]&lt;&gt;H801, Dashboard!$J$5,0))</f>
        <v>0</v>
      </c>
      <c r="N802" s="2">
        <f>IF(ROW()&lt;3, Query1[[#This Row],[Shares]], IF(Query1[[#This Row],[Month]]&lt;&gt;H801, N801+Query1[[#This Row],[Fix Top Up]]/Query1[[#This Row],[Adj Close]], N801))</f>
        <v>3399.5494609757475</v>
      </c>
      <c r="O802">
        <f>IF(AND(Query1[[#This Row],[avg]]&gt;0, Query1[[#This Row],[Month]]&lt;&gt;H801),
    IF(Query1[[#This Row],[Adj Close]]&gt;Query1[[#This Row],[avg]],
       Dashboard!$L$5-Dashboard!$E$6,
       Dashboard!$L$5+Dashboard!$E$6
    ), 0
)</f>
        <v>0</v>
      </c>
      <c r="P802" s="2">
        <f>IF(ROW()&lt;3, Query1[[#This Row],[Shares]], IF(Query1[[#This Row],[Month]]&lt;&gt;H801, P801+Query1[[#This Row],[Enhanced top up]]/Query1[[#This Row],[Adj Close]], P801))</f>
        <v>3395.955203807001</v>
      </c>
      <c r="Q802" s="2">
        <f>IFERROR(AVERAGE(
  IF(ROW()&gt;20, INDEX(G:G, ROW()-20), 0) :
  INDEX(G:G, ROW())
),0)</f>
        <v>252.94683401925224</v>
      </c>
    </row>
    <row r="803" spans="1:17" x14ac:dyDescent="0.4">
      <c r="A803" s="1">
        <v>44994</v>
      </c>
      <c r="B803">
        <v>255.82000732421875</v>
      </c>
      <c r="C803">
        <v>259.55999755859375</v>
      </c>
      <c r="D803">
        <v>251.58000183105469</v>
      </c>
      <c r="E803">
        <v>252.32000732421875</v>
      </c>
      <c r="F803">
        <v>26653400</v>
      </c>
      <c r="G803">
        <v>247.50778198242188</v>
      </c>
      <c r="H803" s="2">
        <f>MONTH(Query1[[#This Row],[Date]])</f>
        <v>3</v>
      </c>
      <c r="I803" s="3">
        <f>Query1[[#This Row],[Shares]]*Query1[[#This Row],[Adj Close]]</f>
        <v>889121.94917755248</v>
      </c>
      <c r="J803" s="3">
        <f>IF(ROW()&lt;3, Dashboard!$E$7, IF(Query1[[#This Row],[Month]]&lt;&gt;H802,J802*(1+Dashboard!$E$4)+Dashboard!$E$5,J802))</f>
        <v>821669.06529924041</v>
      </c>
      <c r="K803">
        <f>IF(ROW()&lt;3, 0,IF(Query1[[#This Row],[Month]]&lt;&gt;H802,IF((J803-I803&gt;0),J803-I803,0),0))</f>
        <v>0</v>
      </c>
      <c r="L803" s="2">
        <f t="shared" si="12"/>
        <v>3592.2989655359538</v>
      </c>
      <c r="M803">
        <f>IF(ROW()&lt;3, 0, IF(Query1[[#This Row],[Month]]&lt;&gt;H802, Dashboard!$J$5,0))</f>
        <v>0</v>
      </c>
      <c r="N803" s="2">
        <f>IF(ROW()&lt;3, Query1[[#This Row],[Shares]], IF(Query1[[#This Row],[Month]]&lt;&gt;H802, N802+Query1[[#This Row],[Fix Top Up]]/Query1[[#This Row],[Adj Close]], N802))</f>
        <v>3399.5494609757475</v>
      </c>
      <c r="O803">
        <f>IF(AND(Query1[[#This Row],[avg]]&gt;0, Query1[[#This Row],[Month]]&lt;&gt;H802),
    IF(Query1[[#This Row],[Adj Close]]&gt;Query1[[#This Row],[avg]],
       Dashboard!$L$5-Dashboard!$E$6,
       Dashboard!$L$5+Dashboard!$E$6
    ), 0
)</f>
        <v>0</v>
      </c>
      <c r="P803" s="2">
        <f>IF(ROW()&lt;3, Query1[[#This Row],[Shares]], IF(Query1[[#This Row],[Month]]&lt;&gt;H802, P802+Query1[[#This Row],[Enhanced top up]]/Query1[[#This Row],[Adj Close]], P802))</f>
        <v>3395.955203807001</v>
      </c>
      <c r="Q803" s="2">
        <f>IFERROR(AVERAGE(
  IF(ROW()&gt;20, INDEX(G:G, ROW()-20), 0) :
  INDEX(G:G, ROW())
),0)</f>
        <v>252.26618594215029</v>
      </c>
    </row>
    <row r="804" spans="1:17" x14ac:dyDescent="0.4">
      <c r="A804" s="1">
        <v>44995</v>
      </c>
      <c r="B804">
        <v>251.08000183105469</v>
      </c>
      <c r="C804">
        <v>252.78999328613281</v>
      </c>
      <c r="D804">
        <v>247.60000610351563</v>
      </c>
      <c r="E804">
        <v>248.58999633789063</v>
      </c>
      <c r="F804">
        <v>28333900</v>
      </c>
      <c r="G804">
        <v>243.84889221191406</v>
      </c>
      <c r="H804" s="2">
        <f>MONTH(Query1[[#This Row],[Date]])</f>
        <v>3</v>
      </c>
      <c r="I804" s="3">
        <f>Query1[[#This Row],[Shares]]*Query1[[#This Row],[Adj Close]]</f>
        <v>875978.12323994713</v>
      </c>
      <c r="J804" s="3">
        <f>IF(ROW()&lt;3, Dashboard!$E$7, IF(Query1[[#This Row],[Month]]&lt;&gt;H803,J803*(1+Dashboard!$E$4)+Dashboard!$E$5,J803))</f>
        <v>821669.06529924041</v>
      </c>
      <c r="K804">
        <f>IF(ROW()&lt;3, 0,IF(Query1[[#This Row],[Month]]&lt;&gt;H803,IF((J804-I804&gt;0),J804-I804,0),0))</f>
        <v>0</v>
      </c>
      <c r="L804" s="2">
        <f t="shared" si="12"/>
        <v>3592.2989655359538</v>
      </c>
      <c r="M804">
        <f>IF(ROW()&lt;3, 0, IF(Query1[[#This Row],[Month]]&lt;&gt;H803, Dashboard!$J$5,0))</f>
        <v>0</v>
      </c>
      <c r="N804" s="2">
        <f>IF(ROW()&lt;3, Query1[[#This Row],[Shares]], IF(Query1[[#This Row],[Month]]&lt;&gt;H803, N803+Query1[[#This Row],[Fix Top Up]]/Query1[[#This Row],[Adj Close]], N803))</f>
        <v>3399.5494609757475</v>
      </c>
      <c r="O804">
        <f>IF(AND(Query1[[#This Row],[avg]]&gt;0, Query1[[#This Row],[Month]]&lt;&gt;H803),
    IF(Query1[[#This Row],[Adj Close]]&gt;Query1[[#This Row],[avg]],
       Dashboard!$L$5-Dashboard!$E$6,
       Dashboard!$L$5+Dashboard!$E$6
    ), 0
)</f>
        <v>0</v>
      </c>
      <c r="P804" s="2">
        <f>IF(ROW()&lt;3, Query1[[#This Row],[Shares]], IF(Query1[[#This Row],[Month]]&lt;&gt;H803, P803+Query1[[#This Row],[Enhanced top up]]/Query1[[#This Row],[Adj Close]], P803))</f>
        <v>3395.955203807001</v>
      </c>
      <c r="Q804" s="2">
        <f>IFERROR(AVERAGE(
  IF(ROW()&gt;20, INDEX(G:G, ROW()-20), 0) :
  INDEX(G:G, ROW())
),0)</f>
        <v>251.4499780564081</v>
      </c>
    </row>
    <row r="805" spans="1:17" x14ac:dyDescent="0.4">
      <c r="A805" s="1">
        <v>44998</v>
      </c>
      <c r="B805">
        <v>247.39999389648438</v>
      </c>
      <c r="C805">
        <v>257.91000366210938</v>
      </c>
      <c r="D805">
        <v>245.72999572753906</v>
      </c>
      <c r="E805">
        <v>253.91999816894531</v>
      </c>
      <c r="F805">
        <v>33339700</v>
      </c>
      <c r="G805">
        <v>249.07725524902344</v>
      </c>
      <c r="H805" s="2">
        <f>MONTH(Query1[[#This Row],[Date]])</f>
        <v>3</v>
      </c>
      <c r="I805" s="3">
        <f>Query1[[#This Row],[Shares]]*Query1[[#This Row],[Adj Close]]</f>
        <v>894759.96636960167</v>
      </c>
      <c r="J805" s="3">
        <f>IF(ROW()&lt;3, Dashboard!$E$7, IF(Query1[[#This Row],[Month]]&lt;&gt;H804,J804*(1+Dashboard!$E$4)+Dashboard!$E$5,J804))</f>
        <v>821669.06529924041</v>
      </c>
      <c r="K805">
        <f>IF(ROW()&lt;3, 0,IF(Query1[[#This Row],[Month]]&lt;&gt;H804,IF((J805-I805&gt;0),J805-I805,0),0))</f>
        <v>0</v>
      </c>
      <c r="L805" s="2">
        <f t="shared" si="12"/>
        <v>3592.2989655359538</v>
      </c>
      <c r="M805">
        <f>IF(ROW()&lt;3, 0, IF(Query1[[#This Row],[Month]]&lt;&gt;H804, Dashboard!$J$5,0))</f>
        <v>0</v>
      </c>
      <c r="N805" s="2">
        <f>IF(ROW()&lt;3, Query1[[#This Row],[Shares]], IF(Query1[[#This Row],[Month]]&lt;&gt;H804, N804+Query1[[#This Row],[Fix Top Up]]/Query1[[#This Row],[Adj Close]], N804))</f>
        <v>3399.5494609757475</v>
      </c>
      <c r="O805">
        <f>IF(AND(Query1[[#This Row],[avg]]&gt;0, Query1[[#This Row],[Month]]&lt;&gt;H804),
    IF(Query1[[#This Row],[Adj Close]]&gt;Query1[[#This Row],[avg]],
       Dashboard!$L$5-Dashboard!$E$6,
       Dashboard!$L$5+Dashboard!$E$6
    ), 0
)</f>
        <v>0</v>
      </c>
      <c r="P805" s="2">
        <f>IF(ROW()&lt;3, Query1[[#This Row],[Shares]], IF(Query1[[#This Row],[Month]]&lt;&gt;H804, P804+Query1[[#This Row],[Enhanced top up]]/Query1[[#This Row],[Adj Close]], P804))</f>
        <v>3395.955203807001</v>
      </c>
      <c r="Q805" s="2">
        <f>IFERROR(AVERAGE(
  IF(ROW()&gt;20, INDEX(G:G, ROW()-20), 0) :
  INDEX(G:G, ROW())
),0)</f>
        <v>251.02765037899925</v>
      </c>
    </row>
    <row r="806" spans="1:17" x14ac:dyDescent="0.4">
      <c r="A806" s="1">
        <v>44999</v>
      </c>
      <c r="B806">
        <v>256.75</v>
      </c>
      <c r="C806">
        <v>261.07000732421875</v>
      </c>
      <c r="D806">
        <v>255.86000061035156</v>
      </c>
      <c r="E806">
        <v>260.79000854492188</v>
      </c>
      <c r="F806">
        <v>33620300</v>
      </c>
      <c r="G806">
        <v>255.81620788574219</v>
      </c>
      <c r="H806" s="2">
        <f>MONTH(Query1[[#This Row],[Date]])</f>
        <v>3</v>
      </c>
      <c r="I806" s="3">
        <f>Query1[[#This Row],[Shares]]*Query1[[#This Row],[Adj Close]]</f>
        <v>918968.2989552822</v>
      </c>
      <c r="J806" s="3">
        <f>IF(ROW()&lt;3, Dashboard!$E$7, IF(Query1[[#This Row],[Month]]&lt;&gt;H805,J805*(1+Dashboard!$E$4)+Dashboard!$E$5,J805))</f>
        <v>821669.06529924041</v>
      </c>
      <c r="K806">
        <f>IF(ROW()&lt;3, 0,IF(Query1[[#This Row],[Month]]&lt;&gt;H805,IF((J806-I806&gt;0),J806-I806,0),0))</f>
        <v>0</v>
      </c>
      <c r="L806" s="2">
        <f t="shared" si="12"/>
        <v>3592.2989655359538</v>
      </c>
      <c r="M806">
        <f>IF(ROW()&lt;3, 0, IF(Query1[[#This Row],[Month]]&lt;&gt;H805, Dashboard!$J$5,0))</f>
        <v>0</v>
      </c>
      <c r="N806" s="2">
        <f>IF(ROW()&lt;3, Query1[[#This Row],[Shares]], IF(Query1[[#This Row],[Month]]&lt;&gt;H805, N805+Query1[[#This Row],[Fix Top Up]]/Query1[[#This Row],[Adj Close]], N805))</f>
        <v>3399.5494609757475</v>
      </c>
      <c r="O806">
        <f>IF(AND(Query1[[#This Row],[avg]]&gt;0, Query1[[#This Row],[Month]]&lt;&gt;H805),
    IF(Query1[[#This Row],[Adj Close]]&gt;Query1[[#This Row],[avg]],
       Dashboard!$L$5-Dashboard!$E$6,
       Dashboard!$L$5+Dashboard!$E$6
    ), 0
)</f>
        <v>0</v>
      </c>
      <c r="P806" s="2">
        <f>IF(ROW()&lt;3, Query1[[#This Row],[Shares]], IF(Query1[[#This Row],[Month]]&lt;&gt;H805, P805+Query1[[#This Row],[Enhanced top up]]/Query1[[#This Row],[Adj Close]], P805))</f>
        <v>3395.955203807001</v>
      </c>
      <c r="Q806" s="2">
        <f>IFERROR(AVERAGE(
  IF(ROW()&gt;20, INDEX(G:G, ROW()-20), 0) :
  INDEX(G:G, ROW())
),0)</f>
        <v>250.95045325869606</v>
      </c>
    </row>
    <row r="807" spans="1:17" x14ac:dyDescent="0.4">
      <c r="A807" s="1">
        <v>45000</v>
      </c>
      <c r="B807">
        <v>259.98001098632813</v>
      </c>
      <c r="C807">
        <v>266.48001098632813</v>
      </c>
      <c r="D807">
        <v>259.20999145507813</v>
      </c>
      <c r="E807">
        <v>265.44000244140625</v>
      </c>
      <c r="F807">
        <v>46028000</v>
      </c>
      <c r="G807">
        <v>260.3775634765625</v>
      </c>
      <c r="H807" s="2">
        <f>MONTH(Query1[[#This Row],[Date]])</f>
        <v>3</v>
      </c>
      <c r="I807" s="3">
        <f>Query1[[#This Row],[Shares]]*Query1[[#This Row],[Adj Close]]</f>
        <v>935354.05192562763</v>
      </c>
      <c r="J807" s="3">
        <f>IF(ROW()&lt;3, Dashboard!$E$7, IF(Query1[[#This Row],[Month]]&lt;&gt;H806,J806*(1+Dashboard!$E$4)+Dashboard!$E$5,J806))</f>
        <v>821669.06529924041</v>
      </c>
      <c r="K807">
        <f>IF(ROW()&lt;3, 0,IF(Query1[[#This Row],[Month]]&lt;&gt;H806,IF((J807-I807&gt;0),J807-I807,0),0))</f>
        <v>0</v>
      </c>
      <c r="L807" s="2">
        <f t="shared" si="12"/>
        <v>3592.2989655359538</v>
      </c>
      <c r="M807">
        <f>IF(ROW()&lt;3, 0, IF(Query1[[#This Row],[Month]]&lt;&gt;H806, Dashboard!$J$5,0))</f>
        <v>0</v>
      </c>
      <c r="N807" s="2">
        <f>IF(ROW()&lt;3, Query1[[#This Row],[Shares]], IF(Query1[[#This Row],[Month]]&lt;&gt;H806, N806+Query1[[#This Row],[Fix Top Up]]/Query1[[#This Row],[Adj Close]], N806))</f>
        <v>3399.5494609757475</v>
      </c>
      <c r="O807">
        <f>IF(AND(Query1[[#This Row],[avg]]&gt;0, Query1[[#This Row],[Month]]&lt;&gt;H806),
    IF(Query1[[#This Row],[Adj Close]]&gt;Query1[[#This Row],[avg]],
       Dashboard!$L$5-Dashboard!$E$6,
       Dashboard!$L$5+Dashboard!$E$6
    ), 0
)</f>
        <v>0</v>
      </c>
      <c r="P807" s="2">
        <f>IF(ROW()&lt;3, Query1[[#This Row],[Shares]], IF(Query1[[#This Row],[Month]]&lt;&gt;H806, P806+Query1[[#This Row],[Enhanced top up]]/Query1[[#This Row],[Adj Close]], P806))</f>
        <v>3395.955203807001</v>
      </c>
      <c r="Q807" s="2">
        <f>IFERROR(AVERAGE(
  IF(ROW()&gt;20, INDEX(G:G, ROW()-20), 0) :
  INDEX(G:G, ROW())
),0)</f>
        <v>250.70745631626673</v>
      </c>
    </row>
    <row r="808" spans="1:17" x14ac:dyDescent="0.4">
      <c r="A808" s="1">
        <v>45001</v>
      </c>
      <c r="B808">
        <v>265.20999145507813</v>
      </c>
      <c r="C808">
        <v>276.55999755859375</v>
      </c>
      <c r="D808">
        <v>263.27999877929688</v>
      </c>
      <c r="E808">
        <v>276.20001220703125</v>
      </c>
      <c r="F808">
        <v>54768800</v>
      </c>
      <c r="G808">
        <v>270.93231201171875</v>
      </c>
      <c r="H808" s="2">
        <f>MONTH(Query1[[#This Row],[Date]])</f>
        <v>3</v>
      </c>
      <c r="I808" s="3">
        <f>Query1[[#This Row],[Shares]]*Query1[[#This Row],[Adj Close]]</f>
        <v>973269.86416996154</v>
      </c>
      <c r="J808" s="3">
        <f>IF(ROW()&lt;3, Dashboard!$E$7, IF(Query1[[#This Row],[Month]]&lt;&gt;H807,J807*(1+Dashboard!$E$4)+Dashboard!$E$5,J807))</f>
        <v>821669.06529924041</v>
      </c>
      <c r="K808">
        <f>IF(ROW()&lt;3, 0,IF(Query1[[#This Row],[Month]]&lt;&gt;H807,IF((J808-I808&gt;0),J808-I808,0),0))</f>
        <v>0</v>
      </c>
      <c r="L808" s="2">
        <f t="shared" si="12"/>
        <v>3592.2989655359538</v>
      </c>
      <c r="M808">
        <f>IF(ROW()&lt;3, 0, IF(Query1[[#This Row],[Month]]&lt;&gt;H807, Dashboard!$J$5,0))</f>
        <v>0</v>
      </c>
      <c r="N808" s="2">
        <f>IF(ROW()&lt;3, Query1[[#This Row],[Shares]], IF(Query1[[#This Row],[Month]]&lt;&gt;H807, N807+Query1[[#This Row],[Fix Top Up]]/Query1[[#This Row],[Adj Close]], N807))</f>
        <v>3399.5494609757475</v>
      </c>
      <c r="O808">
        <f>IF(AND(Query1[[#This Row],[avg]]&gt;0, Query1[[#This Row],[Month]]&lt;&gt;H807),
    IF(Query1[[#This Row],[Adj Close]]&gt;Query1[[#This Row],[avg]],
       Dashboard!$L$5-Dashboard!$E$6,
       Dashboard!$L$5+Dashboard!$E$6
    ), 0
)</f>
        <v>0</v>
      </c>
      <c r="P808" s="2">
        <f>IF(ROW()&lt;3, Query1[[#This Row],[Shares]], IF(Query1[[#This Row],[Month]]&lt;&gt;H807, P807+Query1[[#This Row],[Enhanced top up]]/Query1[[#This Row],[Adj Close]], P807))</f>
        <v>3395.955203807001</v>
      </c>
      <c r="Q808" s="2">
        <f>IFERROR(AVERAGE(
  IF(ROW()&gt;20, INDEX(G:G, ROW()-20), 0) :
  INDEX(G:G, ROW())
),0)</f>
        <v>250.92746480305991</v>
      </c>
    </row>
    <row r="809" spans="1:17" x14ac:dyDescent="0.4">
      <c r="A809" s="1">
        <v>45002</v>
      </c>
      <c r="B809">
        <v>278.260009765625</v>
      </c>
      <c r="C809">
        <v>283.32998657226563</v>
      </c>
      <c r="D809">
        <v>276.32000732421875</v>
      </c>
      <c r="E809">
        <v>279.42999267578125</v>
      </c>
      <c r="F809">
        <v>69527400</v>
      </c>
      <c r="G809">
        <v>274.10073852539063</v>
      </c>
      <c r="H809" s="2">
        <f>MONTH(Query1[[#This Row],[Date]])</f>
        <v>3</v>
      </c>
      <c r="I809" s="3">
        <f>Query1[[#This Row],[Shares]]*Query1[[#This Row],[Adj Close]]</f>
        <v>984651.79945740174</v>
      </c>
      <c r="J809" s="3">
        <f>IF(ROW()&lt;3, Dashboard!$E$7, IF(Query1[[#This Row],[Month]]&lt;&gt;H808,J808*(1+Dashboard!$E$4)+Dashboard!$E$5,J808))</f>
        <v>821669.06529924041</v>
      </c>
      <c r="K809">
        <f>IF(ROW()&lt;3, 0,IF(Query1[[#This Row],[Month]]&lt;&gt;H808,IF((J809-I809&gt;0),J809-I809,0),0))</f>
        <v>0</v>
      </c>
      <c r="L809" s="2">
        <f t="shared" si="12"/>
        <v>3592.2989655359538</v>
      </c>
      <c r="M809">
        <f>IF(ROW()&lt;3, 0, IF(Query1[[#This Row],[Month]]&lt;&gt;H808, Dashboard!$J$5,0))</f>
        <v>0</v>
      </c>
      <c r="N809" s="2">
        <f>IF(ROW()&lt;3, Query1[[#This Row],[Shares]], IF(Query1[[#This Row],[Month]]&lt;&gt;H808, N808+Query1[[#This Row],[Fix Top Up]]/Query1[[#This Row],[Adj Close]], N808))</f>
        <v>3399.5494609757475</v>
      </c>
      <c r="O809">
        <f>IF(AND(Query1[[#This Row],[avg]]&gt;0, Query1[[#This Row],[Month]]&lt;&gt;H808),
    IF(Query1[[#This Row],[Adj Close]]&gt;Query1[[#This Row],[avg]],
       Dashboard!$L$5-Dashboard!$E$6,
       Dashboard!$L$5+Dashboard!$E$6
    ), 0
)</f>
        <v>0</v>
      </c>
      <c r="P809" s="2">
        <f>IF(ROW()&lt;3, Query1[[#This Row],[Shares]], IF(Query1[[#This Row],[Month]]&lt;&gt;H808, P808+Query1[[#This Row],[Enhanced top up]]/Query1[[#This Row],[Adj Close]], P808))</f>
        <v>3395.955203807001</v>
      </c>
      <c r="Q809" s="2">
        <f>IFERROR(AVERAGE(
  IF(ROW()&gt;20, INDEX(G:G, ROW()-20), 0) :
  INDEX(G:G, ROW())
),0)</f>
        <v>251.39971269880022</v>
      </c>
    </row>
    <row r="810" spans="1:17" x14ac:dyDescent="0.4">
      <c r="A810" s="1">
        <v>45005</v>
      </c>
      <c r="B810">
        <v>276.98001098632813</v>
      </c>
      <c r="C810">
        <v>277.48001098632813</v>
      </c>
      <c r="D810">
        <v>269.85000610351563</v>
      </c>
      <c r="E810">
        <v>272.23001098632813</v>
      </c>
      <c r="F810">
        <v>43466600</v>
      </c>
      <c r="G810">
        <v>267.03805541992188</v>
      </c>
      <c r="H810" s="2">
        <f>MONTH(Query1[[#This Row],[Date]])</f>
        <v>3</v>
      </c>
      <c r="I810" s="3">
        <f>Query1[[#This Row],[Shares]]*Query1[[#This Row],[Adj Close]]</f>
        <v>959280.53024371807</v>
      </c>
      <c r="J810" s="3">
        <f>IF(ROW()&lt;3, Dashboard!$E$7, IF(Query1[[#This Row],[Month]]&lt;&gt;H809,J809*(1+Dashboard!$E$4)+Dashboard!$E$5,J809))</f>
        <v>821669.06529924041</v>
      </c>
      <c r="K810">
        <f>IF(ROW()&lt;3, 0,IF(Query1[[#This Row],[Month]]&lt;&gt;H809,IF((J810-I810&gt;0),J810-I810,0),0))</f>
        <v>0</v>
      </c>
      <c r="L810" s="2">
        <f t="shared" si="12"/>
        <v>3592.2989655359538</v>
      </c>
      <c r="M810">
        <f>IF(ROW()&lt;3, 0, IF(Query1[[#This Row],[Month]]&lt;&gt;H809, Dashboard!$J$5,0))</f>
        <v>0</v>
      </c>
      <c r="N810" s="2">
        <f>IF(ROW()&lt;3, Query1[[#This Row],[Shares]], IF(Query1[[#This Row],[Month]]&lt;&gt;H809, N809+Query1[[#This Row],[Fix Top Up]]/Query1[[#This Row],[Adj Close]], N809))</f>
        <v>3399.5494609757475</v>
      </c>
      <c r="O810">
        <f>IF(AND(Query1[[#This Row],[avg]]&gt;0, Query1[[#This Row],[Month]]&lt;&gt;H809),
    IF(Query1[[#This Row],[Adj Close]]&gt;Query1[[#This Row],[avg]],
       Dashboard!$L$5-Dashboard!$E$6,
       Dashboard!$L$5+Dashboard!$E$6
    ), 0
)</f>
        <v>0</v>
      </c>
      <c r="P810" s="2">
        <f>IF(ROW()&lt;3, Query1[[#This Row],[Shares]], IF(Query1[[#This Row],[Month]]&lt;&gt;H809, P809+Query1[[#This Row],[Enhanced top up]]/Query1[[#This Row],[Adj Close]], P809))</f>
        <v>3395.955203807001</v>
      </c>
      <c r="Q810" s="2">
        <f>IFERROR(AVERAGE(
  IF(ROW()&gt;20, INDEX(G:G, ROW()-20), 0) :
  INDEX(G:G, ROW())
),0)</f>
        <v>251.87055823916481</v>
      </c>
    </row>
    <row r="811" spans="1:17" x14ac:dyDescent="0.4">
      <c r="A811" s="1">
        <v>45006</v>
      </c>
      <c r="B811">
        <v>274.8800048828125</v>
      </c>
      <c r="C811">
        <v>275</v>
      </c>
      <c r="D811">
        <v>269.51998901367188</v>
      </c>
      <c r="E811">
        <v>273.77999877929688</v>
      </c>
      <c r="F811">
        <v>34558700</v>
      </c>
      <c r="G811">
        <v>268.5584716796875</v>
      </c>
      <c r="H811" s="2">
        <f>MONTH(Query1[[#This Row],[Date]])</f>
        <v>3</v>
      </c>
      <c r="I811" s="3">
        <f>Query1[[#This Row],[Shares]]*Query1[[#This Row],[Adj Close]]</f>
        <v>964742.32000085816</v>
      </c>
      <c r="J811" s="3">
        <f>IF(ROW()&lt;3, Dashboard!$E$7, IF(Query1[[#This Row],[Month]]&lt;&gt;H810,J810*(1+Dashboard!$E$4)+Dashboard!$E$5,J810))</f>
        <v>821669.06529924041</v>
      </c>
      <c r="K811">
        <f>IF(ROW()&lt;3, 0,IF(Query1[[#This Row],[Month]]&lt;&gt;H810,IF((J811-I811&gt;0),J811-I811,0),0))</f>
        <v>0</v>
      </c>
      <c r="L811" s="2">
        <f t="shared" si="12"/>
        <v>3592.2989655359538</v>
      </c>
      <c r="M811">
        <f>IF(ROW()&lt;3, 0, IF(Query1[[#This Row],[Month]]&lt;&gt;H810, Dashboard!$J$5,0))</f>
        <v>0</v>
      </c>
      <c r="N811" s="2">
        <f>IF(ROW()&lt;3, Query1[[#This Row],[Shares]], IF(Query1[[#This Row],[Month]]&lt;&gt;H810, N810+Query1[[#This Row],[Fix Top Up]]/Query1[[#This Row],[Adj Close]], N810))</f>
        <v>3399.5494609757475</v>
      </c>
      <c r="O811">
        <f>IF(AND(Query1[[#This Row],[avg]]&gt;0, Query1[[#This Row],[Month]]&lt;&gt;H810),
    IF(Query1[[#This Row],[Adj Close]]&gt;Query1[[#This Row],[avg]],
       Dashboard!$L$5-Dashboard!$E$6,
       Dashboard!$L$5+Dashboard!$E$6
    ), 0
)</f>
        <v>0</v>
      </c>
      <c r="P811" s="2">
        <f>IF(ROW()&lt;3, Query1[[#This Row],[Shares]], IF(Query1[[#This Row],[Month]]&lt;&gt;H810, P810+Query1[[#This Row],[Enhanced top up]]/Query1[[#This Row],[Adj Close]], P810))</f>
        <v>3395.955203807001</v>
      </c>
      <c r="Q811" s="2">
        <f>IFERROR(AVERAGE(
  IF(ROW()&gt;20, INDEX(G:G, ROW()-20), 0) :
  INDEX(G:G, ROW())
),0)</f>
        <v>252.60485258556548</v>
      </c>
    </row>
    <row r="812" spans="1:17" x14ac:dyDescent="0.4">
      <c r="A812" s="1">
        <v>45007</v>
      </c>
      <c r="B812">
        <v>273.39999389648438</v>
      </c>
      <c r="C812">
        <v>281.04000854492188</v>
      </c>
      <c r="D812">
        <v>272.17999267578125</v>
      </c>
      <c r="E812">
        <v>272.29000854492188</v>
      </c>
      <c r="F812">
        <v>34873300</v>
      </c>
      <c r="G812">
        <v>267.096923828125</v>
      </c>
      <c r="H812" s="2">
        <f>MONTH(Query1[[#This Row],[Date]])</f>
        <v>3</v>
      </c>
      <c r="I812" s="3">
        <f>Query1[[#This Row],[Shares]]*Query1[[#This Row],[Adj Close]]</f>
        <v>959492.00316560885</v>
      </c>
      <c r="J812" s="3">
        <f>IF(ROW()&lt;3, Dashboard!$E$7, IF(Query1[[#This Row],[Month]]&lt;&gt;H811,J811*(1+Dashboard!$E$4)+Dashboard!$E$5,J811))</f>
        <v>821669.06529924041</v>
      </c>
      <c r="K812">
        <f>IF(ROW()&lt;3, 0,IF(Query1[[#This Row],[Month]]&lt;&gt;H811,IF((J812-I812&gt;0),J812-I812,0),0))</f>
        <v>0</v>
      </c>
      <c r="L812" s="2">
        <f t="shared" si="12"/>
        <v>3592.2989655359538</v>
      </c>
      <c r="M812">
        <f>IF(ROW()&lt;3, 0, IF(Query1[[#This Row],[Month]]&lt;&gt;H811, Dashboard!$J$5,0))</f>
        <v>0</v>
      </c>
      <c r="N812" s="2">
        <f>IF(ROW()&lt;3, Query1[[#This Row],[Shares]], IF(Query1[[#This Row],[Month]]&lt;&gt;H811, N811+Query1[[#This Row],[Fix Top Up]]/Query1[[#This Row],[Adj Close]], N811))</f>
        <v>3399.5494609757475</v>
      </c>
      <c r="O812">
        <f>IF(AND(Query1[[#This Row],[avg]]&gt;0, Query1[[#This Row],[Month]]&lt;&gt;H811),
    IF(Query1[[#This Row],[Adj Close]]&gt;Query1[[#This Row],[avg]],
       Dashboard!$L$5-Dashboard!$E$6,
       Dashboard!$L$5+Dashboard!$E$6
    ), 0
)</f>
        <v>0</v>
      </c>
      <c r="P812" s="2">
        <f>IF(ROW()&lt;3, Query1[[#This Row],[Shares]], IF(Query1[[#This Row],[Month]]&lt;&gt;H811, P811+Query1[[#This Row],[Enhanced top up]]/Query1[[#This Row],[Adj Close]], P811))</f>
        <v>3395.955203807001</v>
      </c>
      <c r="Q812" s="2">
        <f>IFERROR(AVERAGE(
  IF(ROW()&gt;20, INDEX(G:G, ROW()-20), 0) :
  INDEX(G:G, ROW())
),0)</f>
        <v>253.52132234119233</v>
      </c>
    </row>
    <row r="813" spans="1:17" x14ac:dyDescent="0.4">
      <c r="A813" s="1">
        <v>45008</v>
      </c>
      <c r="B813">
        <v>277.94000244140625</v>
      </c>
      <c r="C813">
        <v>281.05999755859375</v>
      </c>
      <c r="D813">
        <v>275.20001220703125</v>
      </c>
      <c r="E813">
        <v>277.66000366210938</v>
      </c>
      <c r="F813">
        <v>36610900</v>
      </c>
      <c r="G813">
        <v>272.364501953125</v>
      </c>
      <c r="H813" s="2">
        <f>MONTH(Query1[[#This Row],[Date]])</f>
        <v>3</v>
      </c>
      <c r="I813" s="3">
        <f>Query1[[#This Row],[Shares]]*Query1[[#This Row],[Adj Close]]</f>
        <v>978414.71861492621</v>
      </c>
      <c r="J813" s="3">
        <f>IF(ROW()&lt;3, Dashboard!$E$7, IF(Query1[[#This Row],[Month]]&lt;&gt;H812,J812*(1+Dashboard!$E$4)+Dashboard!$E$5,J812))</f>
        <v>821669.06529924041</v>
      </c>
      <c r="K813">
        <f>IF(ROW()&lt;3, 0,IF(Query1[[#This Row],[Month]]&lt;&gt;H812,IF((J813-I813&gt;0),J813-I813,0),0))</f>
        <v>0</v>
      </c>
      <c r="L813" s="2">
        <f t="shared" si="12"/>
        <v>3592.2989655359538</v>
      </c>
      <c r="M813">
        <f>IF(ROW()&lt;3, 0, IF(Query1[[#This Row],[Month]]&lt;&gt;H812, Dashboard!$J$5,0))</f>
        <v>0</v>
      </c>
      <c r="N813" s="2">
        <f>IF(ROW()&lt;3, Query1[[#This Row],[Shares]], IF(Query1[[#This Row],[Month]]&lt;&gt;H812, N812+Query1[[#This Row],[Fix Top Up]]/Query1[[#This Row],[Adj Close]], N812))</f>
        <v>3399.5494609757475</v>
      </c>
      <c r="O813">
        <f>IF(AND(Query1[[#This Row],[avg]]&gt;0, Query1[[#This Row],[Month]]&lt;&gt;H812),
    IF(Query1[[#This Row],[Adj Close]]&gt;Query1[[#This Row],[avg]],
       Dashboard!$L$5-Dashboard!$E$6,
       Dashboard!$L$5+Dashboard!$E$6
    ), 0
)</f>
        <v>0</v>
      </c>
      <c r="P813" s="2">
        <f>IF(ROW()&lt;3, Query1[[#This Row],[Shares]], IF(Query1[[#This Row],[Month]]&lt;&gt;H812, P812+Query1[[#This Row],[Enhanced top up]]/Query1[[#This Row],[Adj Close]], P812))</f>
        <v>3395.955203807001</v>
      </c>
      <c r="Q813" s="2">
        <f>IFERROR(AVERAGE(
  IF(ROW()&gt;20, INDEX(G:G, ROW()-20), 0) :
  INDEX(G:G, ROW())
),0)</f>
        <v>254.74281238374255</v>
      </c>
    </row>
    <row r="814" spans="1:17" x14ac:dyDescent="0.4">
      <c r="A814" s="1">
        <v>45009</v>
      </c>
      <c r="B814">
        <v>277.239990234375</v>
      </c>
      <c r="C814">
        <v>280.6300048828125</v>
      </c>
      <c r="D814">
        <v>275.27999877929688</v>
      </c>
      <c r="E814">
        <v>280.57000732421875</v>
      </c>
      <c r="F814">
        <v>28172000</v>
      </c>
      <c r="G814">
        <v>275.218994140625</v>
      </c>
      <c r="H814" s="2">
        <f>MONTH(Query1[[#This Row],[Date]])</f>
        <v>3</v>
      </c>
      <c r="I814" s="3">
        <f>Query1[[#This Row],[Shares]]*Query1[[#This Row],[Adj Close]]</f>
        <v>988668.90794721292</v>
      </c>
      <c r="J814" s="3">
        <f>IF(ROW()&lt;3, Dashboard!$E$7, IF(Query1[[#This Row],[Month]]&lt;&gt;H813,J813*(1+Dashboard!$E$4)+Dashboard!$E$5,J813))</f>
        <v>821669.06529924041</v>
      </c>
      <c r="K814">
        <f>IF(ROW()&lt;3, 0,IF(Query1[[#This Row],[Month]]&lt;&gt;H813,IF((J814-I814&gt;0),J814-I814,0),0))</f>
        <v>0</v>
      </c>
      <c r="L814" s="2">
        <f t="shared" si="12"/>
        <v>3592.2989655359538</v>
      </c>
      <c r="M814">
        <f>IF(ROW()&lt;3, 0, IF(Query1[[#This Row],[Month]]&lt;&gt;H813, Dashboard!$J$5,0))</f>
        <v>0</v>
      </c>
      <c r="N814" s="2">
        <f>IF(ROW()&lt;3, Query1[[#This Row],[Shares]], IF(Query1[[#This Row],[Month]]&lt;&gt;H813, N813+Query1[[#This Row],[Fix Top Up]]/Query1[[#This Row],[Adj Close]], N813))</f>
        <v>3399.5494609757475</v>
      </c>
      <c r="O814">
        <f>IF(AND(Query1[[#This Row],[avg]]&gt;0, Query1[[#This Row],[Month]]&lt;&gt;H813),
    IF(Query1[[#This Row],[Adj Close]]&gt;Query1[[#This Row],[avg]],
       Dashboard!$L$5-Dashboard!$E$6,
       Dashboard!$L$5+Dashboard!$E$6
    ), 0
)</f>
        <v>0</v>
      </c>
      <c r="P814" s="2">
        <f>IF(ROW()&lt;3, Query1[[#This Row],[Shares]], IF(Query1[[#This Row],[Month]]&lt;&gt;H813, P813+Query1[[#This Row],[Enhanced top up]]/Query1[[#This Row],[Adj Close]], P813))</f>
        <v>3395.955203807001</v>
      </c>
      <c r="Q814" s="2">
        <f>IFERROR(AVERAGE(
  IF(ROW()&gt;20, INDEX(G:G, ROW()-20), 0) :
  INDEX(G:G, ROW())
),0)</f>
        <v>255.94795227050781</v>
      </c>
    </row>
    <row r="815" spans="1:17" x14ac:dyDescent="0.4">
      <c r="A815" s="1">
        <v>45012</v>
      </c>
      <c r="B815">
        <v>280.5</v>
      </c>
      <c r="C815">
        <v>281.45999145507813</v>
      </c>
      <c r="D815">
        <v>275.51998901367188</v>
      </c>
      <c r="E815">
        <v>276.3800048828125</v>
      </c>
      <c r="F815">
        <v>26840200</v>
      </c>
      <c r="G815">
        <v>271.10891723632813</v>
      </c>
      <c r="H815" s="2">
        <f>MONTH(Query1[[#This Row],[Date]])</f>
        <v>3</v>
      </c>
      <c r="I815" s="3">
        <f>Query1[[#This Row],[Shares]]*Query1[[#This Row],[Adj Close]]</f>
        <v>973904.28293563402</v>
      </c>
      <c r="J815" s="3">
        <f>IF(ROW()&lt;3, Dashboard!$E$7, IF(Query1[[#This Row],[Month]]&lt;&gt;H814,J814*(1+Dashboard!$E$4)+Dashboard!$E$5,J814))</f>
        <v>821669.06529924041</v>
      </c>
      <c r="K815">
        <f>IF(ROW()&lt;3, 0,IF(Query1[[#This Row],[Month]]&lt;&gt;H814,IF((J815-I815&gt;0),J815-I815,0),0))</f>
        <v>0</v>
      </c>
      <c r="L815" s="2">
        <f t="shared" si="12"/>
        <v>3592.2989655359538</v>
      </c>
      <c r="M815">
        <f>IF(ROW()&lt;3, 0, IF(Query1[[#This Row],[Month]]&lt;&gt;H814, Dashboard!$J$5,0))</f>
        <v>0</v>
      </c>
      <c r="N815" s="2">
        <f>IF(ROW()&lt;3, Query1[[#This Row],[Shares]], IF(Query1[[#This Row],[Month]]&lt;&gt;H814, N814+Query1[[#This Row],[Fix Top Up]]/Query1[[#This Row],[Adj Close]], N814))</f>
        <v>3399.5494609757475</v>
      </c>
      <c r="O815">
        <f>IF(AND(Query1[[#This Row],[avg]]&gt;0, Query1[[#This Row],[Month]]&lt;&gt;H814),
    IF(Query1[[#This Row],[Adj Close]]&gt;Query1[[#This Row],[avg]],
       Dashboard!$L$5-Dashboard!$E$6,
       Dashboard!$L$5+Dashboard!$E$6
    ), 0
)</f>
        <v>0</v>
      </c>
      <c r="P815" s="2">
        <f>IF(ROW()&lt;3, Query1[[#This Row],[Shares]], IF(Query1[[#This Row],[Month]]&lt;&gt;H814, P814+Query1[[#This Row],[Enhanced top up]]/Query1[[#This Row],[Adj Close]], P814))</f>
        <v>3395.955203807001</v>
      </c>
      <c r="Q815" s="2">
        <f>IFERROR(AVERAGE(
  IF(ROW()&gt;20, INDEX(G:G, ROW()-20), 0) :
  INDEX(G:G, ROW())
),0)</f>
        <v>257.2166210356213</v>
      </c>
    </row>
    <row r="816" spans="1:17" x14ac:dyDescent="0.4">
      <c r="A816" s="1">
        <v>45013</v>
      </c>
      <c r="B816">
        <v>275.79000854492188</v>
      </c>
      <c r="C816">
        <v>276.1400146484375</v>
      </c>
      <c r="D816">
        <v>272.04998779296875</v>
      </c>
      <c r="E816">
        <v>275.23001098632813</v>
      </c>
      <c r="F816">
        <v>21878600</v>
      </c>
      <c r="G816">
        <v>269.98080444335938</v>
      </c>
      <c r="H816" s="2">
        <f>MONTH(Query1[[#This Row],[Date]])</f>
        <v>3</v>
      </c>
      <c r="I816" s="3">
        <f>Query1[[#This Row],[Shares]]*Query1[[#This Row],[Adj Close]]</f>
        <v>969851.76451644453</v>
      </c>
      <c r="J816" s="3">
        <f>IF(ROW()&lt;3, Dashboard!$E$7, IF(Query1[[#This Row],[Month]]&lt;&gt;H815,J815*(1+Dashboard!$E$4)+Dashboard!$E$5,J815))</f>
        <v>821669.06529924041</v>
      </c>
      <c r="K816">
        <f>IF(ROW()&lt;3, 0,IF(Query1[[#This Row],[Month]]&lt;&gt;H815,IF((J816-I816&gt;0),J816-I816,0),0))</f>
        <v>0</v>
      </c>
      <c r="L816" s="2">
        <f t="shared" si="12"/>
        <v>3592.2989655359538</v>
      </c>
      <c r="M816">
        <f>IF(ROW()&lt;3, 0, IF(Query1[[#This Row],[Month]]&lt;&gt;H815, Dashboard!$J$5,0))</f>
        <v>0</v>
      </c>
      <c r="N816" s="2">
        <f>IF(ROW()&lt;3, Query1[[#This Row],[Shares]], IF(Query1[[#This Row],[Month]]&lt;&gt;H815, N815+Query1[[#This Row],[Fix Top Up]]/Query1[[#This Row],[Adj Close]], N815))</f>
        <v>3399.5494609757475</v>
      </c>
      <c r="O816">
        <f>IF(AND(Query1[[#This Row],[avg]]&gt;0, Query1[[#This Row],[Month]]&lt;&gt;H815),
    IF(Query1[[#This Row],[Adj Close]]&gt;Query1[[#This Row],[avg]],
       Dashboard!$L$5-Dashboard!$E$6,
       Dashboard!$L$5+Dashboard!$E$6
    ), 0
)</f>
        <v>0</v>
      </c>
      <c r="P816" s="2">
        <f>IF(ROW()&lt;3, Query1[[#This Row],[Shares]], IF(Query1[[#This Row],[Month]]&lt;&gt;H815, P815+Query1[[#This Row],[Enhanced top up]]/Query1[[#This Row],[Adj Close]], P815))</f>
        <v>3395.955203807001</v>
      </c>
      <c r="Q816" s="2">
        <f>IFERROR(AVERAGE(
  IF(ROW()&gt;20, INDEX(G:G, ROW()-20), 0) :
  INDEX(G:G, ROW())
),0)</f>
        <v>258.38766116187685</v>
      </c>
    </row>
    <row r="817" spans="1:17" x14ac:dyDescent="0.4">
      <c r="A817" s="1">
        <v>45014</v>
      </c>
      <c r="B817">
        <v>278.95999145507813</v>
      </c>
      <c r="C817">
        <v>281.1400146484375</v>
      </c>
      <c r="D817">
        <v>278.41000366210938</v>
      </c>
      <c r="E817">
        <v>280.510009765625</v>
      </c>
      <c r="F817">
        <v>25087000</v>
      </c>
      <c r="G817">
        <v>275.16009521484375</v>
      </c>
      <c r="H817" s="2">
        <f>MONTH(Query1[[#This Row],[Date]])</f>
        <v>3</v>
      </c>
      <c r="I817" s="3">
        <f>Query1[[#This Row],[Shares]]*Query1[[#This Row],[Adj Close]]</f>
        <v>988457.32539705781</v>
      </c>
      <c r="J817" s="3">
        <f>IF(ROW()&lt;3, Dashboard!$E$7, IF(Query1[[#This Row],[Month]]&lt;&gt;H816,J816*(1+Dashboard!$E$4)+Dashboard!$E$5,J816))</f>
        <v>821669.06529924041</v>
      </c>
      <c r="K817">
        <f>IF(ROW()&lt;3, 0,IF(Query1[[#This Row],[Month]]&lt;&gt;H816,IF((J817-I817&gt;0),J817-I817,0),0))</f>
        <v>0</v>
      </c>
      <c r="L817" s="2">
        <f t="shared" si="12"/>
        <v>3592.2989655359538</v>
      </c>
      <c r="M817">
        <f>IF(ROW()&lt;3, 0, IF(Query1[[#This Row],[Month]]&lt;&gt;H816, Dashboard!$J$5,0))</f>
        <v>0</v>
      </c>
      <c r="N817" s="2">
        <f>IF(ROW()&lt;3, Query1[[#This Row],[Shares]], IF(Query1[[#This Row],[Month]]&lt;&gt;H816, N816+Query1[[#This Row],[Fix Top Up]]/Query1[[#This Row],[Adj Close]], N816))</f>
        <v>3399.5494609757475</v>
      </c>
      <c r="O817">
        <f>IF(AND(Query1[[#This Row],[avg]]&gt;0, Query1[[#This Row],[Month]]&lt;&gt;H816),
    IF(Query1[[#This Row],[Adj Close]]&gt;Query1[[#This Row],[avg]],
       Dashboard!$L$5-Dashboard!$E$6,
       Dashboard!$L$5+Dashboard!$E$6
    ), 0
)</f>
        <v>0</v>
      </c>
      <c r="P817" s="2">
        <f>IF(ROW()&lt;3, Query1[[#This Row],[Shares]], IF(Query1[[#This Row],[Month]]&lt;&gt;H816, P816+Query1[[#This Row],[Enhanced top up]]/Query1[[#This Row],[Adj Close]], P816))</f>
        <v>3395.955203807001</v>
      </c>
      <c r="Q817" s="2">
        <f>IFERROR(AVERAGE(
  IF(ROW()&gt;20, INDEX(G:G, ROW()-20), 0) :
  INDEX(G:G, ROW())
),0)</f>
        <v>259.83990042550221</v>
      </c>
    </row>
    <row r="818" spans="1:17" x14ac:dyDescent="0.4">
      <c r="A818" s="1">
        <v>45015</v>
      </c>
      <c r="B818">
        <v>284.23001098632813</v>
      </c>
      <c r="C818">
        <v>284.45999145507813</v>
      </c>
      <c r="D818">
        <v>281.48001098632813</v>
      </c>
      <c r="E818">
        <v>284.04998779296875</v>
      </c>
      <c r="F818">
        <v>25053400</v>
      </c>
      <c r="G818">
        <v>278.63259887695313</v>
      </c>
      <c r="H818" s="2">
        <f>MONTH(Query1[[#This Row],[Date]])</f>
        <v>3</v>
      </c>
      <c r="I818" s="3">
        <f>Query1[[#This Row],[Shares]]*Query1[[#This Row],[Adj Close]]</f>
        <v>1000931.5967102731</v>
      </c>
      <c r="J818" s="3">
        <f>IF(ROW()&lt;3, Dashboard!$E$7, IF(Query1[[#This Row],[Month]]&lt;&gt;H817,J817*(1+Dashboard!$E$4)+Dashboard!$E$5,J817))</f>
        <v>821669.06529924041</v>
      </c>
      <c r="K818">
        <f>IF(ROW()&lt;3, 0,IF(Query1[[#This Row],[Month]]&lt;&gt;H817,IF((J818-I818&gt;0),J818-I818,0),0))</f>
        <v>0</v>
      </c>
      <c r="L818" s="2">
        <f t="shared" si="12"/>
        <v>3592.2989655359538</v>
      </c>
      <c r="M818">
        <f>IF(ROW()&lt;3, 0, IF(Query1[[#This Row],[Month]]&lt;&gt;H817, Dashboard!$J$5,0))</f>
        <v>0</v>
      </c>
      <c r="N818" s="2">
        <f>IF(ROW()&lt;3, Query1[[#This Row],[Shares]], IF(Query1[[#This Row],[Month]]&lt;&gt;H817, N817+Query1[[#This Row],[Fix Top Up]]/Query1[[#This Row],[Adj Close]], N817))</f>
        <v>3399.5494609757475</v>
      </c>
      <c r="O818">
        <f>IF(AND(Query1[[#This Row],[avg]]&gt;0, Query1[[#This Row],[Month]]&lt;&gt;H817),
    IF(Query1[[#This Row],[Adj Close]]&gt;Query1[[#This Row],[avg]],
       Dashboard!$L$5-Dashboard!$E$6,
       Dashboard!$L$5+Dashboard!$E$6
    ), 0
)</f>
        <v>0</v>
      </c>
      <c r="P818" s="2">
        <f>IF(ROW()&lt;3, Query1[[#This Row],[Shares]], IF(Query1[[#This Row],[Month]]&lt;&gt;H817, P817+Query1[[#This Row],[Enhanced top up]]/Query1[[#This Row],[Adj Close]], P817))</f>
        <v>3395.955203807001</v>
      </c>
      <c r="Q818" s="2">
        <f>IFERROR(AVERAGE(
  IF(ROW()&gt;20, INDEX(G:G, ROW()-20), 0) :
  INDEX(G:G, ROW())
),0)</f>
        <v>261.6046360560826</v>
      </c>
    </row>
    <row r="819" spans="1:17" x14ac:dyDescent="0.4">
      <c r="A819" s="1">
        <v>45016</v>
      </c>
      <c r="B819">
        <v>283.73001098632813</v>
      </c>
      <c r="C819">
        <v>289.26998901367188</v>
      </c>
      <c r="D819">
        <v>283</v>
      </c>
      <c r="E819">
        <v>288.29998779296875</v>
      </c>
      <c r="F819">
        <v>32766000</v>
      </c>
      <c r="G819">
        <v>282.801513671875</v>
      </c>
      <c r="H819" s="2">
        <f>MONTH(Query1[[#This Row],[Date]])</f>
        <v>3</v>
      </c>
      <c r="I819" s="3">
        <f>Query1[[#This Row],[Shares]]*Query1[[#This Row],[Adj Close]]</f>
        <v>1015907.5850154784</v>
      </c>
      <c r="J819" s="3">
        <f>IF(ROW()&lt;3, Dashboard!$E$7, IF(Query1[[#This Row],[Month]]&lt;&gt;H818,J818*(1+Dashboard!$E$4)+Dashboard!$E$5,J818))</f>
        <v>821669.06529924041</v>
      </c>
      <c r="K819">
        <f>IF(ROW()&lt;3, 0,IF(Query1[[#This Row],[Month]]&lt;&gt;H818,IF((J819-I819&gt;0),J819-I819,0),0))</f>
        <v>0</v>
      </c>
      <c r="L819" s="2">
        <f t="shared" si="12"/>
        <v>3592.2989655359538</v>
      </c>
      <c r="M819">
        <f>IF(ROW()&lt;3, 0, IF(Query1[[#This Row],[Month]]&lt;&gt;H818, Dashboard!$J$5,0))</f>
        <v>0</v>
      </c>
      <c r="N819" s="2">
        <f>IF(ROW()&lt;3, Query1[[#This Row],[Shares]], IF(Query1[[#This Row],[Month]]&lt;&gt;H818, N818+Query1[[#This Row],[Fix Top Up]]/Query1[[#This Row],[Adj Close]], N818))</f>
        <v>3399.5494609757475</v>
      </c>
      <c r="O819">
        <f>IF(AND(Query1[[#This Row],[avg]]&gt;0, Query1[[#This Row],[Month]]&lt;&gt;H818),
    IF(Query1[[#This Row],[Adj Close]]&gt;Query1[[#This Row],[avg]],
       Dashboard!$L$5-Dashboard!$E$6,
       Dashboard!$L$5+Dashboard!$E$6
    ), 0
)</f>
        <v>0</v>
      </c>
      <c r="P819" s="2">
        <f>IF(ROW()&lt;3, Query1[[#This Row],[Shares]], IF(Query1[[#This Row],[Month]]&lt;&gt;H818, P818+Query1[[#This Row],[Enhanced top up]]/Query1[[#This Row],[Adj Close]], P818))</f>
        <v>3395.955203807001</v>
      </c>
      <c r="Q819" s="2">
        <f>IFERROR(AVERAGE(
  IF(ROW()&gt;20, INDEX(G:G, ROW()-20), 0) :
  INDEX(G:G, ROW())
),0)</f>
        <v>263.34181068057103</v>
      </c>
    </row>
    <row r="820" spans="1:17" x14ac:dyDescent="0.4">
      <c r="A820" s="1">
        <v>45019</v>
      </c>
      <c r="B820">
        <v>286.51998901367188</v>
      </c>
      <c r="C820">
        <v>288.26998901367188</v>
      </c>
      <c r="D820">
        <v>283.95001220703125</v>
      </c>
      <c r="E820">
        <v>287.23001098632813</v>
      </c>
      <c r="F820">
        <v>24883300</v>
      </c>
      <c r="G820">
        <v>281.75198364257813</v>
      </c>
      <c r="H820" s="2">
        <f>MONTH(Query1[[#This Row],[Date]])</f>
        <v>4</v>
      </c>
      <c r="I820" s="3">
        <f>Query1[[#This Row],[Shares]]*Query1[[#This Row],[Adj Close]]</f>
        <v>1012137.3593769363</v>
      </c>
      <c r="J820" s="3">
        <f>IF(ROW()&lt;3, Dashboard!$E$7, IF(Query1[[#This Row],[Month]]&lt;&gt;H819,J819*(1+Dashboard!$E$4)+Dashboard!$E$5,J819))</f>
        <v>831885.75595223287</v>
      </c>
      <c r="K820">
        <f>IF(ROW()&lt;3, 0,IF(Query1[[#This Row],[Month]]&lt;&gt;H819,IF((J820-I820&gt;0),J820-I820,0),0))</f>
        <v>0</v>
      </c>
      <c r="L820" s="2">
        <f t="shared" si="12"/>
        <v>3592.2989655359538</v>
      </c>
      <c r="M820">
        <f>IF(ROW()&lt;3, 0, IF(Query1[[#This Row],[Month]]&lt;&gt;H819, Dashboard!$J$5,0))</f>
        <v>773.47399999999971</v>
      </c>
      <c r="N820" s="2">
        <f>IF(ROW()&lt;3, Query1[[#This Row],[Shares]], IF(Query1[[#This Row],[Month]]&lt;&gt;H819, N819+Query1[[#This Row],[Fix Top Up]]/Query1[[#This Row],[Adj Close]], N819))</f>
        <v>3402.2946909826501</v>
      </c>
      <c r="O820">
        <f>IF(AND(Query1[[#This Row],[avg]]&gt;0, Query1[[#This Row],[Month]]&lt;&gt;H819),
    IF(Query1[[#This Row],[Adj Close]]&gt;Query1[[#This Row],[avg]],
       Dashboard!$L$5-Dashboard!$E$6,
       Dashboard!$L$5+Dashboard!$E$6
    ), 0
)</f>
        <v>390.14066666666668</v>
      </c>
      <c r="P820" s="2">
        <f>IF(ROW()&lt;3, Query1[[#This Row],[Shares]], IF(Query1[[#This Row],[Month]]&lt;&gt;H819, P819+Query1[[#This Row],[Enhanced top up]]/Query1[[#This Row],[Adj Close]], P819))</f>
        <v>3397.3398991749727</v>
      </c>
      <c r="Q820" s="2">
        <f>IFERROR(AVERAGE(
  IF(ROW()&gt;20, INDEX(G:G, ROW()-20), 0) :
  INDEX(G:G, ROW())
),0)</f>
        <v>264.8337569463821</v>
      </c>
    </row>
    <row r="821" spans="1:17" x14ac:dyDescent="0.4">
      <c r="A821" s="1">
        <v>45020</v>
      </c>
      <c r="B821">
        <v>287.23001098632813</v>
      </c>
      <c r="C821">
        <v>290.45001220703125</v>
      </c>
      <c r="D821">
        <v>285.67001342773438</v>
      </c>
      <c r="E821">
        <v>287.17999267578125</v>
      </c>
      <c r="F821">
        <v>25824300</v>
      </c>
      <c r="G821">
        <v>281.70291137695313</v>
      </c>
      <c r="H821" s="2">
        <f>MONTH(Query1[[#This Row],[Date]])</f>
        <v>4</v>
      </c>
      <c r="I821" s="3">
        <f>Query1[[#This Row],[Shares]]*Query1[[#This Row],[Adj Close]]</f>
        <v>1011961.0771278952</v>
      </c>
      <c r="J821" s="3">
        <f>IF(ROW()&lt;3, Dashboard!$E$7, IF(Query1[[#This Row],[Month]]&lt;&gt;H820,J820*(1+Dashboard!$E$4)+Dashboard!$E$5,J820))</f>
        <v>831885.75595223287</v>
      </c>
      <c r="K821">
        <f>IF(ROW()&lt;3, 0,IF(Query1[[#This Row],[Month]]&lt;&gt;H820,IF((J821-I821&gt;0),J821-I821,0),0))</f>
        <v>0</v>
      </c>
      <c r="L821" s="2">
        <f t="shared" si="12"/>
        <v>3592.2989655359538</v>
      </c>
      <c r="M821">
        <f>IF(ROW()&lt;3, 0, IF(Query1[[#This Row],[Month]]&lt;&gt;H820, Dashboard!$J$5,0))</f>
        <v>0</v>
      </c>
      <c r="N821" s="2">
        <f>IF(ROW()&lt;3, Query1[[#This Row],[Shares]], IF(Query1[[#This Row],[Month]]&lt;&gt;H820, N820+Query1[[#This Row],[Fix Top Up]]/Query1[[#This Row],[Adj Close]], N820))</f>
        <v>3402.2946909826501</v>
      </c>
      <c r="O821">
        <f>IF(AND(Query1[[#This Row],[avg]]&gt;0, Query1[[#This Row],[Month]]&lt;&gt;H820),
    IF(Query1[[#This Row],[Adj Close]]&gt;Query1[[#This Row],[avg]],
       Dashboard!$L$5-Dashboard!$E$6,
       Dashboard!$L$5+Dashboard!$E$6
    ), 0
)</f>
        <v>0</v>
      </c>
      <c r="P821" s="2">
        <f>IF(ROW()&lt;3, Query1[[#This Row],[Shares]], IF(Query1[[#This Row],[Month]]&lt;&gt;H820, P820+Query1[[#This Row],[Enhanced top up]]/Query1[[#This Row],[Adj Close]], P820))</f>
        <v>3397.3398991749727</v>
      </c>
      <c r="Q821" s="2">
        <f>IFERROR(AVERAGE(
  IF(ROW()&gt;20, INDEX(G:G, ROW()-20), 0) :
  INDEX(G:G, ROW())
),0)</f>
        <v>266.24956330798921</v>
      </c>
    </row>
    <row r="822" spans="1:17" x14ac:dyDescent="0.4">
      <c r="A822" s="1">
        <v>45021</v>
      </c>
      <c r="B822">
        <v>285.85000610351563</v>
      </c>
      <c r="C822">
        <v>287.14999389648438</v>
      </c>
      <c r="D822">
        <v>282.92001342773438</v>
      </c>
      <c r="E822">
        <v>284.33999633789063</v>
      </c>
      <c r="F822">
        <v>22064800</v>
      </c>
      <c r="G822">
        <v>278.91705322265625</v>
      </c>
      <c r="H822" s="2">
        <f>MONTH(Query1[[#This Row],[Date]])</f>
        <v>4</v>
      </c>
      <c r="I822" s="3">
        <f>Query1[[#This Row],[Shares]]*Query1[[#This Row],[Adj Close]]</f>
        <v>1001953.4417620846</v>
      </c>
      <c r="J822" s="3">
        <f>IF(ROW()&lt;3, Dashboard!$E$7, IF(Query1[[#This Row],[Month]]&lt;&gt;H821,J821*(1+Dashboard!$E$4)+Dashboard!$E$5,J821))</f>
        <v>831885.75595223287</v>
      </c>
      <c r="K822">
        <f>IF(ROW()&lt;3, 0,IF(Query1[[#This Row],[Month]]&lt;&gt;H821,IF((J822-I822&gt;0),J822-I822,0),0))</f>
        <v>0</v>
      </c>
      <c r="L822" s="2">
        <f t="shared" si="12"/>
        <v>3592.2989655359538</v>
      </c>
      <c r="M822">
        <f>IF(ROW()&lt;3, 0, IF(Query1[[#This Row],[Month]]&lt;&gt;H821, Dashboard!$J$5,0))</f>
        <v>0</v>
      </c>
      <c r="N822" s="2">
        <f>IF(ROW()&lt;3, Query1[[#This Row],[Shares]], IF(Query1[[#This Row],[Month]]&lt;&gt;H821, N821+Query1[[#This Row],[Fix Top Up]]/Query1[[#This Row],[Adj Close]], N821))</f>
        <v>3402.2946909826501</v>
      </c>
      <c r="O822">
        <f>IF(AND(Query1[[#This Row],[avg]]&gt;0, Query1[[#This Row],[Month]]&lt;&gt;H821),
    IF(Query1[[#This Row],[Adj Close]]&gt;Query1[[#This Row],[avg]],
       Dashboard!$L$5-Dashboard!$E$6,
       Dashboard!$L$5+Dashboard!$E$6
    ), 0
)</f>
        <v>0</v>
      </c>
      <c r="P822" s="2">
        <f>IF(ROW()&lt;3, Query1[[#This Row],[Shares]], IF(Query1[[#This Row],[Month]]&lt;&gt;H821, P821+Query1[[#This Row],[Enhanced top up]]/Query1[[#This Row],[Adj Close]], P821))</f>
        <v>3397.3398991749727</v>
      </c>
      <c r="Q822" s="2">
        <f>IFERROR(AVERAGE(
  IF(ROW()&gt;20, INDEX(G:G, ROW()-20), 0) :
  INDEX(G:G, ROW())
),0)</f>
        <v>267.6597631545294</v>
      </c>
    </row>
    <row r="823" spans="1:17" x14ac:dyDescent="0.4">
      <c r="A823" s="1">
        <v>45022</v>
      </c>
      <c r="B823">
        <v>283.20999145507813</v>
      </c>
      <c r="C823">
        <v>292.07998657226563</v>
      </c>
      <c r="D823">
        <v>282.02999877929688</v>
      </c>
      <c r="E823">
        <v>291.60000610351563</v>
      </c>
      <c r="F823">
        <v>29770300</v>
      </c>
      <c r="G823">
        <v>286.03863525390625</v>
      </c>
      <c r="H823" s="2">
        <f>MONTH(Query1[[#This Row],[Date]])</f>
        <v>4</v>
      </c>
      <c r="I823" s="3">
        <f>Query1[[#This Row],[Shares]]*Query1[[#This Row],[Adj Close]]</f>
        <v>1027536.2935259234</v>
      </c>
      <c r="J823" s="3">
        <f>IF(ROW()&lt;3, Dashboard!$E$7, IF(Query1[[#This Row],[Month]]&lt;&gt;H822,J822*(1+Dashboard!$E$4)+Dashboard!$E$5,J822))</f>
        <v>831885.75595223287</v>
      </c>
      <c r="K823">
        <f>IF(ROW()&lt;3, 0,IF(Query1[[#This Row],[Month]]&lt;&gt;H822,IF((J823-I823&gt;0),J823-I823,0),0))</f>
        <v>0</v>
      </c>
      <c r="L823" s="2">
        <f t="shared" si="12"/>
        <v>3592.2989655359538</v>
      </c>
      <c r="M823">
        <f>IF(ROW()&lt;3, 0, IF(Query1[[#This Row],[Month]]&lt;&gt;H822, Dashboard!$J$5,0))</f>
        <v>0</v>
      </c>
      <c r="N823" s="2">
        <f>IF(ROW()&lt;3, Query1[[#This Row],[Shares]], IF(Query1[[#This Row],[Month]]&lt;&gt;H822, N822+Query1[[#This Row],[Fix Top Up]]/Query1[[#This Row],[Adj Close]], N822))</f>
        <v>3402.2946909826501</v>
      </c>
      <c r="O823">
        <f>IF(AND(Query1[[#This Row],[avg]]&gt;0, Query1[[#This Row],[Month]]&lt;&gt;H822),
    IF(Query1[[#This Row],[Adj Close]]&gt;Query1[[#This Row],[avg]],
       Dashboard!$L$5-Dashboard!$E$6,
       Dashboard!$L$5+Dashboard!$E$6
    ), 0
)</f>
        <v>0</v>
      </c>
      <c r="P823" s="2">
        <f>IF(ROW()&lt;3, Query1[[#This Row],[Shares]], IF(Query1[[#This Row],[Month]]&lt;&gt;H822, P822+Query1[[#This Row],[Enhanced top up]]/Query1[[#This Row],[Adj Close]], P822))</f>
        <v>3397.3398991749727</v>
      </c>
      <c r="Q823" s="2">
        <f>IFERROR(AVERAGE(
  IF(ROW()&gt;20, INDEX(G:G, ROW()-20), 0) :
  INDEX(G:G, ROW())
),0)</f>
        <v>269.43010530017671</v>
      </c>
    </row>
    <row r="824" spans="1:17" x14ac:dyDescent="0.4">
      <c r="A824" s="1">
        <v>45026</v>
      </c>
      <c r="B824">
        <v>289.20999145507813</v>
      </c>
      <c r="C824">
        <v>289.60000610351563</v>
      </c>
      <c r="D824">
        <v>284.70999145507813</v>
      </c>
      <c r="E824">
        <v>289.3900146484375</v>
      </c>
      <c r="F824">
        <v>23103000</v>
      </c>
      <c r="G824">
        <v>283.87078857421875</v>
      </c>
      <c r="H824" s="2">
        <f>MONTH(Query1[[#This Row],[Date]])</f>
        <v>4</v>
      </c>
      <c r="I824" s="3">
        <f>Query1[[#This Row],[Shares]]*Query1[[#This Row],[Adj Close]]</f>
        <v>1019748.7401410415</v>
      </c>
      <c r="J824" s="3">
        <f>IF(ROW()&lt;3, Dashboard!$E$7, IF(Query1[[#This Row],[Month]]&lt;&gt;H823,J823*(1+Dashboard!$E$4)+Dashboard!$E$5,J823))</f>
        <v>831885.75595223287</v>
      </c>
      <c r="K824">
        <f>IF(ROW()&lt;3, 0,IF(Query1[[#This Row],[Month]]&lt;&gt;H823,IF((J824-I824&gt;0),J824-I824,0),0))</f>
        <v>0</v>
      </c>
      <c r="L824" s="2">
        <f t="shared" si="12"/>
        <v>3592.2989655359538</v>
      </c>
      <c r="M824">
        <f>IF(ROW()&lt;3, 0, IF(Query1[[#This Row],[Month]]&lt;&gt;H823, Dashboard!$J$5,0))</f>
        <v>0</v>
      </c>
      <c r="N824" s="2">
        <f>IF(ROW()&lt;3, Query1[[#This Row],[Shares]], IF(Query1[[#This Row],[Month]]&lt;&gt;H823, N823+Query1[[#This Row],[Fix Top Up]]/Query1[[#This Row],[Adj Close]], N823))</f>
        <v>3402.2946909826501</v>
      </c>
      <c r="O824">
        <f>IF(AND(Query1[[#This Row],[avg]]&gt;0, Query1[[#This Row],[Month]]&lt;&gt;H823),
    IF(Query1[[#This Row],[Adj Close]]&gt;Query1[[#This Row],[avg]],
       Dashboard!$L$5-Dashboard!$E$6,
       Dashboard!$L$5+Dashboard!$E$6
    ), 0
)</f>
        <v>0</v>
      </c>
      <c r="P824" s="2">
        <f>IF(ROW()&lt;3, Query1[[#This Row],[Shares]], IF(Query1[[#This Row],[Month]]&lt;&gt;H823, P823+Query1[[#This Row],[Enhanced top up]]/Query1[[#This Row],[Adj Close]], P823))</f>
        <v>3397.3398991749727</v>
      </c>
      <c r="Q824" s="2">
        <f>IFERROR(AVERAGE(
  IF(ROW()&gt;20, INDEX(G:G, ROW()-20), 0) :
  INDEX(G:G, ROW())
),0)</f>
        <v>271.16167704264325</v>
      </c>
    </row>
    <row r="825" spans="1:17" x14ac:dyDescent="0.4">
      <c r="A825" s="1">
        <v>45027</v>
      </c>
      <c r="B825">
        <v>285.75</v>
      </c>
      <c r="C825">
        <v>285.98001098632813</v>
      </c>
      <c r="D825">
        <v>281.6400146484375</v>
      </c>
      <c r="E825">
        <v>282.82998657226563</v>
      </c>
      <c r="F825">
        <v>27276600</v>
      </c>
      <c r="G825">
        <v>277.4359130859375</v>
      </c>
      <c r="H825" s="2">
        <f>MONTH(Query1[[#This Row],[Date]])</f>
        <v>4</v>
      </c>
      <c r="I825" s="3">
        <f>Query1[[#This Row],[Shares]]*Query1[[#This Row],[Adj Close]]</f>
        <v>996632.74358113611</v>
      </c>
      <c r="J825" s="3">
        <f>IF(ROW()&lt;3, Dashboard!$E$7, IF(Query1[[#This Row],[Month]]&lt;&gt;H824,J824*(1+Dashboard!$E$4)+Dashboard!$E$5,J824))</f>
        <v>831885.75595223287</v>
      </c>
      <c r="K825">
        <f>IF(ROW()&lt;3, 0,IF(Query1[[#This Row],[Month]]&lt;&gt;H824,IF((J825-I825&gt;0),J825-I825,0),0))</f>
        <v>0</v>
      </c>
      <c r="L825" s="2">
        <f t="shared" si="12"/>
        <v>3592.2989655359538</v>
      </c>
      <c r="M825">
        <f>IF(ROW()&lt;3, 0, IF(Query1[[#This Row],[Month]]&lt;&gt;H824, Dashboard!$J$5,0))</f>
        <v>0</v>
      </c>
      <c r="N825" s="2">
        <f>IF(ROW()&lt;3, Query1[[#This Row],[Shares]], IF(Query1[[#This Row],[Month]]&lt;&gt;H824, N824+Query1[[#This Row],[Fix Top Up]]/Query1[[#This Row],[Adj Close]], N824))</f>
        <v>3402.2946909826501</v>
      </c>
      <c r="O825">
        <f>IF(AND(Query1[[#This Row],[avg]]&gt;0, Query1[[#This Row],[Month]]&lt;&gt;H824),
    IF(Query1[[#This Row],[Adj Close]]&gt;Query1[[#This Row],[avg]],
       Dashboard!$L$5-Dashboard!$E$6,
       Dashboard!$L$5+Dashboard!$E$6
    ), 0
)</f>
        <v>0</v>
      </c>
      <c r="P825" s="2">
        <f>IF(ROW()&lt;3, Query1[[#This Row],[Shares]], IF(Query1[[#This Row],[Month]]&lt;&gt;H824, P824+Query1[[#This Row],[Enhanced top up]]/Query1[[#This Row],[Adj Close]], P824))</f>
        <v>3397.3398991749727</v>
      </c>
      <c r="Q825" s="2">
        <f>IFERROR(AVERAGE(
  IF(ROW()&gt;20, INDEX(G:G, ROW()-20), 0) :
  INDEX(G:G, ROW())
),0)</f>
        <v>272.76105898902529</v>
      </c>
    </row>
    <row r="826" spans="1:17" x14ac:dyDescent="0.4">
      <c r="A826" s="1">
        <v>45028</v>
      </c>
      <c r="B826">
        <v>284.79000854492188</v>
      </c>
      <c r="C826">
        <v>287.010009765625</v>
      </c>
      <c r="D826">
        <v>281.95999145507813</v>
      </c>
      <c r="E826">
        <v>283.489990234375</v>
      </c>
      <c r="F826">
        <v>27403400</v>
      </c>
      <c r="G826">
        <v>278.08328247070313</v>
      </c>
      <c r="H826" s="2">
        <f>MONTH(Query1[[#This Row],[Date]])</f>
        <v>4</v>
      </c>
      <c r="I826" s="3">
        <f>Query1[[#This Row],[Shares]]*Query1[[#This Row],[Adj Close]]</f>
        <v>998958.28795234929</v>
      </c>
      <c r="J826" s="3">
        <f>IF(ROW()&lt;3, Dashboard!$E$7, IF(Query1[[#This Row],[Month]]&lt;&gt;H825,J825*(1+Dashboard!$E$4)+Dashboard!$E$5,J825))</f>
        <v>831885.75595223287</v>
      </c>
      <c r="K826">
        <f>IF(ROW()&lt;3, 0,IF(Query1[[#This Row],[Month]]&lt;&gt;H825,IF((J826-I826&gt;0),J826-I826,0),0))</f>
        <v>0</v>
      </c>
      <c r="L826" s="2">
        <f t="shared" si="12"/>
        <v>3592.2989655359538</v>
      </c>
      <c r="M826">
        <f>IF(ROW()&lt;3, 0, IF(Query1[[#This Row],[Month]]&lt;&gt;H825, Dashboard!$J$5,0))</f>
        <v>0</v>
      </c>
      <c r="N826" s="2">
        <f>IF(ROW()&lt;3, Query1[[#This Row],[Shares]], IF(Query1[[#This Row],[Month]]&lt;&gt;H825, N825+Query1[[#This Row],[Fix Top Up]]/Query1[[#This Row],[Adj Close]], N825))</f>
        <v>3402.2946909826501</v>
      </c>
      <c r="O826">
        <f>IF(AND(Query1[[#This Row],[avg]]&gt;0, Query1[[#This Row],[Month]]&lt;&gt;H825),
    IF(Query1[[#This Row],[Adj Close]]&gt;Query1[[#This Row],[avg]],
       Dashboard!$L$5-Dashboard!$E$6,
       Dashboard!$L$5+Dashboard!$E$6
    ), 0
)</f>
        <v>0</v>
      </c>
      <c r="P826" s="2">
        <f>IF(ROW()&lt;3, Query1[[#This Row],[Shares]], IF(Query1[[#This Row],[Month]]&lt;&gt;H825, P825+Query1[[#This Row],[Enhanced top up]]/Query1[[#This Row],[Adj Close]], P825))</f>
        <v>3397.3398991749727</v>
      </c>
      <c r="Q826" s="2">
        <f>IFERROR(AVERAGE(
  IF(ROW()&gt;20, INDEX(G:G, ROW()-20), 0) :
  INDEX(G:G, ROW())
),0)</f>
        <v>274.14229838053387</v>
      </c>
    </row>
    <row r="827" spans="1:17" x14ac:dyDescent="0.4">
      <c r="A827" s="1">
        <v>45029</v>
      </c>
      <c r="B827">
        <v>283.58999633789063</v>
      </c>
      <c r="C827">
        <v>289.89999389648438</v>
      </c>
      <c r="D827">
        <v>283.17001342773438</v>
      </c>
      <c r="E827">
        <v>289.83999633789063</v>
      </c>
      <c r="F827">
        <v>24222700</v>
      </c>
      <c r="G827">
        <v>284.3121337890625</v>
      </c>
      <c r="H827" s="2">
        <f>MONTH(Query1[[#This Row],[Date]])</f>
        <v>4</v>
      </c>
      <c r="I827" s="3">
        <f>Query1[[#This Row],[Shares]]*Query1[[#This Row],[Adj Close]]</f>
        <v>1021334.1840997689</v>
      </c>
      <c r="J827" s="3">
        <f>IF(ROW()&lt;3, Dashboard!$E$7, IF(Query1[[#This Row],[Month]]&lt;&gt;H826,J826*(1+Dashboard!$E$4)+Dashboard!$E$5,J826))</f>
        <v>831885.75595223287</v>
      </c>
      <c r="K827">
        <f>IF(ROW()&lt;3, 0,IF(Query1[[#This Row],[Month]]&lt;&gt;H826,IF((J827-I827&gt;0),J827-I827,0),0))</f>
        <v>0</v>
      </c>
      <c r="L827" s="2">
        <f t="shared" si="12"/>
        <v>3592.2989655359538</v>
      </c>
      <c r="M827">
        <f>IF(ROW()&lt;3, 0, IF(Query1[[#This Row],[Month]]&lt;&gt;H826, Dashboard!$J$5,0))</f>
        <v>0</v>
      </c>
      <c r="N827" s="2">
        <f>IF(ROW()&lt;3, Query1[[#This Row],[Shares]], IF(Query1[[#This Row],[Month]]&lt;&gt;H826, N826+Query1[[#This Row],[Fix Top Up]]/Query1[[#This Row],[Adj Close]], N826))</f>
        <v>3402.2946909826501</v>
      </c>
      <c r="O827">
        <f>IF(AND(Query1[[#This Row],[avg]]&gt;0, Query1[[#This Row],[Month]]&lt;&gt;H826),
    IF(Query1[[#This Row],[Adj Close]]&gt;Query1[[#This Row],[avg]],
       Dashboard!$L$5-Dashboard!$E$6,
       Dashboard!$L$5+Dashboard!$E$6
    ), 0
)</f>
        <v>0</v>
      </c>
      <c r="P827" s="2">
        <f>IF(ROW()&lt;3, Query1[[#This Row],[Shares]], IF(Query1[[#This Row],[Month]]&lt;&gt;H826, P826+Query1[[#This Row],[Enhanced top up]]/Query1[[#This Row],[Adj Close]], P826))</f>
        <v>3397.3398991749727</v>
      </c>
      <c r="Q827" s="2">
        <f>IFERROR(AVERAGE(
  IF(ROW()&gt;20, INDEX(G:G, ROW()-20), 0) :
  INDEX(G:G, ROW())
),0)</f>
        <v>275.49924723307294</v>
      </c>
    </row>
    <row r="828" spans="1:17" x14ac:dyDescent="0.4">
      <c r="A828" s="1">
        <v>45030</v>
      </c>
      <c r="B828">
        <v>287</v>
      </c>
      <c r="C828">
        <v>288.48001098632813</v>
      </c>
      <c r="D828">
        <v>283.69000244140625</v>
      </c>
      <c r="E828">
        <v>286.1400146484375</v>
      </c>
      <c r="F828">
        <v>20987900</v>
      </c>
      <c r="G828">
        <v>280.68280029296875</v>
      </c>
      <c r="H828" s="2">
        <f>MONTH(Query1[[#This Row],[Date]])</f>
        <v>4</v>
      </c>
      <c r="I828" s="3">
        <f>Query1[[#This Row],[Shares]]*Query1[[#This Row],[Adj Close]]</f>
        <v>1008296.5331361664</v>
      </c>
      <c r="J828" s="3">
        <f>IF(ROW()&lt;3, Dashboard!$E$7, IF(Query1[[#This Row],[Month]]&lt;&gt;H827,J827*(1+Dashboard!$E$4)+Dashboard!$E$5,J827))</f>
        <v>831885.75595223287</v>
      </c>
      <c r="K828">
        <f>IF(ROW()&lt;3, 0,IF(Query1[[#This Row],[Month]]&lt;&gt;H827,IF((J828-I828&gt;0),J828-I828,0),0))</f>
        <v>0</v>
      </c>
      <c r="L828" s="2">
        <f t="shared" si="12"/>
        <v>3592.2989655359538</v>
      </c>
      <c r="M828">
        <f>IF(ROW()&lt;3, 0, IF(Query1[[#This Row],[Month]]&lt;&gt;H827, Dashboard!$J$5,0))</f>
        <v>0</v>
      </c>
      <c r="N828" s="2">
        <f>IF(ROW()&lt;3, Query1[[#This Row],[Shares]], IF(Query1[[#This Row],[Month]]&lt;&gt;H827, N827+Query1[[#This Row],[Fix Top Up]]/Query1[[#This Row],[Adj Close]], N827))</f>
        <v>3402.2946909826501</v>
      </c>
      <c r="O828">
        <f>IF(AND(Query1[[#This Row],[avg]]&gt;0, Query1[[#This Row],[Month]]&lt;&gt;H827),
    IF(Query1[[#This Row],[Adj Close]]&gt;Query1[[#This Row],[avg]],
       Dashboard!$L$5-Dashboard!$E$6,
       Dashboard!$L$5+Dashboard!$E$6
    ), 0
)</f>
        <v>0</v>
      </c>
      <c r="P828" s="2">
        <f>IF(ROW()&lt;3, Query1[[#This Row],[Shares]], IF(Query1[[#This Row],[Month]]&lt;&gt;H827, P827+Query1[[#This Row],[Enhanced top up]]/Query1[[#This Row],[Adj Close]], P827))</f>
        <v>3397.3398991749727</v>
      </c>
      <c r="Q828" s="2">
        <f>IFERROR(AVERAGE(
  IF(ROW()&gt;20, INDEX(G:G, ROW()-20), 0) :
  INDEX(G:G, ROW())
),0)</f>
        <v>276.46616327194943</v>
      </c>
    </row>
    <row r="829" spans="1:17" x14ac:dyDescent="0.4">
      <c r="A829" s="1">
        <v>45033</v>
      </c>
      <c r="B829">
        <v>289.92999267578125</v>
      </c>
      <c r="C829">
        <v>291.60000610351563</v>
      </c>
      <c r="D829">
        <v>286.16000366210938</v>
      </c>
      <c r="E829">
        <v>288.79998779296875</v>
      </c>
      <c r="F829">
        <v>23836200</v>
      </c>
      <c r="G829">
        <v>283.2919921875</v>
      </c>
      <c r="H829" s="2">
        <f>MONTH(Query1[[#This Row],[Date]])</f>
        <v>4</v>
      </c>
      <c r="I829" s="3">
        <f>Query1[[#This Row],[Shares]]*Query1[[#This Row],[Adj Close]]</f>
        <v>1017669.5304797757</v>
      </c>
      <c r="J829" s="3">
        <f>IF(ROW()&lt;3, Dashboard!$E$7, IF(Query1[[#This Row],[Month]]&lt;&gt;H828,J828*(1+Dashboard!$E$4)+Dashboard!$E$5,J828))</f>
        <v>831885.75595223287</v>
      </c>
      <c r="K829">
        <f>IF(ROW()&lt;3, 0,IF(Query1[[#This Row],[Month]]&lt;&gt;H828,IF((J829-I829&gt;0),J829-I829,0),0))</f>
        <v>0</v>
      </c>
      <c r="L829" s="2">
        <f t="shared" si="12"/>
        <v>3592.2989655359538</v>
      </c>
      <c r="M829">
        <f>IF(ROW()&lt;3, 0, IF(Query1[[#This Row],[Month]]&lt;&gt;H828, Dashboard!$J$5,0))</f>
        <v>0</v>
      </c>
      <c r="N829" s="2">
        <f>IF(ROW()&lt;3, Query1[[#This Row],[Shares]], IF(Query1[[#This Row],[Month]]&lt;&gt;H828, N828+Query1[[#This Row],[Fix Top Up]]/Query1[[#This Row],[Adj Close]], N828))</f>
        <v>3402.2946909826501</v>
      </c>
      <c r="O829">
        <f>IF(AND(Query1[[#This Row],[avg]]&gt;0, Query1[[#This Row],[Month]]&lt;&gt;H828),
    IF(Query1[[#This Row],[Adj Close]]&gt;Query1[[#This Row],[avg]],
       Dashboard!$L$5-Dashboard!$E$6,
       Dashboard!$L$5+Dashboard!$E$6
    ), 0
)</f>
        <v>0</v>
      </c>
      <c r="P829" s="2">
        <f>IF(ROW()&lt;3, Query1[[#This Row],[Shares]], IF(Query1[[#This Row],[Month]]&lt;&gt;H828, P828+Query1[[#This Row],[Enhanced top up]]/Query1[[#This Row],[Adj Close]], P828))</f>
        <v>3397.3398991749727</v>
      </c>
      <c r="Q829" s="2">
        <f>IFERROR(AVERAGE(
  IF(ROW()&gt;20, INDEX(G:G, ROW()-20), 0) :
  INDEX(G:G, ROW())
),0)</f>
        <v>277.05471947079616</v>
      </c>
    </row>
    <row r="830" spans="1:17" x14ac:dyDescent="0.4">
      <c r="A830" s="1">
        <v>45034</v>
      </c>
      <c r="B830">
        <v>291.57000732421875</v>
      </c>
      <c r="C830">
        <v>291.760009765625</v>
      </c>
      <c r="D830">
        <v>287.010009765625</v>
      </c>
      <c r="E830">
        <v>288.3699951171875</v>
      </c>
      <c r="F830">
        <v>20161800</v>
      </c>
      <c r="G830">
        <v>282.8702392578125</v>
      </c>
      <c r="H830" s="2">
        <f>MONTH(Query1[[#This Row],[Date]])</f>
        <v>4</v>
      </c>
      <c r="I830" s="3">
        <f>Query1[[#This Row],[Shares]]*Query1[[#This Row],[Adj Close]]</f>
        <v>1016154.4678667476</v>
      </c>
      <c r="J830" s="3">
        <f>IF(ROW()&lt;3, Dashboard!$E$7, IF(Query1[[#This Row],[Month]]&lt;&gt;H829,J829*(1+Dashboard!$E$4)+Dashboard!$E$5,J829))</f>
        <v>831885.75595223287</v>
      </c>
      <c r="K830">
        <f>IF(ROW()&lt;3, 0,IF(Query1[[#This Row],[Month]]&lt;&gt;H829,IF((J830-I830&gt;0),J830-I830,0),0))</f>
        <v>0</v>
      </c>
      <c r="L830" s="2">
        <f t="shared" si="12"/>
        <v>3592.2989655359538</v>
      </c>
      <c r="M830">
        <f>IF(ROW()&lt;3, 0, IF(Query1[[#This Row],[Month]]&lt;&gt;H829, Dashboard!$J$5,0))</f>
        <v>0</v>
      </c>
      <c r="N830" s="2">
        <f>IF(ROW()&lt;3, Query1[[#This Row],[Shares]], IF(Query1[[#This Row],[Month]]&lt;&gt;H829, N829+Query1[[#This Row],[Fix Top Up]]/Query1[[#This Row],[Adj Close]], N829))</f>
        <v>3402.2946909826501</v>
      </c>
      <c r="O830">
        <f>IF(AND(Query1[[#This Row],[avg]]&gt;0, Query1[[#This Row],[Month]]&lt;&gt;H829),
    IF(Query1[[#This Row],[Adj Close]]&gt;Query1[[#This Row],[avg]],
       Dashboard!$L$5-Dashboard!$E$6,
       Dashboard!$L$5+Dashboard!$E$6
    ), 0
)</f>
        <v>0</v>
      </c>
      <c r="P830" s="2">
        <f>IF(ROW()&lt;3, Query1[[#This Row],[Shares]], IF(Query1[[#This Row],[Month]]&lt;&gt;H829, P829+Query1[[#This Row],[Enhanced top up]]/Query1[[#This Row],[Adj Close]], P829))</f>
        <v>3397.3398991749727</v>
      </c>
      <c r="Q830" s="2">
        <f>IFERROR(AVERAGE(
  IF(ROW()&gt;20, INDEX(G:G, ROW()-20), 0) :
  INDEX(G:G, ROW())
),0)</f>
        <v>277.47231474376861</v>
      </c>
    </row>
    <row r="831" spans="1:17" x14ac:dyDescent="0.4">
      <c r="A831" s="1">
        <v>45035</v>
      </c>
      <c r="B831">
        <v>285.989990234375</v>
      </c>
      <c r="C831">
        <v>289.04998779296875</v>
      </c>
      <c r="D831">
        <v>284.54000854492188</v>
      </c>
      <c r="E831">
        <v>288.45001220703125</v>
      </c>
      <c r="F831">
        <v>17150300</v>
      </c>
      <c r="G831">
        <v>282.94866943359375</v>
      </c>
      <c r="H831" s="2">
        <f>MONTH(Query1[[#This Row],[Date]])</f>
        <v>4</v>
      </c>
      <c r="I831" s="3">
        <f>Query1[[#This Row],[Shares]]*Query1[[#This Row],[Adj Close]]</f>
        <v>1016436.2125060734</v>
      </c>
      <c r="J831" s="3">
        <f>IF(ROW()&lt;3, Dashboard!$E$7, IF(Query1[[#This Row],[Month]]&lt;&gt;H830,J830*(1+Dashboard!$E$4)+Dashboard!$E$5,J830))</f>
        <v>831885.75595223287</v>
      </c>
      <c r="K831">
        <f>IF(ROW()&lt;3, 0,IF(Query1[[#This Row],[Month]]&lt;&gt;H830,IF((J831-I831&gt;0),J831-I831,0),0))</f>
        <v>0</v>
      </c>
      <c r="L831" s="2">
        <f t="shared" si="12"/>
        <v>3592.2989655359538</v>
      </c>
      <c r="M831">
        <f>IF(ROW()&lt;3, 0, IF(Query1[[#This Row],[Month]]&lt;&gt;H830, Dashboard!$J$5,0))</f>
        <v>0</v>
      </c>
      <c r="N831" s="2">
        <f>IF(ROW()&lt;3, Query1[[#This Row],[Shares]], IF(Query1[[#This Row],[Month]]&lt;&gt;H830, N830+Query1[[#This Row],[Fix Top Up]]/Query1[[#This Row],[Adj Close]], N830))</f>
        <v>3402.2946909826501</v>
      </c>
      <c r="O831">
        <f>IF(AND(Query1[[#This Row],[avg]]&gt;0, Query1[[#This Row],[Month]]&lt;&gt;H830),
    IF(Query1[[#This Row],[Adj Close]]&gt;Query1[[#This Row],[avg]],
       Dashboard!$L$5-Dashboard!$E$6,
       Dashboard!$L$5+Dashboard!$E$6
    ), 0
)</f>
        <v>0</v>
      </c>
      <c r="P831" s="2">
        <f>IF(ROW()&lt;3, Query1[[#This Row],[Shares]], IF(Query1[[#This Row],[Month]]&lt;&gt;H830, P830+Query1[[#This Row],[Enhanced top up]]/Query1[[#This Row],[Adj Close]], P830))</f>
        <v>3397.3398991749727</v>
      </c>
      <c r="Q831" s="2">
        <f>IFERROR(AVERAGE(
  IF(ROW()&gt;20, INDEX(G:G, ROW()-20), 0) :
  INDEX(G:G, ROW())
),0)</f>
        <v>278.22996303013394</v>
      </c>
    </row>
    <row r="832" spans="1:17" x14ac:dyDescent="0.4">
      <c r="A832" s="1">
        <v>45036</v>
      </c>
      <c r="B832">
        <v>285.25</v>
      </c>
      <c r="C832">
        <v>289.02999877929688</v>
      </c>
      <c r="D832">
        <v>285.07998657226563</v>
      </c>
      <c r="E832">
        <v>286.1099853515625</v>
      </c>
      <c r="F832">
        <v>23244400</v>
      </c>
      <c r="G832">
        <v>280.65328979492188</v>
      </c>
      <c r="H832" s="2">
        <f>MONTH(Query1[[#This Row],[Date]])</f>
        <v>4</v>
      </c>
      <c r="I832" s="3">
        <f>Query1[[#This Row],[Shares]]*Query1[[#This Row],[Adj Close]]</f>
        <v>1008190.5226045601</v>
      </c>
      <c r="J832" s="3">
        <f>IF(ROW()&lt;3, Dashboard!$E$7, IF(Query1[[#This Row],[Month]]&lt;&gt;H831,J831*(1+Dashboard!$E$4)+Dashboard!$E$5,J831))</f>
        <v>831885.75595223287</v>
      </c>
      <c r="K832">
        <f>IF(ROW()&lt;3, 0,IF(Query1[[#This Row],[Month]]&lt;&gt;H831,IF((J832-I832&gt;0),J832-I832,0),0))</f>
        <v>0</v>
      </c>
      <c r="L832" s="2">
        <f t="shared" si="12"/>
        <v>3592.2989655359538</v>
      </c>
      <c r="M832">
        <f>IF(ROW()&lt;3, 0, IF(Query1[[#This Row],[Month]]&lt;&gt;H831, Dashboard!$J$5,0))</f>
        <v>0</v>
      </c>
      <c r="N832" s="2">
        <f>IF(ROW()&lt;3, Query1[[#This Row],[Shares]], IF(Query1[[#This Row],[Month]]&lt;&gt;H831, N831+Query1[[#This Row],[Fix Top Up]]/Query1[[#This Row],[Adj Close]], N831))</f>
        <v>3402.2946909826501</v>
      </c>
      <c r="O832">
        <f>IF(AND(Query1[[#This Row],[avg]]&gt;0, Query1[[#This Row],[Month]]&lt;&gt;H831),
    IF(Query1[[#This Row],[Adj Close]]&gt;Query1[[#This Row],[avg]],
       Dashboard!$L$5-Dashboard!$E$6,
       Dashboard!$L$5+Dashboard!$E$6
    ), 0
)</f>
        <v>0</v>
      </c>
      <c r="P832" s="2">
        <f>IF(ROW()&lt;3, Query1[[#This Row],[Shares]], IF(Query1[[#This Row],[Month]]&lt;&gt;H831, P831+Query1[[#This Row],[Enhanced top up]]/Query1[[#This Row],[Adj Close]], P831))</f>
        <v>3397.3398991749727</v>
      </c>
      <c r="Q832" s="2">
        <f>IFERROR(AVERAGE(
  IF(ROW()&gt;20, INDEX(G:G, ROW()-20), 0) :
  INDEX(G:G, ROW())
),0)</f>
        <v>278.80590674990697</v>
      </c>
    </row>
    <row r="833" spans="1:17" x14ac:dyDescent="0.4">
      <c r="A833" s="1">
        <v>45037</v>
      </c>
      <c r="B833">
        <v>285.010009765625</v>
      </c>
      <c r="C833">
        <v>286.26998901367188</v>
      </c>
      <c r="D833">
        <v>283.05999755859375</v>
      </c>
      <c r="E833">
        <v>285.760009765625</v>
      </c>
      <c r="F833">
        <v>21676400</v>
      </c>
      <c r="G833">
        <v>280.30999755859375</v>
      </c>
      <c r="H833" s="2">
        <f>MONTH(Query1[[#This Row],[Date]])</f>
        <v>4</v>
      </c>
      <c r="I833" s="3">
        <f>Query1[[#This Row],[Shares]]*Query1[[#This Row],[Adj Close]]</f>
        <v>1006957.314259122</v>
      </c>
      <c r="J833" s="3">
        <f>IF(ROW()&lt;3, Dashboard!$E$7, IF(Query1[[#This Row],[Month]]&lt;&gt;H832,J832*(1+Dashboard!$E$4)+Dashboard!$E$5,J832))</f>
        <v>831885.75595223287</v>
      </c>
      <c r="K833">
        <f>IF(ROW()&lt;3, 0,IF(Query1[[#This Row],[Month]]&lt;&gt;H832,IF((J833-I833&gt;0),J833-I833,0),0))</f>
        <v>0</v>
      </c>
      <c r="L833" s="2">
        <f t="shared" si="12"/>
        <v>3592.2989655359538</v>
      </c>
      <c r="M833">
        <f>IF(ROW()&lt;3, 0, IF(Query1[[#This Row],[Month]]&lt;&gt;H832, Dashboard!$J$5,0))</f>
        <v>0</v>
      </c>
      <c r="N833" s="2">
        <f>IF(ROW()&lt;3, Query1[[#This Row],[Shares]], IF(Query1[[#This Row],[Month]]&lt;&gt;H832, N832+Query1[[#This Row],[Fix Top Up]]/Query1[[#This Row],[Adj Close]], N832))</f>
        <v>3402.2946909826501</v>
      </c>
      <c r="O833">
        <f>IF(AND(Query1[[#This Row],[avg]]&gt;0, Query1[[#This Row],[Month]]&lt;&gt;H832),
    IF(Query1[[#This Row],[Adj Close]]&gt;Query1[[#This Row],[avg]],
       Dashboard!$L$5-Dashboard!$E$6,
       Dashboard!$L$5+Dashboard!$E$6
    ), 0
)</f>
        <v>0</v>
      </c>
      <c r="P833" s="2">
        <f>IF(ROW()&lt;3, Query1[[#This Row],[Shares]], IF(Query1[[#This Row],[Month]]&lt;&gt;H832, P832+Query1[[#This Row],[Enhanced top up]]/Query1[[#This Row],[Adj Close]], P832))</f>
        <v>3397.3398991749727</v>
      </c>
      <c r="Q833" s="2">
        <f>IFERROR(AVERAGE(
  IF(ROW()&gt;20, INDEX(G:G, ROW()-20), 0) :
  INDEX(G:G, ROW())
),0)</f>
        <v>279.43510073707216</v>
      </c>
    </row>
    <row r="834" spans="1:17" x14ac:dyDescent="0.4">
      <c r="A834" s="1">
        <v>45040</v>
      </c>
      <c r="B834">
        <v>282.08999633789063</v>
      </c>
      <c r="C834">
        <v>284.95001220703125</v>
      </c>
      <c r="D834">
        <v>278.72000122070313</v>
      </c>
      <c r="E834">
        <v>281.76998901367188</v>
      </c>
      <c r="F834">
        <v>26611000</v>
      </c>
      <c r="G834">
        <v>276.39605712890625</v>
      </c>
      <c r="H834" s="2">
        <f>MONTH(Query1[[#This Row],[Date]])</f>
        <v>4</v>
      </c>
      <c r="I834" s="3">
        <f>Query1[[#This Row],[Shares]]*Query1[[#This Row],[Adj Close]]</f>
        <v>992897.27010238636</v>
      </c>
      <c r="J834" s="3">
        <f>IF(ROW()&lt;3, Dashboard!$E$7, IF(Query1[[#This Row],[Month]]&lt;&gt;H833,J833*(1+Dashboard!$E$4)+Dashboard!$E$5,J833))</f>
        <v>831885.75595223287</v>
      </c>
      <c r="K834">
        <f>IF(ROW()&lt;3, 0,IF(Query1[[#This Row],[Month]]&lt;&gt;H833,IF((J834-I834&gt;0),J834-I834,0),0))</f>
        <v>0</v>
      </c>
      <c r="L834" s="2">
        <f t="shared" ref="L834:L897" si="13">IF(ROW()&lt;3, J834/G834, L833+K833/G833)</f>
        <v>3592.2989655359538</v>
      </c>
      <c r="M834">
        <f>IF(ROW()&lt;3, 0, IF(Query1[[#This Row],[Month]]&lt;&gt;H833, Dashboard!$J$5,0))</f>
        <v>0</v>
      </c>
      <c r="N834" s="2">
        <f>IF(ROW()&lt;3, Query1[[#This Row],[Shares]], IF(Query1[[#This Row],[Month]]&lt;&gt;H833, N833+Query1[[#This Row],[Fix Top Up]]/Query1[[#This Row],[Adj Close]], N833))</f>
        <v>3402.2946909826501</v>
      </c>
      <c r="O834">
        <f>IF(AND(Query1[[#This Row],[avg]]&gt;0, Query1[[#This Row],[Month]]&lt;&gt;H833),
    IF(Query1[[#This Row],[Adj Close]]&gt;Query1[[#This Row],[avg]],
       Dashboard!$L$5-Dashboard!$E$6,
       Dashboard!$L$5+Dashboard!$E$6
    ), 0
)</f>
        <v>0</v>
      </c>
      <c r="P834" s="2">
        <f>IF(ROW()&lt;3, Query1[[#This Row],[Shares]], IF(Query1[[#This Row],[Month]]&lt;&gt;H833, P833+Query1[[#This Row],[Enhanced top up]]/Query1[[#This Row],[Adj Close]], P833))</f>
        <v>3397.3398991749727</v>
      </c>
      <c r="Q834" s="2">
        <f>IFERROR(AVERAGE(
  IF(ROW()&gt;20, INDEX(G:G, ROW()-20), 0) :
  INDEX(G:G, ROW())
),0)</f>
        <v>279.62707955496654</v>
      </c>
    </row>
    <row r="835" spans="1:17" x14ac:dyDescent="0.4">
      <c r="A835" s="1">
        <v>45041</v>
      </c>
      <c r="B835">
        <v>279.510009765625</v>
      </c>
      <c r="C835">
        <v>281.60000610351563</v>
      </c>
      <c r="D835">
        <v>275.3699951171875</v>
      </c>
      <c r="E835">
        <v>275.42001342773438</v>
      </c>
      <c r="F835">
        <v>45772200</v>
      </c>
      <c r="G835">
        <v>270.167236328125</v>
      </c>
      <c r="H835" s="2">
        <f>MONTH(Query1[[#This Row],[Date]])</f>
        <v>4</v>
      </c>
      <c r="I835" s="3">
        <f>Query1[[#This Row],[Shares]]*Query1[[#This Row],[Adj Close]]</f>
        <v>970521.48358323099</v>
      </c>
      <c r="J835" s="3">
        <f>IF(ROW()&lt;3, Dashboard!$E$7, IF(Query1[[#This Row],[Month]]&lt;&gt;H834,J834*(1+Dashboard!$E$4)+Dashboard!$E$5,J834))</f>
        <v>831885.75595223287</v>
      </c>
      <c r="K835">
        <f>IF(ROW()&lt;3, 0,IF(Query1[[#This Row],[Month]]&lt;&gt;H834,IF((J835-I835&gt;0),J835-I835,0),0))</f>
        <v>0</v>
      </c>
      <c r="L835" s="2">
        <f t="shared" si="13"/>
        <v>3592.2989655359538</v>
      </c>
      <c r="M835">
        <f>IF(ROW()&lt;3, 0, IF(Query1[[#This Row],[Month]]&lt;&gt;H834, Dashboard!$J$5,0))</f>
        <v>0</v>
      </c>
      <c r="N835" s="2">
        <f>IF(ROW()&lt;3, Query1[[#This Row],[Shares]], IF(Query1[[#This Row],[Month]]&lt;&gt;H834, N834+Query1[[#This Row],[Fix Top Up]]/Query1[[#This Row],[Adj Close]], N834))</f>
        <v>3402.2946909826501</v>
      </c>
      <c r="O835">
        <f>IF(AND(Query1[[#This Row],[avg]]&gt;0, Query1[[#This Row],[Month]]&lt;&gt;H834),
    IF(Query1[[#This Row],[Adj Close]]&gt;Query1[[#This Row],[avg]],
       Dashboard!$L$5-Dashboard!$E$6,
       Dashboard!$L$5+Dashboard!$E$6
    ), 0
)</f>
        <v>0</v>
      </c>
      <c r="P835" s="2">
        <f>IF(ROW()&lt;3, Query1[[#This Row],[Shares]], IF(Query1[[#This Row],[Month]]&lt;&gt;H834, P834+Query1[[#This Row],[Enhanced top up]]/Query1[[#This Row],[Adj Close]], P834))</f>
        <v>3397.3398991749727</v>
      </c>
      <c r="Q835" s="2">
        <f>IFERROR(AVERAGE(
  IF(ROW()&gt;20, INDEX(G:G, ROW()-20), 0) :
  INDEX(G:G, ROW())
),0)</f>
        <v>279.38651965913317</v>
      </c>
    </row>
    <row r="836" spans="1:17" x14ac:dyDescent="0.4">
      <c r="A836" s="1">
        <v>45042</v>
      </c>
      <c r="B836">
        <v>296.70001220703125</v>
      </c>
      <c r="C836">
        <v>299.57000732421875</v>
      </c>
      <c r="D836">
        <v>292.73001098632813</v>
      </c>
      <c r="E836">
        <v>295.3699951171875</v>
      </c>
      <c r="F836">
        <v>64599200</v>
      </c>
      <c r="G836">
        <v>289.73666381835938</v>
      </c>
      <c r="H836" s="2">
        <f>MONTH(Query1[[#This Row],[Date]])</f>
        <v>4</v>
      </c>
      <c r="I836" s="3">
        <f>Query1[[#This Row],[Shares]]*Query1[[#This Row],[Adj Close]]</f>
        <v>1040820.7177125307</v>
      </c>
      <c r="J836" s="3">
        <f>IF(ROW()&lt;3, Dashboard!$E$7, IF(Query1[[#This Row],[Month]]&lt;&gt;H835,J835*(1+Dashboard!$E$4)+Dashboard!$E$5,J835))</f>
        <v>831885.75595223287</v>
      </c>
      <c r="K836">
        <f>IF(ROW()&lt;3, 0,IF(Query1[[#This Row],[Month]]&lt;&gt;H835,IF((J836-I836&gt;0),J836-I836,0),0))</f>
        <v>0</v>
      </c>
      <c r="L836" s="2">
        <f t="shared" si="13"/>
        <v>3592.2989655359538</v>
      </c>
      <c r="M836">
        <f>IF(ROW()&lt;3, 0, IF(Query1[[#This Row],[Month]]&lt;&gt;H835, Dashboard!$J$5,0))</f>
        <v>0</v>
      </c>
      <c r="N836" s="2">
        <f>IF(ROW()&lt;3, Query1[[#This Row],[Shares]], IF(Query1[[#This Row],[Month]]&lt;&gt;H835, N835+Query1[[#This Row],[Fix Top Up]]/Query1[[#This Row],[Adj Close]], N835))</f>
        <v>3402.2946909826501</v>
      </c>
      <c r="O836">
        <f>IF(AND(Query1[[#This Row],[avg]]&gt;0, Query1[[#This Row],[Month]]&lt;&gt;H835),
    IF(Query1[[#This Row],[Adj Close]]&gt;Query1[[#This Row],[avg]],
       Dashboard!$L$5-Dashboard!$E$6,
       Dashboard!$L$5+Dashboard!$E$6
    ), 0
)</f>
        <v>0</v>
      </c>
      <c r="P836" s="2">
        <f>IF(ROW()&lt;3, Query1[[#This Row],[Shares]], IF(Query1[[#This Row],[Month]]&lt;&gt;H835, P835+Query1[[#This Row],[Enhanced top up]]/Query1[[#This Row],[Adj Close]], P835))</f>
        <v>3397.3398991749727</v>
      </c>
      <c r="Q836" s="2">
        <f>IFERROR(AVERAGE(
  IF(ROW()&gt;20, INDEX(G:G, ROW()-20), 0) :
  INDEX(G:G, ROW())
),0)</f>
        <v>280.27355521065846</v>
      </c>
    </row>
    <row r="837" spans="1:17" x14ac:dyDescent="0.4">
      <c r="A837" s="1">
        <v>45043</v>
      </c>
      <c r="B837">
        <v>295.97000122070313</v>
      </c>
      <c r="C837">
        <v>305.20001220703125</v>
      </c>
      <c r="D837">
        <v>295.25</v>
      </c>
      <c r="E837">
        <v>304.82998657226563</v>
      </c>
      <c r="F837">
        <v>46462600</v>
      </c>
      <c r="G837">
        <v>299.01626586914063</v>
      </c>
      <c r="H837" s="2">
        <f>MONTH(Query1[[#This Row],[Date]])</f>
        <v>4</v>
      </c>
      <c r="I837" s="3">
        <f>Query1[[#This Row],[Shares]]*Query1[[#This Row],[Adj Close]]</f>
        <v>1074155.8225601376</v>
      </c>
      <c r="J837" s="3">
        <f>IF(ROW()&lt;3, Dashboard!$E$7, IF(Query1[[#This Row],[Month]]&lt;&gt;H836,J836*(1+Dashboard!$E$4)+Dashboard!$E$5,J836))</f>
        <v>831885.75595223287</v>
      </c>
      <c r="K837">
        <f>IF(ROW()&lt;3, 0,IF(Query1[[#This Row],[Month]]&lt;&gt;H836,IF((J837-I837&gt;0),J837-I837,0),0))</f>
        <v>0</v>
      </c>
      <c r="L837" s="2">
        <f t="shared" si="13"/>
        <v>3592.2989655359538</v>
      </c>
      <c r="M837">
        <f>IF(ROW()&lt;3, 0, IF(Query1[[#This Row],[Month]]&lt;&gt;H836, Dashboard!$J$5,0))</f>
        <v>0</v>
      </c>
      <c r="N837" s="2">
        <f>IF(ROW()&lt;3, Query1[[#This Row],[Shares]], IF(Query1[[#This Row],[Month]]&lt;&gt;H836, N836+Query1[[#This Row],[Fix Top Up]]/Query1[[#This Row],[Adj Close]], N836))</f>
        <v>3402.2946909826501</v>
      </c>
      <c r="O837">
        <f>IF(AND(Query1[[#This Row],[avg]]&gt;0, Query1[[#This Row],[Month]]&lt;&gt;H836),
    IF(Query1[[#This Row],[Adj Close]]&gt;Query1[[#This Row],[avg]],
       Dashboard!$L$5-Dashboard!$E$6,
       Dashboard!$L$5+Dashboard!$E$6
    ), 0
)</f>
        <v>0</v>
      </c>
      <c r="P837" s="2">
        <f>IF(ROW()&lt;3, Query1[[#This Row],[Shares]], IF(Query1[[#This Row],[Month]]&lt;&gt;H836, P836+Query1[[#This Row],[Enhanced top up]]/Query1[[#This Row],[Adj Close]], P836))</f>
        <v>3397.3398991749727</v>
      </c>
      <c r="Q837" s="2">
        <f>IFERROR(AVERAGE(
  IF(ROW()&gt;20, INDEX(G:G, ROW()-20), 0) :
  INDEX(G:G, ROW())
),0)</f>
        <v>281.6561962309338</v>
      </c>
    </row>
    <row r="838" spans="1:17" x14ac:dyDescent="0.4">
      <c r="A838" s="1">
        <v>45044</v>
      </c>
      <c r="B838">
        <v>304.010009765625</v>
      </c>
      <c r="C838">
        <v>308.92999267578125</v>
      </c>
      <c r="D838">
        <v>303.30999755859375</v>
      </c>
      <c r="E838">
        <v>307.260009765625</v>
      </c>
      <c r="F838">
        <v>36469600</v>
      </c>
      <c r="G838">
        <v>301.39993286132813</v>
      </c>
      <c r="H838" s="2">
        <f>MONTH(Query1[[#This Row],[Date]])</f>
        <v>4</v>
      </c>
      <c r="I838" s="3">
        <f>Query1[[#This Row],[Shares]]*Query1[[#This Row],[Adj Close]]</f>
        <v>1082718.667030355</v>
      </c>
      <c r="J838" s="3">
        <f>IF(ROW()&lt;3, Dashboard!$E$7, IF(Query1[[#This Row],[Month]]&lt;&gt;H837,J837*(1+Dashboard!$E$4)+Dashboard!$E$5,J837))</f>
        <v>831885.75595223287</v>
      </c>
      <c r="K838">
        <f>IF(ROW()&lt;3, 0,IF(Query1[[#This Row],[Month]]&lt;&gt;H837,IF((J838-I838&gt;0),J838-I838,0),0))</f>
        <v>0</v>
      </c>
      <c r="L838" s="2">
        <f t="shared" si="13"/>
        <v>3592.2989655359538</v>
      </c>
      <c r="M838">
        <f>IF(ROW()&lt;3, 0, IF(Query1[[#This Row],[Month]]&lt;&gt;H837, Dashboard!$J$5,0))</f>
        <v>0</v>
      </c>
      <c r="N838" s="2">
        <f>IF(ROW()&lt;3, Query1[[#This Row],[Shares]], IF(Query1[[#This Row],[Month]]&lt;&gt;H837, N837+Query1[[#This Row],[Fix Top Up]]/Query1[[#This Row],[Adj Close]], N837))</f>
        <v>3402.2946909826501</v>
      </c>
      <c r="O838">
        <f>IF(AND(Query1[[#This Row],[avg]]&gt;0, Query1[[#This Row],[Month]]&lt;&gt;H837),
    IF(Query1[[#This Row],[Adj Close]]&gt;Query1[[#This Row],[avg]],
       Dashboard!$L$5-Dashboard!$E$6,
       Dashboard!$L$5+Dashboard!$E$6
    ), 0
)</f>
        <v>0</v>
      </c>
      <c r="P838" s="2">
        <f>IF(ROW()&lt;3, Query1[[#This Row],[Shares]], IF(Query1[[#This Row],[Month]]&lt;&gt;H837, P837+Query1[[#This Row],[Enhanced top up]]/Query1[[#This Row],[Adj Close]], P837))</f>
        <v>3397.3398991749727</v>
      </c>
      <c r="Q838" s="2">
        <f>IFERROR(AVERAGE(
  IF(ROW()&gt;20, INDEX(G:G, ROW()-20), 0) :
  INDEX(G:G, ROW())
),0)</f>
        <v>282.90571230933779</v>
      </c>
    </row>
    <row r="839" spans="1:17" x14ac:dyDescent="0.4">
      <c r="A839" s="1">
        <v>45047</v>
      </c>
      <c r="B839">
        <v>306.97000122070313</v>
      </c>
      <c r="C839">
        <v>308.60000610351563</v>
      </c>
      <c r="D839">
        <v>305.14999389648438</v>
      </c>
      <c r="E839">
        <v>305.55999755859375</v>
      </c>
      <c r="F839">
        <v>21294100</v>
      </c>
      <c r="G839">
        <v>299.73239135742188</v>
      </c>
      <c r="H839" s="2">
        <f>MONTH(Query1[[#This Row],[Date]])</f>
        <v>5</v>
      </c>
      <c r="I839" s="3">
        <f>Query1[[#This Row],[Shares]]*Query1[[#This Row],[Adj Close]]</f>
        <v>1076728.3594108843</v>
      </c>
      <c r="J839" s="3">
        <f>IF(ROW()&lt;3, Dashboard!$E$7, IF(Query1[[#This Row],[Month]]&lt;&gt;H838,J838*(1+Dashboard!$E$4)+Dashboard!$E$5,J838))</f>
        <v>842204.61351175525</v>
      </c>
      <c r="K839">
        <f>IF(ROW()&lt;3, 0,IF(Query1[[#This Row],[Month]]&lt;&gt;H838,IF((J839-I839&gt;0),J839-I839,0),0))</f>
        <v>0</v>
      </c>
      <c r="L839" s="2">
        <f t="shared" si="13"/>
        <v>3592.2989655359538</v>
      </c>
      <c r="M839">
        <f>IF(ROW()&lt;3, 0, IF(Query1[[#This Row],[Month]]&lt;&gt;H838, Dashboard!$J$5,0))</f>
        <v>773.47399999999971</v>
      </c>
      <c r="N839" s="2">
        <f>IF(ROW()&lt;3, Query1[[#This Row],[Shares]], IF(Query1[[#This Row],[Month]]&lt;&gt;H838, N838+Query1[[#This Row],[Fix Top Up]]/Query1[[#This Row],[Adj Close]], N838))</f>
        <v>3404.8752395730012</v>
      </c>
      <c r="O839">
        <f>IF(AND(Query1[[#This Row],[avg]]&gt;0, Query1[[#This Row],[Month]]&lt;&gt;H838),
    IF(Query1[[#This Row],[Adj Close]]&gt;Query1[[#This Row],[avg]],
       Dashboard!$L$5-Dashboard!$E$6,
       Dashboard!$L$5+Dashboard!$E$6
    ), 0
)</f>
        <v>390.14066666666668</v>
      </c>
      <c r="P839" s="2">
        <f>IF(ROW()&lt;3, Query1[[#This Row],[Shares]], IF(Query1[[#This Row],[Month]]&lt;&gt;H838, P838+Query1[[#This Row],[Enhanced top up]]/Query1[[#This Row],[Adj Close]], P838))</f>
        <v>3398.6415291553021</v>
      </c>
      <c r="Q839" s="2">
        <f>IFERROR(AVERAGE(
  IF(ROW()&gt;20, INDEX(G:G, ROW()-20), 0) :
  INDEX(G:G, ROW())
),0)</f>
        <v>283.91046433221726</v>
      </c>
    </row>
    <row r="840" spans="1:17" x14ac:dyDescent="0.4">
      <c r="A840" s="1">
        <v>45048</v>
      </c>
      <c r="B840">
        <v>307.760009765625</v>
      </c>
      <c r="C840">
        <v>309.17999267578125</v>
      </c>
      <c r="D840">
        <v>303.91000366210938</v>
      </c>
      <c r="E840">
        <v>305.41000366210938</v>
      </c>
      <c r="F840">
        <v>26404400</v>
      </c>
      <c r="G840">
        <v>299.58526611328125</v>
      </c>
      <c r="H840" s="2">
        <f>MONTH(Query1[[#This Row],[Date]])</f>
        <v>5</v>
      </c>
      <c r="I840" s="3">
        <f>Query1[[#This Row],[Shares]]*Query1[[#This Row],[Adj Close]]</f>
        <v>1076199.8415485537</v>
      </c>
      <c r="J840" s="3">
        <f>IF(ROW()&lt;3, Dashboard!$E$7, IF(Query1[[#This Row],[Month]]&lt;&gt;H839,J839*(1+Dashboard!$E$4)+Dashboard!$E$5,J839))</f>
        <v>842204.61351175525</v>
      </c>
      <c r="K840">
        <f>IF(ROW()&lt;3, 0,IF(Query1[[#This Row],[Month]]&lt;&gt;H839,IF((J840-I840&gt;0),J840-I840,0),0))</f>
        <v>0</v>
      </c>
      <c r="L840" s="2">
        <f t="shared" si="13"/>
        <v>3592.2989655359538</v>
      </c>
      <c r="M840">
        <f>IF(ROW()&lt;3, 0, IF(Query1[[#This Row],[Month]]&lt;&gt;H839, Dashboard!$J$5,0))</f>
        <v>0</v>
      </c>
      <c r="N840" s="2">
        <f>IF(ROW()&lt;3, Query1[[#This Row],[Shares]], IF(Query1[[#This Row],[Month]]&lt;&gt;H839, N839+Query1[[#This Row],[Fix Top Up]]/Query1[[#This Row],[Adj Close]], N839))</f>
        <v>3404.8752395730012</v>
      </c>
      <c r="O840">
        <f>IF(AND(Query1[[#This Row],[avg]]&gt;0, Query1[[#This Row],[Month]]&lt;&gt;H839),
    IF(Query1[[#This Row],[Adj Close]]&gt;Query1[[#This Row],[avg]],
       Dashboard!$L$5-Dashboard!$E$6,
       Dashboard!$L$5+Dashboard!$E$6
    ), 0
)</f>
        <v>0</v>
      </c>
      <c r="P840" s="2">
        <f>IF(ROW()&lt;3, Query1[[#This Row],[Shares]], IF(Query1[[#This Row],[Month]]&lt;&gt;H839, P839+Query1[[#This Row],[Enhanced top up]]/Query1[[#This Row],[Adj Close]], P839))</f>
        <v>3398.6415291553021</v>
      </c>
      <c r="Q840" s="2">
        <f>IFERROR(AVERAGE(
  IF(ROW()&gt;20, INDEX(G:G, ROW()-20), 0) :
  INDEX(G:G, ROW())
),0)</f>
        <v>284.70969063895092</v>
      </c>
    </row>
    <row r="841" spans="1:17" x14ac:dyDescent="0.4">
      <c r="A841" s="1">
        <v>45049</v>
      </c>
      <c r="B841">
        <v>306.6199951171875</v>
      </c>
      <c r="C841">
        <v>308.6099853515625</v>
      </c>
      <c r="D841">
        <v>304.08999633789063</v>
      </c>
      <c r="E841">
        <v>304.39999389648438</v>
      </c>
      <c r="F841">
        <v>22360800</v>
      </c>
      <c r="G841">
        <v>298.59445190429688</v>
      </c>
      <c r="H841" s="2">
        <f>MONTH(Query1[[#This Row],[Date]])</f>
        <v>5</v>
      </c>
      <c r="I841" s="3">
        <f>Query1[[#This Row],[Shares]]*Query1[[#This Row],[Adj Close]]</f>
        <v>1072640.5406905808</v>
      </c>
      <c r="J841" s="3">
        <f>IF(ROW()&lt;3, Dashboard!$E$7, IF(Query1[[#This Row],[Month]]&lt;&gt;H840,J840*(1+Dashboard!$E$4)+Dashboard!$E$5,J840))</f>
        <v>842204.61351175525</v>
      </c>
      <c r="K841">
        <f>IF(ROW()&lt;3, 0,IF(Query1[[#This Row],[Month]]&lt;&gt;H840,IF((J841-I841&gt;0),J841-I841,0),0))</f>
        <v>0</v>
      </c>
      <c r="L841" s="2">
        <f t="shared" si="13"/>
        <v>3592.2989655359538</v>
      </c>
      <c r="M841">
        <f>IF(ROW()&lt;3, 0, IF(Query1[[#This Row],[Month]]&lt;&gt;H840, Dashboard!$J$5,0))</f>
        <v>0</v>
      </c>
      <c r="N841" s="2">
        <f>IF(ROW()&lt;3, Query1[[#This Row],[Shares]], IF(Query1[[#This Row],[Month]]&lt;&gt;H840, N840+Query1[[#This Row],[Fix Top Up]]/Query1[[#This Row],[Adj Close]], N840))</f>
        <v>3404.8752395730012</v>
      </c>
      <c r="O841">
        <f>IF(AND(Query1[[#This Row],[avg]]&gt;0, Query1[[#This Row],[Month]]&lt;&gt;H840),
    IF(Query1[[#This Row],[Adj Close]]&gt;Query1[[#This Row],[avg]],
       Dashboard!$L$5-Dashboard!$E$6,
       Dashboard!$L$5+Dashboard!$E$6
    ), 0
)</f>
        <v>0</v>
      </c>
      <c r="P841" s="2">
        <f>IF(ROW()&lt;3, Query1[[#This Row],[Shares]], IF(Query1[[#This Row],[Month]]&lt;&gt;H840, P840+Query1[[#This Row],[Enhanced top up]]/Query1[[#This Row],[Adj Close]], P840))</f>
        <v>3398.6415291553021</v>
      </c>
      <c r="Q841" s="2">
        <f>IFERROR(AVERAGE(
  IF(ROW()&gt;20, INDEX(G:G, ROW()-20), 0) :
  INDEX(G:G, ROW())
),0)</f>
        <v>285.51171293712798</v>
      </c>
    </row>
    <row r="842" spans="1:17" x14ac:dyDescent="0.4">
      <c r="A842" s="1">
        <v>45050</v>
      </c>
      <c r="B842">
        <v>306.239990234375</v>
      </c>
      <c r="C842">
        <v>307.760009765625</v>
      </c>
      <c r="D842">
        <v>303.39999389648438</v>
      </c>
      <c r="E842">
        <v>305.41000366210938</v>
      </c>
      <c r="F842">
        <v>22519900</v>
      </c>
      <c r="G842">
        <v>299.58526611328125</v>
      </c>
      <c r="H842" s="2">
        <f>MONTH(Query1[[#This Row],[Date]])</f>
        <v>5</v>
      </c>
      <c r="I842" s="3">
        <f>Query1[[#This Row],[Shares]]*Query1[[#This Row],[Adj Close]]</f>
        <v>1076199.8415485537</v>
      </c>
      <c r="J842" s="3">
        <f>IF(ROW()&lt;3, Dashboard!$E$7, IF(Query1[[#This Row],[Month]]&lt;&gt;H841,J841*(1+Dashboard!$E$4)+Dashboard!$E$5,J841))</f>
        <v>842204.61351175525</v>
      </c>
      <c r="K842">
        <f>IF(ROW()&lt;3, 0,IF(Query1[[#This Row],[Month]]&lt;&gt;H841,IF((J842-I842&gt;0),J842-I842,0),0))</f>
        <v>0</v>
      </c>
      <c r="L842" s="2">
        <f t="shared" si="13"/>
        <v>3592.2989655359538</v>
      </c>
      <c r="M842">
        <f>IF(ROW()&lt;3, 0, IF(Query1[[#This Row],[Month]]&lt;&gt;H841, Dashboard!$J$5,0))</f>
        <v>0</v>
      </c>
      <c r="N842" s="2">
        <f>IF(ROW()&lt;3, Query1[[#This Row],[Shares]], IF(Query1[[#This Row],[Month]]&lt;&gt;H841, N841+Query1[[#This Row],[Fix Top Up]]/Query1[[#This Row],[Adj Close]], N841))</f>
        <v>3404.8752395730012</v>
      </c>
      <c r="O842">
        <f>IF(AND(Query1[[#This Row],[avg]]&gt;0, Query1[[#This Row],[Month]]&lt;&gt;H841),
    IF(Query1[[#This Row],[Adj Close]]&gt;Query1[[#This Row],[avg]],
       Dashboard!$L$5-Dashboard!$E$6,
       Dashboard!$L$5+Dashboard!$E$6
    ), 0
)</f>
        <v>0</v>
      </c>
      <c r="P842" s="2">
        <f>IF(ROW()&lt;3, Query1[[#This Row],[Shares]], IF(Query1[[#This Row],[Month]]&lt;&gt;H841, P841+Query1[[#This Row],[Enhanced top up]]/Query1[[#This Row],[Adj Close]], P841))</f>
        <v>3398.6415291553021</v>
      </c>
      <c r="Q842" s="2">
        <f>IFERROR(AVERAGE(
  IF(ROW()&gt;20, INDEX(G:G, ROW()-20), 0) :
  INDEX(G:G, ROW())
),0)</f>
        <v>286.36325363885788</v>
      </c>
    </row>
    <row r="843" spans="1:17" x14ac:dyDescent="0.4">
      <c r="A843" s="1">
        <v>45051</v>
      </c>
      <c r="B843">
        <v>305.72000122070313</v>
      </c>
      <c r="C843">
        <v>311.97000122070313</v>
      </c>
      <c r="D843">
        <v>304.26998901367188</v>
      </c>
      <c r="E843">
        <v>310.64999389648438</v>
      </c>
      <c r="F843">
        <v>28197100</v>
      </c>
      <c r="G843">
        <v>304.72531127929688</v>
      </c>
      <c r="H843" s="2">
        <f>MONTH(Query1[[#This Row],[Date]])</f>
        <v>5</v>
      </c>
      <c r="I843" s="3">
        <f>Query1[[#This Row],[Shares]]*Query1[[#This Row],[Adj Close]]</f>
        <v>1094664.4204812397</v>
      </c>
      <c r="J843" s="3">
        <f>IF(ROW()&lt;3, Dashboard!$E$7, IF(Query1[[#This Row],[Month]]&lt;&gt;H842,J842*(1+Dashboard!$E$4)+Dashboard!$E$5,J842))</f>
        <v>842204.61351175525</v>
      </c>
      <c r="K843">
        <f>IF(ROW()&lt;3, 0,IF(Query1[[#This Row],[Month]]&lt;&gt;H842,IF((J843-I843&gt;0),J843-I843,0),0))</f>
        <v>0</v>
      </c>
      <c r="L843" s="2">
        <f t="shared" si="13"/>
        <v>3592.2989655359538</v>
      </c>
      <c r="M843">
        <f>IF(ROW()&lt;3, 0, IF(Query1[[#This Row],[Month]]&lt;&gt;H842, Dashboard!$J$5,0))</f>
        <v>0</v>
      </c>
      <c r="N843" s="2">
        <f>IF(ROW()&lt;3, Query1[[#This Row],[Shares]], IF(Query1[[#This Row],[Month]]&lt;&gt;H842, N842+Query1[[#This Row],[Fix Top Up]]/Query1[[#This Row],[Adj Close]], N842))</f>
        <v>3404.8752395730012</v>
      </c>
      <c r="O843">
        <f>IF(AND(Query1[[#This Row],[avg]]&gt;0, Query1[[#This Row],[Month]]&lt;&gt;H842),
    IF(Query1[[#This Row],[Adj Close]]&gt;Query1[[#This Row],[avg]],
       Dashboard!$L$5-Dashboard!$E$6,
       Dashboard!$L$5+Dashboard!$E$6
    ), 0
)</f>
        <v>0</v>
      </c>
      <c r="P843" s="2">
        <f>IF(ROW()&lt;3, Query1[[#This Row],[Shares]], IF(Query1[[#This Row],[Month]]&lt;&gt;H842, P842+Query1[[#This Row],[Enhanced top up]]/Query1[[#This Row],[Adj Close]], P842))</f>
        <v>3398.6415291553021</v>
      </c>
      <c r="Q843" s="2">
        <f>IFERROR(AVERAGE(
  IF(ROW()&gt;20, INDEX(G:G, ROW()-20), 0) :
  INDEX(G:G, ROW())
),0)</f>
        <v>287.59221830822173</v>
      </c>
    </row>
    <row r="844" spans="1:17" x14ac:dyDescent="0.4">
      <c r="A844" s="1">
        <v>45054</v>
      </c>
      <c r="B844">
        <v>310.1300048828125</v>
      </c>
      <c r="C844">
        <v>310.20001220703125</v>
      </c>
      <c r="D844">
        <v>306.08999633789063</v>
      </c>
      <c r="E844">
        <v>308.64999389648438</v>
      </c>
      <c r="F844">
        <v>21318600</v>
      </c>
      <c r="G844">
        <v>302.763427734375</v>
      </c>
      <c r="H844" s="2">
        <f>MONTH(Query1[[#This Row],[Date]])</f>
        <v>5</v>
      </c>
      <c r="I844" s="3">
        <f>Query1[[#This Row],[Shares]]*Query1[[#This Row],[Adj Close]]</f>
        <v>1087616.7482523147</v>
      </c>
      <c r="J844" s="3">
        <f>IF(ROW()&lt;3, Dashboard!$E$7, IF(Query1[[#This Row],[Month]]&lt;&gt;H843,J843*(1+Dashboard!$E$4)+Dashboard!$E$5,J843))</f>
        <v>842204.61351175525</v>
      </c>
      <c r="K844">
        <f>IF(ROW()&lt;3, 0,IF(Query1[[#This Row],[Month]]&lt;&gt;H843,IF((J844-I844&gt;0),J844-I844,0),0))</f>
        <v>0</v>
      </c>
      <c r="L844" s="2">
        <f t="shared" si="13"/>
        <v>3592.2989655359538</v>
      </c>
      <c r="M844">
        <f>IF(ROW()&lt;3, 0, IF(Query1[[#This Row],[Month]]&lt;&gt;H843, Dashboard!$J$5,0))</f>
        <v>0</v>
      </c>
      <c r="N844" s="2">
        <f>IF(ROW()&lt;3, Query1[[#This Row],[Shares]], IF(Query1[[#This Row],[Month]]&lt;&gt;H843, N843+Query1[[#This Row],[Fix Top Up]]/Query1[[#This Row],[Adj Close]], N843))</f>
        <v>3404.8752395730012</v>
      </c>
      <c r="O844">
        <f>IF(AND(Query1[[#This Row],[avg]]&gt;0, Query1[[#This Row],[Month]]&lt;&gt;H843),
    IF(Query1[[#This Row],[Adj Close]]&gt;Query1[[#This Row],[avg]],
       Dashboard!$L$5-Dashboard!$E$6,
       Dashboard!$L$5+Dashboard!$E$6
    ), 0
)</f>
        <v>0</v>
      </c>
      <c r="P844" s="2">
        <f>IF(ROW()&lt;3, Query1[[#This Row],[Shares]], IF(Query1[[#This Row],[Month]]&lt;&gt;H843, P843+Query1[[#This Row],[Enhanced top up]]/Query1[[#This Row],[Adj Close]], P843))</f>
        <v>3398.6415291553021</v>
      </c>
      <c r="Q844" s="2">
        <f>IFERROR(AVERAGE(
  IF(ROW()&gt;20, INDEX(G:G, ROW()-20), 0) :
  INDEX(G:G, ROW())
),0)</f>
        <v>288.38863699776783</v>
      </c>
    </row>
    <row r="845" spans="1:17" x14ac:dyDescent="0.4">
      <c r="A845" s="1">
        <v>45055</v>
      </c>
      <c r="B845">
        <v>308</v>
      </c>
      <c r="C845">
        <v>310.04000854492188</v>
      </c>
      <c r="D845">
        <v>306.30999755859375</v>
      </c>
      <c r="E845">
        <v>307</v>
      </c>
      <c r="F845">
        <v>21340800</v>
      </c>
      <c r="G845">
        <v>301.1448974609375</v>
      </c>
      <c r="H845" s="2">
        <f>MONTH(Query1[[#This Row],[Date]])</f>
        <v>5</v>
      </c>
      <c r="I845" s="3">
        <f>Query1[[#This Row],[Shares]]*Query1[[#This Row],[Adj Close]]</f>
        <v>1081802.5036253566</v>
      </c>
      <c r="J845" s="3">
        <f>IF(ROW()&lt;3, Dashboard!$E$7, IF(Query1[[#This Row],[Month]]&lt;&gt;H844,J844*(1+Dashboard!$E$4)+Dashboard!$E$5,J844))</f>
        <v>842204.61351175525</v>
      </c>
      <c r="K845">
        <f>IF(ROW()&lt;3, 0,IF(Query1[[#This Row],[Month]]&lt;&gt;H844,IF((J845-I845&gt;0),J845-I845,0),0))</f>
        <v>0</v>
      </c>
      <c r="L845" s="2">
        <f t="shared" si="13"/>
        <v>3592.2989655359538</v>
      </c>
      <c r="M845">
        <f>IF(ROW()&lt;3, 0, IF(Query1[[#This Row],[Month]]&lt;&gt;H844, Dashboard!$J$5,0))</f>
        <v>0</v>
      </c>
      <c r="N845" s="2">
        <f>IF(ROW()&lt;3, Query1[[#This Row],[Shares]], IF(Query1[[#This Row],[Month]]&lt;&gt;H844, N844+Query1[[#This Row],[Fix Top Up]]/Query1[[#This Row],[Adj Close]], N844))</f>
        <v>3404.8752395730012</v>
      </c>
      <c r="O845">
        <f>IF(AND(Query1[[#This Row],[avg]]&gt;0, Query1[[#This Row],[Month]]&lt;&gt;H844),
    IF(Query1[[#This Row],[Adj Close]]&gt;Query1[[#This Row],[avg]],
       Dashboard!$L$5-Dashboard!$E$6,
       Dashboard!$L$5+Dashboard!$E$6
    ), 0
)</f>
        <v>0</v>
      </c>
      <c r="P845" s="2">
        <f>IF(ROW()&lt;3, Query1[[#This Row],[Shares]], IF(Query1[[#This Row],[Month]]&lt;&gt;H844, P844+Query1[[#This Row],[Enhanced top up]]/Query1[[#This Row],[Adj Close]], P844))</f>
        <v>3398.6415291553021</v>
      </c>
      <c r="Q845" s="2">
        <f>IFERROR(AVERAGE(
  IF(ROW()&gt;20, INDEX(G:G, ROW()-20), 0) :
  INDEX(G:G, ROW())
),0)</f>
        <v>289.21121361142116</v>
      </c>
    </row>
    <row r="846" spans="1:17" x14ac:dyDescent="0.4">
      <c r="A846" s="1">
        <v>45056</v>
      </c>
      <c r="B846">
        <v>308.6199951171875</v>
      </c>
      <c r="C846">
        <v>313</v>
      </c>
      <c r="D846">
        <v>307.67001342773438</v>
      </c>
      <c r="E846">
        <v>312.30999755859375</v>
      </c>
      <c r="F846">
        <v>30078000</v>
      </c>
      <c r="G846">
        <v>306.3536376953125</v>
      </c>
      <c r="H846" s="2">
        <f>MONTH(Query1[[#This Row],[Date]])</f>
        <v>5</v>
      </c>
      <c r="I846" s="3">
        <f>Query1[[#This Row],[Shares]]*Query1[[#This Row],[Adj Close]]</f>
        <v>1100513.8557810474</v>
      </c>
      <c r="J846" s="3">
        <f>IF(ROW()&lt;3, Dashboard!$E$7, IF(Query1[[#This Row],[Month]]&lt;&gt;H845,J845*(1+Dashboard!$E$4)+Dashboard!$E$5,J845))</f>
        <v>842204.61351175525</v>
      </c>
      <c r="K846">
        <f>IF(ROW()&lt;3, 0,IF(Query1[[#This Row],[Month]]&lt;&gt;H845,IF((J846-I846&gt;0),J846-I846,0),0))</f>
        <v>0</v>
      </c>
      <c r="L846" s="2">
        <f t="shared" si="13"/>
        <v>3592.2989655359538</v>
      </c>
      <c r="M846">
        <f>IF(ROW()&lt;3, 0, IF(Query1[[#This Row],[Month]]&lt;&gt;H845, Dashboard!$J$5,0))</f>
        <v>0</v>
      </c>
      <c r="N846" s="2">
        <f>IF(ROW()&lt;3, Query1[[#This Row],[Shares]], IF(Query1[[#This Row],[Month]]&lt;&gt;H845, N845+Query1[[#This Row],[Fix Top Up]]/Query1[[#This Row],[Adj Close]], N845))</f>
        <v>3404.8752395730012</v>
      </c>
      <c r="O846">
        <f>IF(AND(Query1[[#This Row],[avg]]&gt;0, Query1[[#This Row],[Month]]&lt;&gt;H845),
    IF(Query1[[#This Row],[Adj Close]]&gt;Query1[[#This Row],[avg]],
       Dashboard!$L$5-Dashboard!$E$6,
       Dashboard!$L$5+Dashboard!$E$6
    ), 0
)</f>
        <v>0</v>
      </c>
      <c r="P846" s="2">
        <f>IF(ROW()&lt;3, Query1[[#This Row],[Shares]], IF(Query1[[#This Row],[Month]]&lt;&gt;H845, P845+Query1[[#This Row],[Enhanced top up]]/Query1[[#This Row],[Adj Close]], P845))</f>
        <v>3398.6415291553021</v>
      </c>
      <c r="Q846" s="2">
        <f>IFERROR(AVERAGE(
  IF(ROW()&gt;20, INDEX(G:G, ROW()-20), 0) :
  INDEX(G:G, ROW())
),0)</f>
        <v>290.58824811662947</v>
      </c>
    </row>
    <row r="847" spans="1:17" x14ac:dyDescent="0.4">
      <c r="A847" s="1">
        <v>45057</v>
      </c>
      <c r="B847">
        <v>310.10000610351563</v>
      </c>
      <c r="C847">
        <v>311.1199951171875</v>
      </c>
      <c r="D847">
        <v>306.260009765625</v>
      </c>
      <c r="E847">
        <v>310.1099853515625</v>
      </c>
      <c r="F847">
        <v>31680200</v>
      </c>
      <c r="G847">
        <v>304.195556640625</v>
      </c>
      <c r="H847" s="2">
        <f>MONTH(Query1[[#This Row],[Date]])</f>
        <v>5</v>
      </c>
      <c r="I847" s="3">
        <f>Query1[[#This Row],[Shares]]*Query1[[#This Row],[Adj Close]]</f>
        <v>1092761.3834407509</v>
      </c>
      <c r="J847" s="3">
        <f>IF(ROW()&lt;3, Dashboard!$E$7, IF(Query1[[#This Row],[Month]]&lt;&gt;H846,J846*(1+Dashboard!$E$4)+Dashboard!$E$5,J846))</f>
        <v>842204.61351175525</v>
      </c>
      <c r="K847">
        <f>IF(ROW()&lt;3, 0,IF(Query1[[#This Row],[Month]]&lt;&gt;H846,IF((J847-I847&gt;0),J847-I847,0),0))</f>
        <v>0</v>
      </c>
      <c r="L847" s="2">
        <f t="shared" si="13"/>
        <v>3592.2989655359538</v>
      </c>
      <c r="M847">
        <f>IF(ROW()&lt;3, 0, IF(Query1[[#This Row],[Month]]&lt;&gt;H846, Dashboard!$J$5,0))</f>
        <v>0</v>
      </c>
      <c r="N847" s="2">
        <f>IF(ROW()&lt;3, Query1[[#This Row],[Shares]], IF(Query1[[#This Row],[Month]]&lt;&gt;H846, N846+Query1[[#This Row],[Fix Top Up]]/Query1[[#This Row],[Adj Close]], N846))</f>
        <v>3404.8752395730012</v>
      </c>
      <c r="O847">
        <f>IF(AND(Query1[[#This Row],[avg]]&gt;0, Query1[[#This Row],[Month]]&lt;&gt;H846),
    IF(Query1[[#This Row],[Adj Close]]&gt;Query1[[#This Row],[avg]],
       Dashboard!$L$5-Dashboard!$E$6,
       Dashboard!$L$5+Dashboard!$E$6
    ), 0
)</f>
        <v>0</v>
      </c>
      <c r="P847" s="2">
        <f>IF(ROW()&lt;3, Query1[[#This Row],[Shares]], IF(Query1[[#This Row],[Month]]&lt;&gt;H846, P846+Query1[[#This Row],[Enhanced top up]]/Query1[[#This Row],[Adj Close]], P846))</f>
        <v>3398.6415291553021</v>
      </c>
      <c r="Q847" s="2">
        <f>IFERROR(AVERAGE(
  IF(ROW()&gt;20, INDEX(G:G, ROW()-20), 0) :
  INDEX(G:G, ROW())
),0)</f>
        <v>291.83168974376861</v>
      </c>
    </row>
    <row r="848" spans="1:17" x14ac:dyDescent="0.4">
      <c r="A848" s="1">
        <v>45058</v>
      </c>
      <c r="B848">
        <v>310.54998779296875</v>
      </c>
      <c r="C848">
        <v>310.64999389648438</v>
      </c>
      <c r="D848">
        <v>306.60000610351563</v>
      </c>
      <c r="E848">
        <v>308.97000122070313</v>
      </c>
      <c r="F848">
        <v>19774700</v>
      </c>
      <c r="G848">
        <v>303.07736206054688</v>
      </c>
      <c r="H848" s="2">
        <f>MONTH(Query1[[#This Row],[Date]])</f>
        <v>5</v>
      </c>
      <c r="I848" s="3">
        <f>Query1[[#This Row],[Shares]]*Query1[[#This Row],[Adj Close]]</f>
        <v>1088744.4942074683</v>
      </c>
      <c r="J848" s="3">
        <f>IF(ROW()&lt;3, Dashboard!$E$7, IF(Query1[[#This Row],[Month]]&lt;&gt;H847,J847*(1+Dashboard!$E$4)+Dashboard!$E$5,J847))</f>
        <v>842204.61351175525</v>
      </c>
      <c r="K848">
        <f>IF(ROW()&lt;3, 0,IF(Query1[[#This Row],[Month]]&lt;&gt;H847,IF((J848-I848&gt;0),J848-I848,0),0))</f>
        <v>0</v>
      </c>
      <c r="L848" s="2">
        <f t="shared" si="13"/>
        <v>3592.2989655359538</v>
      </c>
      <c r="M848">
        <f>IF(ROW()&lt;3, 0, IF(Query1[[#This Row],[Month]]&lt;&gt;H847, Dashboard!$J$5,0))</f>
        <v>0</v>
      </c>
      <c r="N848" s="2">
        <f>IF(ROW()&lt;3, Query1[[#This Row],[Shares]], IF(Query1[[#This Row],[Month]]&lt;&gt;H847, N847+Query1[[#This Row],[Fix Top Up]]/Query1[[#This Row],[Adj Close]], N847))</f>
        <v>3404.8752395730012</v>
      </c>
      <c r="O848">
        <f>IF(AND(Query1[[#This Row],[avg]]&gt;0, Query1[[#This Row],[Month]]&lt;&gt;H847),
    IF(Query1[[#This Row],[Adj Close]]&gt;Query1[[#This Row],[avg]],
       Dashboard!$L$5-Dashboard!$E$6,
       Dashboard!$L$5+Dashboard!$E$6
    ), 0
)</f>
        <v>0</v>
      </c>
      <c r="P848" s="2">
        <f>IF(ROW()&lt;3, Query1[[#This Row],[Shares]], IF(Query1[[#This Row],[Month]]&lt;&gt;H847, P847+Query1[[#This Row],[Enhanced top up]]/Query1[[#This Row],[Adj Close]], P847))</f>
        <v>3398.6415291553021</v>
      </c>
      <c r="Q848" s="2">
        <f>IFERROR(AVERAGE(
  IF(ROW()&gt;20, INDEX(G:G, ROW()-20), 0) :
  INDEX(G:G, ROW())
),0)</f>
        <v>292.72527204241072</v>
      </c>
    </row>
    <row r="849" spans="1:17" x14ac:dyDescent="0.4">
      <c r="A849" s="1">
        <v>45061</v>
      </c>
      <c r="B849">
        <v>309.10000610351563</v>
      </c>
      <c r="C849">
        <v>309.89999389648438</v>
      </c>
      <c r="D849">
        <v>307.58999633789063</v>
      </c>
      <c r="E849">
        <v>309.45999145507813</v>
      </c>
      <c r="F849">
        <v>16336500</v>
      </c>
      <c r="G849">
        <v>303.5579833984375</v>
      </c>
      <c r="H849" s="2">
        <f>MONTH(Query1[[#This Row],[Date]])</f>
        <v>5</v>
      </c>
      <c r="I849" s="3">
        <f>Query1[[#This Row],[Shares]]*Query1[[#This Row],[Adj Close]]</f>
        <v>1090471.0297423874</v>
      </c>
      <c r="J849" s="3">
        <f>IF(ROW()&lt;3, Dashboard!$E$7, IF(Query1[[#This Row],[Month]]&lt;&gt;H848,J848*(1+Dashboard!$E$4)+Dashboard!$E$5,J848))</f>
        <v>842204.61351175525</v>
      </c>
      <c r="K849">
        <f>IF(ROW()&lt;3, 0,IF(Query1[[#This Row],[Month]]&lt;&gt;H848,IF((J849-I849&gt;0),J849-I849,0),0))</f>
        <v>0</v>
      </c>
      <c r="L849" s="2">
        <f t="shared" si="13"/>
        <v>3592.2989655359538</v>
      </c>
      <c r="M849">
        <f>IF(ROW()&lt;3, 0, IF(Query1[[#This Row],[Month]]&lt;&gt;H848, Dashboard!$J$5,0))</f>
        <v>0</v>
      </c>
      <c r="N849" s="2">
        <f>IF(ROW()&lt;3, Query1[[#This Row],[Shares]], IF(Query1[[#This Row],[Month]]&lt;&gt;H848, N848+Query1[[#This Row],[Fix Top Up]]/Query1[[#This Row],[Adj Close]], N848))</f>
        <v>3404.8752395730012</v>
      </c>
      <c r="O849">
        <f>IF(AND(Query1[[#This Row],[avg]]&gt;0, Query1[[#This Row],[Month]]&lt;&gt;H848),
    IF(Query1[[#This Row],[Adj Close]]&gt;Query1[[#This Row],[avg]],
       Dashboard!$L$5-Dashboard!$E$6,
       Dashboard!$L$5+Dashboard!$E$6
    ), 0
)</f>
        <v>0</v>
      </c>
      <c r="P849" s="2">
        <f>IF(ROW()&lt;3, Query1[[#This Row],[Shares]], IF(Query1[[#This Row],[Month]]&lt;&gt;H848, P848+Query1[[#This Row],[Enhanced top up]]/Query1[[#This Row],[Adj Close]], P848))</f>
        <v>3398.6415291553021</v>
      </c>
      <c r="Q849" s="2">
        <f>IFERROR(AVERAGE(
  IF(ROW()&gt;20, INDEX(G:G, ROW()-20), 0) :
  INDEX(G:G, ROW())
),0)</f>
        <v>293.81456647600447</v>
      </c>
    </row>
    <row r="850" spans="1:17" x14ac:dyDescent="0.4">
      <c r="A850" s="1">
        <v>45062</v>
      </c>
      <c r="B850">
        <v>309.82998657226563</v>
      </c>
      <c r="C850">
        <v>313.70999145507813</v>
      </c>
      <c r="D850">
        <v>309.82998657226563</v>
      </c>
      <c r="E850">
        <v>311.739990234375</v>
      </c>
      <c r="F850">
        <v>26730300</v>
      </c>
      <c r="G850">
        <v>305.79449462890625</v>
      </c>
      <c r="H850" s="2">
        <f>MONTH(Query1[[#This Row],[Date]])</f>
        <v>5</v>
      </c>
      <c r="I850" s="3">
        <f>Query1[[#This Row],[Shares]]*Query1[[#This Row],[Adj Close]]</f>
        <v>1098505.2467220097</v>
      </c>
      <c r="J850" s="3">
        <f>IF(ROW()&lt;3, Dashboard!$E$7, IF(Query1[[#This Row],[Month]]&lt;&gt;H849,J849*(1+Dashboard!$E$4)+Dashboard!$E$5,J849))</f>
        <v>842204.61351175525</v>
      </c>
      <c r="K850">
        <f>IF(ROW()&lt;3, 0,IF(Query1[[#This Row],[Month]]&lt;&gt;H849,IF((J850-I850&gt;0),J850-I850,0),0))</f>
        <v>0</v>
      </c>
      <c r="L850" s="2">
        <f t="shared" si="13"/>
        <v>3592.2989655359538</v>
      </c>
      <c r="M850">
        <f>IF(ROW()&lt;3, 0, IF(Query1[[#This Row],[Month]]&lt;&gt;H849, Dashboard!$J$5,0))</f>
        <v>0</v>
      </c>
      <c r="N850" s="2">
        <f>IF(ROW()&lt;3, Query1[[#This Row],[Shares]], IF(Query1[[#This Row],[Month]]&lt;&gt;H849, N849+Query1[[#This Row],[Fix Top Up]]/Query1[[#This Row],[Adj Close]], N849))</f>
        <v>3404.8752395730012</v>
      </c>
      <c r="O850">
        <f>IF(AND(Query1[[#This Row],[avg]]&gt;0, Query1[[#This Row],[Month]]&lt;&gt;H849),
    IF(Query1[[#This Row],[Adj Close]]&gt;Query1[[#This Row],[avg]],
       Dashboard!$L$5-Dashboard!$E$6,
       Dashboard!$L$5+Dashboard!$E$6
    ), 0
)</f>
        <v>0</v>
      </c>
      <c r="P850" s="2">
        <f>IF(ROW()&lt;3, Query1[[#This Row],[Shares]], IF(Query1[[#This Row],[Month]]&lt;&gt;H849, P849+Query1[[#This Row],[Enhanced top up]]/Query1[[#This Row],[Adj Close]], P849))</f>
        <v>3398.6415291553021</v>
      </c>
      <c r="Q850" s="2">
        <f>IFERROR(AVERAGE(
  IF(ROW()&gt;20, INDEX(G:G, ROW()-20), 0) :
  INDEX(G:G, ROW())
),0)</f>
        <v>294.88611421130952</v>
      </c>
    </row>
    <row r="851" spans="1:17" x14ac:dyDescent="0.4">
      <c r="A851" s="1">
        <v>45063</v>
      </c>
      <c r="B851">
        <v>312.29000854492188</v>
      </c>
      <c r="C851">
        <v>314.42999267578125</v>
      </c>
      <c r="D851">
        <v>310.739990234375</v>
      </c>
      <c r="E851">
        <v>314</v>
      </c>
      <c r="F851">
        <v>24315000</v>
      </c>
      <c r="G851">
        <v>308.68478393554688</v>
      </c>
      <c r="H851" s="2">
        <f>MONTH(Query1[[#This Row],[Date]])</f>
        <v>5</v>
      </c>
      <c r="I851" s="3">
        <f>Query1[[#This Row],[Shares]]*Query1[[#This Row],[Adj Close]]</f>
        <v>1108888.0300083545</v>
      </c>
      <c r="J851" s="3">
        <f>IF(ROW()&lt;3, Dashboard!$E$7, IF(Query1[[#This Row],[Month]]&lt;&gt;H850,J850*(1+Dashboard!$E$4)+Dashboard!$E$5,J850))</f>
        <v>842204.61351175525</v>
      </c>
      <c r="K851">
        <f>IF(ROW()&lt;3, 0,IF(Query1[[#This Row],[Month]]&lt;&gt;H850,IF((J851-I851&gt;0),J851-I851,0),0))</f>
        <v>0</v>
      </c>
      <c r="L851" s="2">
        <f t="shared" si="13"/>
        <v>3592.2989655359538</v>
      </c>
      <c r="M851">
        <f>IF(ROW()&lt;3, 0, IF(Query1[[#This Row],[Month]]&lt;&gt;H850, Dashboard!$J$5,0))</f>
        <v>0</v>
      </c>
      <c r="N851" s="2">
        <f>IF(ROW()&lt;3, Query1[[#This Row],[Shares]], IF(Query1[[#This Row],[Month]]&lt;&gt;H850, N850+Query1[[#This Row],[Fix Top Up]]/Query1[[#This Row],[Adj Close]], N850))</f>
        <v>3404.8752395730012</v>
      </c>
      <c r="O851">
        <f>IF(AND(Query1[[#This Row],[avg]]&gt;0, Query1[[#This Row],[Month]]&lt;&gt;H850),
    IF(Query1[[#This Row],[Adj Close]]&gt;Query1[[#This Row],[avg]],
       Dashboard!$L$5-Dashboard!$E$6,
       Dashboard!$L$5+Dashboard!$E$6
    ), 0
)</f>
        <v>0</v>
      </c>
      <c r="P851" s="2">
        <f>IF(ROW()&lt;3, Query1[[#This Row],[Shares]], IF(Query1[[#This Row],[Month]]&lt;&gt;H850, P850+Query1[[#This Row],[Enhanced top up]]/Query1[[#This Row],[Adj Close]], P850))</f>
        <v>3398.6415291553021</v>
      </c>
      <c r="Q851" s="2">
        <f>IFERROR(AVERAGE(
  IF(ROW()&gt;20, INDEX(G:G, ROW()-20), 0) :
  INDEX(G:G, ROW())
),0)</f>
        <v>296.1153782435826</v>
      </c>
    </row>
    <row r="852" spans="1:17" x14ac:dyDescent="0.4">
      <c r="A852" s="1">
        <v>45064</v>
      </c>
      <c r="B852">
        <v>314.52999877929688</v>
      </c>
      <c r="C852">
        <v>319.04000854492188</v>
      </c>
      <c r="D852">
        <v>313.72000122070313</v>
      </c>
      <c r="E852">
        <v>318.51998901367188</v>
      </c>
      <c r="F852">
        <v>27276000</v>
      </c>
      <c r="G852">
        <v>313.12823486328125</v>
      </c>
      <c r="H852" s="2">
        <f>MONTH(Query1[[#This Row],[Date]])</f>
        <v>5</v>
      </c>
      <c r="I852" s="3">
        <f>Query1[[#This Row],[Shares]]*Query1[[#This Row],[Adj Close]]</f>
        <v>1124850.2341794644</v>
      </c>
      <c r="J852" s="3">
        <f>IF(ROW()&lt;3, Dashboard!$E$7, IF(Query1[[#This Row],[Month]]&lt;&gt;H851,J851*(1+Dashboard!$E$4)+Dashboard!$E$5,J851))</f>
        <v>842204.61351175525</v>
      </c>
      <c r="K852">
        <f>IF(ROW()&lt;3, 0,IF(Query1[[#This Row],[Month]]&lt;&gt;H851,IF((J852-I852&gt;0),J852-I852,0),0))</f>
        <v>0</v>
      </c>
      <c r="L852" s="2">
        <f t="shared" si="13"/>
        <v>3592.2989655359538</v>
      </c>
      <c r="M852">
        <f>IF(ROW()&lt;3, 0, IF(Query1[[#This Row],[Month]]&lt;&gt;H851, Dashboard!$J$5,0))</f>
        <v>0</v>
      </c>
      <c r="N852" s="2">
        <f>IF(ROW()&lt;3, Query1[[#This Row],[Shares]], IF(Query1[[#This Row],[Month]]&lt;&gt;H851, N851+Query1[[#This Row],[Fix Top Up]]/Query1[[#This Row],[Adj Close]], N851))</f>
        <v>3404.8752395730012</v>
      </c>
      <c r="O852">
        <f>IF(AND(Query1[[#This Row],[avg]]&gt;0, Query1[[#This Row],[Month]]&lt;&gt;H851),
    IF(Query1[[#This Row],[Adj Close]]&gt;Query1[[#This Row],[avg]],
       Dashboard!$L$5-Dashboard!$E$6,
       Dashboard!$L$5+Dashboard!$E$6
    ), 0
)</f>
        <v>0</v>
      </c>
      <c r="P852" s="2">
        <f>IF(ROW()&lt;3, Query1[[#This Row],[Shares]], IF(Query1[[#This Row],[Month]]&lt;&gt;H851, P851+Query1[[#This Row],[Enhanced top up]]/Query1[[#This Row],[Adj Close]], P851))</f>
        <v>3398.6415291553021</v>
      </c>
      <c r="Q852" s="2">
        <f>IFERROR(AVERAGE(
  IF(ROW()&gt;20, INDEX(G:G, ROW()-20), 0) :
  INDEX(G:G, ROW())
),0)</f>
        <v>297.55250040690106</v>
      </c>
    </row>
    <row r="853" spans="1:17" x14ac:dyDescent="0.4">
      <c r="A853" s="1">
        <v>45065</v>
      </c>
      <c r="B853">
        <v>316.739990234375</v>
      </c>
      <c r="C853">
        <v>318.75</v>
      </c>
      <c r="D853">
        <v>316.3699951171875</v>
      </c>
      <c r="E853">
        <v>318.33999633789063</v>
      </c>
      <c r="F853">
        <v>27546700</v>
      </c>
      <c r="G853">
        <v>312.95123291015625</v>
      </c>
      <c r="H853" s="2">
        <f>MONTH(Query1[[#This Row],[Date]])</f>
        <v>5</v>
      </c>
      <c r="I853" s="3">
        <f>Query1[[#This Row],[Shares]]*Query1[[#This Row],[Adj Close]]</f>
        <v>1124214.3902463557</v>
      </c>
      <c r="J853" s="3">
        <f>IF(ROW()&lt;3, Dashboard!$E$7, IF(Query1[[#This Row],[Month]]&lt;&gt;H852,J852*(1+Dashboard!$E$4)+Dashboard!$E$5,J852))</f>
        <v>842204.61351175525</v>
      </c>
      <c r="K853">
        <f>IF(ROW()&lt;3, 0,IF(Query1[[#This Row],[Month]]&lt;&gt;H852,IF((J853-I853&gt;0),J853-I853,0),0))</f>
        <v>0</v>
      </c>
      <c r="L853" s="2">
        <f t="shared" si="13"/>
        <v>3592.2989655359538</v>
      </c>
      <c r="M853">
        <f>IF(ROW()&lt;3, 0, IF(Query1[[#This Row],[Month]]&lt;&gt;H852, Dashboard!$J$5,0))</f>
        <v>0</v>
      </c>
      <c r="N853" s="2">
        <f>IF(ROW()&lt;3, Query1[[#This Row],[Shares]], IF(Query1[[#This Row],[Month]]&lt;&gt;H852, N852+Query1[[#This Row],[Fix Top Up]]/Query1[[#This Row],[Adj Close]], N852))</f>
        <v>3404.8752395730012</v>
      </c>
      <c r="O853">
        <f>IF(AND(Query1[[#This Row],[avg]]&gt;0, Query1[[#This Row],[Month]]&lt;&gt;H852),
    IF(Query1[[#This Row],[Adj Close]]&gt;Query1[[#This Row],[avg]],
       Dashboard!$L$5-Dashboard!$E$6,
       Dashboard!$L$5+Dashboard!$E$6
    ), 0
)</f>
        <v>0</v>
      </c>
      <c r="P853" s="2">
        <f>IF(ROW()&lt;3, Query1[[#This Row],[Shares]], IF(Query1[[#This Row],[Month]]&lt;&gt;H852, P852+Query1[[#This Row],[Enhanced top up]]/Query1[[#This Row],[Adj Close]], P852))</f>
        <v>3398.6415291553021</v>
      </c>
      <c r="Q853" s="2">
        <f>IFERROR(AVERAGE(
  IF(ROW()&gt;20, INDEX(G:G, ROW()-20), 0) :
  INDEX(G:G, ROW())
),0)</f>
        <v>299.09049769810269</v>
      </c>
    </row>
    <row r="854" spans="1:17" x14ac:dyDescent="0.4">
      <c r="A854" s="1">
        <v>45068</v>
      </c>
      <c r="B854">
        <v>318.60000610351563</v>
      </c>
      <c r="C854">
        <v>322.58999633789063</v>
      </c>
      <c r="D854">
        <v>318.010009765625</v>
      </c>
      <c r="E854">
        <v>321.17999267578125</v>
      </c>
      <c r="F854">
        <v>24115700</v>
      </c>
      <c r="G854">
        <v>315.7431640625</v>
      </c>
      <c r="H854" s="2">
        <f>MONTH(Query1[[#This Row],[Date]])</f>
        <v>5</v>
      </c>
      <c r="I854" s="3">
        <f>Query1[[#This Row],[Shares]]*Query1[[#This Row],[Adj Close]]</f>
        <v>1134243.8416367676</v>
      </c>
      <c r="J854" s="3">
        <f>IF(ROW()&lt;3, Dashboard!$E$7, IF(Query1[[#This Row],[Month]]&lt;&gt;H853,J853*(1+Dashboard!$E$4)+Dashboard!$E$5,J853))</f>
        <v>842204.61351175525</v>
      </c>
      <c r="K854">
        <f>IF(ROW()&lt;3, 0,IF(Query1[[#This Row],[Month]]&lt;&gt;H853,IF((J854-I854&gt;0),J854-I854,0),0))</f>
        <v>0</v>
      </c>
      <c r="L854" s="2">
        <f t="shared" si="13"/>
        <v>3592.2989655359538</v>
      </c>
      <c r="M854">
        <f>IF(ROW()&lt;3, 0, IF(Query1[[#This Row],[Month]]&lt;&gt;H853, Dashboard!$J$5,0))</f>
        <v>0</v>
      </c>
      <c r="N854" s="2">
        <f>IF(ROW()&lt;3, Query1[[#This Row],[Shares]], IF(Query1[[#This Row],[Month]]&lt;&gt;H853, N853+Query1[[#This Row],[Fix Top Up]]/Query1[[#This Row],[Adj Close]], N853))</f>
        <v>3404.8752395730012</v>
      </c>
      <c r="O854">
        <f>IF(AND(Query1[[#This Row],[avg]]&gt;0, Query1[[#This Row],[Month]]&lt;&gt;H853),
    IF(Query1[[#This Row],[Adj Close]]&gt;Query1[[#This Row],[avg]],
       Dashboard!$L$5-Dashboard!$E$6,
       Dashboard!$L$5+Dashboard!$E$6
    ), 0
)</f>
        <v>0</v>
      </c>
      <c r="P854" s="2">
        <f>IF(ROW()&lt;3, Query1[[#This Row],[Shares]], IF(Query1[[#This Row],[Month]]&lt;&gt;H853, P853+Query1[[#This Row],[Enhanced top up]]/Query1[[#This Row],[Adj Close]], P853))</f>
        <v>3398.6415291553021</v>
      </c>
      <c r="Q854" s="2">
        <f>IFERROR(AVERAGE(
  IF(ROW()&gt;20, INDEX(G:G, ROW()-20), 0) :
  INDEX(G:G, ROW())
),0)</f>
        <v>300.77779134114581</v>
      </c>
    </row>
    <row r="855" spans="1:17" x14ac:dyDescent="0.4">
      <c r="A855" s="1">
        <v>45069</v>
      </c>
      <c r="B855">
        <v>320.02999877929688</v>
      </c>
      <c r="C855">
        <v>322.72000122070313</v>
      </c>
      <c r="D855">
        <v>315.25</v>
      </c>
      <c r="E855">
        <v>315.260009765625</v>
      </c>
      <c r="F855">
        <v>30797200</v>
      </c>
      <c r="G855">
        <v>309.9234619140625</v>
      </c>
      <c r="H855" s="2">
        <f>MONTH(Query1[[#This Row],[Date]])</f>
        <v>5</v>
      </c>
      <c r="I855" s="3">
        <f>Query1[[#This Row],[Shares]]*Query1[[#This Row],[Adj Close]]</f>
        <v>1113337.7316292082</v>
      </c>
      <c r="J855" s="3">
        <f>IF(ROW()&lt;3, Dashboard!$E$7, IF(Query1[[#This Row],[Month]]&lt;&gt;H854,J854*(1+Dashboard!$E$4)+Dashboard!$E$5,J854))</f>
        <v>842204.61351175525</v>
      </c>
      <c r="K855">
        <f>IF(ROW()&lt;3, 0,IF(Query1[[#This Row],[Month]]&lt;&gt;H854,IF((J855-I855&gt;0),J855-I855,0),0))</f>
        <v>0</v>
      </c>
      <c r="L855" s="2">
        <f t="shared" si="13"/>
        <v>3592.2989655359538</v>
      </c>
      <c r="M855">
        <f>IF(ROW()&lt;3, 0, IF(Query1[[#This Row],[Month]]&lt;&gt;H854, Dashboard!$J$5,0))</f>
        <v>0</v>
      </c>
      <c r="N855" s="2">
        <f>IF(ROW()&lt;3, Query1[[#This Row],[Shares]], IF(Query1[[#This Row],[Month]]&lt;&gt;H854, N854+Query1[[#This Row],[Fix Top Up]]/Query1[[#This Row],[Adj Close]], N854))</f>
        <v>3404.8752395730012</v>
      </c>
      <c r="O855">
        <f>IF(AND(Query1[[#This Row],[avg]]&gt;0, Query1[[#This Row],[Month]]&lt;&gt;H854),
    IF(Query1[[#This Row],[Adj Close]]&gt;Query1[[#This Row],[avg]],
       Dashboard!$L$5-Dashboard!$E$6,
       Dashboard!$L$5+Dashboard!$E$6
    ), 0
)</f>
        <v>0</v>
      </c>
      <c r="P855" s="2">
        <f>IF(ROW()&lt;3, Query1[[#This Row],[Shares]], IF(Query1[[#This Row],[Month]]&lt;&gt;H854, P854+Query1[[#This Row],[Enhanced top up]]/Query1[[#This Row],[Adj Close]], P854))</f>
        <v>3398.6415291553021</v>
      </c>
      <c r="Q855" s="2">
        <f>IFERROR(AVERAGE(
  IF(ROW()&gt;20, INDEX(G:G, ROW()-20), 0) :
  INDEX(G:G, ROW())
),0)</f>
        <v>302.37433442615327</v>
      </c>
    </row>
    <row r="856" spans="1:17" x14ac:dyDescent="0.4">
      <c r="A856" s="1">
        <v>45070</v>
      </c>
      <c r="B856">
        <v>314.73001098632813</v>
      </c>
      <c r="C856">
        <v>316.5</v>
      </c>
      <c r="D856">
        <v>312.6099853515625</v>
      </c>
      <c r="E856">
        <v>313.85000610351563</v>
      </c>
      <c r="F856">
        <v>23384900</v>
      </c>
      <c r="G856">
        <v>308.53729248046875</v>
      </c>
      <c r="H856" s="2">
        <f>MONTH(Query1[[#This Row],[Date]])</f>
        <v>5</v>
      </c>
      <c r="I856" s="3">
        <f>Query1[[#This Row],[Shares]]*Query1[[#This Row],[Adj Close]]</f>
        <v>1108358.1966068519</v>
      </c>
      <c r="J856" s="3">
        <f>IF(ROW()&lt;3, Dashboard!$E$7, IF(Query1[[#This Row],[Month]]&lt;&gt;H855,J855*(1+Dashboard!$E$4)+Dashboard!$E$5,J855))</f>
        <v>842204.61351175525</v>
      </c>
      <c r="K856">
        <f>IF(ROW()&lt;3, 0,IF(Query1[[#This Row],[Month]]&lt;&gt;H855,IF((J856-I856&gt;0),J856-I856,0),0))</f>
        <v>0</v>
      </c>
      <c r="L856" s="2">
        <f t="shared" si="13"/>
        <v>3592.2989655359538</v>
      </c>
      <c r="M856">
        <f>IF(ROW()&lt;3, 0, IF(Query1[[#This Row],[Month]]&lt;&gt;H855, Dashboard!$J$5,0))</f>
        <v>0</v>
      </c>
      <c r="N856" s="2">
        <f>IF(ROW()&lt;3, Query1[[#This Row],[Shares]], IF(Query1[[#This Row],[Month]]&lt;&gt;H855, N855+Query1[[#This Row],[Fix Top Up]]/Query1[[#This Row],[Adj Close]], N855))</f>
        <v>3404.8752395730012</v>
      </c>
      <c r="O856">
        <f>IF(AND(Query1[[#This Row],[avg]]&gt;0, Query1[[#This Row],[Month]]&lt;&gt;H855),
    IF(Query1[[#This Row],[Adj Close]]&gt;Query1[[#This Row],[avg]],
       Dashboard!$L$5-Dashboard!$E$6,
       Dashboard!$L$5+Dashboard!$E$6
    ), 0
)</f>
        <v>0</v>
      </c>
      <c r="P856" s="2">
        <f>IF(ROW()&lt;3, Query1[[#This Row],[Shares]], IF(Query1[[#This Row],[Month]]&lt;&gt;H855, P855+Query1[[#This Row],[Enhanced top up]]/Query1[[#This Row],[Adj Close]], P855))</f>
        <v>3398.6415291553021</v>
      </c>
      <c r="Q856" s="2">
        <f>IFERROR(AVERAGE(
  IF(ROW()&gt;20, INDEX(G:G, ROW()-20), 0) :
  INDEX(G:G, ROW())
),0)</f>
        <v>304.20147995721726</v>
      </c>
    </row>
    <row r="857" spans="1:17" x14ac:dyDescent="0.4">
      <c r="A857" s="1">
        <v>45071</v>
      </c>
      <c r="B857">
        <v>323.239990234375</v>
      </c>
      <c r="C857">
        <v>326.89999389648438</v>
      </c>
      <c r="D857">
        <v>320</v>
      </c>
      <c r="E857">
        <v>325.92001342773438</v>
      </c>
      <c r="F857">
        <v>43301700</v>
      </c>
      <c r="G857">
        <v>320.40301513671875</v>
      </c>
      <c r="H857" s="2">
        <f>MONTH(Query1[[#This Row],[Date]])</f>
        <v>5</v>
      </c>
      <c r="I857" s="3">
        <f>Query1[[#This Row],[Shares]]*Query1[[#This Row],[Adj Close]]</f>
        <v>1150983.4198302354</v>
      </c>
      <c r="J857" s="3">
        <f>IF(ROW()&lt;3, Dashboard!$E$7, IF(Query1[[#This Row],[Month]]&lt;&gt;H856,J856*(1+Dashboard!$E$4)+Dashboard!$E$5,J856))</f>
        <v>842204.61351175525</v>
      </c>
      <c r="K857">
        <f>IF(ROW()&lt;3, 0,IF(Query1[[#This Row],[Month]]&lt;&gt;H856,IF((J857-I857&gt;0),J857-I857,0),0))</f>
        <v>0</v>
      </c>
      <c r="L857" s="2">
        <f t="shared" si="13"/>
        <v>3592.2989655359538</v>
      </c>
      <c r="M857">
        <f>IF(ROW()&lt;3, 0, IF(Query1[[#This Row],[Month]]&lt;&gt;H856, Dashboard!$J$5,0))</f>
        <v>0</v>
      </c>
      <c r="N857" s="2">
        <f>IF(ROW()&lt;3, Query1[[#This Row],[Shares]], IF(Query1[[#This Row],[Month]]&lt;&gt;H856, N856+Query1[[#This Row],[Fix Top Up]]/Query1[[#This Row],[Adj Close]], N856))</f>
        <v>3404.8752395730012</v>
      </c>
      <c r="O857">
        <f>IF(AND(Query1[[#This Row],[avg]]&gt;0, Query1[[#This Row],[Month]]&lt;&gt;H856),
    IF(Query1[[#This Row],[Adj Close]]&gt;Query1[[#This Row],[avg]],
       Dashboard!$L$5-Dashboard!$E$6,
       Dashboard!$L$5+Dashboard!$E$6
    ), 0
)</f>
        <v>0</v>
      </c>
      <c r="P857" s="2">
        <f>IF(ROW()&lt;3, Query1[[#This Row],[Shares]], IF(Query1[[#This Row],[Month]]&lt;&gt;H856, P856+Query1[[#This Row],[Enhanced top up]]/Query1[[#This Row],[Adj Close]], P856))</f>
        <v>3398.6415291553021</v>
      </c>
      <c r="Q857" s="2">
        <f>IFERROR(AVERAGE(
  IF(ROW()&gt;20, INDEX(G:G, ROW()-20), 0) :
  INDEX(G:G, ROW())
),0)</f>
        <v>305.66178240094865</v>
      </c>
    </row>
    <row r="858" spans="1:17" x14ac:dyDescent="0.4">
      <c r="A858" s="1">
        <v>45072</v>
      </c>
      <c r="B858">
        <v>324.01998901367188</v>
      </c>
      <c r="C858">
        <v>333.39999389648438</v>
      </c>
      <c r="D858">
        <v>323.8800048828125</v>
      </c>
      <c r="E858">
        <v>332.8900146484375</v>
      </c>
      <c r="F858">
        <v>36630600</v>
      </c>
      <c r="G858">
        <v>327.2550048828125</v>
      </c>
      <c r="H858" s="2">
        <f>MONTH(Query1[[#This Row],[Date]])</f>
        <v>5</v>
      </c>
      <c r="I858" s="3">
        <f>Query1[[#This Row],[Shares]]*Query1[[#This Row],[Adj Close]]</f>
        <v>1175597.8155069908</v>
      </c>
      <c r="J858" s="3">
        <f>IF(ROW()&lt;3, Dashboard!$E$7, IF(Query1[[#This Row],[Month]]&lt;&gt;H857,J857*(1+Dashboard!$E$4)+Dashboard!$E$5,J857))</f>
        <v>842204.61351175525</v>
      </c>
      <c r="K858">
        <f>IF(ROW()&lt;3, 0,IF(Query1[[#This Row],[Month]]&lt;&gt;H857,IF((J858-I858&gt;0),J858-I858,0),0))</f>
        <v>0</v>
      </c>
      <c r="L858" s="2">
        <f t="shared" si="13"/>
        <v>3592.2989655359538</v>
      </c>
      <c r="M858">
        <f>IF(ROW()&lt;3, 0, IF(Query1[[#This Row],[Month]]&lt;&gt;H857, Dashboard!$J$5,0))</f>
        <v>0</v>
      </c>
      <c r="N858" s="2">
        <f>IF(ROW()&lt;3, Query1[[#This Row],[Shares]], IF(Query1[[#This Row],[Month]]&lt;&gt;H857, N857+Query1[[#This Row],[Fix Top Up]]/Query1[[#This Row],[Adj Close]], N857))</f>
        <v>3404.8752395730012</v>
      </c>
      <c r="O858">
        <f>IF(AND(Query1[[#This Row],[avg]]&gt;0, Query1[[#This Row],[Month]]&lt;&gt;H857),
    IF(Query1[[#This Row],[Adj Close]]&gt;Query1[[#This Row],[avg]],
       Dashboard!$L$5-Dashboard!$E$6,
       Dashboard!$L$5+Dashboard!$E$6
    ), 0
)</f>
        <v>0</v>
      </c>
      <c r="P858" s="2">
        <f>IF(ROW()&lt;3, Query1[[#This Row],[Shares]], IF(Query1[[#This Row],[Month]]&lt;&gt;H857, P857+Query1[[#This Row],[Enhanced top up]]/Query1[[#This Row],[Adj Close]], P857))</f>
        <v>3398.6415291553021</v>
      </c>
      <c r="Q858" s="2">
        <f>IFERROR(AVERAGE(
  IF(ROW()&gt;20, INDEX(G:G, ROW()-20), 0) :
  INDEX(G:G, ROW())
),0)</f>
        <v>307.00648425874255</v>
      </c>
    </row>
    <row r="859" spans="1:17" x14ac:dyDescent="0.4">
      <c r="A859" s="1">
        <v>45076</v>
      </c>
      <c r="B859">
        <v>335.23001098632813</v>
      </c>
      <c r="C859">
        <v>335.739990234375</v>
      </c>
      <c r="D859">
        <v>330.51998901367188</v>
      </c>
      <c r="E859">
        <v>331.20999145507813</v>
      </c>
      <c r="F859">
        <v>29503100</v>
      </c>
      <c r="G859">
        <v>325.60336303710938</v>
      </c>
      <c r="H859" s="2">
        <f>MONTH(Query1[[#This Row],[Date]])</f>
        <v>5</v>
      </c>
      <c r="I859" s="3">
        <f>Query1[[#This Row],[Shares]]*Query1[[#This Row],[Adj Close]]</f>
        <v>1169664.6242132357</v>
      </c>
      <c r="J859" s="3">
        <f>IF(ROW()&lt;3, Dashboard!$E$7, IF(Query1[[#This Row],[Month]]&lt;&gt;H858,J858*(1+Dashboard!$E$4)+Dashboard!$E$5,J858))</f>
        <v>842204.61351175525</v>
      </c>
      <c r="K859">
        <f>IF(ROW()&lt;3, 0,IF(Query1[[#This Row],[Month]]&lt;&gt;H858,IF((J859-I859&gt;0),J859-I859,0),0))</f>
        <v>0</v>
      </c>
      <c r="L859" s="2">
        <f t="shared" si="13"/>
        <v>3592.2989655359538</v>
      </c>
      <c r="M859">
        <f>IF(ROW()&lt;3, 0, IF(Query1[[#This Row],[Month]]&lt;&gt;H858, Dashboard!$J$5,0))</f>
        <v>0</v>
      </c>
      <c r="N859" s="2">
        <f>IF(ROW()&lt;3, Query1[[#This Row],[Shares]], IF(Query1[[#This Row],[Month]]&lt;&gt;H858, N858+Query1[[#This Row],[Fix Top Up]]/Query1[[#This Row],[Adj Close]], N858))</f>
        <v>3404.8752395730012</v>
      </c>
      <c r="O859">
        <f>IF(AND(Query1[[#This Row],[avg]]&gt;0, Query1[[#This Row],[Month]]&lt;&gt;H858),
    IF(Query1[[#This Row],[Adj Close]]&gt;Query1[[#This Row],[avg]],
       Dashboard!$L$5-Dashboard!$E$6,
       Dashboard!$L$5+Dashboard!$E$6
    ), 0
)</f>
        <v>0</v>
      </c>
      <c r="P859" s="2">
        <f>IF(ROW()&lt;3, Query1[[#This Row],[Shares]], IF(Query1[[#This Row],[Month]]&lt;&gt;H858, P858+Query1[[#This Row],[Enhanced top up]]/Query1[[#This Row],[Adj Close]], P858))</f>
        <v>3398.6415291553021</v>
      </c>
      <c r="Q859" s="2">
        <f>IFERROR(AVERAGE(
  IF(ROW()&gt;20, INDEX(G:G, ROW()-20), 0) :
  INDEX(G:G, ROW())
),0)</f>
        <v>308.15902855282741</v>
      </c>
    </row>
    <row r="860" spans="1:17" x14ac:dyDescent="0.4">
      <c r="A860" s="1">
        <v>45077</v>
      </c>
      <c r="B860">
        <v>332.29000854492188</v>
      </c>
      <c r="C860">
        <v>335.94000244140625</v>
      </c>
      <c r="D860">
        <v>327.32998657226563</v>
      </c>
      <c r="E860">
        <v>328.3900146484375</v>
      </c>
      <c r="F860">
        <v>45950600</v>
      </c>
      <c r="G860">
        <v>322.8311767578125</v>
      </c>
      <c r="H860" s="2">
        <f>MONTH(Query1[[#This Row],[Date]])</f>
        <v>5</v>
      </c>
      <c r="I860" s="3">
        <f>Query1[[#This Row],[Shares]]*Query1[[#This Row],[Adj Close]]</f>
        <v>1159706.1023098445</v>
      </c>
      <c r="J860" s="3">
        <f>IF(ROW()&lt;3, Dashboard!$E$7, IF(Query1[[#This Row],[Month]]&lt;&gt;H859,J859*(1+Dashboard!$E$4)+Dashboard!$E$5,J859))</f>
        <v>842204.61351175525</v>
      </c>
      <c r="K860">
        <f>IF(ROW()&lt;3, 0,IF(Query1[[#This Row],[Month]]&lt;&gt;H859,IF((J860-I860&gt;0),J860-I860,0),0))</f>
        <v>0</v>
      </c>
      <c r="L860" s="2">
        <f t="shared" si="13"/>
        <v>3592.2989655359538</v>
      </c>
      <c r="M860">
        <f>IF(ROW()&lt;3, 0, IF(Query1[[#This Row],[Month]]&lt;&gt;H859, Dashboard!$J$5,0))</f>
        <v>0</v>
      </c>
      <c r="N860" s="2">
        <f>IF(ROW()&lt;3, Query1[[#This Row],[Shares]], IF(Query1[[#This Row],[Month]]&lt;&gt;H859, N859+Query1[[#This Row],[Fix Top Up]]/Query1[[#This Row],[Adj Close]], N859))</f>
        <v>3404.8752395730012</v>
      </c>
      <c r="O860">
        <f>IF(AND(Query1[[#This Row],[avg]]&gt;0, Query1[[#This Row],[Month]]&lt;&gt;H859),
    IF(Query1[[#This Row],[Adj Close]]&gt;Query1[[#This Row],[avg]],
       Dashboard!$L$5-Dashboard!$E$6,
       Dashboard!$L$5+Dashboard!$E$6
    ), 0
)</f>
        <v>0</v>
      </c>
      <c r="P860" s="2">
        <f>IF(ROW()&lt;3, Query1[[#This Row],[Shares]], IF(Query1[[#This Row],[Month]]&lt;&gt;H859, P859+Query1[[#This Row],[Enhanced top up]]/Query1[[#This Row],[Adj Close]], P859))</f>
        <v>3398.6415291553021</v>
      </c>
      <c r="Q860" s="2">
        <f>IFERROR(AVERAGE(
  IF(ROW()&gt;20, INDEX(G:G, ROW()-20), 0) :
  INDEX(G:G, ROW())
),0)</f>
        <v>309.25897071475072</v>
      </c>
    </row>
    <row r="861" spans="1:17" x14ac:dyDescent="0.4">
      <c r="A861" s="1">
        <v>45078</v>
      </c>
      <c r="B861">
        <v>325.92999267578125</v>
      </c>
      <c r="C861">
        <v>333.52999877929688</v>
      </c>
      <c r="D861">
        <v>324.72000122070313</v>
      </c>
      <c r="E861">
        <v>332.57998657226563</v>
      </c>
      <c r="F861">
        <v>26773900</v>
      </c>
      <c r="G861">
        <v>326.95022583007813</v>
      </c>
      <c r="H861" s="2">
        <f>MONTH(Query1[[#This Row],[Date]])</f>
        <v>6</v>
      </c>
      <c r="I861" s="3">
        <f>Query1[[#This Row],[Shares]]*Query1[[#This Row],[Adj Close]]</f>
        <v>1174502.9580311361</v>
      </c>
      <c r="J861" s="3">
        <f>IF(ROW()&lt;3, Dashboard!$E$7, IF(Query1[[#This Row],[Month]]&lt;&gt;H860,J860*(1+Dashboard!$E$4)+Dashboard!$E$5,J860))</f>
        <v>852626.65964687278</v>
      </c>
      <c r="K861">
        <f>IF(ROW()&lt;3, 0,IF(Query1[[#This Row],[Month]]&lt;&gt;H860,IF((J861-I861&gt;0),J861-I861,0),0))</f>
        <v>0</v>
      </c>
      <c r="L861" s="2">
        <f t="shared" si="13"/>
        <v>3592.2989655359538</v>
      </c>
      <c r="M861">
        <f>IF(ROW()&lt;3, 0, IF(Query1[[#This Row],[Month]]&lt;&gt;H860, Dashboard!$J$5,0))</f>
        <v>773.47399999999971</v>
      </c>
      <c r="N861" s="2">
        <f>IF(ROW()&lt;3, Query1[[#This Row],[Shares]], IF(Query1[[#This Row],[Month]]&lt;&gt;H860, N860+Query1[[#This Row],[Fix Top Up]]/Query1[[#This Row],[Adj Close]], N860))</f>
        <v>3407.2409635850777</v>
      </c>
      <c r="O861">
        <f>IF(AND(Query1[[#This Row],[avg]]&gt;0, Query1[[#This Row],[Month]]&lt;&gt;H860),
    IF(Query1[[#This Row],[Adj Close]]&gt;Query1[[#This Row],[avg]],
       Dashboard!$L$5-Dashboard!$E$6,
       Dashboard!$L$5+Dashboard!$E$6
    ), 0
)</f>
        <v>390.14066666666668</v>
      </c>
      <c r="P861" s="2">
        <f>IF(ROW()&lt;3, Query1[[#This Row],[Shares]], IF(Query1[[#This Row],[Month]]&lt;&gt;H860, P860+Query1[[#This Row],[Enhanced top up]]/Query1[[#This Row],[Adj Close]], P860))</f>
        <v>3399.8348015125125</v>
      </c>
      <c r="Q861" s="2">
        <f>IFERROR(AVERAGE(
  IF(ROW()&gt;20, INDEX(G:G, ROW()-20), 0) :
  INDEX(G:G, ROW())
),0)</f>
        <v>310.56206403459822</v>
      </c>
    </row>
    <row r="862" spans="1:17" x14ac:dyDescent="0.4">
      <c r="A862" s="1">
        <v>45079</v>
      </c>
      <c r="B862">
        <v>334.25</v>
      </c>
      <c r="C862">
        <v>337.5</v>
      </c>
      <c r="D862">
        <v>332.54998779296875</v>
      </c>
      <c r="E862">
        <v>335.39999389648438</v>
      </c>
      <c r="F862">
        <v>25873800</v>
      </c>
      <c r="G862">
        <v>329.72247314453125</v>
      </c>
      <c r="H862" s="2">
        <f>MONTH(Query1[[#This Row],[Date]])</f>
        <v>6</v>
      </c>
      <c r="I862" s="3">
        <f>Query1[[#This Row],[Shares]]*Query1[[#This Row],[Adj Close]]</f>
        <v>1184461.699191056</v>
      </c>
      <c r="J862" s="3">
        <f>IF(ROW()&lt;3, Dashboard!$E$7, IF(Query1[[#This Row],[Month]]&lt;&gt;H861,J861*(1+Dashboard!$E$4)+Dashboard!$E$5,J861))</f>
        <v>852626.65964687278</v>
      </c>
      <c r="K862">
        <f>IF(ROW()&lt;3, 0,IF(Query1[[#This Row],[Month]]&lt;&gt;H861,IF((J862-I862&gt;0),J862-I862,0),0))</f>
        <v>0</v>
      </c>
      <c r="L862" s="2">
        <f t="shared" si="13"/>
        <v>3592.2989655359538</v>
      </c>
      <c r="M862">
        <f>IF(ROW()&lt;3, 0, IF(Query1[[#This Row],[Month]]&lt;&gt;H861, Dashboard!$J$5,0))</f>
        <v>0</v>
      </c>
      <c r="N862" s="2">
        <f>IF(ROW()&lt;3, Query1[[#This Row],[Shares]], IF(Query1[[#This Row],[Month]]&lt;&gt;H861, N861+Query1[[#This Row],[Fix Top Up]]/Query1[[#This Row],[Adj Close]], N861))</f>
        <v>3407.2409635850777</v>
      </c>
      <c r="O862">
        <f>IF(AND(Query1[[#This Row],[avg]]&gt;0, Query1[[#This Row],[Month]]&lt;&gt;H861),
    IF(Query1[[#This Row],[Adj Close]]&gt;Query1[[#This Row],[avg]],
       Dashboard!$L$5-Dashboard!$E$6,
       Dashboard!$L$5+Dashboard!$E$6
    ), 0
)</f>
        <v>0</v>
      </c>
      <c r="P862" s="2">
        <f>IF(ROW()&lt;3, Query1[[#This Row],[Shares]], IF(Query1[[#This Row],[Month]]&lt;&gt;H861, P861+Query1[[#This Row],[Enhanced top up]]/Query1[[#This Row],[Adj Close]], P861))</f>
        <v>3399.8348015125125</v>
      </c>
      <c r="Q862" s="2">
        <f>IFERROR(AVERAGE(
  IF(ROW()&gt;20, INDEX(G:G, ROW()-20), 0) :
  INDEX(G:G, ROW())
),0)</f>
        <v>312.04435076032365</v>
      </c>
    </row>
    <row r="863" spans="1:17" x14ac:dyDescent="0.4">
      <c r="A863" s="1">
        <v>45082</v>
      </c>
      <c r="B863">
        <v>335.22000122070313</v>
      </c>
      <c r="C863">
        <v>338.55999755859375</v>
      </c>
      <c r="D863">
        <v>334.66000366210938</v>
      </c>
      <c r="E863">
        <v>335.94000244140625</v>
      </c>
      <c r="F863">
        <v>21307100</v>
      </c>
      <c r="G863">
        <v>330.25332641601563</v>
      </c>
      <c r="H863" s="2">
        <f>MONTH(Query1[[#This Row],[Date]])</f>
        <v>6</v>
      </c>
      <c r="I863" s="3">
        <f>Query1[[#This Row],[Shares]]*Query1[[#This Row],[Adj Close]]</f>
        <v>1186368.6828490605</v>
      </c>
      <c r="J863" s="3">
        <f>IF(ROW()&lt;3, Dashboard!$E$7, IF(Query1[[#This Row],[Month]]&lt;&gt;H862,J862*(1+Dashboard!$E$4)+Dashboard!$E$5,J862))</f>
        <v>852626.65964687278</v>
      </c>
      <c r="K863">
        <f>IF(ROW()&lt;3, 0,IF(Query1[[#This Row],[Month]]&lt;&gt;H862,IF((J863-I863&gt;0),J863-I863,0),0))</f>
        <v>0</v>
      </c>
      <c r="L863" s="2">
        <f t="shared" si="13"/>
        <v>3592.2989655359538</v>
      </c>
      <c r="M863">
        <f>IF(ROW()&lt;3, 0, IF(Query1[[#This Row],[Month]]&lt;&gt;H862, Dashboard!$J$5,0))</f>
        <v>0</v>
      </c>
      <c r="N863" s="2">
        <f>IF(ROW()&lt;3, Query1[[#This Row],[Shares]], IF(Query1[[#This Row],[Month]]&lt;&gt;H862, N862+Query1[[#This Row],[Fix Top Up]]/Query1[[#This Row],[Adj Close]], N862))</f>
        <v>3407.2409635850777</v>
      </c>
      <c r="O863">
        <f>IF(AND(Query1[[#This Row],[avg]]&gt;0, Query1[[#This Row],[Month]]&lt;&gt;H862),
    IF(Query1[[#This Row],[Adj Close]]&gt;Query1[[#This Row],[avg]],
       Dashboard!$L$5-Dashboard!$E$6,
       Dashboard!$L$5+Dashboard!$E$6
    ), 0
)</f>
        <v>0</v>
      </c>
      <c r="P863" s="2">
        <f>IF(ROW()&lt;3, Query1[[#This Row],[Shares]], IF(Query1[[#This Row],[Month]]&lt;&gt;H862, P862+Query1[[#This Row],[Enhanced top up]]/Query1[[#This Row],[Adj Close]], P862))</f>
        <v>3399.8348015125125</v>
      </c>
      <c r="Q863" s="2">
        <f>IFERROR(AVERAGE(
  IF(ROW()&gt;20, INDEX(G:G, ROW()-20), 0) :
  INDEX(G:G, ROW())
),0)</f>
        <v>313.50473458426342</v>
      </c>
    </row>
    <row r="864" spans="1:17" x14ac:dyDescent="0.4">
      <c r="A864" s="1">
        <v>45083</v>
      </c>
      <c r="B864">
        <v>335.32998657226563</v>
      </c>
      <c r="C864">
        <v>335.3699951171875</v>
      </c>
      <c r="D864">
        <v>332.17001342773438</v>
      </c>
      <c r="E864">
        <v>333.67999267578125</v>
      </c>
      <c r="F864">
        <v>20396200</v>
      </c>
      <c r="G864">
        <v>328.03164672851563</v>
      </c>
      <c r="H864" s="2">
        <f>MONTH(Query1[[#This Row],[Date]])</f>
        <v>6</v>
      </c>
      <c r="I864" s="3">
        <f>Query1[[#This Row],[Shares]]*Query1[[#This Row],[Adj Close]]</f>
        <v>1178387.745205902</v>
      </c>
      <c r="J864" s="3">
        <f>IF(ROW()&lt;3, Dashboard!$E$7, IF(Query1[[#This Row],[Month]]&lt;&gt;H863,J863*(1+Dashboard!$E$4)+Dashboard!$E$5,J863))</f>
        <v>852626.65964687278</v>
      </c>
      <c r="K864">
        <f>IF(ROW()&lt;3, 0,IF(Query1[[#This Row],[Month]]&lt;&gt;H863,IF((J864-I864&gt;0),J864-I864,0),0))</f>
        <v>0</v>
      </c>
      <c r="L864" s="2">
        <f t="shared" si="13"/>
        <v>3592.2989655359538</v>
      </c>
      <c r="M864">
        <f>IF(ROW()&lt;3, 0, IF(Query1[[#This Row],[Month]]&lt;&gt;H863, Dashboard!$J$5,0))</f>
        <v>0</v>
      </c>
      <c r="N864" s="2">
        <f>IF(ROW()&lt;3, Query1[[#This Row],[Shares]], IF(Query1[[#This Row],[Month]]&lt;&gt;H863, N863+Query1[[#This Row],[Fix Top Up]]/Query1[[#This Row],[Adj Close]], N863))</f>
        <v>3407.2409635850777</v>
      </c>
      <c r="O864">
        <f>IF(AND(Query1[[#This Row],[avg]]&gt;0, Query1[[#This Row],[Month]]&lt;&gt;H863),
    IF(Query1[[#This Row],[Adj Close]]&gt;Query1[[#This Row],[avg]],
       Dashboard!$L$5-Dashboard!$E$6,
       Dashboard!$L$5+Dashboard!$E$6
    ), 0
)</f>
        <v>0</v>
      </c>
      <c r="P864" s="2">
        <f>IF(ROW()&lt;3, Query1[[#This Row],[Shares]], IF(Query1[[#This Row],[Month]]&lt;&gt;H863, P863+Query1[[#This Row],[Enhanced top up]]/Query1[[#This Row],[Adj Close]], P863))</f>
        <v>3399.8348015125125</v>
      </c>
      <c r="Q864" s="2">
        <f>IFERROR(AVERAGE(
  IF(ROW()&gt;20, INDEX(G:G, ROW()-20), 0) :
  INDEX(G:G, ROW())
),0)</f>
        <v>314.61456008184524</v>
      </c>
    </row>
    <row r="865" spans="1:17" x14ac:dyDescent="0.4">
      <c r="A865" s="1">
        <v>45084</v>
      </c>
      <c r="B865">
        <v>331.64999389648438</v>
      </c>
      <c r="C865">
        <v>334.489990234375</v>
      </c>
      <c r="D865">
        <v>322.5</v>
      </c>
      <c r="E865">
        <v>323.3800048828125</v>
      </c>
      <c r="F865">
        <v>40717100</v>
      </c>
      <c r="G865">
        <v>317.906005859375</v>
      </c>
      <c r="H865" s="2">
        <f>MONTH(Query1[[#This Row],[Date]])</f>
        <v>6</v>
      </c>
      <c r="I865" s="3">
        <f>Query1[[#This Row],[Shares]]*Query1[[#This Row],[Adj Close]]</f>
        <v>1142013.4159862997</v>
      </c>
      <c r="J865" s="3">
        <f>IF(ROW()&lt;3, Dashboard!$E$7, IF(Query1[[#This Row],[Month]]&lt;&gt;H864,J864*(1+Dashboard!$E$4)+Dashboard!$E$5,J864))</f>
        <v>852626.65964687278</v>
      </c>
      <c r="K865">
        <f>IF(ROW()&lt;3, 0,IF(Query1[[#This Row],[Month]]&lt;&gt;H864,IF((J865-I865&gt;0),J865-I865,0),0))</f>
        <v>0</v>
      </c>
      <c r="L865" s="2">
        <f t="shared" si="13"/>
        <v>3592.2989655359538</v>
      </c>
      <c r="M865">
        <f>IF(ROW()&lt;3, 0, IF(Query1[[#This Row],[Month]]&lt;&gt;H864, Dashboard!$J$5,0))</f>
        <v>0</v>
      </c>
      <c r="N865" s="2">
        <f>IF(ROW()&lt;3, Query1[[#This Row],[Shares]], IF(Query1[[#This Row],[Month]]&lt;&gt;H864, N864+Query1[[#This Row],[Fix Top Up]]/Query1[[#This Row],[Adj Close]], N864))</f>
        <v>3407.2409635850777</v>
      </c>
      <c r="O865">
        <f>IF(AND(Query1[[#This Row],[avg]]&gt;0, Query1[[#This Row],[Month]]&lt;&gt;H864),
    IF(Query1[[#This Row],[Adj Close]]&gt;Query1[[#This Row],[avg]],
       Dashboard!$L$5-Dashboard!$E$6,
       Dashboard!$L$5+Dashboard!$E$6
    ), 0
)</f>
        <v>0</v>
      </c>
      <c r="P865" s="2">
        <f>IF(ROW()&lt;3, Query1[[#This Row],[Shares]], IF(Query1[[#This Row],[Month]]&lt;&gt;H864, P864+Query1[[#This Row],[Enhanced top up]]/Query1[[#This Row],[Adj Close]], P864))</f>
        <v>3399.8348015125125</v>
      </c>
      <c r="Q865" s="2">
        <f>IFERROR(AVERAGE(
  IF(ROW()&gt;20, INDEX(G:G, ROW()-20), 0) :
  INDEX(G:G, ROW())
),0)</f>
        <v>315.33563523065476</v>
      </c>
    </row>
    <row r="866" spans="1:17" x14ac:dyDescent="0.4">
      <c r="A866" s="1">
        <v>45085</v>
      </c>
      <c r="B866">
        <v>323.94000244140625</v>
      </c>
      <c r="C866">
        <v>326.6400146484375</v>
      </c>
      <c r="D866">
        <v>323.35000610351563</v>
      </c>
      <c r="E866">
        <v>325.260009765625</v>
      </c>
      <c r="F866">
        <v>23277700</v>
      </c>
      <c r="G866">
        <v>319.75411987304688</v>
      </c>
      <c r="H866" s="2">
        <f>MONTH(Query1[[#This Row],[Date]])</f>
        <v>6</v>
      </c>
      <c r="I866" s="3">
        <f>Query1[[#This Row],[Shares]]*Query1[[#This Row],[Adj Close]]</f>
        <v>1148652.3940458056</v>
      </c>
      <c r="J866" s="3">
        <f>IF(ROW()&lt;3, Dashboard!$E$7, IF(Query1[[#This Row],[Month]]&lt;&gt;H865,J865*(1+Dashboard!$E$4)+Dashboard!$E$5,J865))</f>
        <v>852626.65964687278</v>
      </c>
      <c r="K866">
        <f>IF(ROW()&lt;3, 0,IF(Query1[[#This Row],[Month]]&lt;&gt;H865,IF((J866-I866&gt;0),J866-I866,0),0))</f>
        <v>0</v>
      </c>
      <c r="L866" s="2">
        <f t="shared" si="13"/>
        <v>3592.2989655359538</v>
      </c>
      <c r="M866">
        <f>IF(ROW()&lt;3, 0, IF(Query1[[#This Row],[Month]]&lt;&gt;H865, Dashboard!$J$5,0))</f>
        <v>0</v>
      </c>
      <c r="N866" s="2">
        <f>IF(ROW()&lt;3, Query1[[#This Row],[Shares]], IF(Query1[[#This Row],[Month]]&lt;&gt;H865, N865+Query1[[#This Row],[Fix Top Up]]/Query1[[#This Row],[Adj Close]], N865))</f>
        <v>3407.2409635850777</v>
      </c>
      <c r="O866">
        <f>IF(AND(Query1[[#This Row],[avg]]&gt;0, Query1[[#This Row],[Month]]&lt;&gt;H865),
    IF(Query1[[#This Row],[Adj Close]]&gt;Query1[[#This Row],[avg]],
       Dashboard!$L$5-Dashboard!$E$6,
       Dashboard!$L$5+Dashboard!$E$6
    ), 0
)</f>
        <v>0</v>
      </c>
      <c r="P866" s="2">
        <f>IF(ROW()&lt;3, Query1[[#This Row],[Shares]], IF(Query1[[#This Row],[Month]]&lt;&gt;H865, P865+Query1[[#This Row],[Enhanced top up]]/Query1[[#This Row],[Adj Close]], P865))</f>
        <v>3399.8348015125125</v>
      </c>
      <c r="Q866" s="2">
        <f>IFERROR(AVERAGE(
  IF(ROW()&gt;20, INDEX(G:G, ROW()-20), 0) :
  INDEX(G:G, ROW())
),0)</f>
        <v>316.22178867885043</v>
      </c>
    </row>
    <row r="867" spans="1:17" x14ac:dyDescent="0.4">
      <c r="A867" s="1">
        <v>45086</v>
      </c>
      <c r="B867">
        <v>324.989990234375</v>
      </c>
      <c r="C867">
        <v>329.989990234375</v>
      </c>
      <c r="D867">
        <v>324.41000366210938</v>
      </c>
      <c r="E867">
        <v>326.79000854492188</v>
      </c>
      <c r="F867">
        <v>22529000</v>
      </c>
      <c r="G867">
        <v>321.25820922851563</v>
      </c>
      <c r="H867" s="2">
        <f>MONTH(Query1[[#This Row],[Date]])</f>
        <v>6</v>
      </c>
      <c r="I867" s="3">
        <f>Query1[[#This Row],[Shares]]*Query1[[#This Row],[Adj Close]]</f>
        <v>1154055.5326815296</v>
      </c>
      <c r="J867" s="3">
        <f>IF(ROW()&lt;3, Dashboard!$E$7, IF(Query1[[#This Row],[Month]]&lt;&gt;H866,J866*(1+Dashboard!$E$4)+Dashboard!$E$5,J866))</f>
        <v>852626.65964687278</v>
      </c>
      <c r="K867">
        <f>IF(ROW()&lt;3, 0,IF(Query1[[#This Row],[Month]]&lt;&gt;H866,IF((J867-I867&gt;0),J867-I867,0),0))</f>
        <v>0</v>
      </c>
      <c r="L867" s="2">
        <f t="shared" si="13"/>
        <v>3592.2989655359538</v>
      </c>
      <c r="M867">
        <f>IF(ROW()&lt;3, 0, IF(Query1[[#This Row],[Month]]&lt;&gt;H866, Dashboard!$J$5,0))</f>
        <v>0</v>
      </c>
      <c r="N867" s="2">
        <f>IF(ROW()&lt;3, Query1[[#This Row],[Shares]], IF(Query1[[#This Row],[Month]]&lt;&gt;H866, N866+Query1[[#This Row],[Fix Top Up]]/Query1[[#This Row],[Adj Close]], N866))</f>
        <v>3407.2409635850777</v>
      </c>
      <c r="O867">
        <f>IF(AND(Query1[[#This Row],[avg]]&gt;0, Query1[[#This Row],[Month]]&lt;&gt;H866),
    IF(Query1[[#This Row],[Adj Close]]&gt;Query1[[#This Row],[avg]],
       Dashboard!$L$5-Dashboard!$E$6,
       Dashboard!$L$5+Dashboard!$E$6
    ), 0
)</f>
        <v>0</v>
      </c>
      <c r="P867" s="2">
        <f>IF(ROW()&lt;3, Query1[[#This Row],[Shares]], IF(Query1[[#This Row],[Month]]&lt;&gt;H866, P866+Query1[[#This Row],[Enhanced top up]]/Query1[[#This Row],[Adj Close]], P866))</f>
        <v>3399.8348015125125</v>
      </c>
      <c r="Q867" s="2">
        <f>IFERROR(AVERAGE(
  IF(ROW()&gt;20, INDEX(G:G, ROW()-20), 0) :
  INDEX(G:G, ROW())
),0)</f>
        <v>316.93153018043154</v>
      </c>
    </row>
    <row r="868" spans="1:17" x14ac:dyDescent="0.4">
      <c r="A868" s="1">
        <v>45089</v>
      </c>
      <c r="B868">
        <v>328.57998657226563</v>
      </c>
      <c r="C868">
        <v>332.10000610351563</v>
      </c>
      <c r="D868">
        <v>325.16000366210938</v>
      </c>
      <c r="E868">
        <v>331.85000610351563</v>
      </c>
      <c r="F868">
        <v>24260300</v>
      </c>
      <c r="G868">
        <v>326.23263549804688</v>
      </c>
      <c r="H868" s="2">
        <f>MONTH(Query1[[#This Row],[Date]])</f>
        <v>6</v>
      </c>
      <c r="I868" s="3">
        <f>Query1[[#This Row],[Shares]]*Query1[[#This Row],[Adj Close]]</f>
        <v>1171925.1590237017</v>
      </c>
      <c r="J868" s="3">
        <f>IF(ROW()&lt;3, Dashboard!$E$7, IF(Query1[[#This Row],[Month]]&lt;&gt;H867,J867*(1+Dashboard!$E$4)+Dashboard!$E$5,J867))</f>
        <v>852626.65964687278</v>
      </c>
      <c r="K868">
        <f>IF(ROW()&lt;3, 0,IF(Query1[[#This Row],[Month]]&lt;&gt;H867,IF((J868-I868&gt;0),J868-I868,0),0))</f>
        <v>0</v>
      </c>
      <c r="L868" s="2">
        <f t="shared" si="13"/>
        <v>3592.2989655359538</v>
      </c>
      <c r="M868">
        <f>IF(ROW()&lt;3, 0, IF(Query1[[#This Row],[Month]]&lt;&gt;H867, Dashboard!$J$5,0))</f>
        <v>0</v>
      </c>
      <c r="N868" s="2">
        <f>IF(ROW()&lt;3, Query1[[#This Row],[Shares]], IF(Query1[[#This Row],[Month]]&lt;&gt;H867, N867+Query1[[#This Row],[Fix Top Up]]/Query1[[#This Row],[Adj Close]], N867))</f>
        <v>3407.2409635850777</v>
      </c>
      <c r="O868">
        <f>IF(AND(Query1[[#This Row],[avg]]&gt;0, Query1[[#This Row],[Month]]&lt;&gt;H867),
    IF(Query1[[#This Row],[Adj Close]]&gt;Query1[[#This Row],[avg]],
       Dashboard!$L$5-Dashboard!$E$6,
       Dashboard!$L$5+Dashboard!$E$6
    ), 0
)</f>
        <v>0</v>
      </c>
      <c r="P868" s="2">
        <f>IF(ROW()&lt;3, Query1[[#This Row],[Shares]], IF(Query1[[#This Row],[Month]]&lt;&gt;H867, P867+Query1[[#This Row],[Enhanced top up]]/Query1[[#This Row],[Adj Close]], P867))</f>
        <v>3399.8348015125125</v>
      </c>
      <c r="Q868" s="2">
        <f>IFERROR(AVERAGE(
  IF(ROW()&gt;20, INDEX(G:G, ROW()-20), 0) :
  INDEX(G:G, ROW())
),0)</f>
        <v>317.98091488792784</v>
      </c>
    </row>
    <row r="869" spans="1:17" x14ac:dyDescent="0.4">
      <c r="A869" s="1">
        <v>45090</v>
      </c>
      <c r="B869">
        <v>334.47000122070313</v>
      </c>
      <c r="C869">
        <v>336.98001098632813</v>
      </c>
      <c r="D869">
        <v>330.3900146484375</v>
      </c>
      <c r="E869">
        <v>334.29000854492188</v>
      </c>
      <c r="F869">
        <v>22951300</v>
      </c>
      <c r="G869">
        <v>328.63131713867188</v>
      </c>
      <c r="H869" s="2">
        <f>MONTH(Query1[[#This Row],[Date]])</f>
        <v>6</v>
      </c>
      <c r="I869" s="3">
        <f>Query1[[#This Row],[Shares]]*Query1[[#This Row],[Adj Close]]</f>
        <v>1180541.9405999689</v>
      </c>
      <c r="J869" s="3">
        <f>IF(ROW()&lt;3, Dashboard!$E$7, IF(Query1[[#This Row],[Month]]&lt;&gt;H868,J868*(1+Dashboard!$E$4)+Dashboard!$E$5,J868))</f>
        <v>852626.65964687278</v>
      </c>
      <c r="K869">
        <f>IF(ROW()&lt;3, 0,IF(Query1[[#This Row],[Month]]&lt;&gt;H868,IF((J869-I869&gt;0),J869-I869,0),0))</f>
        <v>0</v>
      </c>
      <c r="L869" s="2">
        <f t="shared" si="13"/>
        <v>3592.2989655359538</v>
      </c>
      <c r="M869">
        <f>IF(ROW()&lt;3, 0, IF(Query1[[#This Row],[Month]]&lt;&gt;H868, Dashboard!$J$5,0))</f>
        <v>0</v>
      </c>
      <c r="N869" s="2">
        <f>IF(ROW()&lt;3, Query1[[#This Row],[Shares]], IF(Query1[[#This Row],[Month]]&lt;&gt;H868, N868+Query1[[#This Row],[Fix Top Up]]/Query1[[#This Row],[Adj Close]], N868))</f>
        <v>3407.2409635850777</v>
      </c>
      <c r="O869">
        <f>IF(AND(Query1[[#This Row],[avg]]&gt;0, Query1[[#This Row],[Month]]&lt;&gt;H868),
    IF(Query1[[#This Row],[Adj Close]]&gt;Query1[[#This Row],[avg]],
       Dashboard!$L$5-Dashboard!$E$6,
       Dashboard!$L$5+Dashboard!$E$6
    ), 0
)</f>
        <v>0</v>
      </c>
      <c r="P869" s="2">
        <f>IF(ROW()&lt;3, Query1[[#This Row],[Shares]], IF(Query1[[#This Row],[Month]]&lt;&gt;H868, P868+Query1[[#This Row],[Enhanced top up]]/Query1[[#This Row],[Adj Close]], P868))</f>
        <v>3399.8348015125125</v>
      </c>
      <c r="Q869" s="2">
        <f>IFERROR(AVERAGE(
  IF(ROW()&gt;20, INDEX(G:G, ROW()-20), 0) :
  INDEX(G:G, ROW())
),0)</f>
        <v>319.19776989164808</v>
      </c>
    </row>
    <row r="870" spans="1:17" x14ac:dyDescent="0.4">
      <c r="A870" s="1">
        <v>45091</v>
      </c>
      <c r="B870">
        <v>334.33999633789063</v>
      </c>
      <c r="C870">
        <v>339.04000854492188</v>
      </c>
      <c r="D870">
        <v>332.80999755859375</v>
      </c>
      <c r="E870">
        <v>337.33999633789063</v>
      </c>
      <c r="F870">
        <v>26003800</v>
      </c>
      <c r="G870">
        <v>331.629638671875</v>
      </c>
      <c r="H870" s="2">
        <f>MONTH(Query1[[#This Row],[Date]])</f>
        <v>6</v>
      </c>
      <c r="I870" s="3">
        <f>Query1[[#This Row],[Shares]]*Query1[[#This Row],[Adj Close]]</f>
        <v>1191312.8079420386</v>
      </c>
      <c r="J870" s="3">
        <f>IF(ROW()&lt;3, Dashboard!$E$7, IF(Query1[[#This Row],[Month]]&lt;&gt;H869,J869*(1+Dashboard!$E$4)+Dashboard!$E$5,J869))</f>
        <v>852626.65964687278</v>
      </c>
      <c r="K870">
        <f>IF(ROW()&lt;3, 0,IF(Query1[[#This Row],[Month]]&lt;&gt;H869,IF((J870-I870&gt;0),J870-I870,0),0))</f>
        <v>0</v>
      </c>
      <c r="L870" s="2">
        <f t="shared" si="13"/>
        <v>3592.2989655359538</v>
      </c>
      <c r="M870">
        <f>IF(ROW()&lt;3, 0, IF(Query1[[#This Row],[Month]]&lt;&gt;H869, Dashboard!$J$5,0))</f>
        <v>0</v>
      </c>
      <c r="N870" s="2">
        <f>IF(ROW()&lt;3, Query1[[#This Row],[Shares]], IF(Query1[[#This Row],[Month]]&lt;&gt;H869, N869+Query1[[#This Row],[Fix Top Up]]/Query1[[#This Row],[Adj Close]], N869))</f>
        <v>3407.2409635850777</v>
      </c>
      <c r="O870">
        <f>IF(AND(Query1[[#This Row],[avg]]&gt;0, Query1[[#This Row],[Month]]&lt;&gt;H869),
    IF(Query1[[#This Row],[Adj Close]]&gt;Query1[[#This Row],[avg]],
       Dashboard!$L$5-Dashboard!$E$6,
       Dashboard!$L$5+Dashboard!$E$6
    ), 0
)</f>
        <v>0</v>
      </c>
      <c r="P870" s="2">
        <f>IF(ROW()&lt;3, Query1[[#This Row],[Shares]], IF(Query1[[#This Row],[Month]]&lt;&gt;H869, P869+Query1[[#This Row],[Enhanced top up]]/Query1[[#This Row],[Adj Close]], P869))</f>
        <v>3399.8348015125125</v>
      </c>
      <c r="Q870" s="2">
        <f>IFERROR(AVERAGE(
  IF(ROW()&gt;20, INDEX(G:G, ROW()-20), 0) :
  INDEX(G:G, ROW())
),0)</f>
        <v>320.53451538085938</v>
      </c>
    </row>
    <row r="871" spans="1:17" x14ac:dyDescent="0.4">
      <c r="A871" s="1">
        <v>45092</v>
      </c>
      <c r="B871">
        <v>337.48001098632813</v>
      </c>
      <c r="C871">
        <v>349.83999633789063</v>
      </c>
      <c r="D871">
        <v>337.20001220703125</v>
      </c>
      <c r="E871">
        <v>348.10000610351563</v>
      </c>
      <c r="F871">
        <v>38899100</v>
      </c>
      <c r="G871">
        <v>342.20755004882813</v>
      </c>
      <c r="H871" s="2">
        <f>MONTH(Query1[[#This Row],[Date]])</f>
        <v>6</v>
      </c>
      <c r="I871" s="3">
        <f>Query1[[#This Row],[Shares]]*Query1[[#This Row],[Adj Close]]</f>
        <v>1229311.8280389984</v>
      </c>
      <c r="J871" s="3">
        <f>IF(ROW()&lt;3, Dashboard!$E$7, IF(Query1[[#This Row],[Month]]&lt;&gt;H870,J870*(1+Dashboard!$E$4)+Dashboard!$E$5,J870))</f>
        <v>852626.65964687278</v>
      </c>
      <c r="K871">
        <f>IF(ROW()&lt;3, 0,IF(Query1[[#This Row],[Month]]&lt;&gt;H870,IF((J871-I871&gt;0),J871-I871,0),0))</f>
        <v>0</v>
      </c>
      <c r="L871" s="2">
        <f t="shared" si="13"/>
        <v>3592.2989655359538</v>
      </c>
      <c r="M871">
        <f>IF(ROW()&lt;3, 0, IF(Query1[[#This Row],[Month]]&lt;&gt;H870, Dashboard!$J$5,0))</f>
        <v>0</v>
      </c>
      <c r="N871" s="2">
        <f>IF(ROW()&lt;3, Query1[[#This Row],[Shares]], IF(Query1[[#This Row],[Month]]&lt;&gt;H870, N870+Query1[[#This Row],[Fix Top Up]]/Query1[[#This Row],[Adj Close]], N870))</f>
        <v>3407.2409635850777</v>
      </c>
      <c r="O871">
        <f>IF(AND(Query1[[#This Row],[avg]]&gt;0, Query1[[#This Row],[Month]]&lt;&gt;H870),
    IF(Query1[[#This Row],[Adj Close]]&gt;Query1[[#This Row],[avg]],
       Dashboard!$L$5-Dashboard!$E$6,
       Dashboard!$L$5+Dashboard!$E$6
    ), 0
)</f>
        <v>0</v>
      </c>
      <c r="P871" s="2">
        <f>IF(ROW()&lt;3, Query1[[#This Row],[Shares]], IF(Query1[[#This Row],[Month]]&lt;&gt;H870, P870+Query1[[#This Row],[Enhanced top up]]/Query1[[#This Row],[Adj Close]], P870))</f>
        <v>3399.8348015125125</v>
      </c>
      <c r="Q871" s="2">
        <f>IFERROR(AVERAGE(
  IF(ROW()&gt;20, INDEX(G:G, ROW()-20), 0) :
  INDEX(G:G, ROW())
),0)</f>
        <v>322.26847040085568</v>
      </c>
    </row>
    <row r="872" spans="1:17" x14ac:dyDescent="0.4">
      <c r="A872" s="1">
        <v>45093</v>
      </c>
      <c r="B872">
        <v>351.32000732421875</v>
      </c>
      <c r="C872">
        <v>351.47000122070313</v>
      </c>
      <c r="D872">
        <v>341.95001220703125</v>
      </c>
      <c r="E872">
        <v>342.32998657226563</v>
      </c>
      <c r="F872">
        <v>46552000</v>
      </c>
      <c r="G872">
        <v>336.53515625</v>
      </c>
      <c r="H872" s="2">
        <f>MONTH(Query1[[#This Row],[Date]])</f>
        <v>6</v>
      </c>
      <c r="I872" s="3">
        <f>Query1[[#This Row],[Shares]]*Query1[[#This Row],[Adj Close]]</f>
        <v>1208934.8936633556</v>
      </c>
      <c r="J872" s="3">
        <f>IF(ROW()&lt;3, Dashboard!$E$7, IF(Query1[[#This Row],[Month]]&lt;&gt;H871,J871*(1+Dashboard!$E$4)+Dashboard!$E$5,J871))</f>
        <v>852626.65964687278</v>
      </c>
      <c r="K872">
        <f>IF(ROW()&lt;3, 0,IF(Query1[[#This Row],[Month]]&lt;&gt;H871,IF((J872-I872&gt;0),J872-I872,0),0))</f>
        <v>0</v>
      </c>
      <c r="L872" s="2">
        <f t="shared" si="13"/>
        <v>3592.2989655359538</v>
      </c>
      <c r="M872">
        <f>IF(ROW()&lt;3, 0, IF(Query1[[#This Row],[Month]]&lt;&gt;H871, Dashboard!$J$5,0))</f>
        <v>0</v>
      </c>
      <c r="N872" s="2">
        <f>IF(ROW()&lt;3, Query1[[#This Row],[Shares]], IF(Query1[[#This Row],[Month]]&lt;&gt;H871, N871+Query1[[#This Row],[Fix Top Up]]/Query1[[#This Row],[Adj Close]], N871))</f>
        <v>3407.2409635850777</v>
      </c>
      <c r="O872">
        <f>IF(AND(Query1[[#This Row],[avg]]&gt;0, Query1[[#This Row],[Month]]&lt;&gt;H871),
    IF(Query1[[#This Row],[Adj Close]]&gt;Query1[[#This Row],[avg]],
       Dashboard!$L$5-Dashboard!$E$6,
       Dashboard!$L$5+Dashboard!$E$6
    ), 0
)</f>
        <v>0</v>
      </c>
      <c r="P872" s="2">
        <f>IF(ROW()&lt;3, Query1[[#This Row],[Shares]], IF(Query1[[#This Row],[Month]]&lt;&gt;H871, P871+Query1[[#This Row],[Enhanced top up]]/Query1[[#This Row],[Adj Close]], P871))</f>
        <v>3399.8348015125125</v>
      </c>
      <c r="Q872" s="2">
        <f>IFERROR(AVERAGE(
  IF(ROW()&gt;20, INDEX(G:G, ROW()-20), 0) :
  INDEX(G:G, ROW())
),0)</f>
        <v>323.59467860630582</v>
      </c>
    </row>
    <row r="873" spans="1:17" x14ac:dyDescent="0.4">
      <c r="A873" s="1">
        <v>45097</v>
      </c>
      <c r="B873">
        <v>339.30999755859375</v>
      </c>
      <c r="C873">
        <v>342.07998657226563</v>
      </c>
      <c r="D873">
        <v>335.8599853515625</v>
      </c>
      <c r="E873">
        <v>338.04998779296875</v>
      </c>
      <c r="F873">
        <v>26375400</v>
      </c>
      <c r="G873">
        <v>332.32760620117188</v>
      </c>
      <c r="H873" s="2">
        <f>MONTH(Query1[[#This Row],[Date]])</f>
        <v>6</v>
      </c>
      <c r="I873" s="3">
        <f>Query1[[#This Row],[Shares]]*Query1[[#This Row],[Adj Close]]</f>
        <v>1193820.1159755096</v>
      </c>
      <c r="J873" s="3">
        <f>IF(ROW()&lt;3, Dashboard!$E$7, IF(Query1[[#This Row],[Month]]&lt;&gt;H872,J872*(1+Dashboard!$E$4)+Dashboard!$E$5,J872))</f>
        <v>852626.65964687278</v>
      </c>
      <c r="K873">
        <f>IF(ROW()&lt;3, 0,IF(Query1[[#This Row],[Month]]&lt;&gt;H872,IF((J873-I873&gt;0),J873-I873,0),0))</f>
        <v>0</v>
      </c>
      <c r="L873" s="2">
        <f t="shared" si="13"/>
        <v>3592.2989655359538</v>
      </c>
      <c r="M873">
        <f>IF(ROW()&lt;3, 0, IF(Query1[[#This Row],[Month]]&lt;&gt;H872, Dashboard!$J$5,0))</f>
        <v>0</v>
      </c>
      <c r="N873" s="2">
        <f>IF(ROW()&lt;3, Query1[[#This Row],[Shares]], IF(Query1[[#This Row],[Month]]&lt;&gt;H872, N872+Query1[[#This Row],[Fix Top Up]]/Query1[[#This Row],[Adj Close]], N872))</f>
        <v>3407.2409635850777</v>
      </c>
      <c r="O873">
        <f>IF(AND(Query1[[#This Row],[avg]]&gt;0, Query1[[#This Row],[Month]]&lt;&gt;H872),
    IF(Query1[[#This Row],[Adj Close]]&gt;Query1[[#This Row],[avg]],
       Dashboard!$L$5-Dashboard!$E$6,
       Dashboard!$L$5+Dashboard!$E$6
    ), 0
)</f>
        <v>0</v>
      </c>
      <c r="P873" s="2">
        <f>IF(ROW()&lt;3, Query1[[#This Row],[Shares]], IF(Query1[[#This Row],[Month]]&lt;&gt;H872, P872+Query1[[#This Row],[Enhanced top up]]/Query1[[#This Row],[Adj Close]], P872))</f>
        <v>3399.8348015125125</v>
      </c>
      <c r="Q873" s="2">
        <f>IFERROR(AVERAGE(
  IF(ROW()&gt;20, INDEX(G:G, ROW()-20), 0) :
  INDEX(G:G, ROW())
),0)</f>
        <v>324.50893438430057</v>
      </c>
    </row>
    <row r="874" spans="1:17" x14ac:dyDescent="0.4">
      <c r="A874" s="1">
        <v>45098</v>
      </c>
      <c r="B874">
        <v>336.3699951171875</v>
      </c>
      <c r="C874">
        <v>337.73001098632813</v>
      </c>
      <c r="D874">
        <v>332.07000732421875</v>
      </c>
      <c r="E874">
        <v>333.55999755859375</v>
      </c>
      <c r="F874">
        <v>25117800</v>
      </c>
      <c r="G874">
        <v>327.91366577148438</v>
      </c>
      <c r="H874" s="2">
        <f>MONTH(Query1[[#This Row],[Date]])</f>
        <v>6</v>
      </c>
      <c r="I874" s="3">
        <f>Query1[[#This Row],[Shares]]*Query1[[#This Row],[Adj Close]]</f>
        <v>1177963.9223360058</v>
      </c>
      <c r="J874" s="3">
        <f>IF(ROW()&lt;3, Dashboard!$E$7, IF(Query1[[#This Row],[Month]]&lt;&gt;H873,J873*(1+Dashboard!$E$4)+Dashboard!$E$5,J873))</f>
        <v>852626.65964687278</v>
      </c>
      <c r="K874">
        <f>IF(ROW()&lt;3, 0,IF(Query1[[#This Row],[Month]]&lt;&gt;H873,IF((J874-I874&gt;0),J874-I874,0),0))</f>
        <v>0</v>
      </c>
      <c r="L874" s="2">
        <f t="shared" si="13"/>
        <v>3592.2989655359538</v>
      </c>
      <c r="M874">
        <f>IF(ROW()&lt;3, 0, IF(Query1[[#This Row],[Month]]&lt;&gt;H873, Dashboard!$J$5,0))</f>
        <v>0</v>
      </c>
      <c r="N874" s="2">
        <f>IF(ROW()&lt;3, Query1[[#This Row],[Shares]], IF(Query1[[#This Row],[Month]]&lt;&gt;H873, N873+Query1[[#This Row],[Fix Top Up]]/Query1[[#This Row],[Adj Close]], N873))</f>
        <v>3407.2409635850777</v>
      </c>
      <c r="O874">
        <f>IF(AND(Query1[[#This Row],[avg]]&gt;0, Query1[[#This Row],[Month]]&lt;&gt;H873),
    IF(Query1[[#This Row],[Adj Close]]&gt;Query1[[#This Row],[avg]],
       Dashboard!$L$5-Dashboard!$E$6,
       Dashboard!$L$5+Dashboard!$E$6
    ), 0
)</f>
        <v>0</v>
      </c>
      <c r="P874" s="2">
        <f>IF(ROW()&lt;3, Query1[[#This Row],[Shares]], IF(Query1[[#This Row],[Month]]&lt;&gt;H873, P873+Query1[[#This Row],[Enhanced top up]]/Query1[[#This Row],[Adj Close]], P873))</f>
        <v>3399.8348015125125</v>
      </c>
      <c r="Q874" s="2">
        <f>IFERROR(AVERAGE(
  IF(ROW()&gt;20, INDEX(G:G, ROW()-20), 0) :
  INDEX(G:G, ROW())
),0)</f>
        <v>325.22143118722096</v>
      </c>
    </row>
    <row r="875" spans="1:17" x14ac:dyDescent="0.4">
      <c r="A875" s="1">
        <v>45099</v>
      </c>
      <c r="B875">
        <v>334.1199951171875</v>
      </c>
      <c r="C875">
        <v>340.1199951171875</v>
      </c>
      <c r="D875">
        <v>333.33999633789063</v>
      </c>
      <c r="E875">
        <v>339.70999145507813</v>
      </c>
      <c r="F875">
        <v>23556800</v>
      </c>
      <c r="G875">
        <v>333.95950317382813</v>
      </c>
      <c r="H875" s="2">
        <f>MONTH(Query1[[#This Row],[Date]])</f>
        <v>6</v>
      </c>
      <c r="I875" s="3">
        <f>Query1[[#This Row],[Shares]]*Query1[[#This Row],[Adj Close]]</f>
        <v>1199682.3777822438</v>
      </c>
      <c r="J875" s="3">
        <f>IF(ROW()&lt;3, Dashboard!$E$7, IF(Query1[[#This Row],[Month]]&lt;&gt;H874,J874*(1+Dashboard!$E$4)+Dashboard!$E$5,J874))</f>
        <v>852626.65964687278</v>
      </c>
      <c r="K875">
        <f>IF(ROW()&lt;3, 0,IF(Query1[[#This Row],[Month]]&lt;&gt;H874,IF((J875-I875&gt;0),J875-I875,0),0))</f>
        <v>0</v>
      </c>
      <c r="L875" s="2">
        <f t="shared" si="13"/>
        <v>3592.2989655359538</v>
      </c>
      <c r="M875">
        <f>IF(ROW()&lt;3, 0, IF(Query1[[#This Row],[Month]]&lt;&gt;H874, Dashboard!$J$5,0))</f>
        <v>0</v>
      </c>
      <c r="N875" s="2">
        <f>IF(ROW()&lt;3, Query1[[#This Row],[Shares]], IF(Query1[[#This Row],[Month]]&lt;&gt;H874, N874+Query1[[#This Row],[Fix Top Up]]/Query1[[#This Row],[Adj Close]], N874))</f>
        <v>3407.2409635850777</v>
      </c>
      <c r="O875">
        <f>IF(AND(Query1[[#This Row],[avg]]&gt;0, Query1[[#This Row],[Month]]&lt;&gt;H874),
    IF(Query1[[#This Row],[Adj Close]]&gt;Query1[[#This Row],[avg]],
       Dashboard!$L$5-Dashboard!$E$6,
       Dashboard!$L$5+Dashboard!$E$6
    ), 0
)</f>
        <v>0</v>
      </c>
      <c r="P875" s="2">
        <f>IF(ROW()&lt;3, Query1[[#This Row],[Shares]], IF(Query1[[#This Row],[Month]]&lt;&gt;H874, P874+Query1[[#This Row],[Enhanced top up]]/Query1[[#This Row],[Adj Close]], P874))</f>
        <v>3399.8348015125125</v>
      </c>
      <c r="Q875" s="2">
        <f>IFERROR(AVERAGE(
  IF(ROW()&gt;20, INDEX(G:G, ROW()-20), 0) :
  INDEX(G:G, ROW())
),0)</f>
        <v>326.08887590680803</v>
      </c>
    </row>
    <row r="876" spans="1:17" x14ac:dyDescent="0.4">
      <c r="A876" s="1">
        <v>45100</v>
      </c>
      <c r="B876">
        <v>334.3599853515625</v>
      </c>
      <c r="C876">
        <v>337.95999145507813</v>
      </c>
      <c r="D876">
        <v>333.45001220703125</v>
      </c>
      <c r="E876">
        <v>335.01998901367188</v>
      </c>
      <c r="F876">
        <v>23146900</v>
      </c>
      <c r="G876">
        <v>329.34890747070313</v>
      </c>
      <c r="H876" s="2">
        <f>MONTH(Query1[[#This Row],[Date]])</f>
        <v>6</v>
      </c>
      <c r="I876" s="3">
        <f>Query1[[#This Row],[Shares]]*Query1[[#This Row],[Adj Close]]</f>
        <v>1183119.7396074035</v>
      </c>
      <c r="J876" s="3">
        <f>IF(ROW()&lt;3, Dashboard!$E$7, IF(Query1[[#This Row],[Month]]&lt;&gt;H875,J875*(1+Dashboard!$E$4)+Dashboard!$E$5,J875))</f>
        <v>852626.65964687278</v>
      </c>
      <c r="K876">
        <f>IF(ROW()&lt;3, 0,IF(Query1[[#This Row],[Month]]&lt;&gt;H875,IF((J876-I876&gt;0),J876-I876,0),0))</f>
        <v>0</v>
      </c>
      <c r="L876" s="2">
        <f t="shared" si="13"/>
        <v>3592.2989655359538</v>
      </c>
      <c r="M876">
        <f>IF(ROW()&lt;3, 0, IF(Query1[[#This Row],[Month]]&lt;&gt;H875, Dashboard!$J$5,0))</f>
        <v>0</v>
      </c>
      <c r="N876" s="2">
        <f>IF(ROW()&lt;3, Query1[[#This Row],[Shares]], IF(Query1[[#This Row],[Month]]&lt;&gt;H875, N875+Query1[[#This Row],[Fix Top Up]]/Query1[[#This Row],[Adj Close]], N875))</f>
        <v>3407.2409635850777</v>
      </c>
      <c r="O876">
        <f>IF(AND(Query1[[#This Row],[avg]]&gt;0, Query1[[#This Row],[Month]]&lt;&gt;H875),
    IF(Query1[[#This Row],[Adj Close]]&gt;Query1[[#This Row],[avg]],
       Dashboard!$L$5-Dashboard!$E$6,
       Dashboard!$L$5+Dashboard!$E$6
    ), 0
)</f>
        <v>0</v>
      </c>
      <c r="P876" s="2">
        <f>IF(ROW()&lt;3, Query1[[#This Row],[Shares]], IF(Query1[[#This Row],[Month]]&lt;&gt;H875, P875+Query1[[#This Row],[Enhanced top up]]/Query1[[#This Row],[Adj Close]], P875))</f>
        <v>3399.8348015125125</v>
      </c>
      <c r="Q876" s="2">
        <f>IFERROR(AVERAGE(
  IF(ROW()&gt;20, INDEX(G:G, ROW()-20), 0) :
  INDEX(G:G, ROW())
),0)</f>
        <v>327.01389712379091</v>
      </c>
    </row>
    <row r="877" spans="1:17" x14ac:dyDescent="0.4">
      <c r="A877" s="1">
        <v>45103</v>
      </c>
      <c r="B877">
        <v>333.72000122070313</v>
      </c>
      <c r="C877">
        <v>336.1099853515625</v>
      </c>
      <c r="D877">
        <v>328.489990234375</v>
      </c>
      <c r="E877">
        <v>328.60000610351563</v>
      </c>
      <c r="F877">
        <v>21520600</v>
      </c>
      <c r="G877">
        <v>323.03762817382813</v>
      </c>
      <c r="H877" s="2">
        <f>MONTH(Query1[[#This Row],[Date]])</f>
        <v>6</v>
      </c>
      <c r="I877" s="3">
        <f>Query1[[#This Row],[Shares]]*Query1[[#This Row],[Adj Close]]</f>
        <v>1160447.7375180309</v>
      </c>
      <c r="J877" s="3">
        <f>IF(ROW()&lt;3, Dashboard!$E$7, IF(Query1[[#This Row],[Month]]&lt;&gt;H876,J876*(1+Dashboard!$E$4)+Dashboard!$E$5,J876))</f>
        <v>852626.65964687278</v>
      </c>
      <c r="K877">
        <f>IF(ROW()&lt;3, 0,IF(Query1[[#This Row],[Month]]&lt;&gt;H876,IF((J877-I877&gt;0),J877-I877,0),0))</f>
        <v>0</v>
      </c>
      <c r="L877" s="2">
        <f t="shared" si="13"/>
        <v>3592.2989655359538</v>
      </c>
      <c r="M877">
        <f>IF(ROW()&lt;3, 0, IF(Query1[[#This Row],[Month]]&lt;&gt;H876, Dashboard!$J$5,0))</f>
        <v>0</v>
      </c>
      <c r="N877" s="2">
        <f>IF(ROW()&lt;3, Query1[[#This Row],[Shares]], IF(Query1[[#This Row],[Month]]&lt;&gt;H876, N876+Query1[[#This Row],[Fix Top Up]]/Query1[[#This Row],[Adj Close]], N876))</f>
        <v>3407.2409635850777</v>
      </c>
      <c r="O877">
        <f>IF(AND(Query1[[#This Row],[avg]]&gt;0, Query1[[#This Row],[Month]]&lt;&gt;H876),
    IF(Query1[[#This Row],[Adj Close]]&gt;Query1[[#This Row],[avg]],
       Dashboard!$L$5-Dashboard!$E$6,
       Dashboard!$L$5+Dashboard!$E$6
    ), 0
)</f>
        <v>0</v>
      </c>
      <c r="P877" s="2">
        <f>IF(ROW()&lt;3, Query1[[#This Row],[Shares]], IF(Query1[[#This Row],[Month]]&lt;&gt;H876, P876+Query1[[#This Row],[Enhanced top up]]/Query1[[#This Row],[Adj Close]], P876))</f>
        <v>3399.8348015125125</v>
      </c>
      <c r="Q877" s="2">
        <f>IFERROR(AVERAGE(
  IF(ROW()&gt;20, INDEX(G:G, ROW()-20), 0) :
  INDEX(G:G, ROW())
),0)</f>
        <v>327.70438929966519</v>
      </c>
    </row>
    <row r="878" spans="1:17" x14ac:dyDescent="0.4">
      <c r="A878" s="1">
        <v>45104</v>
      </c>
      <c r="B878">
        <v>331.8599853515625</v>
      </c>
      <c r="C878">
        <v>336.14999389648438</v>
      </c>
      <c r="D878">
        <v>329.29998779296875</v>
      </c>
      <c r="E878">
        <v>334.57000732421875</v>
      </c>
      <c r="F878">
        <v>24354100</v>
      </c>
      <c r="G878">
        <v>328.90655517578125</v>
      </c>
      <c r="H878" s="2">
        <f>MONTH(Query1[[#This Row],[Date]])</f>
        <v>6</v>
      </c>
      <c r="I878" s="3">
        <f>Query1[[#This Row],[Shares]]*Query1[[#This Row],[Adj Close]]</f>
        <v>1181530.6779159531</v>
      </c>
      <c r="J878" s="3">
        <f>IF(ROW()&lt;3, Dashboard!$E$7, IF(Query1[[#This Row],[Month]]&lt;&gt;H877,J877*(1+Dashboard!$E$4)+Dashboard!$E$5,J877))</f>
        <v>852626.65964687278</v>
      </c>
      <c r="K878">
        <f>IF(ROW()&lt;3, 0,IF(Query1[[#This Row],[Month]]&lt;&gt;H877,IF((J878-I878&gt;0),J878-I878,0),0))</f>
        <v>0</v>
      </c>
      <c r="L878" s="2">
        <f t="shared" si="13"/>
        <v>3592.2989655359538</v>
      </c>
      <c r="M878">
        <f>IF(ROW()&lt;3, 0, IF(Query1[[#This Row],[Month]]&lt;&gt;H877, Dashboard!$J$5,0))</f>
        <v>0</v>
      </c>
      <c r="N878" s="2">
        <f>IF(ROW()&lt;3, Query1[[#This Row],[Shares]], IF(Query1[[#This Row],[Month]]&lt;&gt;H877, N877+Query1[[#This Row],[Fix Top Up]]/Query1[[#This Row],[Adj Close]], N877))</f>
        <v>3407.2409635850777</v>
      </c>
      <c r="O878">
        <f>IF(AND(Query1[[#This Row],[avg]]&gt;0, Query1[[#This Row],[Month]]&lt;&gt;H877),
    IF(Query1[[#This Row],[Adj Close]]&gt;Query1[[#This Row],[avg]],
       Dashboard!$L$5-Dashboard!$E$6,
       Dashboard!$L$5+Dashboard!$E$6
    ), 0
)</f>
        <v>0</v>
      </c>
      <c r="P878" s="2">
        <f>IF(ROW()&lt;3, Query1[[#This Row],[Shares]], IF(Query1[[#This Row],[Month]]&lt;&gt;H877, P877+Query1[[#This Row],[Enhanced top up]]/Query1[[#This Row],[Adj Close]], P877))</f>
        <v>3399.8348015125125</v>
      </c>
      <c r="Q878" s="2">
        <f>IFERROR(AVERAGE(
  IF(ROW()&gt;20, INDEX(G:G, ROW()-20), 0) :
  INDEX(G:G, ROW())
),0)</f>
        <v>328.10931977771577</v>
      </c>
    </row>
    <row r="879" spans="1:17" x14ac:dyDescent="0.4">
      <c r="A879" s="1">
        <v>45105</v>
      </c>
      <c r="B879">
        <v>334.66000366210938</v>
      </c>
      <c r="C879">
        <v>337.98001098632813</v>
      </c>
      <c r="D879">
        <v>333.80999755859375</v>
      </c>
      <c r="E879">
        <v>335.85000610351563</v>
      </c>
      <c r="F879">
        <v>20259500</v>
      </c>
      <c r="G879">
        <v>330.16485595703125</v>
      </c>
      <c r="H879" s="2">
        <f>MONTH(Query1[[#This Row],[Date]])</f>
        <v>6</v>
      </c>
      <c r="I879" s="3">
        <f>Query1[[#This Row],[Shares]]*Query1[[#This Row],[Adj Close]]</f>
        <v>1186050.8705107705</v>
      </c>
      <c r="J879" s="3">
        <f>IF(ROW()&lt;3, Dashboard!$E$7, IF(Query1[[#This Row],[Month]]&lt;&gt;H878,J878*(1+Dashboard!$E$4)+Dashboard!$E$5,J878))</f>
        <v>852626.65964687278</v>
      </c>
      <c r="K879">
        <f>IF(ROW()&lt;3, 0,IF(Query1[[#This Row],[Month]]&lt;&gt;H878,IF((J879-I879&gt;0),J879-I879,0),0))</f>
        <v>0</v>
      </c>
      <c r="L879" s="2">
        <f t="shared" si="13"/>
        <v>3592.2989655359538</v>
      </c>
      <c r="M879">
        <f>IF(ROW()&lt;3, 0, IF(Query1[[#This Row],[Month]]&lt;&gt;H878, Dashboard!$J$5,0))</f>
        <v>0</v>
      </c>
      <c r="N879" s="2">
        <f>IF(ROW()&lt;3, Query1[[#This Row],[Shares]], IF(Query1[[#This Row],[Month]]&lt;&gt;H878, N878+Query1[[#This Row],[Fix Top Up]]/Query1[[#This Row],[Adj Close]], N878))</f>
        <v>3407.2409635850777</v>
      </c>
      <c r="O879">
        <f>IF(AND(Query1[[#This Row],[avg]]&gt;0, Query1[[#This Row],[Month]]&lt;&gt;H878),
    IF(Query1[[#This Row],[Adj Close]]&gt;Query1[[#This Row],[avg]],
       Dashboard!$L$5-Dashboard!$E$6,
       Dashboard!$L$5+Dashboard!$E$6
    ), 0
)</f>
        <v>0</v>
      </c>
      <c r="P879" s="2">
        <f>IF(ROW()&lt;3, Query1[[#This Row],[Shares]], IF(Query1[[#This Row],[Month]]&lt;&gt;H878, P878+Query1[[#This Row],[Enhanced top up]]/Query1[[#This Row],[Adj Close]], P878))</f>
        <v>3399.8348015125125</v>
      </c>
      <c r="Q879" s="2">
        <f>IFERROR(AVERAGE(
  IF(ROW()&gt;20, INDEX(G:G, ROW()-20), 0) :
  INDEX(G:G, ROW())
),0)</f>
        <v>328.24788411458331</v>
      </c>
    </row>
    <row r="880" spans="1:17" x14ac:dyDescent="0.4">
      <c r="A880" s="1">
        <v>45106</v>
      </c>
      <c r="B880">
        <v>334.70999145507813</v>
      </c>
      <c r="C880">
        <v>336.1099853515625</v>
      </c>
      <c r="D880">
        <v>332.6199951171875</v>
      </c>
      <c r="E880">
        <v>335.04998779296875</v>
      </c>
      <c r="F880">
        <v>16997000</v>
      </c>
      <c r="G880">
        <v>329.37835693359375</v>
      </c>
      <c r="H880" s="2">
        <f>MONTH(Query1[[#This Row],[Date]])</f>
        <v>6</v>
      </c>
      <c r="I880" s="3">
        <f>Query1[[#This Row],[Shares]]*Query1[[#This Row],[Adj Close]]</f>
        <v>1183225.530882481</v>
      </c>
      <c r="J880" s="3">
        <f>IF(ROW()&lt;3, Dashboard!$E$7, IF(Query1[[#This Row],[Month]]&lt;&gt;H879,J879*(1+Dashboard!$E$4)+Dashboard!$E$5,J879))</f>
        <v>852626.65964687278</v>
      </c>
      <c r="K880">
        <f>IF(ROW()&lt;3, 0,IF(Query1[[#This Row],[Month]]&lt;&gt;H879,IF((J880-I880&gt;0),J880-I880,0),0))</f>
        <v>0</v>
      </c>
      <c r="L880" s="2">
        <f t="shared" si="13"/>
        <v>3592.2989655359538</v>
      </c>
      <c r="M880">
        <f>IF(ROW()&lt;3, 0, IF(Query1[[#This Row],[Month]]&lt;&gt;H879, Dashboard!$J$5,0))</f>
        <v>0</v>
      </c>
      <c r="N880" s="2">
        <f>IF(ROW()&lt;3, Query1[[#This Row],[Shares]], IF(Query1[[#This Row],[Month]]&lt;&gt;H879, N879+Query1[[#This Row],[Fix Top Up]]/Query1[[#This Row],[Adj Close]], N879))</f>
        <v>3407.2409635850777</v>
      </c>
      <c r="O880">
        <f>IF(AND(Query1[[#This Row],[avg]]&gt;0, Query1[[#This Row],[Month]]&lt;&gt;H879),
    IF(Query1[[#This Row],[Adj Close]]&gt;Query1[[#This Row],[avg]],
       Dashboard!$L$5-Dashboard!$E$6,
       Dashboard!$L$5+Dashboard!$E$6
    ), 0
)</f>
        <v>0</v>
      </c>
      <c r="P880" s="2">
        <f>IF(ROW()&lt;3, Query1[[#This Row],[Shares]], IF(Query1[[#This Row],[Month]]&lt;&gt;H879, P879+Query1[[#This Row],[Enhanced top up]]/Query1[[#This Row],[Adj Close]], P879))</f>
        <v>3399.8348015125125</v>
      </c>
      <c r="Q880" s="2">
        <f>IFERROR(AVERAGE(
  IF(ROW()&gt;20, INDEX(G:G, ROW()-20), 0) :
  INDEX(G:G, ROW())
),0)</f>
        <v>328.42764572870163</v>
      </c>
    </row>
    <row r="881" spans="1:17" x14ac:dyDescent="0.4">
      <c r="A881" s="1">
        <v>45107</v>
      </c>
      <c r="B881">
        <v>337.75</v>
      </c>
      <c r="C881">
        <v>342.73001098632813</v>
      </c>
      <c r="D881">
        <v>337.20001220703125</v>
      </c>
      <c r="E881">
        <v>340.54000854492188</v>
      </c>
      <c r="F881">
        <v>26832800</v>
      </c>
      <c r="G881">
        <v>334.77545166015625</v>
      </c>
      <c r="H881" s="2">
        <f>MONTH(Query1[[#This Row],[Date]])</f>
        <v>6</v>
      </c>
      <c r="I881" s="3">
        <f>Query1[[#This Row],[Shares]]*Query1[[#This Row],[Adj Close]]</f>
        <v>1202613.508685611</v>
      </c>
      <c r="J881" s="3">
        <f>IF(ROW()&lt;3, Dashboard!$E$7, IF(Query1[[#This Row],[Month]]&lt;&gt;H880,J880*(1+Dashboard!$E$4)+Dashboard!$E$5,J880))</f>
        <v>852626.65964687278</v>
      </c>
      <c r="K881">
        <f>IF(ROW()&lt;3, 0,IF(Query1[[#This Row],[Month]]&lt;&gt;H880,IF((J881-I881&gt;0),J881-I881,0),0))</f>
        <v>0</v>
      </c>
      <c r="L881" s="2">
        <f t="shared" si="13"/>
        <v>3592.2989655359538</v>
      </c>
      <c r="M881">
        <f>IF(ROW()&lt;3, 0, IF(Query1[[#This Row],[Month]]&lt;&gt;H880, Dashboard!$J$5,0))</f>
        <v>0</v>
      </c>
      <c r="N881" s="2">
        <f>IF(ROW()&lt;3, Query1[[#This Row],[Shares]], IF(Query1[[#This Row],[Month]]&lt;&gt;H880, N880+Query1[[#This Row],[Fix Top Up]]/Query1[[#This Row],[Adj Close]], N880))</f>
        <v>3407.2409635850777</v>
      </c>
      <c r="O881">
        <f>IF(AND(Query1[[#This Row],[avg]]&gt;0, Query1[[#This Row],[Month]]&lt;&gt;H880),
    IF(Query1[[#This Row],[Adj Close]]&gt;Query1[[#This Row],[avg]],
       Dashboard!$L$5-Dashboard!$E$6,
       Dashboard!$L$5+Dashboard!$E$6
    ), 0
)</f>
        <v>0</v>
      </c>
      <c r="P881" s="2">
        <f>IF(ROW()&lt;3, Query1[[#This Row],[Shares]], IF(Query1[[#This Row],[Month]]&lt;&gt;H880, P880+Query1[[#This Row],[Enhanced top up]]/Query1[[#This Row],[Adj Close]], P880))</f>
        <v>3399.8348015125125</v>
      </c>
      <c r="Q881" s="2">
        <f>IFERROR(AVERAGE(
  IF(ROW()&gt;20, INDEX(G:G, ROW()-20), 0) :
  INDEX(G:G, ROW())
),0)</f>
        <v>328.99642072405135</v>
      </c>
    </row>
    <row r="882" spans="1:17" x14ac:dyDescent="0.4">
      <c r="A882" s="1">
        <v>45110</v>
      </c>
      <c r="B882">
        <v>339.19000244140625</v>
      </c>
      <c r="C882">
        <v>340.89999389648438</v>
      </c>
      <c r="D882">
        <v>336.57000732421875</v>
      </c>
      <c r="E882">
        <v>337.989990234375</v>
      </c>
      <c r="F882">
        <v>12508700</v>
      </c>
      <c r="G882">
        <v>332.26864624023438</v>
      </c>
      <c r="H882" s="2">
        <f>MONTH(Query1[[#This Row],[Date]])</f>
        <v>7</v>
      </c>
      <c r="I882" s="3">
        <f>Query1[[#This Row],[Shares]]*Query1[[#This Row],[Adj Close]]</f>
        <v>1193608.3141688257</v>
      </c>
      <c r="J882" s="3">
        <f>IF(ROW()&lt;3, Dashboard!$E$7, IF(Query1[[#This Row],[Month]]&lt;&gt;H881,J881*(1+Dashboard!$E$4)+Dashboard!$E$5,J881))</f>
        <v>863152.92624334153</v>
      </c>
      <c r="K882">
        <f>IF(ROW()&lt;3, 0,IF(Query1[[#This Row],[Month]]&lt;&gt;H881,IF((J882-I882&gt;0),J882-I882,0),0))</f>
        <v>0</v>
      </c>
      <c r="L882" s="2">
        <f t="shared" si="13"/>
        <v>3592.2989655359538</v>
      </c>
      <c r="M882">
        <f>IF(ROW()&lt;3, 0, IF(Query1[[#This Row],[Month]]&lt;&gt;H881, Dashboard!$J$5,0))</f>
        <v>773.47399999999971</v>
      </c>
      <c r="N882" s="2">
        <f>IF(ROW()&lt;3, Query1[[#This Row],[Shares]], IF(Query1[[#This Row],[Month]]&lt;&gt;H881, N881+Query1[[#This Row],[Fix Top Up]]/Query1[[#This Row],[Adj Close]], N881))</f>
        <v>3409.5688209040036</v>
      </c>
      <c r="O882">
        <f>IF(AND(Query1[[#This Row],[avg]]&gt;0, Query1[[#This Row],[Month]]&lt;&gt;H881),
    IF(Query1[[#This Row],[Adj Close]]&gt;Query1[[#This Row],[avg]],
       Dashboard!$L$5-Dashboard!$E$6,
       Dashboard!$L$5+Dashboard!$E$6
    ), 0
)</f>
        <v>390.14066666666668</v>
      </c>
      <c r="P882" s="2">
        <f>IF(ROW()&lt;3, Query1[[#This Row],[Shares]], IF(Query1[[#This Row],[Month]]&lt;&gt;H881, P881+Query1[[#This Row],[Enhanced top up]]/Query1[[#This Row],[Adj Close]], P881))</f>
        <v>3401.0089738910419</v>
      </c>
      <c r="Q882" s="2">
        <f>IFERROR(AVERAGE(
  IF(ROW()&gt;20, INDEX(G:G, ROW()-20), 0) :
  INDEX(G:G, ROW())
),0)</f>
        <v>329.24967883882067</v>
      </c>
    </row>
    <row r="883" spans="1:17" x14ac:dyDescent="0.4">
      <c r="A883" s="1">
        <v>45112</v>
      </c>
      <c r="B883">
        <v>335.08999633789063</v>
      </c>
      <c r="C883">
        <v>341.64999389648438</v>
      </c>
      <c r="D883">
        <v>334.73001098632813</v>
      </c>
      <c r="E883">
        <v>338.14999389648438</v>
      </c>
      <c r="F883">
        <v>18172400</v>
      </c>
      <c r="G883">
        <v>332.4259033203125</v>
      </c>
      <c r="H883" s="2">
        <f>MONTH(Query1[[#This Row],[Date]])</f>
        <v>7</v>
      </c>
      <c r="I883" s="3">
        <f>Query1[[#This Row],[Shares]]*Query1[[#This Row],[Adj Close]]</f>
        <v>1194173.2286149135</v>
      </c>
      <c r="J883" s="3">
        <f>IF(ROW()&lt;3, Dashboard!$E$7, IF(Query1[[#This Row],[Month]]&lt;&gt;H882,J882*(1+Dashboard!$E$4)+Dashboard!$E$5,J882))</f>
        <v>863152.92624334153</v>
      </c>
      <c r="K883">
        <f>IF(ROW()&lt;3, 0,IF(Query1[[#This Row],[Month]]&lt;&gt;H882,IF((J883-I883&gt;0),J883-I883,0),0))</f>
        <v>0</v>
      </c>
      <c r="L883" s="2">
        <f t="shared" si="13"/>
        <v>3592.2989655359538</v>
      </c>
      <c r="M883">
        <f>IF(ROW()&lt;3, 0, IF(Query1[[#This Row],[Month]]&lt;&gt;H882, Dashboard!$J$5,0))</f>
        <v>0</v>
      </c>
      <c r="N883" s="2">
        <f>IF(ROW()&lt;3, Query1[[#This Row],[Shares]], IF(Query1[[#This Row],[Month]]&lt;&gt;H882, N882+Query1[[#This Row],[Fix Top Up]]/Query1[[#This Row],[Adj Close]], N882))</f>
        <v>3409.5688209040036</v>
      </c>
      <c r="O883">
        <f>IF(AND(Query1[[#This Row],[avg]]&gt;0, Query1[[#This Row],[Month]]&lt;&gt;H882),
    IF(Query1[[#This Row],[Adj Close]]&gt;Query1[[#This Row],[avg]],
       Dashboard!$L$5-Dashboard!$E$6,
       Dashboard!$L$5+Dashboard!$E$6
    ), 0
)</f>
        <v>0</v>
      </c>
      <c r="P883" s="2">
        <f>IF(ROW()&lt;3, Query1[[#This Row],[Shares]], IF(Query1[[#This Row],[Month]]&lt;&gt;H882, P882+Query1[[#This Row],[Enhanced top up]]/Query1[[#This Row],[Adj Close]], P882))</f>
        <v>3401.0089738910419</v>
      </c>
      <c r="Q883" s="2">
        <f>IFERROR(AVERAGE(
  IF(ROW()&gt;20, INDEX(G:G, ROW()-20), 0) :
  INDEX(G:G, ROW())
),0)</f>
        <v>329.37841360909596</v>
      </c>
    </row>
    <row r="884" spans="1:17" x14ac:dyDescent="0.4">
      <c r="A884" s="1">
        <v>45113</v>
      </c>
      <c r="B884">
        <v>337.29998779296875</v>
      </c>
      <c r="C884">
        <v>342.989990234375</v>
      </c>
      <c r="D884">
        <v>335.5</v>
      </c>
      <c r="E884">
        <v>341.26998901367188</v>
      </c>
      <c r="F884">
        <v>28161200</v>
      </c>
      <c r="G884">
        <v>335.49310302734375</v>
      </c>
      <c r="H884" s="2">
        <f>MONTH(Query1[[#This Row],[Date]])</f>
        <v>7</v>
      </c>
      <c r="I884" s="3">
        <f>Query1[[#This Row],[Shares]]*Query1[[#This Row],[Adj Close]]</f>
        <v>1205191.5269495742</v>
      </c>
      <c r="J884" s="3">
        <f>IF(ROW()&lt;3, Dashboard!$E$7, IF(Query1[[#This Row],[Month]]&lt;&gt;H883,J883*(1+Dashboard!$E$4)+Dashboard!$E$5,J883))</f>
        <v>863152.92624334153</v>
      </c>
      <c r="K884">
        <f>IF(ROW()&lt;3, 0,IF(Query1[[#This Row],[Month]]&lt;&gt;H883,IF((J884-I884&gt;0),J884-I884,0),0))</f>
        <v>0</v>
      </c>
      <c r="L884" s="2">
        <f t="shared" si="13"/>
        <v>3592.2989655359538</v>
      </c>
      <c r="M884">
        <f>IF(ROW()&lt;3, 0, IF(Query1[[#This Row],[Month]]&lt;&gt;H883, Dashboard!$J$5,0))</f>
        <v>0</v>
      </c>
      <c r="N884" s="2">
        <f>IF(ROW()&lt;3, Query1[[#This Row],[Shares]], IF(Query1[[#This Row],[Month]]&lt;&gt;H883, N883+Query1[[#This Row],[Fix Top Up]]/Query1[[#This Row],[Adj Close]], N883))</f>
        <v>3409.5688209040036</v>
      </c>
      <c r="O884">
        <f>IF(AND(Query1[[#This Row],[avg]]&gt;0, Query1[[#This Row],[Month]]&lt;&gt;H883),
    IF(Query1[[#This Row],[Adj Close]]&gt;Query1[[#This Row],[avg]],
       Dashboard!$L$5-Dashboard!$E$6,
       Dashboard!$L$5+Dashboard!$E$6
    ), 0
)</f>
        <v>0</v>
      </c>
      <c r="P884" s="2">
        <f>IF(ROW()&lt;3, Query1[[#This Row],[Shares]], IF(Query1[[#This Row],[Month]]&lt;&gt;H883, P883+Query1[[#This Row],[Enhanced top up]]/Query1[[#This Row],[Adj Close]], P883))</f>
        <v>3401.0089738910419</v>
      </c>
      <c r="Q884" s="2">
        <f>IFERROR(AVERAGE(
  IF(ROW()&gt;20, INDEX(G:G, ROW()-20), 0) :
  INDEX(G:G, ROW())
),0)</f>
        <v>329.62792678106399</v>
      </c>
    </row>
    <row r="885" spans="1:17" x14ac:dyDescent="0.4">
      <c r="A885" s="1">
        <v>45114</v>
      </c>
      <c r="B885">
        <v>339.32000732421875</v>
      </c>
      <c r="C885">
        <v>341.79000854492188</v>
      </c>
      <c r="D885">
        <v>337</v>
      </c>
      <c r="E885">
        <v>337.22000122070313</v>
      </c>
      <c r="F885">
        <v>21214800</v>
      </c>
      <c r="G885">
        <v>331.51171875</v>
      </c>
      <c r="H885" s="2">
        <f>MONTH(Query1[[#This Row],[Date]])</f>
        <v>7</v>
      </c>
      <c r="I885" s="3">
        <f>Query1[[#This Row],[Shares]]*Query1[[#This Row],[Adj Close]]</f>
        <v>1190889.2043286711</v>
      </c>
      <c r="J885" s="3">
        <f>IF(ROW()&lt;3, Dashboard!$E$7, IF(Query1[[#This Row],[Month]]&lt;&gt;H884,J884*(1+Dashboard!$E$4)+Dashboard!$E$5,J884))</f>
        <v>863152.92624334153</v>
      </c>
      <c r="K885">
        <f>IF(ROW()&lt;3, 0,IF(Query1[[#This Row],[Month]]&lt;&gt;H884,IF((J885-I885&gt;0),J885-I885,0),0))</f>
        <v>0</v>
      </c>
      <c r="L885" s="2">
        <f t="shared" si="13"/>
        <v>3592.2989655359538</v>
      </c>
      <c r="M885">
        <f>IF(ROW()&lt;3, 0, IF(Query1[[#This Row],[Month]]&lt;&gt;H884, Dashboard!$J$5,0))</f>
        <v>0</v>
      </c>
      <c r="N885" s="2">
        <f>IF(ROW()&lt;3, Query1[[#This Row],[Shares]], IF(Query1[[#This Row],[Month]]&lt;&gt;H884, N884+Query1[[#This Row],[Fix Top Up]]/Query1[[#This Row],[Adj Close]], N884))</f>
        <v>3409.5688209040036</v>
      </c>
      <c r="O885">
        <f>IF(AND(Query1[[#This Row],[avg]]&gt;0, Query1[[#This Row],[Month]]&lt;&gt;H884),
    IF(Query1[[#This Row],[Adj Close]]&gt;Query1[[#This Row],[avg]],
       Dashboard!$L$5-Dashboard!$E$6,
       Dashboard!$L$5+Dashboard!$E$6
    ), 0
)</f>
        <v>0</v>
      </c>
      <c r="P885" s="2">
        <f>IF(ROW()&lt;3, Query1[[#This Row],[Shares]], IF(Query1[[#This Row],[Month]]&lt;&gt;H884, P884+Query1[[#This Row],[Enhanced top up]]/Query1[[#This Row],[Adj Close]], P884))</f>
        <v>3401.0089738910419</v>
      </c>
      <c r="Q885" s="2">
        <f>IFERROR(AVERAGE(
  IF(ROW()&gt;20, INDEX(G:G, ROW()-20), 0) :
  INDEX(G:G, ROW())
),0)</f>
        <v>329.79364449637279</v>
      </c>
    </row>
    <row r="886" spans="1:17" x14ac:dyDescent="0.4">
      <c r="A886" s="1">
        <v>45117</v>
      </c>
      <c r="B886">
        <v>334.60000610351563</v>
      </c>
      <c r="C886">
        <v>335.23001098632813</v>
      </c>
      <c r="D886">
        <v>327.58999633789063</v>
      </c>
      <c r="E886">
        <v>331.82998657226563</v>
      </c>
      <c r="F886">
        <v>32791400</v>
      </c>
      <c r="G886">
        <v>326.21292114257813</v>
      </c>
      <c r="H886" s="2">
        <f>MONTH(Query1[[#This Row],[Date]])</f>
        <v>7</v>
      </c>
      <c r="I886" s="3">
        <f>Query1[[#This Row],[Shares]]*Query1[[#This Row],[Adj Close]]</f>
        <v>1171854.3391649451</v>
      </c>
      <c r="J886" s="3">
        <f>IF(ROW()&lt;3, Dashboard!$E$7, IF(Query1[[#This Row],[Month]]&lt;&gt;H885,J885*(1+Dashboard!$E$4)+Dashboard!$E$5,J885))</f>
        <v>863152.92624334153</v>
      </c>
      <c r="K886">
        <f>IF(ROW()&lt;3, 0,IF(Query1[[#This Row],[Month]]&lt;&gt;H885,IF((J886-I886&gt;0),J886-I886,0),0))</f>
        <v>0</v>
      </c>
      <c r="L886" s="2">
        <f t="shared" si="13"/>
        <v>3592.2989655359538</v>
      </c>
      <c r="M886">
        <f>IF(ROW()&lt;3, 0, IF(Query1[[#This Row],[Month]]&lt;&gt;H885, Dashboard!$J$5,0))</f>
        <v>0</v>
      </c>
      <c r="N886" s="2">
        <f>IF(ROW()&lt;3, Query1[[#This Row],[Shares]], IF(Query1[[#This Row],[Month]]&lt;&gt;H885, N885+Query1[[#This Row],[Fix Top Up]]/Query1[[#This Row],[Adj Close]], N885))</f>
        <v>3409.5688209040036</v>
      </c>
      <c r="O886">
        <f>IF(AND(Query1[[#This Row],[avg]]&gt;0, Query1[[#This Row],[Month]]&lt;&gt;H885),
    IF(Query1[[#This Row],[Adj Close]]&gt;Query1[[#This Row],[avg]],
       Dashboard!$L$5-Dashboard!$E$6,
       Dashboard!$L$5+Dashboard!$E$6
    ), 0
)</f>
        <v>0</v>
      </c>
      <c r="P886" s="2">
        <f>IF(ROW()&lt;3, Query1[[#This Row],[Shares]], IF(Query1[[#This Row],[Month]]&lt;&gt;H885, P885+Query1[[#This Row],[Enhanced top up]]/Query1[[#This Row],[Adj Close]], P885))</f>
        <v>3401.0089738910419</v>
      </c>
      <c r="Q886" s="2">
        <f>IFERROR(AVERAGE(
  IF(ROW()&gt;20, INDEX(G:G, ROW()-20), 0) :
  INDEX(G:G, ROW())
),0)</f>
        <v>330.18921189081101</v>
      </c>
    </row>
    <row r="887" spans="1:17" x14ac:dyDescent="0.4">
      <c r="A887" s="1">
        <v>45118</v>
      </c>
      <c r="B887">
        <v>331.05999755859375</v>
      </c>
      <c r="C887">
        <v>332.8599853515625</v>
      </c>
      <c r="D887">
        <v>327</v>
      </c>
      <c r="E887">
        <v>332.47000122070313</v>
      </c>
      <c r="F887">
        <v>26698200</v>
      </c>
      <c r="G887">
        <v>326.84207153320313</v>
      </c>
      <c r="H887" s="2">
        <f>MONTH(Query1[[#This Row],[Date]])</f>
        <v>7</v>
      </c>
      <c r="I887" s="3">
        <f>Query1[[#This Row],[Shares]]*Query1[[#This Row],[Adj Close]]</f>
        <v>1174114.4354623538</v>
      </c>
      <c r="J887" s="3">
        <f>IF(ROW()&lt;3, Dashboard!$E$7, IF(Query1[[#This Row],[Month]]&lt;&gt;H886,J886*(1+Dashboard!$E$4)+Dashboard!$E$5,J886))</f>
        <v>863152.92624334153</v>
      </c>
      <c r="K887">
        <f>IF(ROW()&lt;3, 0,IF(Query1[[#This Row],[Month]]&lt;&gt;H886,IF((J887-I887&gt;0),J887-I887,0),0))</f>
        <v>0</v>
      </c>
      <c r="L887" s="2">
        <f t="shared" si="13"/>
        <v>3592.2989655359538</v>
      </c>
      <c r="M887">
        <f>IF(ROW()&lt;3, 0, IF(Query1[[#This Row],[Month]]&lt;&gt;H886, Dashboard!$J$5,0))</f>
        <v>0</v>
      </c>
      <c r="N887" s="2">
        <f>IF(ROW()&lt;3, Query1[[#This Row],[Shares]], IF(Query1[[#This Row],[Month]]&lt;&gt;H886, N886+Query1[[#This Row],[Fix Top Up]]/Query1[[#This Row],[Adj Close]], N886))</f>
        <v>3409.5688209040036</v>
      </c>
      <c r="O887">
        <f>IF(AND(Query1[[#This Row],[avg]]&gt;0, Query1[[#This Row],[Month]]&lt;&gt;H886),
    IF(Query1[[#This Row],[Adj Close]]&gt;Query1[[#This Row],[avg]],
       Dashboard!$L$5-Dashboard!$E$6,
       Dashboard!$L$5+Dashboard!$E$6
    ), 0
)</f>
        <v>0</v>
      </c>
      <c r="P887" s="2">
        <f>IF(ROW()&lt;3, Query1[[#This Row],[Shares]], IF(Query1[[#This Row],[Month]]&lt;&gt;H886, P886+Query1[[#This Row],[Enhanced top up]]/Query1[[#This Row],[Adj Close]], P886))</f>
        <v>3401.0089738910419</v>
      </c>
      <c r="Q887" s="2">
        <f>IFERROR(AVERAGE(
  IF(ROW()&gt;20, INDEX(G:G, ROW()-20), 0) :
  INDEX(G:G, ROW())
),0)</f>
        <v>330.5267333984375</v>
      </c>
    </row>
    <row r="888" spans="1:17" x14ac:dyDescent="0.4">
      <c r="A888" s="1">
        <v>45119</v>
      </c>
      <c r="B888">
        <v>336.60000610351563</v>
      </c>
      <c r="C888">
        <v>341.64999389648438</v>
      </c>
      <c r="D888">
        <v>335.67001342773438</v>
      </c>
      <c r="E888">
        <v>337.20001220703125</v>
      </c>
      <c r="F888">
        <v>29995300</v>
      </c>
      <c r="G888">
        <v>331.49203491210938</v>
      </c>
      <c r="H888" s="2">
        <f>MONTH(Query1[[#This Row],[Date]])</f>
        <v>7</v>
      </c>
      <c r="I888" s="3">
        <f>Query1[[#This Row],[Shares]]*Query1[[#This Row],[Adj Close]]</f>
        <v>1190818.4940981788</v>
      </c>
      <c r="J888" s="3">
        <f>IF(ROW()&lt;3, Dashboard!$E$7, IF(Query1[[#This Row],[Month]]&lt;&gt;H887,J887*(1+Dashboard!$E$4)+Dashboard!$E$5,J887))</f>
        <v>863152.92624334153</v>
      </c>
      <c r="K888">
        <f>IF(ROW()&lt;3, 0,IF(Query1[[#This Row],[Month]]&lt;&gt;H887,IF((J888-I888&gt;0),J888-I888,0),0))</f>
        <v>0</v>
      </c>
      <c r="L888" s="2">
        <f t="shared" si="13"/>
        <v>3592.2989655359538</v>
      </c>
      <c r="M888">
        <f>IF(ROW()&lt;3, 0, IF(Query1[[#This Row],[Month]]&lt;&gt;H887, Dashboard!$J$5,0))</f>
        <v>0</v>
      </c>
      <c r="N888" s="2">
        <f>IF(ROW()&lt;3, Query1[[#This Row],[Shares]], IF(Query1[[#This Row],[Month]]&lt;&gt;H887, N887+Query1[[#This Row],[Fix Top Up]]/Query1[[#This Row],[Adj Close]], N887))</f>
        <v>3409.5688209040036</v>
      </c>
      <c r="O888">
        <f>IF(AND(Query1[[#This Row],[avg]]&gt;0, Query1[[#This Row],[Month]]&lt;&gt;H887),
    IF(Query1[[#This Row],[Adj Close]]&gt;Query1[[#This Row],[avg]],
       Dashboard!$L$5-Dashboard!$E$6,
       Dashboard!$L$5+Dashboard!$E$6
    ), 0
)</f>
        <v>0</v>
      </c>
      <c r="P888" s="2">
        <f>IF(ROW()&lt;3, Query1[[#This Row],[Shares]], IF(Query1[[#This Row],[Month]]&lt;&gt;H887, P887+Query1[[#This Row],[Enhanced top up]]/Query1[[#This Row],[Adj Close]], P887))</f>
        <v>3401.0089738910419</v>
      </c>
      <c r="Q888" s="2">
        <f>IFERROR(AVERAGE(
  IF(ROW()&gt;20, INDEX(G:G, ROW()-20), 0) :
  INDEX(G:G, ROW())
),0)</f>
        <v>331.01405843098956</v>
      </c>
    </row>
    <row r="889" spans="1:17" x14ac:dyDescent="0.4">
      <c r="A889" s="1">
        <v>45120</v>
      </c>
      <c r="B889">
        <v>339.55999755859375</v>
      </c>
      <c r="C889">
        <v>343.739990234375</v>
      </c>
      <c r="D889">
        <v>339.01998901367188</v>
      </c>
      <c r="E889">
        <v>342.66000366210938</v>
      </c>
      <c r="F889">
        <v>20567200</v>
      </c>
      <c r="G889">
        <v>336.859619140625</v>
      </c>
      <c r="H889" s="2">
        <f>MONTH(Query1[[#This Row],[Date]])</f>
        <v>7</v>
      </c>
      <c r="I889" s="3">
        <f>Query1[[#This Row],[Shares]]*Query1[[#This Row],[Adj Close]]</f>
        <v>1210100.4613697026</v>
      </c>
      <c r="J889" s="3">
        <f>IF(ROW()&lt;3, Dashboard!$E$7, IF(Query1[[#This Row],[Month]]&lt;&gt;H888,J888*(1+Dashboard!$E$4)+Dashboard!$E$5,J888))</f>
        <v>863152.92624334153</v>
      </c>
      <c r="K889">
        <f>IF(ROW()&lt;3, 0,IF(Query1[[#This Row],[Month]]&lt;&gt;H888,IF((J889-I889&gt;0),J889-I889,0),0))</f>
        <v>0</v>
      </c>
      <c r="L889" s="2">
        <f t="shared" si="13"/>
        <v>3592.2989655359538</v>
      </c>
      <c r="M889">
        <f>IF(ROW()&lt;3, 0, IF(Query1[[#This Row],[Month]]&lt;&gt;H888, Dashboard!$J$5,0))</f>
        <v>0</v>
      </c>
      <c r="N889" s="2">
        <f>IF(ROW()&lt;3, Query1[[#This Row],[Shares]], IF(Query1[[#This Row],[Month]]&lt;&gt;H888, N888+Query1[[#This Row],[Fix Top Up]]/Query1[[#This Row],[Adj Close]], N888))</f>
        <v>3409.5688209040036</v>
      </c>
      <c r="O889">
        <f>IF(AND(Query1[[#This Row],[avg]]&gt;0, Query1[[#This Row],[Month]]&lt;&gt;H888),
    IF(Query1[[#This Row],[Adj Close]]&gt;Query1[[#This Row],[avg]],
       Dashboard!$L$5-Dashboard!$E$6,
       Dashboard!$L$5+Dashboard!$E$6
    ), 0
)</f>
        <v>0</v>
      </c>
      <c r="P889" s="2">
        <f>IF(ROW()&lt;3, Query1[[#This Row],[Shares]], IF(Query1[[#This Row],[Month]]&lt;&gt;H888, P888+Query1[[#This Row],[Enhanced top up]]/Query1[[#This Row],[Adj Close]], P888))</f>
        <v>3401.0089738910419</v>
      </c>
      <c r="Q889" s="2">
        <f>IFERROR(AVERAGE(
  IF(ROW()&gt;20, INDEX(G:G, ROW()-20), 0) :
  INDEX(G:G, ROW())
),0)</f>
        <v>331.52010527111236</v>
      </c>
    </row>
    <row r="890" spans="1:17" x14ac:dyDescent="0.4">
      <c r="A890" s="1">
        <v>45121</v>
      </c>
      <c r="B890">
        <v>347.58999633789063</v>
      </c>
      <c r="C890">
        <v>351.42999267578125</v>
      </c>
      <c r="D890">
        <v>344.30999755859375</v>
      </c>
      <c r="E890">
        <v>345.239990234375</v>
      </c>
      <c r="F890">
        <v>28352700</v>
      </c>
      <c r="G890">
        <v>339.39590454101563</v>
      </c>
      <c r="H890" s="2">
        <f>MONTH(Query1[[#This Row],[Date]])</f>
        <v>7</v>
      </c>
      <c r="I890" s="3">
        <f>Query1[[#This Row],[Shares]]*Query1[[#This Row],[Adj Close]]</f>
        <v>1219211.5567898299</v>
      </c>
      <c r="J890" s="3">
        <f>IF(ROW()&lt;3, Dashboard!$E$7, IF(Query1[[#This Row],[Month]]&lt;&gt;H889,J889*(1+Dashboard!$E$4)+Dashboard!$E$5,J889))</f>
        <v>863152.92624334153</v>
      </c>
      <c r="K890">
        <f>IF(ROW()&lt;3, 0,IF(Query1[[#This Row],[Month]]&lt;&gt;H889,IF((J890-I890&gt;0),J890-I890,0),0))</f>
        <v>0</v>
      </c>
      <c r="L890" s="2">
        <f t="shared" si="13"/>
        <v>3592.2989655359538</v>
      </c>
      <c r="M890">
        <f>IF(ROW()&lt;3, 0, IF(Query1[[#This Row],[Month]]&lt;&gt;H889, Dashboard!$J$5,0))</f>
        <v>0</v>
      </c>
      <c r="N890" s="2">
        <f>IF(ROW()&lt;3, Query1[[#This Row],[Shares]], IF(Query1[[#This Row],[Month]]&lt;&gt;H889, N889+Query1[[#This Row],[Fix Top Up]]/Query1[[#This Row],[Adj Close]], N889))</f>
        <v>3409.5688209040036</v>
      </c>
      <c r="O890">
        <f>IF(AND(Query1[[#This Row],[avg]]&gt;0, Query1[[#This Row],[Month]]&lt;&gt;H889),
    IF(Query1[[#This Row],[Adj Close]]&gt;Query1[[#This Row],[avg]],
       Dashboard!$L$5-Dashboard!$E$6,
       Dashboard!$L$5+Dashboard!$E$6
    ), 0
)</f>
        <v>0</v>
      </c>
      <c r="P890" s="2">
        <f>IF(ROW()&lt;3, Query1[[#This Row],[Shares]], IF(Query1[[#This Row],[Month]]&lt;&gt;H889, P889+Query1[[#This Row],[Enhanced top up]]/Query1[[#This Row],[Adj Close]], P889))</f>
        <v>3401.0089738910419</v>
      </c>
      <c r="Q890" s="2">
        <f>IFERROR(AVERAGE(
  IF(ROW()&gt;20, INDEX(G:G, ROW()-20), 0) :
  INDEX(G:G, ROW())
),0)</f>
        <v>332.03270467122394</v>
      </c>
    </row>
    <row r="891" spans="1:17" x14ac:dyDescent="0.4">
      <c r="A891" s="1">
        <v>45124</v>
      </c>
      <c r="B891">
        <v>345.67999267578125</v>
      </c>
      <c r="C891">
        <v>346.989990234375</v>
      </c>
      <c r="D891">
        <v>342.20001220703125</v>
      </c>
      <c r="E891">
        <v>345.73001098632813</v>
      </c>
      <c r="F891">
        <v>20363900</v>
      </c>
      <c r="G891">
        <v>339.877685546875</v>
      </c>
      <c r="H891" s="2">
        <f>MONTH(Query1[[#This Row],[Date]])</f>
        <v>7</v>
      </c>
      <c r="I891" s="3">
        <f>Query1[[#This Row],[Shares]]*Query1[[#This Row],[Adj Close]]</f>
        <v>1220942.2581987933</v>
      </c>
      <c r="J891" s="3">
        <f>IF(ROW()&lt;3, Dashboard!$E$7, IF(Query1[[#This Row],[Month]]&lt;&gt;H890,J890*(1+Dashboard!$E$4)+Dashboard!$E$5,J890))</f>
        <v>863152.92624334153</v>
      </c>
      <c r="K891">
        <f>IF(ROW()&lt;3, 0,IF(Query1[[#This Row],[Month]]&lt;&gt;H890,IF((J891-I891&gt;0),J891-I891,0),0))</f>
        <v>0</v>
      </c>
      <c r="L891" s="2">
        <f t="shared" si="13"/>
        <v>3592.2989655359538</v>
      </c>
      <c r="M891">
        <f>IF(ROW()&lt;3, 0, IF(Query1[[#This Row],[Month]]&lt;&gt;H890, Dashboard!$J$5,0))</f>
        <v>0</v>
      </c>
      <c r="N891" s="2">
        <f>IF(ROW()&lt;3, Query1[[#This Row],[Shares]], IF(Query1[[#This Row],[Month]]&lt;&gt;H890, N890+Query1[[#This Row],[Fix Top Up]]/Query1[[#This Row],[Adj Close]], N890))</f>
        <v>3409.5688209040036</v>
      </c>
      <c r="O891">
        <f>IF(AND(Query1[[#This Row],[avg]]&gt;0, Query1[[#This Row],[Month]]&lt;&gt;H890),
    IF(Query1[[#This Row],[Adj Close]]&gt;Query1[[#This Row],[avg]],
       Dashboard!$L$5-Dashboard!$E$6,
       Dashboard!$L$5+Dashboard!$E$6
    ), 0
)</f>
        <v>0</v>
      </c>
      <c r="P891" s="2">
        <f>IF(ROW()&lt;3, Query1[[#This Row],[Shares]], IF(Query1[[#This Row],[Month]]&lt;&gt;H890, P890+Query1[[#This Row],[Enhanced top up]]/Query1[[#This Row],[Adj Close]], P890))</f>
        <v>3401.0089738910419</v>
      </c>
      <c r="Q891" s="2">
        <f>IFERROR(AVERAGE(
  IF(ROW()&gt;20, INDEX(G:G, ROW()-20), 0) :
  INDEX(G:G, ROW())
),0)</f>
        <v>332.4254688081287</v>
      </c>
    </row>
    <row r="892" spans="1:17" x14ac:dyDescent="0.4">
      <c r="A892" s="1">
        <v>45125</v>
      </c>
      <c r="B892">
        <v>345.82998657226563</v>
      </c>
      <c r="C892">
        <v>366.77999877929688</v>
      </c>
      <c r="D892">
        <v>342.17001342773438</v>
      </c>
      <c r="E892">
        <v>359.489990234375</v>
      </c>
      <c r="F892">
        <v>64738600</v>
      </c>
      <c r="G892">
        <v>353.4046630859375</v>
      </c>
      <c r="H892" s="2">
        <f>MONTH(Query1[[#This Row],[Date]])</f>
        <v>7</v>
      </c>
      <c r="I892" s="3">
        <f>Query1[[#This Row],[Shares]]*Query1[[#This Row],[Adj Close]]</f>
        <v>1269535.2056191955</v>
      </c>
      <c r="J892" s="3">
        <f>IF(ROW()&lt;3, Dashboard!$E$7, IF(Query1[[#This Row],[Month]]&lt;&gt;H891,J891*(1+Dashboard!$E$4)+Dashboard!$E$5,J891))</f>
        <v>863152.92624334153</v>
      </c>
      <c r="K892">
        <f>IF(ROW()&lt;3, 0,IF(Query1[[#This Row],[Month]]&lt;&gt;H891,IF((J892-I892&gt;0),J892-I892,0),0))</f>
        <v>0</v>
      </c>
      <c r="L892" s="2">
        <f t="shared" si="13"/>
        <v>3592.2989655359538</v>
      </c>
      <c r="M892">
        <f>IF(ROW()&lt;3, 0, IF(Query1[[#This Row],[Month]]&lt;&gt;H891, Dashboard!$J$5,0))</f>
        <v>0</v>
      </c>
      <c r="N892" s="2">
        <f>IF(ROW()&lt;3, Query1[[#This Row],[Shares]], IF(Query1[[#This Row],[Month]]&lt;&gt;H891, N891+Query1[[#This Row],[Fix Top Up]]/Query1[[#This Row],[Adj Close]], N891))</f>
        <v>3409.5688209040036</v>
      </c>
      <c r="O892">
        <f>IF(AND(Query1[[#This Row],[avg]]&gt;0, Query1[[#This Row],[Month]]&lt;&gt;H891),
    IF(Query1[[#This Row],[Adj Close]]&gt;Query1[[#This Row],[avg]],
       Dashboard!$L$5-Dashboard!$E$6,
       Dashboard!$L$5+Dashboard!$E$6
    ), 0
)</f>
        <v>0</v>
      </c>
      <c r="P892" s="2">
        <f>IF(ROW()&lt;3, Query1[[#This Row],[Shares]], IF(Query1[[#This Row],[Month]]&lt;&gt;H891, P891+Query1[[#This Row],[Enhanced top up]]/Query1[[#This Row],[Adj Close]], P891))</f>
        <v>3401.0089738910419</v>
      </c>
      <c r="Q892" s="2">
        <f>IFERROR(AVERAGE(
  IF(ROW()&gt;20, INDEX(G:G, ROW()-20), 0) :
  INDEX(G:G, ROW())
),0)</f>
        <v>332.9586646670387</v>
      </c>
    </row>
    <row r="893" spans="1:17" x14ac:dyDescent="0.4">
      <c r="A893" s="1">
        <v>45126</v>
      </c>
      <c r="B893">
        <v>361.75</v>
      </c>
      <c r="C893">
        <v>362.45999145507813</v>
      </c>
      <c r="D893">
        <v>352.44000244140625</v>
      </c>
      <c r="E893">
        <v>355.07998657226563</v>
      </c>
      <c r="F893">
        <v>39732900</v>
      </c>
      <c r="G893">
        <v>349.0693359375</v>
      </c>
      <c r="H893" s="2">
        <f>MONTH(Query1[[#This Row],[Date]])</f>
        <v>7</v>
      </c>
      <c r="I893" s="3">
        <f>Query1[[#This Row],[Shares]]*Query1[[#This Row],[Adj Close]]</f>
        <v>1253961.4143886035</v>
      </c>
      <c r="J893" s="3">
        <f>IF(ROW()&lt;3, Dashboard!$E$7, IF(Query1[[#This Row],[Month]]&lt;&gt;H892,J892*(1+Dashboard!$E$4)+Dashboard!$E$5,J892))</f>
        <v>863152.92624334153</v>
      </c>
      <c r="K893">
        <f>IF(ROW()&lt;3, 0,IF(Query1[[#This Row],[Month]]&lt;&gt;H892,IF((J893-I893&gt;0),J893-I893,0),0))</f>
        <v>0</v>
      </c>
      <c r="L893" s="2">
        <f t="shared" si="13"/>
        <v>3592.2989655359538</v>
      </c>
      <c r="M893">
        <f>IF(ROW()&lt;3, 0, IF(Query1[[#This Row],[Month]]&lt;&gt;H892, Dashboard!$J$5,0))</f>
        <v>0</v>
      </c>
      <c r="N893" s="2">
        <f>IF(ROW()&lt;3, Query1[[#This Row],[Shares]], IF(Query1[[#This Row],[Month]]&lt;&gt;H892, N892+Query1[[#This Row],[Fix Top Up]]/Query1[[#This Row],[Adj Close]], N892))</f>
        <v>3409.5688209040036</v>
      </c>
      <c r="O893">
        <f>IF(AND(Query1[[#This Row],[avg]]&gt;0, Query1[[#This Row],[Month]]&lt;&gt;H892),
    IF(Query1[[#This Row],[Adj Close]]&gt;Query1[[#This Row],[avg]],
       Dashboard!$L$5-Dashboard!$E$6,
       Dashboard!$L$5+Dashboard!$E$6
    ), 0
)</f>
        <v>0</v>
      </c>
      <c r="P893" s="2">
        <f>IF(ROW()&lt;3, Query1[[#This Row],[Shares]], IF(Query1[[#This Row],[Month]]&lt;&gt;H892, P892+Query1[[#This Row],[Enhanced top up]]/Query1[[#This Row],[Adj Close]], P892))</f>
        <v>3401.0089738910419</v>
      </c>
      <c r="Q893" s="2">
        <f>IFERROR(AVERAGE(
  IF(ROW()&gt;20, INDEX(G:G, ROW()-20), 0) :
  INDEX(G:G, ROW())
),0)</f>
        <v>333.55553036644346</v>
      </c>
    </row>
    <row r="894" spans="1:17" x14ac:dyDescent="0.4">
      <c r="A894" s="1">
        <v>45127</v>
      </c>
      <c r="B894">
        <v>353.57000732421875</v>
      </c>
      <c r="C894">
        <v>357.97000122070313</v>
      </c>
      <c r="D894">
        <v>345.3699951171875</v>
      </c>
      <c r="E894">
        <v>346.8699951171875</v>
      </c>
      <c r="F894">
        <v>33778400</v>
      </c>
      <c r="G894">
        <v>340.99832153320313</v>
      </c>
      <c r="H894" s="2">
        <f>MONTH(Query1[[#This Row],[Date]])</f>
        <v>7</v>
      </c>
      <c r="I894" s="3">
        <f>Query1[[#This Row],[Shares]]*Query1[[#This Row],[Adj Close]]</f>
        <v>1224967.9176932222</v>
      </c>
      <c r="J894" s="3">
        <f>IF(ROW()&lt;3, Dashboard!$E$7, IF(Query1[[#This Row],[Month]]&lt;&gt;H893,J893*(1+Dashboard!$E$4)+Dashboard!$E$5,J893))</f>
        <v>863152.92624334153</v>
      </c>
      <c r="K894">
        <f>IF(ROW()&lt;3, 0,IF(Query1[[#This Row],[Month]]&lt;&gt;H893,IF((J894-I894&gt;0),J894-I894,0),0))</f>
        <v>0</v>
      </c>
      <c r="L894" s="2">
        <f t="shared" si="13"/>
        <v>3592.2989655359538</v>
      </c>
      <c r="M894">
        <f>IF(ROW()&lt;3, 0, IF(Query1[[#This Row],[Month]]&lt;&gt;H893, Dashboard!$J$5,0))</f>
        <v>0</v>
      </c>
      <c r="N894" s="2">
        <f>IF(ROW()&lt;3, Query1[[#This Row],[Shares]], IF(Query1[[#This Row],[Month]]&lt;&gt;H893, N893+Query1[[#This Row],[Fix Top Up]]/Query1[[#This Row],[Adj Close]], N893))</f>
        <v>3409.5688209040036</v>
      </c>
      <c r="O894">
        <f>IF(AND(Query1[[#This Row],[avg]]&gt;0, Query1[[#This Row],[Month]]&lt;&gt;H893),
    IF(Query1[[#This Row],[Adj Close]]&gt;Query1[[#This Row],[avg]],
       Dashboard!$L$5-Dashboard!$E$6,
       Dashboard!$L$5+Dashboard!$E$6
    ), 0
)</f>
        <v>0</v>
      </c>
      <c r="P894" s="2">
        <f>IF(ROW()&lt;3, Query1[[#This Row],[Shares]], IF(Query1[[#This Row],[Month]]&lt;&gt;H893, P893+Query1[[#This Row],[Enhanced top up]]/Query1[[#This Row],[Adj Close]], P893))</f>
        <v>3401.0089738910419</v>
      </c>
      <c r="Q894" s="2">
        <f>IFERROR(AVERAGE(
  IF(ROW()&gt;20, INDEX(G:G, ROW()-20), 0) :
  INDEX(G:G, ROW())
),0)</f>
        <v>333.96842157273068</v>
      </c>
    </row>
    <row r="895" spans="1:17" x14ac:dyDescent="0.4">
      <c r="A895" s="1">
        <v>45128</v>
      </c>
      <c r="B895">
        <v>349.14999389648438</v>
      </c>
      <c r="C895">
        <v>350.29998779296875</v>
      </c>
      <c r="D895">
        <v>339.82998657226563</v>
      </c>
      <c r="E895">
        <v>343.76998901367188</v>
      </c>
      <c r="F895">
        <v>69405400</v>
      </c>
      <c r="G895">
        <v>337.9508056640625</v>
      </c>
      <c r="H895" s="2">
        <f>MONTH(Query1[[#This Row],[Date]])</f>
        <v>7</v>
      </c>
      <c r="I895" s="3">
        <f>Query1[[#This Row],[Shares]]*Query1[[#This Row],[Adj Close]]</f>
        <v>1214020.329589054</v>
      </c>
      <c r="J895" s="3">
        <f>IF(ROW()&lt;3, Dashboard!$E$7, IF(Query1[[#This Row],[Month]]&lt;&gt;H894,J894*(1+Dashboard!$E$4)+Dashboard!$E$5,J894))</f>
        <v>863152.92624334153</v>
      </c>
      <c r="K895">
        <f>IF(ROW()&lt;3, 0,IF(Query1[[#This Row],[Month]]&lt;&gt;H894,IF((J895-I895&gt;0),J895-I895,0),0))</f>
        <v>0</v>
      </c>
      <c r="L895" s="2">
        <f t="shared" si="13"/>
        <v>3592.2989655359538</v>
      </c>
      <c r="M895">
        <f>IF(ROW()&lt;3, 0, IF(Query1[[#This Row],[Month]]&lt;&gt;H894, Dashboard!$J$5,0))</f>
        <v>0</v>
      </c>
      <c r="N895" s="2">
        <f>IF(ROW()&lt;3, Query1[[#This Row],[Shares]], IF(Query1[[#This Row],[Month]]&lt;&gt;H894, N894+Query1[[#This Row],[Fix Top Up]]/Query1[[#This Row],[Adj Close]], N894))</f>
        <v>3409.5688209040036</v>
      </c>
      <c r="O895">
        <f>IF(AND(Query1[[#This Row],[avg]]&gt;0, Query1[[#This Row],[Month]]&lt;&gt;H894),
    IF(Query1[[#This Row],[Adj Close]]&gt;Query1[[#This Row],[avg]],
       Dashboard!$L$5-Dashboard!$E$6,
       Dashboard!$L$5+Dashboard!$E$6
    ), 0
)</f>
        <v>0</v>
      </c>
      <c r="P895" s="2">
        <f>IF(ROW()&lt;3, Query1[[#This Row],[Shares]], IF(Query1[[#This Row],[Month]]&lt;&gt;H894, P894+Query1[[#This Row],[Enhanced top up]]/Query1[[#This Row],[Adj Close]], P894))</f>
        <v>3401.0089738910419</v>
      </c>
      <c r="Q895" s="2">
        <f>IFERROR(AVERAGE(
  IF(ROW()&gt;20, INDEX(G:G, ROW()-20), 0) :
  INDEX(G:G, ROW())
),0)</f>
        <v>334.44638061523438</v>
      </c>
    </row>
    <row r="896" spans="1:17" x14ac:dyDescent="0.4">
      <c r="A896" s="1">
        <v>45131</v>
      </c>
      <c r="B896">
        <v>345.85000610351563</v>
      </c>
      <c r="C896">
        <v>346.92001342773438</v>
      </c>
      <c r="D896">
        <v>342.30999755859375</v>
      </c>
      <c r="E896">
        <v>345.1099853515625</v>
      </c>
      <c r="F896">
        <v>26678100</v>
      </c>
      <c r="G896">
        <v>339.26815795898438</v>
      </c>
      <c r="H896" s="2">
        <f>MONTH(Query1[[#This Row],[Date]])</f>
        <v>7</v>
      </c>
      <c r="I896" s="3">
        <f>Query1[[#This Row],[Shares]]*Query1[[#This Row],[Adj Close]]</f>
        <v>1218752.6528753482</v>
      </c>
      <c r="J896" s="3">
        <f>IF(ROW()&lt;3, Dashboard!$E$7, IF(Query1[[#This Row],[Month]]&lt;&gt;H895,J895*(1+Dashboard!$E$4)+Dashboard!$E$5,J895))</f>
        <v>863152.92624334153</v>
      </c>
      <c r="K896">
        <f>IF(ROW()&lt;3, 0,IF(Query1[[#This Row],[Month]]&lt;&gt;H895,IF((J896-I896&gt;0),J896-I896,0),0))</f>
        <v>0</v>
      </c>
      <c r="L896" s="2">
        <f t="shared" si="13"/>
        <v>3592.2989655359538</v>
      </c>
      <c r="M896">
        <f>IF(ROW()&lt;3, 0, IF(Query1[[#This Row],[Month]]&lt;&gt;H895, Dashboard!$J$5,0))</f>
        <v>0</v>
      </c>
      <c r="N896" s="2">
        <f>IF(ROW()&lt;3, Query1[[#This Row],[Shares]], IF(Query1[[#This Row],[Month]]&lt;&gt;H895, N895+Query1[[#This Row],[Fix Top Up]]/Query1[[#This Row],[Adj Close]], N895))</f>
        <v>3409.5688209040036</v>
      </c>
      <c r="O896">
        <f>IF(AND(Query1[[#This Row],[avg]]&gt;0, Query1[[#This Row],[Month]]&lt;&gt;H895),
    IF(Query1[[#This Row],[Adj Close]]&gt;Query1[[#This Row],[avg]],
       Dashboard!$L$5-Dashboard!$E$6,
       Dashboard!$L$5+Dashboard!$E$6
    ), 0
)</f>
        <v>0</v>
      </c>
      <c r="P896" s="2">
        <f>IF(ROW()&lt;3, Query1[[#This Row],[Shares]], IF(Query1[[#This Row],[Month]]&lt;&gt;H895, P895+Query1[[#This Row],[Enhanced top up]]/Query1[[#This Row],[Adj Close]], P895))</f>
        <v>3401.0089738910419</v>
      </c>
      <c r="Q896" s="2">
        <f>IFERROR(AVERAGE(
  IF(ROW()&gt;20, INDEX(G:G, ROW()-20), 0) :
  INDEX(G:G, ROW())
),0)</f>
        <v>334.69917370024183</v>
      </c>
    </row>
    <row r="897" spans="1:17" x14ac:dyDescent="0.4">
      <c r="A897" s="1">
        <v>45132</v>
      </c>
      <c r="B897">
        <v>347.1099853515625</v>
      </c>
      <c r="C897">
        <v>351.8900146484375</v>
      </c>
      <c r="D897">
        <v>345.07000732421875</v>
      </c>
      <c r="E897">
        <v>350.98001098632813</v>
      </c>
      <c r="F897">
        <v>41637700</v>
      </c>
      <c r="G897">
        <v>345.03878784179688</v>
      </c>
      <c r="H897" s="2">
        <f>MONTH(Query1[[#This Row],[Date]])</f>
        <v>7</v>
      </c>
      <c r="I897" s="3">
        <f>Query1[[#This Row],[Shares]]*Query1[[#This Row],[Adj Close]]</f>
        <v>1239482.4806338663</v>
      </c>
      <c r="J897" s="3">
        <f>IF(ROW()&lt;3, Dashboard!$E$7, IF(Query1[[#This Row],[Month]]&lt;&gt;H896,J896*(1+Dashboard!$E$4)+Dashboard!$E$5,J896))</f>
        <v>863152.92624334153</v>
      </c>
      <c r="K897">
        <f>IF(ROW()&lt;3, 0,IF(Query1[[#This Row],[Month]]&lt;&gt;H896,IF((J897-I897&gt;0),J897-I897,0),0))</f>
        <v>0</v>
      </c>
      <c r="L897" s="2">
        <f t="shared" si="13"/>
        <v>3592.2989655359538</v>
      </c>
      <c r="M897">
        <f>IF(ROW()&lt;3, 0, IF(Query1[[#This Row],[Month]]&lt;&gt;H896, Dashboard!$J$5,0))</f>
        <v>0</v>
      </c>
      <c r="N897" s="2">
        <f>IF(ROW()&lt;3, Query1[[#This Row],[Shares]], IF(Query1[[#This Row],[Month]]&lt;&gt;H896, N896+Query1[[#This Row],[Fix Top Up]]/Query1[[#This Row],[Adj Close]], N896))</f>
        <v>3409.5688209040036</v>
      </c>
      <c r="O897">
        <f>IF(AND(Query1[[#This Row],[avg]]&gt;0, Query1[[#This Row],[Month]]&lt;&gt;H896),
    IF(Query1[[#This Row],[Adj Close]]&gt;Query1[[#This Row],[avg]],
       Dashboard!$L$5-Dashboard!$E$6,
       Dashboard!$L$5+Dashboard!$E$6
    ), 0
)</f>
        <v>0</v>
      </c>
      <c r="P897" s="2">
        <f>IF(ROW()&lt;3, Query1[[#This Row],[Shares]], IF(Query1[[#This Row],[Month]]&lt;&gt;H896, P896+Query1[[#This Row],[Enhanced top up]]/Query1[[#This Row],[Adj Close]], P896))</f>
        <v>3401.0089738910419</v>
      </c>
      <c r="Q897" s="2">
        <f>IFERROR(AVERAGE(
  IF(ROW()&gt;20, INDEX(G:G, ROW()-20), 0) :
  INDEX(G:G, ROW())
),0)</f>
        <v>335.4463108607701</v>
      </c>
    </row>
    <row r="898" spans="1:17" x14ac:dyDescent="0.4">
      <c r="A898" s="1">
        <v>45133</v>
      </c>
      <c r="B898">
        <v>341.44000244140625</v>
      </c>
      <c r="C898">
        <v>344.67001342773438</v>
      </c>
      <c r="D898">
        <v>333.1099853515625</v>
      </c>
      <c r="E898">
        <v>337.76998901367188</v>
      </c>
      <c r="F898">
        <v>58383700</v>
      </c>
      <c r="G898">
        <v>332.05239868164063</v>
      </c>
      <c r="H898" s="2">
        <f>MONTH(Query1[[#This Row],[Date]])</f>
        <v>7</v>
      </c>
      <c r="I898" s="3">
        <f>Query1[[#This Row],[Shares]]*Query1[[#This Row],[Adj Close]]</f>
        <v>1192831.4882877897</v>
      </c>
      <c r="J898" s="3">
        <f>IF(ROW()&lt;3, Dashboard!$E$7, IF(Query1[[#This Row],[Month]]&lt;&gt;H897,J897*(1+Dashboard!$E$4)+Dashboard!$E$5,J897))</f>
        <v>863152.92624334153</v>
      </c>
      <c r="K898">
        <f>IF(ROW()&lt;3, 0,IF(Query1[[#This Row],[Month]]&lt;&gt;H897,IF((J898-I898&gt;0),J898-I898,0),0))</f>
        <v>0</v>
      </c>
      <c r="L898" s="2">
        <f t="shared" ref="L898:L961" si="14">IF(ROW()&lt;3, J898/G898, L897+K897/G897)</f>
        <v>3592.2989655359538</v>
      </c>
      <c r="M898">
        <f>IF(ROW()&lt;3, 0, IF(Query1[[#This Row],[Month]]&lt;&gt;H897, Dashboard!$J$5,0))</f>
        <v>0</v>
      </c>
      <c r="N898" s="2">
        <f>IF(ROW()&lt;3, Query1[[#This Row],[Shares]], IF(Query1[[#This Row],[Month]]&lt;&gt;H897, N897+Query1[[#This Row],[Fix Top Up]]/Query1[[#This Row],[Adj Close]], N897))</f>
        <v>3409.5688209040036</v>
      </c>
      <c r="O898">
        <f>IF(AND(Query1[[#This Row],[avg]]&gt;0, Query1[[#This Row],[Month]]&lt;&gt;H897),
    IF(Query1[[#This Row],[Adj Close]]&gt;Query1[[#This Row],[avg]],
       Dashboard!$L$5-Dashboard!$E$6,
       Dashboard!$L$5+Dashboard!$E$6
    ), 0
)</f>
        <v>0</v>
      </c>
      <c r="P898" s="2">
        <f>IF(ROW()&lt;3, Query1[[#This Row],[Shares]], IF(Query1[[#This Row],[Month]]&lt;&gt;H897, P897+Query1[[#This Row],[Enhanced top up]]/Query1[[#This Row],[Adj Close]], P897))</f>
        <v>3401.0089738910419</v>
      </c>
      <c r="Q898" s="2">
        <f>IFERROR(AVERAGE(
  IF(ROW()&gt;20, INDEX(G:G, ROW()-20), 0) :
  INDEX(G:G, ROW())
),0)</f>
        <v>335.87558564685639</v>
      </c>
    </row>
    <row r="899" spans="1:17" x14ac:dyDescent="0.4">
      <c r="A899" s="1">
        <v>45134</v>
      </c>
      <c r="B899">
        <v>340.48001098632813</v>
      </c>
      <c r="C899">
        <v>341.32998657226563</v>
      </c>
      <c r="D899">
        <v>329.04998779296875</v>
      </c>
      <c r="E899">
        <v>330.72000122070313</v>
      </c>
      <c r="F899">
        <v>39635300</v>
      </c>
      <c r="G899">
        <v>325.12167358398438</v>
      </c>
      <c r="H899" s="2">
        <f>MONTH(Query1[[#This Row],[Date]])</f>
        <v>7</v>
      </c>
      <c r="I899" s="3">
        <f>Query1[[#This Row],[Shares]]*Query1[[#This Row],[Adj Close]]</f>
        <v>1167934.251689065</v>
      </c>
      <c r="J899" s="3">
        <f>IF(ROW()&lt;3, Dashboard!$E$7, IF(Query1[[#This Row],[Month]]&lt;&gt;H898,J898*(1+Dashboard!$E$4)+Dashboard!$E$5,J898))</f>
        <v>863152.92624334153</v>
      </c>
      <c r="K899">
        <f>IF(ROW()&lt;3, 0,IF(Query1[[#This Row],[Month]]&lt;&gt;H898,IF((J899-I899&gt;0),J899-I899,0),0))</f>
        <v>0</v>
      </c>
      <c r="L899" s="2">
        <f t="shared" si="14"/>
        <v>3592.2989655359538</v>
      </c>
      <c r="M899">
        <f>IF(ROW()&lt;3, 0, IF(Query1[[#This Row],[Month]]&lt;&gt;H898, Dashboard!$J$5,0))</f>
        <v>0</v>
      </c>
      <c r="N899" s="2">
        <f>IF(ROW()&lt;3, Query1[[#This Row],[Shares]], IF(Query1[[#This Row],[Month]]&lt;&gt;H898, N898+Query1[[#This Row],[Fix Top Up]]/Query1[[#This Row],[Adj Close]], N898))</f>
        <v>3409.5688209040036</v>
      </c>
      <c r="O899">
        <f>IF(AND(Query1[[#This Row],[avg]]&gt;0, Query1[[#This Row],[Month]]&lt;&gt;H898),
    IF(Query1[[#This Row],[Adj Close]]&gt;Query1[[#This Row],[avg]],
       Dashboard!$L$5-Dashboard!$E$6,
       Dashboard!$L$5+Dashboard!$E$6
    ), 0
)</f>
        <v>0</v>
      </c>
      <c r="P899" s="2">
        <f>IF(ROW()&lt;3, Query1[[#This Row],[Shares]], IF(Query1[[#This Row],[Month]]&lt;&gt;H898, P898+Query1[[#This Row],[Enhanced top up]]/Query1[[#This Row],[Adj Close]], P898))</f>
        <v>3401.0089738910419</v>
      </c>
      <c r="Q899" s="2">
        <f>IFERROR(AVERAGE(
  IF(ROW()&gt;20, INDEX(G:G, ROW()-20), 0) :
  INDEX(G:G, ROW())
),0)</f>
        <v>335.69535319010419</v>
      </c>
    </row>
    <row r="900" spans="1:17" x14ac:dyDescent="0.4">
      <c r="A900" s="1">
        <v>45135</v>
      </c>
      <c r="B900">
        <v>333.67001342773438</v>
      </c>
      <c r="C900">
        <v>340.010009765625</v>
      </c>
      <c r="D900">
        <v>333.17001342773438</v>
      </c>
      <c r="E900">
        <v>338.3699951171875</v>
      </c>
      <c r="F900">
        <v>28484900</v>
      </c>
      <c r="G900">
        <v>332.64218139648438</v>
      </c>
      <c r="H900" s="2">
        <f>MONTH(Query1[[#This Row],[Date]])</f>
        <v>7</v>
      </c>
      <c r="I900" s="3">
        <f>Query1[[#This Row],[Shares]]*Query1[[#This Row],[Adj Close]]</f>
        <v>1194950.1641242139</v>
      </c>
      <c r="J900" s="3">
        <f>IF(ROW()&lt;3, Dashboard!$E$7, IF(Query1[[#This Row],[Month]]&lt;&gt;H899,J899*(1+Dashboard!$E$4)+Dashboard!$E$5,J899))</f>
        <v>863152.92624334153</v>
      </c>
      <c r="K900">
        <f>IF(ROW()&lt;3, 0,IF(Query1[[#This Row],[Month]]&lt;&gt;H899,IF((J900-I900&gt;0),J900-I900,0),0))</f>
        <v>0</v>
      </c>
      <c r="L900" s="2">
        <f t="shared" si="14"/>
        <v>3592.2989655359538</v>
      </c>
      <c r="M900">
        <f>IF(ROW()&lt;3, 0, IF(Query1[[#This Row],[Month]]&lt;&gt;H899, Dashboard!$J$5,0))</f>
        <v>0</v>
      </c>
      <c r="N900" s="2">
        <f>IF(ROW()&lt;3, Query1[[#This Row],[Shares]], IF(Query1[[#This Row],[Month]]&lt;&gt;H899, N899+Query1[[#This Row],[Fix Top Up]]/Query1[[#This Row],[Adj Close]], N899))</f>
        <v>3409.5688209040036</v>
      </c>
      <c r="O900">
        <f>IF(AND(Query1[[#This Row],[avg]]&gt;0, Query1[[#This Row],[Month]]&lt;&gt;H899),
    IF(Query1[[#This Row],[Adj Close]]&gt;Query1[[#This Row],[avg]],
       Dashboard!$L$5-Dashboard!$E$6,
       Dashboard!$L$5+Dashboard!$E$6
    ), 0
)</f>
        <v>0</v>
      </c>
      <c r="P900" s="2">
        <f>IF(ROW()&lt;3, Query1[[#This Row],[Shares]], IF(Query1[[#This Row],[Month]]&lt;&gt;H899, P899+Query1[[#This Row],[Enhanced top up]]/Query1[[#This Row],[Adj Close]], P899))</f>
        <v>3401.0089738910419</v>
      </c>
      <c r="Q900" s="2">
        <f>IFERROR(AVERAGE(
  IF(ROW()&gt;20, INDEX(G:G, ROW()-20), 0) :
  INDEX(G:G, ROW())
),0)</f>
        <v>335.81332106817337</v>
      </c>
    </row>
    <row r="901" spans="1:17" x14ac:dyDescent="0.4">
      <c r="A901" s="1">
        <v>45138</v>
      </c>
      <c r="B901">
        <v>336.92001342773438</v>
      </c>
      <c r="C901">
        <v>337.70001220703125</v>
      </c>
      <c r="D901">
        <v>333.3599853515625</v>
      </c>
      <c r="E901">
        <v>335.92001342773438</v>
      </c>
      <c r="F901">
        <v>25446000</v>
      </c>
      <c r="G901">
        <v>330.23373413085938</v>
      </c>
      <c r="H901" s="2">
        <f>MONTH(Query1[[#This Row],[Date]])</f>
        <v>7</v>
      </c>
      <c r="I901" s="3">
        <f>Query1[[#This Row],[Shares]]*Query1[[#This Row],[Adj Close]]</f>
        <v>1186298.3015033614</v>
      </c>
      <c r="J901" s="3">
        <f>IF(ROW()&lt;3, Dashboard!$E$7, IF(Query1[[#This Row],[Month]]&lt;&gt;H900,J900*(1+Dashboard!$E$4)+Dashboard!$E$5,J900))</f>
        <v>863152.92624334153</v>
      </c>
      <c r="K901">
        <f>IF(ROW()&lt;3, 0,IF(Query1[[#This Row],[Month]]&lt;&gt;H900,IF((J901-I901&gt;0),J901-I901,0),0))</f>
        <v>0</v>
      </c>
      <c r="L901" s="2">
        <f t="shared" si="14"/>
        <v>3592.2989655359538</v>
      </c>
      <c r="M901">
        <f>IF(ROW()&lt;3, 0, IF(Query1[[#This Row],[Month]]&lt;&gt;H900, Dashboard!$J$5,0))</f>
        <v>0</v>
      </c>
      <c r="N901" s="2">
        <f>IF(ROW()&lt;3, Query1[[#This Row],[Shares]], IF(Query1[[#This Row],[Month]]&lt;&gt;H900, N900+Query1[[#This Row],[Fix Top Up]]/Query1[[#This Row],[Adj Close]], N900))</f>
        <v>3409.5688209040036</v>
      </c>
      <c r="O901">
        <f>IF(AND(Query1[[#This Row],[avg]]&gt;0, Query1[[#This Row],[Month]]&lt;&gt;H900),
    IF(Query1[[#This Row],[Adj Close]]&gt;Query1[[#This Row],[avg]],
       Dashboard!$L$5-Dashboard!$E$6,
       Dashboard!$L$5+Dashboard!$E$6
    ), 0
)</f>
        <v>0</v>
      </c>
      <c r="P901" s="2">
        <f>IF(ROW()&lt;3, Query1[[#This Row],[Shares]], IF(Query1[[#This Row],[Month]]&lt;&gt;H900, P900+Query1[[#This Row],[Enhanced top up]]/Query1[[#This Row],[Adj Close]], P900))</f>
        <v>3401.0089738910419</v>
      </c>
      <c r="Q901" s="2">
        <f>IFERROR(AVERAGE(
  IF(ROW()&gt;20, INDEX(G:G, ROW()-20), 0) :
  INDEX(G:G, ROW())
),0)</f>
        <v>335.85405331566221</v>
      </c>
    </row>
    <row r="902" spans="1:17" x14ac:dyDescent="0.4">
      <c r="A902" s="1">
        <v>45139</v>
      </c>
      <c r="B902">
        <v>335.19000244140625</v>
      </c>
      <c r="C902">
        <v>338.54000854492188</v>
      </c>
      <c r="D902">
        <v>333.70001220703125</v>
      </c>
      <c r="E902">
        <v>336.33999633789063</v>
      </c>
      <c r="F902">
        <v>18311900</v>
      </c>
      <c r="G902">
        <v>330.64657592773438</v>
      </c>
      <c r="H902" s="2">
        <f>MONTH(Query1[[#This Row],[Date]])</f>
        <v>8</v>
      </c>
      <c r="I902" s="3">
        <f>Query1[[#This Row],[Shares]]*Query1[[#This Row],[Adj Close]]</f>
        <v>1187781.3526632055</v>
      </c>
      <c r="J902" s="3">
        <f>IF(ROW()&lt;3, Dashboard!$E$7, IF(Query1[[#This Row],[Month]]&lt;&gt;H901,J901*(1+Dashboard!$E$4)+Dashboard!$E$5,J901))</f>
        <v>873784.45550577494</v>
      </c>
      <c r="K902">
        <f>IF(ROW()&lt;3, 0,IF(Query1[[#This Row],[Month]]&lt;&gt;H901,IF((J902-I902&gt;0),J902-I902,0),0))</f>
        <v>0</v>
      </c>
      <c r="L902" s="2">
        <f t="shared" si="14"/>
        <v>3592.2989655359538</v>
      </c>
      <c r="M902">
        <f>IF(ROW()&lt;3, 0, IF(Query1[[#This Row],[Month]]&lt;&gt;H901, Dashboard!$J$5,0))</f>
        <v>773.47399999999971</v>
      </c>
      <c r="N902" s="2">
        <f>IF(ROW()&lt;3, Query1[[#This Row],[Shares]], IF(Query1[[#This Row],[Month]]&lt;&gt;H901, N901+Query1[[#This Row],[Fix Top Up]]/Query1[[#This Row],[Adj Close]], N901))</f>
        <v>3411.9080981151155</v>
      </c>
      <c r="O902">
        <f>IF(AND(Query1[[#This Row],[avg]]&gt;0, Query1[[#This Row],[Month]]&lt;&gt;H901),
    IF(Query1[[#This Row],[Adj Close]]&gt;Query1[[#This Row],[avg]],
       Dashboard!$L$5-Dashboard!$E$6,
       Dashboard!$L$5+Dashboard!$E$6
    ), 0
)</f>
        <v>1390.1406666666667</v>
      </c>
      <c r="P902" s="2">
        <f>IF(ROW()&lt;3, Query1[[#This Row],[Shares]], IF(Query1[[#This Row],[Month]]&lt;&gt;H901, P901+Query1[[#This Row],[Enhanced top up]]/Query1[[#This Row],[Adj Close]], P901))</f>
        <v>3405.2132837731756</v>
      </c>
      <c r="Q902" s="2">
        <f>IFERROR(AVERAGE(
  IF(ROW()&gt;20, INDEX(G:G, ROW()-20), 0) :
  INDEX(G:G, ROW())
),0)</f>
        <v>335.65744018554688</v>
      </c>
    </row>
    <row r="903" spans="1:17" x14ac:dyDescent="0.4">
      <c r="A903" s="1">
        <v>45140</v>
      </c>
      <c r="B903">
        <v>333.6300048828125</v>
      </c>
      <c r="C903">
        <v>333.6300048828125</v>
      </c>
      <c r="D903">
        <v>326.3599853515625</v>
      </c>
      <c r="E903">
        <v>327.5</v>
      </c>
      <c r="F903">
        <v>27761300</v>
      </c>
      <c r="G903">
        <v>321.95623779296875</v>
      </c>
      <c r="H903" s="2">
        <f>MONTH(Query1[[#This Row],[Date]])</f>
        <v>8</v>
      </c>
      <c r="I903" s="3">
        <f>Query1[[#This Row],[Shares]]*Query1[[#This Row],[Adj Close]]</f>
        <v>1156563.0599715293</v>
      </c>
      <c r="J903" s="3">
        <f>IF(ROW()&lt;3, Dashboard!$E$7, IF(Query1[[#This Row],[Month]]&lt;&gt;H902,J902*(1+Dashboard!$E$4)+Dashboard!$E$5,J902))</f>
        <v>873784.45550577494</v>
      </c>
      <c r="K903">
        <f>IF(ROW()&lt;3, 0,IF(Query1[[#This Row],[Month]]&lt;&gt;H902,IF((J903-I903&gt;0),J903-I903,0),0))</f>
        <v>0</v>
      </c>
      <c r="L903" s="2">
        <f t="shared" si="14"/>
        <v>3592.2989655359538</v>
      </c>
      <c r="M903">
        <f>IF(ROW()&lt;3, 0, IF(Query1[[#This Row],[Month]]&lt;&gt;H902, Dashboard!$J$5,0))</f>
        <v>0</v>
      </c>
      <c r="N903" s="2">
        <f>IF(ROW()&lt;3, Query1[[#This Row],[Shares]], IF(Query1[[#This Row],[Month]]&lt;&gt;H902, N902+Query1[[#This Row],[Fix Top Up]]/Query1[[#This Row],[Adj Close]], N902))</f>
        <v>3411.9080981151155</v>
      </c>
      <c r="O903">
        <f>IF(AND(Query1[[#This Row],[avg]]&gt;0, Query1[[#This Row],[Month]]&lt;&gt;H902),
    IF(Query1[[#This Row],[Adj Close]]&gt;Query1[[#This Row],[avg]],
       Dashboard!$L$5-Dashboard!$E$6,
       Dashboard!$L$5+Dashboard!$E$6
    ), 0
)</f>
        <v>0</v>
      </c>
      <c r="P903" s="2">
        <f>IF(ROW()&lt;3, Query1[[#This Row],[Shares]], IF(Query1[[#This Row],[Month]]&lt;&gt;H902, P902+Query1[[#This Row],[Enhanced top up]]/Query1[[#This Row],[Adj Close]], P902))</f>
        <v>3405.2132837731756</v>
      </c>
      <c r="Q903" s="2">
        <f>IFERROR(AVERAGE(
  IF(ROW()&gt;20, INDEX(G:G, ROW()-20), 0) :
  INDEX(G:G, ROW())
),0)</f>
        <v>335.16637311662947</v>
      </c>
    </row>
    <row r="904" spans="1:17" x14ac:dyDescent="0.4">
      <c r="A904" s="1">
        <v>45141</v>
      </c>
      <c r="B904">
        <v>326</v>
      </c>
      <c r="C904">
        <v>329.8800048828125</v>
      </c>
      <c r="D904">
        <v>325.95001220703125</v>
      </c>
      <c r="E904">
        <v>326.66000366210938</v>
      </c>
      <c r="F904">
        <v>18253700</v>
      </c>
      <c r="G904">
        <v>321.1304931640625</v>
      </c>
      <c r="H904" s="2">
        <f>MONTH(Query1[[#This Row],[Date]])</f>
        <v>8</v>
      </c>
      <c r="I904" s="3">
        <f>Query1[[#This Row],[Shares]]*Query1[[#This Row],[Adj Close]]</f>
        <v>1153596.7383953123</v>
      </c>
      <c r="J904" s="3">
        <f>IF(ROW()&lt;3, Dashboard!$E$7, IF(Query1[[#This Row],[Month]]&lt;&gt;H903,J903*(1+Dashboard!$E$4)+Dashboard!$E$5,J903))</f>
        <v>873784.45550577494</v>
      </c>
      <c r="K904">
        <f>IF(ROW()&lt;3, 0,IF(Query1[[#This Row],[Month]]&lt;&gt;H903,IF((J904-I904&gt;0),J904-I904,0),0))</f>
        <v>0</v>
      </c>
      <c r="L904" s="2">
        <f t="shared" si="14"/>
        <v>3592.2989655359538</v>
      </c>
      <c r="M904">
        <f>IF(ROW()&lt;3, 0, IF(Query1[[#This Row],[Month]]&lt;&gt;H903, Dashboard!$J$5,0))</f>
        <v>0</v>
      </c>
      <c r="N904" s="2">
        <f>IF(ROW()&lt;3, Query1[[#This Row],[Shares]], IF(Query1[[#This Row],[Month]]&lt;&gt;H903, N903+Query1[[#This Row],[Fix Top Up]]/Query1[[#This Row],[Adj Close]], N903))</f>
        <v>3411.9080981151155</v>
      </c>
      <c r="O904">
        <f>IF(AND(Query1[[#This Row],[avg]]&gt;0, Query1[[#This Row],[Month]]&lt;&gt;H903),
    IF(Query1[[#This Row],[Adj Close]]&gt;Query1[[#This Row],[avg]],
       Dashboard!$L$5-Dashboard!$E$6,
       Dashboard!$L$5+Dashboard!$E$6
    ), 0
)</f>
        <v>0</v>
      </c>
      <c r="P904" s="2">
        <f>IF(ROW()&lt;3, Query1[[#This Row],[Shares]], IF(Query1[[#This Row],[Month]]&lt;&gt;H903, P903+Query1[[#This Row],[Enhanced top up]]/Query1[[#This Row],[Adj Close]], P903))</f>
        <v>3405.2132837731756</v>
      </c>
      <c r="Q904" s="2">
        <f>IFERROR(AVERAGE(
  IF(ROW()&gt;20, INDEX(G:G, ROW()-20), 0) :
  INDEX(G:G, ROW())
),0)</f>
        <v>334.62849644252231</v>
      </c>
    </row>
    <row r="905" spans="1:17" x14ac:dyDescent="0.4">
      <c r="A905" s="1">
        <v>45142</v>
      </c>
      <c r="B905">
        <v>331.8800048828125</v>
      </c>
      <c r="C905">
        <v>335.1400146484375</v>
      </c>
      <c r="D905">
        <v>327.239990234375</v>
      </c>
      <c r="E905">
        <v>327.77999877929688</v>
      </c>
      <c r="F905">
        <v>23741500</v>
      </c>
      <c r="G905">
        <v>322.23147583007813</v>
      </c>
      <c r="H905" s="2">
        <f>MONTH(Query1[[#This Row],[Date]])</f>
        <v>8</v>
      </c>
      <c r="I905" s="3">
        <f>Query1[[#This Row],[Shares]]*Query1[[#This Row],[Adj Close]]</f>
        <v>1157551.7972875133</v>
      </c>
      <c r="J905" s="3">
        <f>IF(ROW()&lt;3, Dashboard!$E$7, IF(Query1[[#This Row],[Month]]&lt;&gt;H904,J904*(1+Dashboard!$E$4)+Dashboard!$E$5,J904))</f>
        <v>873784.45550577494</v>
      </c>
      <c r="K905">
        <f>IF(ROW()&lt;3, 0,IF(Query1[[#This Row],[Month]]&lt;&gt;H904,IF((J905-I905&gt;0),J905-I905,0),0))</f>
        <v>0</v>
      </c>
      <c r="L905" s="2">
        <f t="shared" si="14"/>
        <v>3592.2989655359538</v>
      </c>
      <c r="M905">
        <f>IF(ROW()&lt;3, 0, IF(Query1[[#This Row],[Month]]&lt;&gt;H904, Dashboard!$J$5,0))</f>
        <v>0</v>
      </c>
      <c r="N905" s="2">
        <f>IF(ROW()&lt;3, Query1[[#This Row],[Shares]], IF(Query1[[#This Row],[Month]]&lt;&gt;H904, N904+Query1[[#This Row],[Fix Top Up]]/Query1[[#This Row],[Adj Close]], N904))</f>
        <v>3411.9080981151155</v>
      </c>
      <c r="O905">
        <f>IF(AND(Query1[[#This Row],[avg]]&gt;0, Query1[[#This Row],[Month]]&lt;&gt;H904),
    IF(Query1[[#This Row],[Adj Close]]&gt;Query1[[#This Row],[avg]],
       Dashboard!$L$5-Dashboard!$E$6,
       Dashboard!$L$5+Dashboard!$E$6
    ), 0
)</f>
        <v>0</v>
      </c>
      <c r="P905" s="2">
        <f>IF(ROW()&lt;3, Query1[[#This Row],[Shares]], IF(Query1[[#This Row],[Month]]&lt;&gt;H904, P904+Query1[[#This Row],[Enhanced top up]]/Query1[[#This Row],[Adj Close]], P904))</f>
        <v>3405.2132837731756</v>
      </c>
      <c r="Q905" s="2">
        <f>IFERROR(AVERAGE(
  IF(ROW()&gt;20, INDEX(G:G, ROW()-20), 0) :
  INDEX(G:G, ROW())
),0)</f>
        <v>333.99699038550966</v>
      </c>
    </row>
    <row r="906" spans="1:17" x14ac:dyDescent="0.4">
      <c r="A906" s="1">
        <v>45145</v>
      </c>
      <c r="B906">
        <v>328.3699951171875</v>
      </c>
      <c r="C906">
        <v>331.1099853515625</v>
      </c>
      <c r="D906">
        <v>327.51998901367188</v>
      </c>
      <c r="E906">
        <v>330.1099853515625</v>
      </c>
      <c r="F906">
        <v>17741500</v>
      </c>
      <c r="G906">
        <v>324.52203369140625</v>
      </c>
      <c r="H906" s="2">
        <f>MONTH(Query1[[#This Row],[Date]])</f>
        <v>8</v>
      </c>
      <c r="I906" s="3">
        <f>Query1[[#This Row],[Shares]]*Query1[[#This Row],[Adj Close]]</f>
        <v>1165780.1659232627</v>
      </c>
      <c r="J906" s="3">
        <f>IF(ROW()&lt;3, Dashboard!$E$7, IF(Query1[[#This Row],[Month]]&lt;&gt;H905,J905*(1+Dashboard!$E$4)+Dashboard!$E$5,J905))</f>
        <v>873784.45550577494</v>
      </c>
      <c r="K906">
        <f>IF(ROW()&lt;3, 0,IF(Query1[[#This Row],[Month]]&lt;&gt;H905,IF((J906-I906&gt;0),J906-I906,0),0))</f>
        <v>0</v>
      </c>
      <c r="L906" s="2">
        <f t="shared" si="14"/>
        <v>3592.2989655359538</v>
      </c>
      <c r="M906">
        <f>IF(ROW()&lt;3, 0, IF(Query1[[#This Row],[Month]]&lt;&gt;H905, Dashboard!$J$5,0))</f>
        <v>0</v>
      </c>
      <c r="N906" s="2">
        <f>IF(ROW()&lt;3, Query1[[#This Row],[Shares]], IF(Query1[[#This Row],[Month]]&lt;&gt;H905, N905+Query1[[#This Row],[Fix Top Up]]/Query1[[#This Row],[Adj Close]], N905))</f>
        <v>3411.9080981151155</v>
      </c>
      <c r="O906">
        <f>IF(AND(Query1[[#This Row],[avg]]&gt;0, Query1[[#This Row],[Month]]&lt;&gt;H905),
    IF(Query1[[#This Row],[Adj Close]]&gt;Query1[[#This Row],[avg]],
       Dashboard!$L$5-Dashboard!$E$6,
       Dashboard!$L$5+Dashboard!$E$6
    ), 0
)</f>
        <v>0</v>
      </c>
      <c r="P906" s="2">
        <f>IF(ROW()&lt;3, Query1[[#This Row],[Shares]], IF(Query1[[#This Row],[Month]]&lt;&gt;H905, P905+Query1[[#This Row],[Enhanced top up]]/Query1[[#This Row],[Adj Close]], P905))</f>
        <v>3405.2132837731756</v>
      </c>
      <c r="Q906" s="2">
        <f>IFERROR(AVERAGE(
  IF(ROW()&gt;20, INDEX(G:G, ROW()-20), 0) :
  INDEX(G:G, ROW())
),0)</f>
        <v>333.66414823986236</v>
      </c>
    </row>
    <row r="907" spans="1:17" x14ac:dyDescent="0.4">
      <c r="A907" s="1">
        <v>45146</v>
      </c>
      <c r="B907">
        <v>326.95999145507813</v>
      </c>
      <c r="C907">
        <v>328.75</v>
      </c>
      <c r="D907">
        <v>323</v>
      </c>
      <c r="E907">
        <v>326.04998779296875</v>
      </c>
      <c r="F907">
        <v>22327600</v>
      </c>
      <c r="G907">
        <v>320.53073120117188</v>
      </c>
      <c r="H907" s="2">
        <f>MONTH(Query1[[#This Row],[Date]])</f>
        <v>8</v>
      </c>
      <c r="I907" s="3">
        <f>Query1[[#This Row],[Shares]]*Query1[[#This Row],[Adj Close]]</f>
        <v>1151442.2141164525</v>
      </c>
      <c r="J907" s="3">
        <f>IF(ROW()&lt;3, Dashboard!$E$7, IF(Query1[[#This Row],[Month]]&lt;&gt;H906,J906*(1+Dashboard!$E$4)+Dashboard!$E$5,J906))</f>
        <v>873784.45550577494</v>
      </c>
      <c r="K907">
        <f>IF(ROW()&lt;3, 0,IF(Query1[[#This Row],[Month]]&lt;&gt;H906,IF((J907-I907&gt;0),J907-I907,0),0))</f>
        <v>0</v>
      </c>
      <c r="L907" s="2">
        <f t="shared" si="14"/>
        <v>3592.2989655359538</v>
      </c>
      <c r="M907">
        <f>IF(ROW()&lt;3, 0, IF(Query1[[#This Row],[Month]]&lt;&gt;H906, Dashboard!$J$5,0))</f>
        <v>0</v>
      </c>
      <c r="N907" s="2">
        <f>IF(ROW()&lt;3, Query1[[#This Row],[Shares]], IF(Query1[[#This Row],[Month]]&lt;&gt;H906, N906+Query1[[#This Row],[Fix Top Up]]/Query1[[#This Row],[Adj Close]], N906))</f>
        <v>3411.9080981151155</v>
      </c>
      <c r="O907">
        <f>IF(AND(Query1[[#This Row],[avg]]&gt;0, Query1[[#This Row],[Month]]&lt;&gt;H906),
    IF(Query1[[#This Row],[Adj Close]]&gt;Query1[[#This Row],[avg]],
       Dashboard!$L$5-Dashboard!$E$6,
       Dashboard!$L$5+Dashboard!$E$6
    ), 0
)</f>
        <v>0</v>
      </c>
      <c r="P907" s="2">
        <f>IF(ROW()&lt;3, Query1[[#This Row],[Shares]], IF(Query1[[#This Row],[Month]]&lt;&gt;H906, P906+Query1[[#This Row],[Enhanced top up]]/Query1[[#This Row],[Adj Close]], P906))</f>
        <v>3405.2132837731756</v>
      </c>
      <c r="Q907" s="2">
        <f>IFERROR(AVERAGE(
  IF(ROW()&gt;20, INDEX(G:G, ROW()-20), 0) :
  INDEX(G:G, ROW())
),0)</f>
        <v>333.39356776646207</v>
      </c>
    </row>
    <row r="908" spans="1:17" x14ac:dyDescent="0.4">
      <c r="A908" s="1">
        <v>45147</v>
      </c>
      <c r="B908">
        <v>326.47000122070313</v>
      </c>
      <c r="C908">
        <v>327.1099853515625</v>
      </c>
      <c r="D908">
        <v>321.04998779296875</v>
      </c>
      <c r="E908">
        <v>322.23001098632813</v>
      </c>
      <c r="F908">
        <v>22373300</v>
      </c>
      <c r="G908">
        <v>316.77548217773438</v>
      </c>
      <c r="H908" s="2">
        <f>MONTH(Query1[[#This Row],[Date]])</f>
        <v>8</v>
      </c>
      <c r="I908" s="3">
        <f>Query1[[#This Row],[Shares]]*Query1[[#This Row],[Adj Close]]</f>
        <v>1137952.2369342281</v>
      </c>
      <c r="J908" s="3">
        <f>IF(ROW()&lt;3, Dashboard!$E$7, IF(Query1[[#This Row],[Month]]&lt;&gt;H907,J907*(1+Dashboard!$E$4)+Dashboard!$E$5,J907))</f>
        <v>873784.45550577494</v>
      </c>
      <c r="K908">
        <f>IF(ROW()&lt;3, 0,IF(Query1[[#This Row],[Month]]&lt;&gt;H907,IF((J908-I908&gt;0),J908-I908,0),0))</f>
        <v>0</v>
      </c>
      <c r="L908" s="2">
        <f t="shared" si="14"/>
        <v>3592.2989655359538</v>
      </c>
      <c r="M908">
        <f>IF(ROW()&lt;3, 0, IF(Query1[[#This Row],[Month]]&lt;&gt;H907, Dashboard!$J$5,0))</f>
        <v>0</v>
      </c>
      <c r="N908" s="2">
        <f>IF(ROW()&lt;3, Query1[[#This Row],[Shares]], IF(Query1[[#This Row],[Month]]&lt;&gt;H907, N907+Query1[[#This Row],[Fix Top Up]]/Query1[[#This Row],[Adj Close]], N907))</f>
        <v>3411.9080981151155</v>
      </c>
      <c r="O908">
        <f>IF(AND(Query1[[#This Row],[avg]]&gt;0, Query1[[#This Row],[Month]]&lt;&gt;H907),
    IF(Query1[[#This Row],[Adj Close]]&gt;Query1[[#This Row],[avg]],
       Dashboard!$L$5-Dashboard!$E$6,
       Dashboard!$L$5+Dashboard!$E$6
    ), 0
)</f>
        <v>0</v>
      </c>
      <c r="P908" s="2">
        <f>IF(ROW()&lt;3, Query1[[#This Row],[Shares]], IF(Query1[[#This Row],[Month]]&lt;&gt;H907, P907+Query1[[#This Row],[Enhanced top up]]/Query1[[#This Row],[Adj Close]], P907))</f>
        <v>3405.2132837731756</v>
      </c>
      <c r="Q908" s="2">
        <f>IFERROR(AVERAGE(
  IF(ROW()&gt;20, INDEX(G:G, ROW()-20), 0) :
  INDEX(G:G, ROW())
),0)</f>
        <v>332.9142063685826</v>
      </c>
    </row>
    <row r="909" spans="1:17" x14ac:dyDescent="0.4">
      <c r="A909" s="1">
        <v>45148</v>
      </c>
      <c r="B909">
        <v>326.01998901367188</v>
      </c>
      <c r="C909">
        <v>328.260009765625</v>
      </c>
      <c r="D909">
        <v>321.17999267578125</v>
      </c>
      <c r="E909">
        <v>322.92999267578125</v>
      </c>
      <c r="F909">
        <v>20113700</v>
      </c>
      <c r="G909">
        <v>317.46356201171875</v>
      </c>
      <c r="H909" s="2">
        <f>MONTH(Query1[[#This Row],[Date]])</f>
        <v>8</v>
      </c>
      <c r="I909" s="3">
        <f>Query1[[#This Row],[Shares]]*Query1[[#This Row],[Adj Close]]</f>
        <v>1140424.0254100563</v>
      </c>
      <c r="J909" s="3">
        <f>IF(ROW()&lt;3, Dashboard!$E$7, IF(Query1[[#This Row],[Month]]&lt;&gt;H908,J908*(1+Dashboard!$E$4)+Dashboard!$E$5,J908))</f>
        <v>873784.45550577494</v>
      </c>
      <c r="K909">
        <f>IF(ROW()&lt;3, 0,IF(Query1[[#This Row],[Month]]&lt;&gt;H908,IF((J909-I909&gt;0),J909-I909,0),0))</f>
        <v>0</v>
      </c>
      <c r="L909" s="2">
        <f t="shared" si="14"/>
        <v>3592.2989655359538</v>
      </c>
      <c r="M909">
        <f>IF(ROW()&lt;3, 0, IF(Query1[[#This Row],[Month]]&lt;&gt;H908, Dashboard!$J$5,0))</f>
        <v>0</v>
      </c>
      <c r="N909" s="2">
        <f>IF(ROW()&lt;3, Query1[[#This Row],[Shares]], IF(Query1[[#This Row],[Month]]&lt;&gt;H908, N908+Query1[[#This Row],[Fix Top Up]]/Query1[[#This Row],[Adj Close]], N908))</f>
        <v>3411.9080981151155</v>
      </c>
      <c r="O909">
        <f>IF(AND(Query1[[#This Row],[avg]]&gt;0, Query1[[#This Row],[Month]]&lt;&gt;H908),
    IF(Query1[[#This Row],[Adj Close]]&gt;Query1[[#This Row],[avg]],
       Dashboard!$L$5-Dashboard!$E$6,
       Dashboard!$L$5+Dashboard!$E$6
    ), 0
)</f>
        <v>0</v>
      </c>
      <c r="P909" s="2">
        <f>IF(ROW()&lt;3, Query1[[#This Row],[Shares]], IF(Query1[[#This Row],[Month]]&lt;&gt;H908, P908+Query1[[#This Row],[Enhanced top up]]/Query1[[#This Row],[Adj Close]], P908))</f>
        <v>3405.2132837731756</v>
      </c>
      <c r="Q909" s="2">
        <f>IFERROR(AVERAGE(
  IF(ROW()&gt;20, INDEX(G:G, ROW()-20), 0) :
  INDEX(G:G, ROW())
),0)</f>
        <v>332.24618384951634</v>
      </c>
    </row>
    <row r="910" spans="1:17" x14ac:dyDescent="0.4">
      <c r="A910" s="1">
        <v>45149</v>
      </c>
      <c r="B910">
        <v>320.260009765625</v>
      </c>
      <c r="C910">
        <v>322.41000366210938</v>
      </c>
      <c r="D910">
        <v>319.20999145507813</v>
      </c>
      <c r="E910">
        <v>321.010009765625</v>
      </c>
      <c r="F910">
        <v>24355500</v>
      </c>
      <c r="G910">
        <v>315.5760498046875</v>
      </c>
      <c r="H910" s="2">
        <f>MONTH(Query1[[#This Row],[Date]])</f>
        <v>8</v>
      </c>
      <c r="I910" s="3">
        <f>Query1[[#This Row],[Shares]]*Query1[[#This Row],[Adj Close]]</f>
        <v>1133643.5172613016</v>
      </c>
      <c r="J910" s="3">
        <f>IF(ROW()&lt;3, Dashboard!$E$7, IF(Query1[[#This Row],[Month]]&lt;&gt;H909,J909*(1+Dashboard!$E$4)+Dashboard!$E$5,J909))</f>
        <v>873784.45550577494</v>
      </c>
      <c r="K910">
        <f>IF(ROW()&lt;3, 0,IF(Query1[[#This Row],[Month]]&lt;&gt;H909,IF((J910-I910&gt;0),J910-I910,0),0))</f>
        <v>0</v>
      </c>
      <c r="L910" s="2">
        <f t="shared" si="14"/>
        <v>3592.2989655359538</v>
      </c>
      <c r="M910">
        <f>IF(ROW()&lt;3, 0, IF(Query1[[#This Row],[Month]]&lt;&gt;H909, Dashboard!$J$5,0))</f>
        <v>0</v>
      </c>
      <c r="N910" s="2">
        <f>IF(ROW()&lt;3, Query1[[#This Row],[Shares]], IF(Query1[[#This Row],[Month]]&lt;&gt;H909, N909+Query1[[#This Row],[Fix Top Up]]/Query1[[#This Row],[Adj Close]], N909))</f>
        <v>3411.9080981151155</v>
      </c>
      <c r="O910">
        <f>IF(AND(Query1[[#This Row],[avg]]&gt;0, Query1[[#This Row],[Month]]&lt;&gt;H909),
    IF(Query1[[#This Row],[Adj Close]]&gt;Query1[[#This Row],[avg]],
       Dashboard!$L$5-Dashboard!$E$6,
       Dashboard!$L$5+Dashboard!$E$6
    ), 0
)</f>
        <v>0</v>
      </c>
      <c r="P910" s="2">
        <f>IF(ROW()&lt;3, Query1[[#This Row],[Shares]], IF(Query1[[#This Row],[Month]]&lt;&gt;H909, P909+Query1[[#This Row],[Enhanced top up]]/Query1[[#This Row],[Adj Close]], P909))</f>
        <v>3405.2132837731756</v>
      </c>
      <c r="Q910" s="2">
        <f>IFERROR(AVERAGE(
  IF(ROW()&gt;20, INDEX(G:G, ROW()-20), 0) :
  INDEX(G:G, ROW())
),0)</f>
        <v>331.23268054780505</v>
      </c>
    </row>
    <row r="911" spans="1:17" x14ac:dyDescent="0.4">
      <c r="A911" s="1">
        <v>45152</v>
      </c>
      <c r="B911">
        <v>321.3900146484375</v>
      </c>
      <c r="C911">
        <v>324.05999755859375</v>
      </c>
      <c r="D911">
        <v>320.07998657226563</v>
      </c>
      <c r="E911">
        <v>324.04000854492188</v>
      </c>
      <c r="F911">
        <v>18836100</v>
      </c>
      <c r="G911">
        <v>318.55477905273438</v>
      </c>
      <c r="H911" s="2">
        <f>MONTH(Query1[[#This Row],[Date]])</f>
        <v>8</v>
      </c>
      <c r="I911" s="3">
        <f>Query1[[#This Row],[Shares]]*Query1[[#This Row],[Adj Close]]</f>
        <v>1144344.0032576721</v>
      </c>
      <c r="J911" s="3">
        <f>IF(ROW()&lt;3, Dashboard!$E$7, IF(Query1[[#This Row],[Month]]&lt;&gt;H910,J910*(1+Dashboard!$E$4)+Dashboard!$E$5,J910))</f>
        <v>873784.45550577494</v>
      </c>
      <c r="K911">
        <f>IF(ROW()&lt;3, 0,IF(Query1[[#This Row],[Month]]&lt;&gt;H910,IF((J911-I911&gt;0),J911-I911,0),0))</f>
        <v>0</v>
      </c>
      <c r="L911" s="2">
        <f t="shared" si="14"/>
        <v>3592.2989655359538</v>
      </c>
      <c r="M911">
        <f>IF(ROW()&lt;3, 0, IF(Query1[[#This Row],[Month]]&lt;&gt;H910, Dashboard!$J$5,0))</f>
        <v>0</v>
      </c>
      <c r="N911" s="2">
        <f>IF(ROW()&lt;3, Query1[[#This Row],[Shares]], IF(Query1[[#This Row],[Month]]&lt;&gt;H910, N910+Query1[[#This Row],[Fix Top Up]]/Query1[[#This Row],[Adj Close]], N910))</f>
        <v>3411.9080981151155</v>
      </c>
      <c r="O911">
        <f>IF(AND(Query1[[#This Row],[avg]]&gt;0, Query1[[#This Row],[Month]]&lt;&gt;H910),
    IF(Query1[[#This Row],[Adj Close]]&gt;Query1[[#This Row],[avg]],
       Dashboard!$L$5-Dashboard!$E$6,
       Dashboard!$L$5+Dashboard!$E$6
    ), 0
)</f>
        <v>0</v>
      </c>
      <c r="P911" s="2">
        <f>IF(ROW()&lt;3, Query1[[#This Row],[Shares]], IF(Query1[[#This Row],[Month]]&lt;&gt;H910, P910+Query1[[#This Row],[Enhanced top up]]/Query1[[#This Row],[Adj Close]], P910))</f>
        <v>3405.2132837731756</v>
      </c>
      <c r="Q911" s="2">
        <f>IFERROR(AVERAGE(
  IF(ROW()&gt;20, INDEX(G:G, ROW()-20), 0) :
  INDEX(G:G, ROW())
),0)</f>
        <v>330.24024600074404</v>
      </c>
    </row>
    <row r="912" spans="1:17" x14ac:dyDescent="0.4">
      <c r="A912" s="1">
        <v>45153</v>
      </c>
      <c r="B912">
        <v>323</v>
      </c>
      <c r="C912">
        <v>325.08999633789063</v>
      </c>
      <c r="D912">
        <v>320.89999389648438</v>
      </c>
      <c r="E912">
        <v>321.8599853515625</v>
      </c>
      <c r="F912">
        <v>16966300</v>
      </c>
      <c r="G912">
        <v>316.41168212890625</v>
      </c>
      <c r="H912" s="2">
        <f>MONTH(Query1[[#This Row],[Date]])</f>
        <v>8</v>
      </c>
      <c r="I912" s="3">
        <f>Query1[[#This Row],[Shares]]*Query1[[#This Row],[Adj Close]]</f>
        <v>1136645.3583951609</v>
      </c>
      <c r="J912" s="3">
        <f>IF(ROW()&lt;3, Dashboard!$E$7, IF(Query1[[#This Row],[Month]]&lt;&gt;H911,J911*(1+Dashboard!$E$4)+Dashboard!$E$5,J911))</f>
        <v>873784.45550577494</v>
      </c>
      <c r="K912">
        <f>IF(ROW()&lt;3, 0,IF(Query1[[#This Row],[Month]]&lt;&gt;H911,IF((J912-I912&gt;0),J912-I912,0),0))</f>
        <v>0</v>
      </c>
      <c r="L912" s="2">
        <f t="shared" si="14"/>
        <v>3592.2989655359538</v>
      </c>
      <c r="M912">
        <f>IF(ROW()&lt;3, 0, IF(Query1[[#This Row],[Month]]&lt;&gt;H911, Dashboard!$J$5,0))</f>
        <v>0</v>
      </c>
      <c r="N912" s="2">
        <f>IF(ROW()&lt;3, Query1[[#This Row],[Shares]], IF(Query1[[#This Row],[Month]]&lt;&gt;H911, N911+Query1[[#This Row],[Fix Top Up]]/Query1[[#This Row],[Adj Close]], N911))</f>
        <v>3411.9080981151155</v>
      </c>
      <c r="O912">
        <f>IF(AND(Query1[[#This Row],[avg]]&gt;0, Query1[[#This Row],[Month]]&lt;&gt;H911),
    IF(Query1[[#This Row],[Adj Close]]&gt;Query1[[#This Row],[avg]],
       Dashboard!$L$5-Dashboard!$E$6,
       Dashboard!$L$5+Dashboard!$E$6
    ), 0
)</f>
        <v>0</v>
      </c>
      <c r="P912" s="2">
        <f>IF(ROW()&lt;3, Query1[[#This Row],[Shares]], IF(Query1[[#This Row],[Month]]&lt;&gt;H911, P911+Query1[[#This Row],[Enhanced top up]]/Query1[[#This Row],[Adj Close]], P911))</f>
        <v>3405.2132837731756</v>
      </c>
      <c r="Q912" s="2">
        <f>IFERROR(AVERAGE(
  IF(ROW()&gt;20, INDEX(G:G, ROW()-20), 0) :
  INDEX(G:G, ROW())
),0)</f>
        <v>329.12281726655505</v>
      </c>
    </row>
    <row r="913" spans="1:17" x14ac:dyDescent="0.4">
      <c r="A913" s="1">
        <v>45154</v>
      </c>
      <c r="B913">
        <v>320.79998779296875</v>
      </c>
      <c r="C913">
        <v>324.42001342773438</v>
      </c>
      <c r="D913">
        <v>319.79998779296875</v>
      </c>
      <c r="E913">
        <v>320.39999389648438</v>
      </c>
      <c r="F913">
        <v>20698900</v>
      </c>
      <c r="G913">
        <v>315.643310546875</v>
      </c>
      <c r="H913" s="2">
        <f>MONTH(Query1[[#This Row],[Date]])</f>
        <v>8</v>
      </c>
      <c r="I913" s="3">
        <f>Query1[[#This Row],[Shares]]*Query1[[#This Row],[Adj Close]]</f>
        <v>1133885.1379558828</v>
      </c>
      <c r="J913" s="3">
        <f>IF(ROW()&lt;3, Dashboard!$E$7, IF(Query1[[#This Row],[Month]]&lt;&gt;H912,J912*(1+Dashboard!$E$4)+Dashboard!$E$5,J912))</f>
        <v>873784.45550577494</v>
      </c>
      <c r="K913">
        <f>IF(ROW()&lt;3, 0,IF(Query1[[#This Row],[Month]]&lt;&gt;H912,IF((J913-I913&gt;0),J913-I913,0),0))</f>
        <v>0</v>
      </c>
      <c r="L913" s="2">
        <f t="shared" si="14"/>
        <v>3592.2989655359538</v>
      </c>
      <c r="M913">
        <f>IF(ROW()&lt;3, 0, IF(Query1[[#This Row],[Month]]&lt;&gt;H912, Dashboard!$J$5,0))</f>
        <v>0</v>
      </c>
      <c r="N913" s="2">
        <f>IF(ROW()&lt;3, Query1[[#This Row],[Shares]], IF(Query1[[#This Row],[Month]]&lt;&gt;H912, N912+Query1[[#This Row],[Fix Top Up]]/Query1[[#This Row],[Adj Close]], N912))</f>
        <v>3411.9080981151155</v>
      </c>
      <c r="O913">
        <f>IF(AND(Query1[[#This Row],[avg]]&gt;0, Query1[[#This Row],[Month]]&lt;&gt;H912),
    IF(Query1[[#This Row],[Adj Close]]&gt;Query1[[#This Row],[avg]],
       Dashboard!$L$5-Dashboard!$E$6,
       Dashboard!$L$5+Dashboard!$E$6
    ), 0
)</f>
        <v>0</v>
      </c>
      <c r="P913" s="2">
        <f>IF(ROW()&lt;3, Query1[[#This Row],[Shares]], IF(Query1[[#This Row],[Month]]&lt;&gt;H912, P912+Query1[[#This Row],[Enhanced top up]]/Query1[[#This Row],[Adj Close]], P912))</f>
        <v>3405.2132837731756</v>
      </c>
      <c r="Q913" s="2">
        <f>IFERROR(AVERAGE(
  IF(ROW()&gt;20, INDEX(G:G, ROW()-20), 0) :
  INDEX(G:G, ROW())
),0)</f>
        <v>327.32465762183779</v>
      </c>
    </row>
    <row r="914" spans="1:17" x14ac:dyDescent="0.4">
      <c r="A914" s="1">
        <v>45155</v>
      </c>
      <c r="B914">
        <v>320.54000854492188</v>
      </c>
      <c r="C914">
        <v>321.8699951171875</v>
      </c>
      <c r="D914">
        <v>316.20999145507813</v>
      </c>
      <c r="E914">
        <v>316.8800048828125</v>
      </c>
      <c r="F914">
        <v>21257200</v>
      </c>
      <c r="G914">
        <v>312.17550659179688</v>
      </c>
      <c r="H914" s="2">
        <f>MONTH(Query1[[#This Row],[Date]])</f>
        <v>8</v>
      </c>
      <c r="I914" s="3">
        <f>Query1[[#This Row],[Shares]]*Query1[[#This Row],[Adj Close]]</f>
        <v>1121427.7493953742</v>
      </c>
      <c r="J914" s="3">
        <f>IF(ROW()&lt;3, Dashboard!$E$7, IF(Query1[[#This Row],[Month]]&lt;&gt;H913,J913*(1+Dashboard!$E$4)+Dashboard!$E$5,J913))</f>
        <v>873784.45550577494</v>
      </c>
      <c r="K914">
        <f>IF(ROW()&lt;3, 0,IF(Query1[[#This Row],[Month]]&lt;&gt;H913,IF((J914-I914&gt;0),J914-I914,0),0))</f>
        <v>0</v>
      </c>
      <c r="L914" s="2">
        <f t="shared" si="14"/>
        <v>3592.2989655359538</v>
      </c>
      <c r="M914">
        <f>IF(ROW()&lt;3, 0, IF(Query1[[#This Row],[Month]]&lt;&gt;H913, Dashboard!$J$5,0))</f>
        <v>0</v>
      </c>
      <c r="N914" s="2">
        <f>IF(ROW()&lt;3, Query1[[#This Row],[Shares]], IF(Query1[[#This Row],[Month]]&lt;&gt;H913, N913+Query1[[#This Row],[Fix Top Up]]/Query1[[#This Row],[Adj Close]], N913))</f>
        <v>3411.9080981151155</v>
      </c>
      <c r="O914">
        <f>IF(AND(Query1[[#This Row],[avg]]&gt;0, Query1[[#This Row],[Month]]&lt;&gt;H913),
    IF(Query1[[#This Row],[Adj Close]]&gt;Query1[[#This Row],[avg]],
       Dashboard!$L$5-Dashboard!$E$6,
       Dashboard!$L$5+Dashboard!$E$6
    ), 0
)</f>
        <v>0</v>
      </c>
      <c r="P914" s="2">
        <f>IF(ROW()&lt;3, Query1[[#This Row],[Shares]], IF(Query1[[#This Row],[Month]]&lt;&gt;H913, P913+Query1[[#This Row],[Enhanced top up]]/Query1[[#This Row],[Adj Close]], P913))</f>
        <v>3405.2132837731756</v>
      </c>
      <c r="Q914" s="2">
        <f>IFERROR(AVERAGE(
  IF(ROW()&gt;20, INDEX(G:G, ROW()-20), 0) :
  INDEX(G:G, ROW())
),0)</f>
        <v>325.56780860537572</v>
      </c>
    </row>
    <row r="915" spans="1:17" x14ac:dyDescent="0.4">
      <c r="A915" s="1">
        <v>45156</v>
      </c>
      <c r="B915">
        <v>314.489990234375</v>
      </c>
      <c r="C915">
        <v>318.3800048828125</v>
      </c>
      <c r="D915">
        <v>311.54998779296875</v>
      </c>
      <c r="E915">
        <v>316.48001098632813</v>
      </c>
      <c r="F915">
        <v>24755000</v>
      </c>
      <c r="G915">
        <v>311.781494140625</v>
      </c>
      <c r="H915" s="2">
        <f>MONTH(Query1[[#This Row],[Date]])</f>
        <v>8</v>
      </c>
      <c r="I915" s="3">
        <f>Query1[[#This Row],[Shares]]*Query1[[#This Row],[Adj Close]]</f>
        <v>1120012.3388746213</v>
      </c>
      <c r="J915" s="3">
        <f>IF(ROW()&lt;3, Dashboard!$E$7, IF(Query1[[#This Row],[Month]]&lt;&gt;H914,J914*(1+Dashboard!$E$4)+Dashboard!$E$5,J914))</f>
        <v>873784.45550577494</v>
      </c>
      <c r="K915">
        <f>IF(ROW()&lt;3, 0,IF(Query1[[#This Row],[Month]]&lt;&gt;H914,IF((J915-I915&gt;0),J915-I915,0),0))</f>
        <v>0</v>
      </c>
      <c r="L915" s="2">
        <f t="shared" si="14"/>
        <v>3592.2989655359538</v>
      </c>
      <c r="M915">
        <f>IF(ROW()&lt;3, 0, IF(Query1[[#This Row],[Month]]&lt;&gt;H914, Dashboard!$J$5,0))</f>
        <v>0</v>
      </c>
      <c r="N915" s="2">
        <f>IF(ROW()&lt;3, Query1[[#This Row],[Shares]], IF(Query1[[#This Row],[Month]]&lt;&gt;H914, N914+Query1[[#This Row],[Fix Top Up]]/Query1[[#This Row],[Adj Close]], N914))</f>
        <v>3411.9080981151155</v>
      </c>
      <c r="O915">
        <f>IF(AND(Query1[[#This Row],[avg]]&gt;0, Query1[[#This Row],[Month]]&lt;&gt;H914),
    IF(Query1[[#This Row],[Adj Close]]&gt;Query1[[#This Row],[avg]],
       Dashboard!$L$5-Dashboard!$E$6,
       Dashboard!$L$5+Dashboard!$E$6
    ), 0
)</f>
        <v>0</v>
      </c>
      <c r="P915" s="2">
        <f>IF(ROW()&lt;3, Query1[[#This Row],[Shares]], IF(Query1[[#This Row],[Month]]&lt;&gt;H914, P914+Query1[[#This Row],[Enhanced top up]]/Query1[[#This Row],[Adj Close]], P914))</f>
        <v>3405.2132837731756</v>
      </c>
      <c r="Q915" s="2">
        <f>IFERROR(AVERAGE(
  IF(ROW()&gt;20, INDEX(G:G, ROW()-20), 0) :
  INDEX(G:G, ROW())
),0)</f>
        <v>324.17653111049106</v>
      </c>
    </row>
    <row r="916" spans="1:17" x14ac:dyDescent="0.4">
      <c r="A916" s="1">
        <v>45159</v>
      </c>
      <c r="B916">
        <v>317.92999267578125</v>
      </c>
      <c r="C916">
        <v>322.76998901367188</v>
      </c>
      <c r="D916">
        <v>317.04000854492188</v>
      </c>
      <c r="E916">
        <v>321.8800048828125</v>
      </c>
      <c r="F916">
        <v>24040000</v>
      </c>
      <c r="G916">
        <v>317.101318359375</v>
      </c>
      <c r="H916" s="2">
        <f>MONTH(Query1[[#This Row],[Date]])</f>
        <v>8</v>
      </c>
      <c r="I916" s="3">
        <f>Query1[[#This Row],[Shares]]*Query1[[#This Row],[Adj Close]]</f>
        <v>1139122.73791247</v>
      </c>
      <c r="J916" s="3">
        <f>IF(ROW()&lt;3, Dashboard!$E$7, IF(Query1[[#This Row],[Month]]&lt;&gt;H915,J915*(1+Dashboard!$E$4)+Dashboard!$E$5,J915))</f>
        <v>873784.45550577494</v>
      </c>
      <c r="K916">
        <f>IF(ROW()&lt;3, 0,IF(Query1[[#This Row],[Month]]&lt;&gt;H915,IF((J916-I916&gt;0),J916-I916,0),0))</f>
        <v>0</v>
      </c>
      <c r="L916" s="2">
        <f t="shared" si="14"/>
        <v>3592.2989655359538</v>
      </c>
      <c r="M916">
        <f>IF(ROW()&lt;3, 0, IF(Query1[[#This Row],[Month]]&lt;&gt;H915, Dashboard!$J$5,0))</f>
        <v>0</v>
      </c>
      <c r="N916" s="2">
        <f>IF(ROW()&lt;3, Query1[[#This Row],[Shares]], IF(Query1[[#This Row],[Month]]&lt;&gt;H915, N915+Query1[[#This Row],[Fix Top Up]]/Query1[[#This Row],[Adj Close]], N915))</f>
        <v>3411.9080981151155</v>
      </c>
      <c r="O916">
        <f>IF(AND(Query1[[#This Row],[avg]]&gt;0, Query1[[#This Row],[Month]]&lt;&gt;H915),
    IF(Query1[[#This Row],[Adj Close]]&gt;Query1[[#This Row],[avg]],
       Dashboard!$L$5-Dashboard!$E$6,
       Dashboard!$L$5+Dashboard!$E$6
    ), 0
)</f>
        <v>0</v>
      </c>
      <c r="P916" s="2">
        <f>IF(ROW()&lt;3, Query1[[#This Row],[Shares]], IF(Query1[[#This Row],[Month]]&lt;&gt;H915, P915+Query1[[#This Row],[Enhanced top up]]/Query1[[#This Row],[Adj Close]], P915))</f>
        <v>3405.2132837731756</v>
      </c>
      <c r="Q916" s="2">
        <f>IFERROR(AVERAGE(
  IF(ROW()&gt;20, INDEX(G:G, ROW()-20), 0) :
  INDEX(G:G, ROW())
),0)</f>
        <v>323.18369838169644</v>
      </c>
    </row>
    <row r="917" spans="1:17" x14ac:dyDescent="0.4">
      <c r="A917" s="1">
        <v>45160</v>
      </c>
      <c r="B917">
        <v>325.5</v>
      </c>
      <c r="C917">
        <v>326.07998657226563</v>
      </c>
      <c r="D917">
        <v>321.45999145507813</v>
      </c>
      <c r="E917">
        <v>322.45999145507813</v>
      </c>
      <c r="F917">
        <v>16084600</v>
      </c>
      <c r="G917">
        <v>317.67266845703125</v>
      </c>
      <c r="H917" s="2">
        <f>MONTH(Query1[[#This Row],[Date]])</f>
        <v>8</v>
      </c>
      <c r="I917" s="3">
        <f>Query1[[#This Row],[Shares]]*Query1[[#This Row],[Adj Close]]</f>
        <v>1141175.1982772395</v>
      </c>
      <c r="J917" s="3">
        <f>IF(ROW()&lt;3, Dashboard!$E$7, IF(Query1[[#This Row],[Month]]&lt;&gt;H916,J916*(1+Dashboard!$E$4)+Dashboard!$E$5,J916))</f>
        <v>873784.45550577494</v>
      </c>
      <c r="K917">
        <f>IF(ROW()&lt;3, 0,IF(Query1[[#This Row],[Month]]&lt;&gt;H916,IF((J917-I917&gt;0),J917-I917,0),0))</f>
        <v>0</v>
      </c>
      <c r="L917" s="2">
        <f t="shared" si="14"/>
        <v>3592.2989655359538</v>
      </c>
      <c r="M917">
        <f>IF(ROW()&lt;3, 0, IF(Query1[[#This Row],[Month]]&lt;&gt;H916, Dashboard!$J$5,0))</f>
        <v>0</v>
      </c>
      <c r="N917" s="2">
        <f>IF(ROW()&lt;3, Query1[[#This Row],[Shares]], IF(Query1[[#This Row],[Month]]&lt;&gt;H916, N916+Query1[[#This Row],[Fix Top Up]]/Query1[[#This Row],[Adj Close]], N916))</f>
        <v>3411.9080981151155</v>
      </c>
      <c r="O917">
        <f>IF(AND(Query1[[#This Row],[avg]]&gt;0, Query1[[#This Row],[Month]]&lt;&gt;H916),
    IF(Query1[[#This Row],[Adj Close]]&gt;Query1[[#This Row],[avg]],
       Dashboard!$L$5-Dashboard!$E$6,
       Dashboard!$L$5+Dashboard!$E$6
    ), 0
)</f>
        <v>0</v>
      </c>
      <c r="P917" s="2">
        <f>IF(ROW()&lt;3, Query1[[#This Row],[Shares]], IF(Query1[[#This Row],[Month]]&lt;&gt;H916, P916+Query1[[#This Row],[Enhanced top up]]/Query1[[#This Row],[Adj Close]], P916))</f>
        <v>3405.2132837731756</v>
      </c>
      <c r="Q917" s="2">
        <f>IFERROR(AVERAGE(
  IF(ROW()&gt;20, INDEX(G:G, ROW()-20), 0) :
  INDEX(G:G, ROW())
),0)</f>
        <v>322.1553417387463</v>
      </c>
    </row>
    <row r="918" spans="1:17" x14ac:dyDescent="0.4">
      <c r="A918" s="1">
        <v>45161</v>
      </c>
      <c r="B918">
        <v>323.82000732421875</v>
      </c>
      <c r="C918">
        <v>329.20001220703125</v>
      </c>
      <c r="D918">
        <v>323.45999145507813</v>
      </c>
      <c r="E918">
        <v>327</v>
      </c>
      <c r="F918">
        <v>21166400</v>
      </c>
      <c r="G918">
        <v>322.14529418945313</v>
      </c>
      <c r="H918" s="2">
        <f>MONTH(Query1[[#This Row],[Date]])</f>
        <v>8</v>
      </c>
      <c r="I918" s="3">
        <f>Query1[[#This Row],[Shares]]*Query1[[#This Row],[Adj Close]]</f>
        <v>1157242.207069048</v>
      </c>
      <c r="J918" s="3">
        <f>IF(ROW()&lt;3, Dashboard!$E$7, IF(Query1[[#This Row],[Month]]&lt;&gt;H917,J917*(1+Dashboard!$E$4)+Dashboard!$E$5,J917))</f>
        <v>873784.45550577494</v>
      </c>
      <c r="K918">
        <f>IF(ROW()&lt;3, 0,IF(Query1[[#This Row],[Month]]&lt;&gt;H917,IF((J918-I918&gt;0),J918-I918,0),0))</f>
        <v>0</v>
      </c>
      <c r="L918" s="2">
        <f t="shared" si="14"/>
        <v>3592.2989655359538</v>
      </c>
      <c r="M918">
        <f>IF(ROW()&lt;3, 0, IF(Query1[[#This Row],[Month]]&lt;&gt;H917, Dashboard!$J$5,0))</f>
        <v>0</v>
      </c>
      <c r="N918" s="2">
        <f>IF(ROW()&lt;3, Query1[[#This Row],[Shares]], IF(Query1[[#This Row],[Month]]&lt;&gt;H917, N917+Query1[[#This Row],[Fix Top Up]]/Query1[[#This Row],[Adj Close]], N917))</f>
        <v>3411.9080981151155</v>
      </c>
      <c r="O918">
        <f>IF(AND(Query1[[#This Row],[avg]]&gt;0, Query1[[#This Row],[Month]]&lt;&gt;H917),
    IF(Query1[[#This Row],[Adj Close]]&gt;Query1[[#This Row],[avg]],
       Dashboard!$L$5-Dashboard!$E$6,
       Dashboard!$L$5+Dashboard!$E$6
    ), 0
)</f>
        <v>0</v>
      </c>
      <c r="P918" s="2">
        <f>IF(ROW()&lt;3, Query1[[#This Row],[Shares]], IF(Query1[[#This Row],[Month]]&lt;&gt;H917, P917+Query1[[#This Row],[Enhanced top up]]/Query1[[#This Row],[Adj Close]], P917))</f>
        <v>3405.2132837731756</v>
      </c>
      <c r="Q918" s="2">
        <f>IFERROR(AVERAGE(
  IF(ROW()&gt;20, INDEX(G:G, ROW()-20), 0) :
  INDEX(G:G, ROW())
),0)</f>
        <v>321.06517537434894</v>
      </c>
    </row>
    <row r="919" spans="1:17" x14ac:dyDescent="0.4">
      <c r="A919" s="1">
        <v>45162</v>
      </c>
      <c r="B919">
        <v>332.85000610351563</v>
      </c>
      <c r="C919">
        <v>332.98001098632813</v>
      </c>
      <c r="D919">
        <v>319.95999145507813</v>
      </c>
      <c r="E919">
        <v>319.97000122070313</v>
      </c>
      <c r="F919">
        <v>23281400</v>
      </c>
      <c r="G919">
        <v>315.21966552734375</v>
      </c>
      <c r="H919" s="2">
        <f>MONTH(Query1[[#This Row],[Date]])</f>
        <v>8</v>
      </c>
      <c r="I919" s="3">
        <f>Query1[[#This Row],[Shares]]*Query1[[#This Row],[Adj Close]]</f>
        <v>1132363.2783904662</v>
      </c>
      <c r="J919" s="3">
        <f>IF(ROW()&lt;3, Dashboard!$E$7, IF(Query1[[#This Row],[Month]]&lt;&gt;H918,J918*(1+Dashboard!$E$4)+Dashboard!$E$5,J918))</f>
        <v>873784.45550577494</v>
      </c>
      <c r="K919">
        <f>IF(ROW()&lt;3, 0,IF(Query1[[#This Row],[Month]]&lt;&gt;H918,IF((J919-I919&gt;0),J919-I919,0),0))</f>
        <v>0</v>
      </c>
      <c r="L919" s="2">
        <f t="shared" si="14"/>
        <v>3592.2989655359538</v>
      </c>
      <c r="M919">
        <f>IF(ROW()&lt;3, 0, IF(Query1[[#This Row],[Month]]&lt;&gt;H918, Dashboard!$J$5,0))</f>
        <v>0</v>
      </c>
      <c r="N919" s="2">
        <f>IF(ROW()&lt;3, Query1[[#This Row],[Shares]], IF(Query1[[#This Row],[Month]]&lt;&gt;H918, N918+Query1[[#This Row],[Fix Top Up]]/Query1[[#This Row],[Adj Close]], N918))</f>
        <v>3411.9080981151155</v>
      </c>
      <c r="O919">
        <f>IF(AND(Query1[[#This Row],[avg]]&gt;0, Query1[[#This Row],[Month]]&lt;&gt;H918),
    IF(Query1[[#This Row],[Adj Close]]&gt;Query1[[#This Row],[avg]],
       Dashboard!$L$5-Dashboard!$E$6,
       Dashboard!$L$5+Dashboard!$E$6
    ), 0
)</f>
        <v>0</v>
      </c>
      <c r="P919" s="2">
        <f>IF(ROW()&lt;3, Query1[[#This Row],[Shares]], IF(Query1[[#This Row],[Month]]&lt;&gt;H918, P918+Query1[[#This Row],[Enhanced top up]]/Query1[[#This Row],[Adj Close]], P918))</f>
        <v>3405.2132837731756</v>
      </c>
      <c r="Q919" s="2">
        <f>IFERROR(AVERAGE(
  IF(ROW()&gt;20, INDEX(G:G, ROW()-20), 0) :
  INDEX(G:G, ROW())
),0)</f>
        <v>320.26361665271577</v>
      </c>
    </row>
    <row r="920" spans="1:17" x14ac:dyDescent="0.4">
      <c r="A920" s="1">
        <v>45163</v>
      </c>
      <c r="B920">
        <v>321.47000122070313</v>
      </c>
      <c r="C920">
        <v>325.3599853515625</v>
      </c>
      <c r="D920">
        <v>318.79998779296875</v>
      </c>
      <c r="E920">
        <v>322.98001098632813</v>
      </c>
      <c r="F920">
        <v>21684100</v>
      </c>
      <c r="G920">
        <v>318.18496704101563</v>
      </c>
      <c r="H920" s="2">
        <f>MONTH(Query1[[#This Row],[Date]])</f>
        <v>8</v>
      </c>
      <c r="I920" s="3">
        <f>Query1[[#This Row],[Shares]]*Query1[[#This Row],[Adj Close]]</f>
        <v>1143015.527950532</v>
      </c>
      <c r="J920" s="3">
        <f>IF(ROW()&lt;3, Dashboard!$E$7, IF(Query1[[#This Row],[Month]]&lt;&gt;H919,J919*(1+Dashboard!$E$4)+Dashboard!$E$5,J919))</f>
        <v>873784.45550577494</v>
      </c>
      <c r="K920">
        <f>IF(ROW()&lt;3, 0,IF(Query1[[#This Row],[Month]]&lt;&gt;H919,IF((J920-I920&gt;0),J920-I920,0),0))</f>
        <v>0</v>
      </c>
      <c r="L920" s="2">
        <f t="shared" si="14"/>
        <v>3592.2989655359538</v>
      </c>
      <c r="M920">
        <f>IF(ROW()&lt;3, 0, IF(Query1[[#This Row],[Month]]&lt;&gt;H919, Dashboard!$J$5,0))</f>
        <v>0</v>
      </c>
      <c r="N920" s="2">
        <f>IF(ROW()&lt;3, Query1[[#This Row],[Shares]], IF(Query1[[#This Row],[Month]]&lt;&gt;H919, N919+Query1[[#This Row],[Fix Top Up]]/Query1[[#This Row],[Adj Close]], N919))</f>
        <v>3411.9080981151155</v>
      </c>
      <c r="O920">
        <f>IF(AND(Query1[[#This Row],[avg]]&gt;0, Query1[[#This Row],[Month]]&lt;&gt;H919),
    IF(Query1[[#This Row],[Adj Close]]&gt;Query1[[#This Row],[avg]],
       Dashboard!$L$5-Dashboard!$E$6,
       Dashboard!$L$5+Dashboard!$E$6
    ), 0
)</f>
        <v>0</v>
      </c>
      <c r="P920" s="2">
        <f>IF(ROW()&lt;3, Query1[[#This Row],[Shares]], IF(Query1[[#This Row],[Month]]&lt;&gt;H919, P919+Query1[[#This Row],[Enhanced top up]]/Query1[[#This Row],[Adj Close]], P919))</f>
        <v>3405.2132837731756</v>
      </c>
      <c r="Q920" s="2">
        <f>IFERROR(AVERAGE(
  IF(ROW()&gt;20, INDEX(G:G, ROW()-20), 0) :
  INDEX(G:G, ROW())
),0)</f>
        <v>319.93329729352678</v>
      </c>
    </row>
    <row r="921" spans="1:17" x14ac:dyDescent="0.4">
      <c r="A921" s="1">
        <v>45166</v>
      </c>
      <c r="B921">
        <v>325.66000366210938</v>
      </c>
      <c r="C921">
        <v>326.14999389648438</v>
      </c>
      <c r="D921">
        <v>321.72000122070313</v>
      </c>
      <c r="E921">
        <v>323.70001220703125</v>
      </c>
      <c r="F921">
        <v>14808500</v>
      </c>
      <c r="G921">
        <v>318.894287109375</v>
      </c>
      <c r="H921" s="2">
        <f>MONTH(Query1[[#This Row],[Date]])</f>
        <v>8</v>
      </c>
      <c r="I921" s="3">
        <f>Query1[[#This Row],[Shares]]*Query1[[#This Row],[Adj Close]]</f>
        <v>1145563.6176983332</v>
      </c>
      <c r="J921" s="3">
        <f>IF(ROW()&lt;3, Dashboard!$E$7, IF(Query1[[#This Row],[Month]]&lt;&gt;H920,J920*(1+Dashboard!$E$4)+Dashboard!$E$5,J920))</f>
        <v>873784.45550577494</v>
      </c>
      <c r="K921">
        <f>IF(ROW()&lt;3, 0,IF(Query1[[#This Row],[Month]]&lt;&gt;H920,IF((J921-I921&gt;0),J921-I921,0),0))</f>
        <v>0</v>
      </c>
      <c r="L921" s="2">
        <f t="shared" si="14"/>
        <v>3592.2989655359538</v>
      </c>
      <c r="M921">
        <f>IF(ROW()&lt;3, 0, IF(Query1[[#This Row],[Month]]&lt;&gt;H920, Dashboard!$J$5,0))</f>
        <v>0</v>
      </c>
      <c r="N921" s="2">
        <f>IF(ROW()&lt;3, Query1[[#This Row],[Shares]], IF(Query1[[#This Row],[Month]]&lt;&gt;H920, N920+Query1[[#This Row],[Fix Top Up]]/Query1[[#This Row],[Adj Close]], N920))</f>
        <v>3411.9080981151155</v>
      </c>
      <c r="O921">
        <f>IF(AND(Query1[[#This Row],[avg]]&gt;0, Query1[[#This Row],[Month]]&lt;&gt;H920),
    IF(Query1[[#This Row],[Adj Close]]&gt;Query1[[#This Row],[avg]],
       Dashboard!$L$5-Dashboard!$E$6,
       Dashboard!$L$5+Dashboard!$E$6
    ), 0
)</f>
        <v>0</v>
      </c>
      <c r="P921" s="2">
        <f>IF(ROW()&lt;3, Query1[[#This Row],[Shares]], IF(Query1[[#This Row],[Month]]&lt;&gt;H920, P920+Query1[[#This Row],[Enhanced top up]]/Query1[[#This Row],[Adj Close]], P920))</f>
        <v>3405.2132837731756</v>
      </c>
      <c r="Q921" s="2">
        <f>IFERROR(AVERAGE(
  IF(ROW()&gt;20, INDEX(G:G, ROW()-20), 0) :
  INDEX(G:G, ROW())
),0)</f>
        <v>319.27863566080731</v>
      </c>
    </row>
    <row r="922" spans="1:17" x14ac:dyDescent="0.4">
      <c r="A922" s="1">
        <v>45167</v>
      </c>
      <c r="B922">
        <v>321.8800048828125</v>
      </c>
      <c r="C922">
        <v>328.98001098632813</v>
      </c>
      <c r="D922">
        <v>321.8800048828125</v>
      </c>
      <c r="E922">
        <v>328.41000366210938</v>
      </c>
      <c r="F922">
        <v>19284600</v>
      </c>
      <c r="G922">
        <v>323.53436279296875</v>
      </c>
      <c r="H922" s="2">
        <f>MONTH(Query1[[#This Row],[Date]])</f>
        <v>8</v>
      </c>
      <c r="I922" s="3">
        <f>Query1[[#This Row],[Shares]]*Query1[[#This Row],[Adj Close]]</f>
        <v>1162232.1567765155</v>
      </c>
      <c r="J922" s="3">
        <f>IF(ROW()&lt;3, Dashboard!$E$7, IF(Query1[[#This Row],[Month]]&lt;&gt;H921,J921*(1+Dashboard!$E$4)+Dashboard!$E$5,J921))</f>
        <v>873784.45550577494</v>
      </c>
      <c r="K922">
        <f>IF(ROW()&lt;3, 0,IF(Query1[[#This Row],[Month]]&lt;&gt;H921,IF((J922-I922&gt;0),J922-I922,0),0))</f>
        <v>0</v>
      </c>
      <c r="L922" s="2">
        <f t="shared" si="14"/>
        <v>3592.2989655359538</v>
      </c>
      <c r="M922">
        <f>IF(ROW()&lt;3, 0, IF(Query1[[#This Row],[Month]]&lt;&gt;H921, Dashboard!$J$5,0))</f>
        <v>0</v>
      </c>
      <c r="N922" s="2">
        <f>IF(ROW()&lt;3, Query1[[#This Row],[Shares]], IF(Query1[[#This Row],[Month]]&lt;&gt;H921, N921+Query1[[#This Row],[Fix Top Up]]/Query1[[#This Row],[Adj Close]], N921))</f>
        <v>3411.9080981151155</v>
      </c>
      <c r="O922">
        <f>IF(AND(Query1[[#This Row],[avg]]&gt;0, Query1[[#This Row],[Month]]&lt;&gt;H921),
    IF(Query1[[#This Row],[Adj Close]]&gt;Query1[[#This Row],[avg]],
       Dashboard!$L$5-Dashboard!$E$6,
       Dashboard!$L$5+Dashboard!$E$6
    ), 0
)</f>
        <v>0</v>
      </c>
      <c r="P922" s="2">
        <f>IF(ROW()&lt;3, Query1[[#This Row],[Shares]], IF(Query1[[#This Row],[Month]]&lt;&gt;H921, P921+Query1[[#This Row],[Enhanced top up]]/Query1[[#This Row],[Adj Close]], P921))</f>
        <v>3405.2132837731756</v>
      </c>
      <c r="Q922" s="2">
        <f>IFERROR(AVERAGE(
  IF(ROW()&gt;20, INDEX(G:G, ROW()-20), 0) :
  INDEX(G:G, ROW())
),0)</f>
        <v>318.95961797805057</v>
      </c>
    </row>
    <row r="923" spans="1:17" x14ac:dyDescent="0.4">
      <c r="A923" s="1">
        <v>45168</v>
      </c>
      <c r="B923">
        <v>328.67001342773438</v>
      </c>
      <c r="C923">
        <v>329.80999755859375</v>
      </c>
      <c r="D923">
        <v>326.45001220703125</v>
      </c>
      <c r="E923">
        <v>328.79000854492188</v>
      </c>
      <c r="F923">
        <v>15222100</v>
      </c>
      <c r="G923">
        <v>323.90869140625</v>
      </c>
      <c r="H923" s="2">
        <f>MONTH(Query1[[#This Row],[Date]])</f>
        <v>8</v>
      </c>
      <c r="I923" s="3">
        <f>Query1[[#This Row],[Shares]]*Query1[[#This Row],[Adj Close]]</f>
        <v>1163576.8570667764</v>
      </c>
      <c r="J923" s="3">
        <f>IF(ROW()&lt;3, Dashboard!$E$7, IF(Query1[[#This Row],[Month]]&lt;&gt;H922,J922*(1+Dashboard!$E$4)+Dashboard!$E$5,J922))</f>
        <v>873784.45550577494</v>
      </c>
      <c r="K923">
        <f>IF(ROW()&lt;3, 0,IF(Query1[[#This Row],[Month]]&lt;&gt;H922,IF((J923-I923&gt;0),J923-I923,0),0))</f>
        <v>0</v>
      </c>
      <c r="L923" s="2">
        <f t="shared" si="14"/>
        <v>3592.2989655359538</v>
      </c>
      <c r="M923">
        <f>IF(ROW()&lt;3, 0, IF(Query1[[#This Row],[Month]]&lt;&gt;H922, Dashboard!$J$5,0))</f>
        <v>0</v>
      </c>
      <c r="N923" s="2">
        <f>IF(ROW()&lt;3, Query1[[#This Row],[Shares]], IF(Query1[[#This Row],[Month]]&lt;&gt;H922, N922+Query1[[#This Row],[Fix Top Up]]/Query1[[#This Row],[Adj Close]], N922))</f>
        <v>3411.9080981151155</v>
      </c>
      <c r="O923">
        <f>IF(AND(Query1[[#This Row],[avg]]&gt;0, Query1[[#This Row],[Month]]&lt;&gt;H922),
    IF(Query1[[#This Row],[Adj Close]]&gt;Query1[[#This Row],[avg]],
       Dashboard!$L$5-Dashboard!$E$6,
       Dashboard!$L$5+Dashboard!$E$6
    ), 0
)</f>
        <v>0</v>
      </c>
      <c r="P923" s="2">
        <f>IF(ROW()&lt;3, Query1[[#This Row],[Shares]], IF(Query1[[#This Row],[Month]]&lt;&gt;H922, P922+Query1[[#This Row],[Enhanced top up]]/Query1[[#This Row],[Adj Close]], P922))</f>
        <v>3405.2132837731756</v>
      </c>
      <c r="Q923" s="2">
        <f>IFERROR(AVERAGE(
  IF(ROW()&gt;20, INDEX(G:G, ROW()-20), 0) :
  INDEX(G:G, ROW())
),0)</f>
        <v>318.63876633417038</v>
      </c>
    </row>
    <row r="924" spans="1:17" x14ac:dyDescent="0.4">
      <c r="A924" s="1">
        <v>45169</v>
      </c>
      <c r="B924">
        <v>329.20001220703125</v>
      </c>
      <c r="C924">
        <v>330.91000366210938</v>
      </c>
      <c r="D924">
        <v>326.77999877929688</v>
      </c>
      <c r="E924">
        <v>327.760009765625</v>
      </c>
      <c r="F924">
        <v>26411000</v>
      </c>
      <c r="G924">
        <v>322.89401245117188</v>
      </c>
      <c r="H924" s="2">
        <f>MONTH(Query1[[#This Row],[Date]])</f>
        <v>8</v>
      </c>
      <c r="I924" s="3">
        <f>Query1[[#This Row],[Shares]]*Query1[[#This Row],[Adj Close]]</f>
        <v>1159931.8269060981</v>
      </c>
      <c r="J924" s="3">
        <f>IF(ROW()&lt;3, Dashboard!$E$7, IF(Query1[[#This Row],[Month]]&lt;&gt;H923,J923*(1+Dashboard!$E$4)+Dashboard!$E$5,J923))</f>
        <v>873784.45550577494</v>
      </c>
      <c r="K924">
        <f>IF(ROW()&lt;3, 0,IF(Query1[[#This Row],[Month]]&lt;&gt;H923,IF((J924-I924&gt;0),J924-I924,0),0))</f>
        <v>0</v>
      </c>
      <c r="L924" s="2">
        <f t="shared" si="14"/>
        <v>3592.2989655359538</v>
      </c>
      <c r="M924">
        <f>IF(ROW()&lt;3, 0, IF(Query1[[#This Row],[Month]]&lt;&gt;H923, Dashboard!$J$5,0))</f>
        <v>0</v>
      </c>
      <c r="N924" s="2">
        <f>IF(ROW()&lt;3, Query1[[#This Row],[Shares]], IF(Query1[[#This Row],[Month]]&lt;&gt;H923, N923+Query1[[#This Row],[Fix Top Up]]/Query1[[#This Row],[Adj Close]], N923))</f>
        <v>3411.9080981151155</v>
      </c>
      <c r="O924">
        <f>IF(AND(Query1[[#This Row],[avg]]&gt;0, Query1[[#This Row],[Month]]&lt;&gt;H923),
    IF(Query1[[#This Row],[Adj Close]]&gt;Query1[[#This Row],[avg]],
       Dashboard!$L$5-Dashboard!$E$6,
       Dashboard!$L$5+Dashboard!$E$6
    ), 0
)</f>
        <v>0</v>
      </c>
      <c r="P924" s="2">
        <f>IF(ROW()&lt;3, Query1[[#This Row],[Shares]], IF(Query1[[#This Row],[Month]]&lt;&gt;H923, P923+Query1[[#This Row],[Enhanced top up]]/Query1[[#This Row],[Adj Close]], P923))</f>
        <v>3405.2132837731756</v>
      </c>
      <c r="Q924" s="2">
        <f>IFERROR(AVERAGE(
  IF(ROW()&gt;20, INDEX(G:G, ROW()-20), 0) :
  INDEX(G:G, ROW())
),0)</f>
        <v>318.68342227027529</v>
      </c>
    </row>
    <row r="925" spans="1:17" x14ac:dyDescent="0.4">
      <c r="A925" s="1">
        <v>45170</v>
      </c>
      <c r="B925">
        <v>331.30999755859375</v>
      </c>
      <c r="C925">
        <v>331.989990234375</v>
      </c>
      <c r="D925">
        <v>326.77999877929688</v>
      </c>
      <c r="E925">
        <v>328.66000366210938</v>
      </c>
      <c r="F925">
        <v>14942000</v>
      </c>
      <c r="G925">
        <v>323.78070068359375</v>
      </c>
      <c r="H925" s="2">
        <f>MONTH(Query1[[#This Row],[Date]])</f>
        <v>9</v>
      </c>
      <c r="I925" s="3">
        <f>Query1[[#This Row],[Shares]]*Query1[[#This Row],[Adj Close]]</f>
        <v>1163117.0761261801</v>
      </c>
      <c r="J925" s="3">
        <f>IF(ROW()&lt;3, Dashboard!$E$7, IF(Query1[[#This Row],[Month]]&lt;&gt;H924,J924*(1+Dashboard!$E$4)+Dashboard!$E$5,J924))</f>
        <v>884522.30006083264</v>
      </c>
      <c r="K925">
        <f>IF(ROW()&lt;3, 0,IF(Query1[[#This Row],[Month]]&lt;&gt;H924,IF((J925-I925&gt;0),J925-I925,0),0))</f>
        <v>0</v>
      </c>
      <c r="L925" s="2">
        <f t="shared" si="14"/>
        <v>3592.2989655359538</v>
      </c>
      <c r="M925">
        <f>IF(ROW()&lt;3, 0, IF(Query1[[#This Row],[Month]]&lt;&gt;H924, Dashboard!$J$5,0))</f>
        <v>773.47399999999971</v>
      </c>
      <c r="N925" s="2">
        <f>IF(ROW()&lt;3, Query1[[#This Row],[Shares]], IF(Query1[[#This Row],[Month]]&lt;&gt;H924, N924+Query1[[#This Row],[Fix Top Up]]/Query1[[#This Row],[Adj Close]], N924))</f>
        <v>3414.2969804616141</v>
      </c>
      <c r="O925">
        <f>IF(AND(Query1[[#This Row],[avg]]&gt;0, Query1[[#This Row],[Month]]&lt;&gt;H924),
    IF(Query1[[#This Row],[Adj Close]]&gt;Query1[[#This Row],[avg]],
       Dashboard!$L$5-Dashboard!$E$6,
       Dashboard!$L$5+Dashboard!$E$6
    ), 0
)</f>
        <v>390.14066666666668</v>
      </c>
      <c r="P925" s="2">
        <f>IF(ROW()&lt;3, Query1[[#This Row],[Shares]], IF(Query1[[#This Row],[Month]]&lt;&gt;H924, P924+Query1[[#This Row],[Enhanced top up]]/Query1[[#This Row],[Adj Close]], P924))</f>
        <v>3406.418237205678</v>
      </c>
      <c r="Q925" s="2">
        <f>IFERROR(AVERAGE(
  IF(ROW()&gt;20, INDEX(G:G, ROW()-20), 0) :
  INDEX(G:G, ROW())
),0)</f>
        <v>318.80962262834822</v>
      </c>
    </row>
    <row r="926" spans="1:17" x14ac:dyDescent="0.4">
      <c r="A926" s="1">
        <v>45174</v>
      </c>
      <c r="B926">
        <v>329</v>
      </c>
      <c r="C926">
        <v>334.85000610351563</v>
      </c>
      <c r="D926">
        <v>328.66000366210938</v>
      </c>
      <c r="E926">
        <v>333.54998779296875</v>
      </c>
      <c r="F926">
        <v>18553900</v>
      </c>
      <c r="G926">
        <v>328.59799194335938</v>
      </c>
      <c r="H926" s="2">
        <f>MONTH(Query1[[#This Row],[Date]])</f>
        <v>9</v>
      </c>
      <c r="I926" s="3">
        <f>Query1[[#This Row],[Shares]]*Query1[[#This Row],[Adj Close]]</f>
        <v>1180422.2265353217</v>
      </c>
      <c r="J926" s="3">
        <f>IF(ROW()&lt;3, Dashboard!$E$7, IF(Query1[[#This Row],[Month]]&lt;&gt;H925,J925*(1+Dashboard!$E$4)+Dashboard!$E$5,J925))</f>
        <v>884522.30006083264</v>
      </c>
      <c r="K926">
        <f>IF(ROW()&lt;3, 0,IF(Query1[[#This Row],[Month]]&lt;&gt;H925,IF((J926-I926&gt;0),J926-I926,0),0))</f>
        <v>0</v>
      </c>
      <c r="L926" s="2">
        <f t="shared" si="14"/>
        <v>3592.2989655359538</v>
      </c>
      <c r="M926">
        <f>IF(ROW()&lt;3, 0, IF(Query1[[#This Row],[Month]]&lt;&gt;H925, Dashboard!$J$5,0))</f>
        <v>0</v>
      </c>
      <c r="N926" s="2">
        <f>IF(ROW()&lt;3, Query1[[#This Row],[Shares]], IF(Query1[[#This Row],[Month]]&lt;&gt;H925, N925+Query1[[#This Row],[Fix Top Up]]/Query1[[#This Row],[Adj Close]], N925))</f>
        <v>3414.2969804616141</v>
      </c>
      <c r="O926">
        <f>IF(AND(Query1[[#This Row],[avg]]&gt;0, Query1[[#This Row],[Month]]&lt;&gt;H925),
    IF(Query1[[#This Row],[Adj Close]]&gt;Query1[[#This Row],[avg]],
       Dashboard!$L$5-Dashboard!$E$6,
       Dashboard!$L$5+Dashboard!$E$6
    ), 0
)</f>
        <v>0</v>
      </c>
      <c r="P926" s="2">
        <f>IF(ROW()&lt;3, Query1[[#This Row],[Shares]], IF(Query1[[#This Row],[Month]]&lt;&gt;H925, P925+Query1[[#This Row],[Enhanced top up]]/Query1[[#This Row],[Adj Close]], P925))</f>
        <v>3406.418237205678</v>
      </c>
      <c r="Q926" s="2">
        <f>IFERROR(AVERAGE(
  IF(ROW()&gt;20, INDEX(G:G, ROW()-20), 0) :
  INDEX(G:G, ROW())
),0)</f>
        <v>319.11279006231399</v>
      </c>
    </row>
    <row r="927" spans="1:17" x14ac:dyDescent="0.4">
      <c r="A927" s="1">
        <v>45175</v>
      </c>
      <c r="B927">
        <v>333.3800048828125</v>
      </c>
      <c r="C927">
        <v>334.45999145507813</v>
      </c>
      <c r="D927">
        <v>330.17999267578125</v>
      </c>
      <c r="E927">
        <v>332.8800048828125</v>
      </c>
      <c r="F927">
        <v>17535800</v>
      </c>
      <c r="G927">
        <v>327.93801879882813</v>
      </c>
      <c r="H927" s="2">
        <f>MONTH(Query1[[#This Row],[Date]])</f>
        <v>9</v>
      </c>
      <c r="I927" s="3">
        <f>Query1[[#This Row],[Shares]]*Query1[[#This Row],[Adj Close]]</f>
        <v>1178051.4056909406</v>
      </c>
      <c r="J927" s="3">
        <f>IF(ROW()&lt;3, Dashboard!$E$7, IF(Query1[[#This Row],[Month]]&lt;&gt;H926,J926*(1+Dashboard!$E$4)+Dashboard!$E$5,J926))</f>
        <v>884522.30006083264</v>
      </c>
      <c r="K927">
        <f>IF(ROW()&lt;3, 0,IF(Query1[[#This Row],[Month]]&lt;&gt;H926,IF((J927-I927&gt;0),J927-I927,0),0))</f>
        <v>0</v>
      </c>
      <c r="L927" s="2">
        <f t="shared" si="14"/>
        <v>3592.2989655359538</v>
      </c>
      <c r="M927">
        <f>IF(ROW()&lt;3, 0, IF(Query1[[#This Row],[Month]]&lt;&gt;H926, Dashboard!$J$5,0))</f>
        <v>0</v>
      </c>
      <c r="N927" s="2">
        <f>IF(ROW()&lt;3, Query1[[#This Row],[Shares]], IF(Query1[[#This Row],[Month]]&lt;&gt;H926, N926+Query1[[#This Row],[Fix Top Up]]/Query1[[#This Row],[Adj Close]], N926))</f>
        <v>3414.2969804616141</v>
      </c>
      <c r="O927">
        <f>IF(AND(Query1[[#This Row],[avg]]&gt;0, Query1[[#This Row],[Month]]&lt;&gt;H926),
    IF(Query1[[#This Row],[Adj Close]]&gt;Query1[[#This Row],[avg]],
       Dashboard!$L$5-Dashboard!$E$6,
       Dashboard!$L$5+Dashboard!$E$6
    ), 0
)</f>
        <v>0</v>
      </c>
      <c r="P927" s="2">
        <f>IF(ROW()&lt;3, Query1[[#This Row],[Shares]], IF(Query1[[#This Row],[Month]]&lt;&gt;H926, P926+Query1[[#This Row],[Enhanced top up]]/Query1[[#This Row],[Adj Close]], P926))</f>
        <v>3406.418237205678</v>
      </c>
      <c r="Q927" s="2">
        <f>IFERROR(AVERAGE(
  IF(ROW()&gt;20, INDEX(G:G, ROW()-20), 0) :
  INDEX(G:G, ROW())
),0)</f>
        <v>319.27545601981029</v>
      </c>
    </row>
    <row r="928" spans="1:17" x14ac:dyDescent="0.4">
      <c r="A928" s="1">
        <v>45176</v>
      </c>
      <c r="B928">
        <v>331.29000854492188</v>
      </c>
      <c r="C928">
        <v>333.07998657226563</v>
      </c>
      <c r="D928">
        <v>329.02999877929688</v>
      </c>
      <c r="E928">
        <v>329.91000366210938</v>
      </c>
      <c r="F928">
        <v>18381000</v>
      </c>
      <c r="G928">
        <v>325.01205444335938</v>
      </c>
      <c r="H928" s="2">
        <f>MONTH(Query1[[#This Row],[Date]])</f>
        <v>9</v>
      </c>
      <c r="I928" s="3">
        <f>Query1[[#This Row],[Shares]]*Query1[[#This Row],[Adj Close]]</f>
        <v>1167540.466963595</v>
      </c>
      <c r="J928" s="3">
        <f>IF(ROW()&lt;3, Dashboard!$E$7, IF(Query1[[#This Row],[Month]]&lt;&gt;H927,J927*(1+Dashboard!$E$4)+Dashboard!$E$5,J927))</f>
        <v>884522.30006083264</v>
      </c>
      <c r="K928">
        <f>IF(ROW()&lt;3, 0,IF(Query1[[#This Row],[Month]]&lt;&gt;H927,IF((J928-I928&gt;0),J928-I928,0),0))</f>
        <v>0</v>
      </c>
      <c r="L928" s="2">
        <f t="shared" si="14"/>
        <v>3592.2989655359538</v>
      </c>
      <c r="M928">
        <f>IF(ROW()&lt;3, 0, IF(Query1[[#This Row],[Month]]&lt;&gt;H927, Dashboard!$J$5,0))</f>
        <v>0</v>
      </c>
      <c r="N928" s="2">
        <f>IF(ROW()&lt;3, Query1[[#This Row],[Shares]], IF(Query1[[#This Row],[Month]]&lt;&gt;H927, N927+Query1[[#This Row],[Fix Top Up]]/Query1[[#This Row],[Adj Close]], N927))</f>
        <v>3414.2969804616141</v>
      </c>
      <c r="O928">
        <f>IF(AND(Query1[[#This Row],[avg]]&gt;0, Query1[[#This Row],[Month]]&lt;&gt;H927),
    IF(Query1[[#This Row],[Adj Close]]&gt;Query1[[#This Row],[avg]],
       Dashboard!$L$5-Dashboard!$E$6,
       Dashboard!$L$5+Dashboard!$E$6
    ), 0
)</f>
        <v>0</v>
      </c>
      <c r="P928" s="2">
        <f>IF(ROW()&lt;3, Query1[[#This Row],[Shares]], IF(Query1[[#This Row],[Month]]&lt;&gt;H927, P927+Query1[[#This Row],[Enhanced top up]]/Query1[[#This Row],[Adj Close]], P927))</f>
        <v>3406.418237205678</v>
      </c>
      <c r="Q928" s="2">
        <f>IFERROR(AVERAGE(
  IF(ROW()&gt;20, INDEX(G:G, ROW()-20), 0) :
  INDEX(G:G, ROW())
),0)</f>
        <v>319.48885236467635</v>
      </c>
    </row>
    <row r="929" spans="1:17" x14ac:dyDescent="0.4">
      <c r="A929" s="1">
        <v>45177</v>
      </c>
      <c r="B929">
        <v>330.08999633789063</v>
      </c>
      <c r="C929">
        <v>336.16000366210938</v>
      </c>
      <c r="D929">
        <v>329.45999145507813</v>
      </c>
      <c r="E929">
        <v>334.26998901367188</v>
      </c>
      <c r="F929">
        <v>19530100</v>
      </c>
      <c r="G929">
        <v>329.30731201171875</v>
      </c>
      <c r="H929" s="2">
        <f>MONTH(Query1[[#This Row],[Date]])</f>
        <v>9</v>
      </c>
      <c r="I929" s="3">
        <f>Query1[[#This Row],[Shares]]*Query1[[#This Row],[Adj Close]]</f>
        <v>1182970.3162831229</v>
      </c>
      <c r="J929" s="3">
        <f>IF(ROW()&lt;3, Dashboard!$E$7, IF(Query1[[#This Row],[Month]]&lt;&gt;H928,J928*(1+Dashboard!$E$4)+Dashboard!$E$5,J928))</f>
        <v>884522.30006083264</v>
      </c>
      <c r="K929">
        <f>IF(ROW()&lt;3, 0,IF(Query1[[#This Row],[Month]]&lt;&gt;H928,IF((J929-I929&gt;0),J929-I929,0),0))</f>
        <v>0</v>
      </c>
      <c r="L929" s="2">
        <f t="shared" si="14"/>
        <v>3592.2989655359538</v>
      </c>
      <c r="M929">
        <f>IF(ROW()&lt;3, 0, IF(Query1[[#This Row],[Month]]&lt;&gt;H928, Dashboard!$J$5,0))</f>
        <v>0</v>
      </c>
      <c r="N929" s="2">
        <f>IF(ROW()&lt;3, Query1[[#This Row],[Shares]], IF(Query1[[#This Row],[Month]]&lt;&gt;H928, N928+Query1[[#This Row],[Fix Top Up]]/Query1[[#This Row],[Adj Close]], N928))</f>
        <v>3414.2969804616141</v>
      </c>
      <c r="O929">
        <f>IF(AND(Query1[[#This Row],[avg]]&gt;0, Query1[[#This Row],[Month]]&lt;&gt;H928),
    IF(Query1[[#This Row],[Adj Close]]&gt;Query1[[#This Row],[avg]],
       Dashboard!$L$5-Dashboard!$E$6,
       Dashboard!$L$5+Dashboard!$E$6
    ), 0
)</f>
        <v>0</v>
      </c>
      <c r="P929" s="2">
        <f>IF(ROW()&lt;3, Query1[[#This Row],[Shares]], IF(Query1[[#This Row],[Month]]&lt;&gt;H928, P928+Query1[[#This Row],[Enhanced top up]]/Query1[[#This Row],[Adj Close]], P928))</f>
        <v>3406.418237205678</v>
      </c>
      <c r="Q929" s="2">
        <f>IFERROR(AVERAGE(
  IF(ROW()&gt;20, INDEX(G:G, ROW()-20), 0) :
  INDEX(G:G, ROW())
),0)</f>
        <v>320.08560616629467</v>
      </c>
    </row>
    <row r="930" spans="1:17" x14ac:dyDescent="0.4">
      <c r="A930" s="1">
        <v>45180</v>
      </c>
      <c r="B930">
        <v>337.239990234375</v>
      </c>
      <c r="C930">
        <v>338.42001342773438</v>
      </c>
      <c r="D930">
        <v>335.42999267578125</v>
      </c>
      <c r="E930">
        <v>337.94000244140625</v>
      </c>
      <c r="F930">
        <v>16583300</v>
      </c>
      <c r="G930">
        <v>332.92291259765625</v>
      </c>
      <c r="H930" s="2">
        <f>MONTH(Query1[[#This Row],[Date]])</f>
        <v>9</v>
      </c>
      <c r="I930" s="3">
        <f>Query1[[#This Row],[Shares]]*Query1[[#This Row],[Adj Close]]</f>
        <v>1195958.6345277773</v>
      </c>
      <c r="J930" s="3">
        <f>IF(ROW()&lt;3, Dashboard!$E$7, IF(Query1[[#This Row],[Month]]&lt;&gt;H929,J929*(1+Dashboard!$E$4)+Dashboard!$E$5,J929))</f>
        <v>884522.30006083264</v>
      </c>
      <c r="K930">
        <f>IF(ROW()&lt;3, 0,IF(Query1[[#This Row],[Month]]&lt;&gt;H929,IF((J930-I930&gt;0),J930-I930,0),0))</f>
        <v>0</v>
      </c>
      <c r="L930" s="2">
        <f t="shared" si="14"/>
        <v>3592.2989655359538</v>
      </c>
      <c r="M930">
        <f>IF(ROW()&lt;3, 0, IF(Query1[[#This Row],[Month]]&lt;&gt;H929, Dashboard!$J$5,0))</f>
        <v>0</v>
      </c>
      <c r="N930" s="2">
        <f>IF(ROW()&lt;3, Query1[[#This Row],[Shares]], IF(Query1[[#This Row],[Month]]&lt;&gt;H929, N929+Query1[[#This Row],[Fix Top Up]]/Query1[[#This Row],[Adj Close]], N929))</f>
        <v>3414.2969804616141</v>
      </c>
      <c r="O930">
        <f>IF(AND(Query1[[#This Row],[avg]]&gt;0, Query1[[#This Row],[Month]]&lt;&gt;H929),
    IF(Query1[[#This Row],[Adj Close]]&gt;Query1[[#This Row],[avg]],
       Dashboard!$L$5-Dashboard!$E$6,
       Dashboard!$L$5+Dashboard!$E$6
    ), 0
)</f>
        <v>0</v>
      </c>
      <c r="P930" s="2">
        <f>IF(ROW()&lt;3, Query1[[#This Row],[Shares]], IF(Query1[[#This Row],[Month]]&lt;&gt;H929, P929+Query1[[#This Row],[Enhanced top up]]/Query1[[#This Row],[Adj Close]], P929))</f>
        <v>3406.418237205678</v>
      </c>
      <c r="Q930" s="2">
        <f>IFERROR(AVERAGE(
  IF(ROW()&gt;20, INDEX(G:G, ROW()-20), 0) :
  INDEX(G:G, ROW())
),0)</f>
        <v>320.82176571800596</v>
      </c>
    </row>
    <row r="931" spans="1:17" x14ac:dyDescent="0.4">
      <c r="A931" s="1">
        <v>45181</v>
      </c>
      <c r="B931">
        <v>335.82000732421875</v>
      </c>
      <c r="C931">
        <v>336.79000854492188</v>
      </c>
      <c r="D931">
        <v>331.48001098632813</v>
      </c>
      <c r="E931">
        <v>331.76998901367188</v>
      </c>
      <c r="F931">
        <v>17565500</v>
      </c>
      <c r="G931">
        <v>326.84442138671875</v>
      </c>
      <c r="H931" s="2">
        <f>MONTH(Query1[[#This Row],[Date]])</f>
        <v>9</v>
      </c>
      <c r="I931" s="3">
        <f>Query1[[#This Row],[Shares]]*Query1[[#This Row],[Adj Close]]</f>
        <v>1174122.8768387071</v>
      </c>
      <c r="J931" s="3">
        <f>IF(ROW()&lt;3, Dashboard!$E$7, IF(Query1[[#This Row],[Month]]&lt;&gt;H930,J930*(1+Dashboard!$E$4)+Dashboard!$E$5,J930))</f>
        <v>884522.30006083264</v>
      </c>
      <c r="K931">
        <f>IF(ROW()&lt;3, 0,IF(Query1[[#This Row],[Month]]&lt;&gt;H930,IF((J931-I931&gt;0),J931-I931,0),0))</f>
        <v>0</v>
      </c>
      <c r="L931" s="2">
        <f t="shared" si="14"/>
        <v>3592.2989655359538</v>
      </c>
      <c r="M931">
        <f>IF(ROW()&lt;3, 0, IF(Query1[[#This Row],[Month]]&lt;&gt;H930, Dashboard!$J$5,0))</f>
        <v>0</v>
      </c>
      <c r="N931" s="2">
        <f>IF(ROW()&lt;3, Query1[[#This Row],[Shares]], IF(Query1[[#This Row],[Month]]&lt;&gt;H930, N930+Query1[[#This Row],[Fix Top Up]]/Query1[[#This Row],[Adj Close]], N930))</f>
        <v>3414.2969804616141</v>
      </c>
      <c r="O931">
        <f>IF(AND(Query1[[#This Row],[avg]]&gt;0, Query1[[#This Row],[Month]]&lt;&gt;H930),
    IF(Query1[[#This Row],[Adj Close]]&gt;Query1[[#This Row],[avg]],
       Dashboard!$L$5-Dashboard!$E$6,
       Dashboard!$L$5+Dashboard!$E$6
    ), 0
)</f>
        <v>0</v>
      </c>
      <c r="P931" s="2">
        <f>IF(ROW()&lt;3, Query1[[#This Row],[Shares]], IF(Query1[[#This Row],[Month]]&lt;&gt;H930, P930+Query1[[#This Row],[Enhanced top up]]/Query1[[#This Row],[Adj Close]], P930))</f>
        <v>3406.418237205678</v>
      </c>
      <c r="Q931" s="2">
        <f>IFERROR(AVERAGE(
  IF(ROW()&gt;20, INDEX(G:G, ROW()-20), 0) :
  INDEX(G:G, ROW())
),0)</f>
        <v>321.35835484095981</v>
      </c>
    </row>
    <row r="932" spans="1:17" x14ac:dyDescent="0.4">
      <c r="A932" s="1">
        <v>45182</v>
      </c>
      <c r="B932">
        <v>331.30999755859375</v>
      </c>
      <c r="C932">
        <v>336.85000610351563</v>
      </c>
      <c r="D932">
        <v>331.17001342773438</v>
      </c>
      <c r="E932">
        <v>336.05999755859375</v>
      </c>
      <c r="F932">
        <v>16544400</v>
      </c>
      <c r="G932">
        <v>331.07077026367188</v>
      </c>
      <c r="H932" s="2">
        <f>MONTH(Query1[[#This Row],[Date]])</f>
        <v>9</v>
      </c>
      <c r="I932" s="3">
        <f>Query1[[#This Row],[Shares]]*Query1[[#This Row],[Adj Close]]</f>
        <v>1189305.1855373799</v>
      </c>
      <c r="J932" s="3">
        <f>IF(ROW()&lt;3, Dashboard!$E$7, IF(Query1[[#This Row],[Month]]&lt;&gt;H931,J931*(1+Dashboard!$E$4)+Dashboard!$E$5,J931))</f>
        <v>884522.30006083264</v>
      </c>
      <c r="K932">
        <f>IF(ROW()&lt;3, 0,IF(Query1[[#This Row],[Month]]&lt;&gt;H931,IF((J932-I932&gt;0),J932-I932,0),0))</f>
        <v>0</v>
      </c>
      <c r="L932" s="2">
        <f t="shared" si="14"/>
        <v>3592.2989655359538</v>
      </c>
      <c r="M932">
        <f>IF(ROW()&lt;3, 0, IF(Query1[[#This Row],[Month]]&lt;&gt;H931, Dashboard!$J$5,0))</f>
        <v>0</v>
      </c>
      <c r="N932" s="2">
        <f>IF(ROW()&lt;3, Query1[[#This Row],[Shares]], IF(Query1[[#This Row],[Month]]&lt;&gt;H931, N931+Query1[[#This Row],[Fix Top Up]]/Query1[[#This Row],[Adj Close]], N931))</f>
        <v>3414.2969804616141</v>
      </c>
      <c r="O932">
        <f>IF(AND(Query1[[#This Row],[avg]]&gt;0, Query1[[#This Row],[Month]]&lt;&gt;H931),
    IF(Query1[[#This Row],[Adj Close]]&gt;Query1[[#This Row],[avg]],
       Dashboard!$L$5-Dashboard!$E$6,
       Dashboard!$L$5+Dashboard!$E$6
    ), 0
)</f>
        <v>0</v>
      </c>
      <c r="P932" s="2">
        <f>IF(ROW()&lt;3, Query1[[#This Row],[Shares]], IF(Query1[[#This Row],[Month]]&lt;&gt;H931, P931+Query1[[#This Row],[Enhanced top up]]/Query1[[#This Row],[Adj Close]], P931))</f>
        <v>3406.418237205678</v>
      </c>
      <c r="Q932" s="2">
        <f>IFERROR(AVERAGE(
  IF(ROW()&gt;20, INDEX(G:G, ROW()-20), 0) :
  INDEX(G:G, ROW())
),0)</f>
        <v>321.95435442243303</v>
      </c>
    </row>
    <row r="933" spans="1:17" x14ac:dyDescent="0.4">
      <c r="A933" s="1">
        <v>45183</v>
      </c>
      <c r="B933">
        <v>339.14999389648438</v>
      </c>
      <c r="C933">
        <v>340.8599853515625</v>
      </c>
      <c r="D933">
        <v>336.57000732421875</v>
      </c>
      <c r="E933">
        <v>338.70001220703125</v>
      </c>
      <c r="F933">
        <v>20267000</v>
      </c>
      <c r="G933">
        <v>333.67160034179688</v>
      </c>
      <c r="H933" s="2">
        <f>MONTH(Query1[[#This Row],[Date]])</f>
        <v>9</v>
      </c>
      <c r="I933" s="3">
        <f>Query1[[#This Row],[Shares]]*Query1[[#This Row],[Adj Close]]</f>
        <v>1198648.1447365631</v>
      </c>
      <c r="J933" s="3">
        <f>IF(ROW()&lt;3, Dashboard!$E$7, IF(Query1[[#This Row],[Month]]&lt;&gt;H932,J932*(1+Dashboard!$E$4)+Dashboard!$E$5,J932))</f>
        <v>884522.30006083264</v>
      </c>
      <c r="K933">
        <f>IF(ROW()&lt;3, 0,IF(Query1[[#This Row],[Month]]&lt;&gt;H932,IF((J933-I933&gt;0),J933-I933,0),0))</f>
        <v>0</v>
      </c>
      <c r="L933" s="2">
        <f t="shared" si="14"/>
        <v>3592.2989655359538</v>
      </c>
      <c r="M933">
        <f>IF(ROW()&lt;3, 0, IF(Query1[[#This Row],[Month]]&lt;&gt;H932, Dashboard!$J$5,0))</f>
        <v>0</v>
      </c>
      <c r="N933" s="2">
        <f>IF(ROW()&lt;3, Query1[[#This Row],[Shares]], IF(Query1[[#This Row],[Month]]&lt;&gt;H932, N932+Query1[[#This Row],[Fix Top Up]]/Query1[[#This Row],[Adj Close]], N932))</f>
        <v>3414.2969804616141</v>
      </c>
      <c r="O933">
        <f>IF(AND(Query1[[#This Row],[avg]]&gt;0, Query1[[#This Row],[Month]]&lt;&gt;H932),
    IF(Query1[[#This Row],[Adj Close]]&gt;Query1[[#This Row],[avg]],
       Dashboard!$L$5-Dashboard!$E$6,
       Dashboard!$L$5+Dashboard!$E$6
    ), 0
)</f>
        <v>0</v>
      </c>
      <c r="P933" s="2">
        <f>IF(ROW()&lt;3, Query1[[#This Row],[Shares]], IF(Query1[[#This Row],[Month]]&lt;&gt;H932, P932+Query1[[#This Row],[Enhanced top up]]/Query1[[#This Row],[Adj Close]], P932))</f>
        <v>3406.418237205678</v>
      </c>
      <c r="Q933" s="2">
        <f>IFERROR(AVERAGE(
  IF(ROW()&gt;20, INDEX(G:G, ROW()-20), 0) :
  INDEX(G:G, ROW())
),0)</f>
        <v>322.77625528971356</v>
      </c>
    </row>
    <row r="934" spans="1:17" x14ac:dyDescent="0.4">
      <c r="A934" s="1">
        <v>45184</v>
      </c>
      <c r="B934">
        <v>336.92001342773438</v>
      </c>
      <c r="C934">
        <v>337.39999389648438</v>
      </c>
      <c r="D934">
        <v>329.64999389648438</v>
      </c>
      <c r="E934">
        <v>330.22000122070313</v>
      </c>
      <c r="F934">
        <v>37679800</v>
      </c>
      <c r="G934">
        <v>325.3175048828125</v>
      </c>
      <c r="H934" s="2">
        <f>MONTH(Query1[[#This Row],[Date]])</f>
        <v>9</v>
      </c>
      <c r="I934" s="3">
        <f>Query1[[#This Row],[Shares]]*Query1[[#This Row],[Adj Close]]</f>
        <v>1168637.7362612649</v>
      </c>
      <c r="J934" s="3">
        <f>IF(ROW()&lt;3, Dashboard!$E$7, IF(Query1[[#This Row],[Month]]&lt;&gt;H933,J933*(1+Dashboard!$E$4)+Dashboard!$E$5,J933))</f>
        <v>884522.30006083264</v>
      </c>
      <c r="K934">
        <f>IF(ROW()&lt;3, 0,IF(Query1[[#This Row],[Month]]&lt;&gt;H933,IF((J934-I934&gt;0),J934-I934,0),0))</f>
        <v>0</v>
      </c>
      <c r="L934" s="2">
        <f t="shared" si="14"/>
        <v>3592.2989655359538</v>
      </c>
      <c r="M934">
        <f>IF(ROW()&lt;3, 0, IF(Query1[[#This Row],[Month]]&lt;&gt;H933, Dashboard!$J$5,0))</f>
        <v>0</v>
      </c>
      <c r="N934" s="2">
        <f>IF(ROW()&lt;3, Query1[[#This Row],[Shares]], IF(Query1[[#This Row],[Month]]&lt;&gt;H933, N933+Query1[[#This Row],[Fix Top Up]]/Query1[[#This Row],[Adj Close]], N933))</f>
        <v>3414.2969804616141</v>
      </c>
      <c r="O934">
        <f>IF(AND(Query1[[#This Row],[avg]]&gt;0, Query1[[#This Row],[Month]]&lt;&gt;H933),
    IF(Query1[[#This Row],[Adj Close]]&gt;Query1[[#This Row],[avg]],
       Dashboard!$L$5-Dashboard!$E$6,
       Dashboard!$L$5+Dashboard!$E$6
    ), 0
)</f>
        <v>0</v>
      </c>
      <c r="P934" s="2">
        <f>IF(ROW()&lt;3, Query1[[#This Row],[Shares]], IF(Query1[[#This Row],[Month]]&lt;&gt;H933, P933+Query1[[#This Row],[Enhanced top up]]/Query1[[#This Row],[Adj Close]], P933))</f>
        <v>3406.418237205678</v>
      </c>
      <c r="Q934" s="2">
        <f>IFERROR(AVERAGE(
  IF(ROW()&gt;20, INDEX(G:G, ROW()-20), 0) :
  INDEX(G:G, ROW())
),0)</f>
        <v>323.23693121047245</v>
      </c>
    </row>
    <row r="935" spans="1:17" x14ac:dyDescent="0.4">
      <c r="A935" s="1">
        <v>45187</v>
      </c>
      <c r="B935">
        <v>327.79998779296875</v>
      </c>
      <c r="C935">
        <v>330.39999389648438</v>
      </c>
      <c r="D935">
        <v>326.3599853515625</v>
      </c>
      <c r="E935">
        <v>329.05999755859375</v>
      </c>
      <c r="F935">
        <v>16834200</v>
      </c>
      <c r="G935">
        <v>324.1746826171875</v>
      </c>
      <c r="H935" s="2">
        <f>MONTH(Query1[[#This Row],[Date]])</f>
        <v>9</v>
      </c>
      <c r="I935" s="3">
        <f>Query1[[#This Row],[Shares]]*Query1[[#This Row],[Adj Close]]</f>
        <v>1164532.3770186687</v>
      </c>
      <c r="J935" s="3">
        <f>IF(ROW()&lt;3, Dashboard!$E$7, IF(Query1[[#This Row],[Month]]&lt;&gt;H934,J934*(1+Dashboard!$E$4)+Dashboard!$E$5,J934))</f>
        <v>884522.30006083264</v>
      </c>
      <c r="K935">
        <f>IF(ROW()&lt;3, 0,IF(Query1[[#This Row],[Month]]&lt;&gt;H934,IF((J935-I935&gt;0),J935-I935,0),0))</f>
        <v>0</v>
      </c>
      <c r="L935" s="2">
        <f t="shared" si="14"/>
        <v>3592.2989655359538</v>
      </c>
      <c r="M935">
        <f>IF(ROW()&lt;3, 0, IF(Query1[[#This Row],[Month]]&lt;&gt;H934, Dashboard!$J$5,0))</f>
        <v>0</v>
      </c>
      <c r="N935" s="2">
        <f>IF(ROW()&lt;3, Query1[[#This Row],[Shares]], IF(Query1[[#This Row],[Month]]&lt;&gt;H934, N934+Query1[[#This Row],[Fix Top Up]]/Query1[[#This Row],[Adj Close]], N934))</f>
        <v>3414.2969804616141</v>
      </c>
      <c r="O935">
        <f>IF(AND(Query1[[#This Row],[avg]]&gt;0, Query1[[#This Row],[Month]]&lt;&gt;H934),
    IF(Query1[[#This Row],[Adj Close]]&gt;Query1[[#This Row],[avg]],
       Dashboard!$L$5-Dashboard!$E$6,
       Dashboard!$L$5+Dashboard!$E$6
    ), 0
)</f>
        <v>0</v>
      </c>
      <c r="P935" s="2">
        <f>IF(ROW()&lt;3, Query1[[#This Row],[Shares]], IF(Query1[[#This Row],[Month]]&lt;&gt;H934, P934+Query1[[#This Row],[Enhanced top up]]/Query1[[#This Row],[Adj Close]], P934))</f>
        <v>3406.418237205678</v>
      </c>
      <c r="Q935" s="2">
        <f>IFERROR(AVERAGE(
  IF(ROW()&gt;20, INDEX(G:G, ROW()-20), 0) :
  INDEX(G:G, ROW())
),0)</f>
        <v>323.80832054501491</v>
      </c>
    </row>
    <row r="936" spans="1:17" x14ac:dyDescent="0.4">
      <c r="A936" s="1">
        <v>45188</v>
      </c>
      <c r="B936">
        <v>326.17001342773438</v>
      </c>
      <c r="C936">
        <v>329.3900146484375</v>
      </c>
      <c r="D936">
        <v>324.510009765625</v>
      </c>
      <c r="E936">
        <v>328.64999389648438</v>
      </c>
      <c r="F936">
        <v>16505900</v>
      </c>
      <c r="G936">
        <v>323.770751953125</v>
      </c>
      <c r="H936" s="2">
        <f>MONTH(Query1[[#This Row],[Date]])</f>
        <v>9</v>
      </c>
      <c r="I936" s="3">
        <f>Query1[[#This Row],[Shares]]*Query1[[#This Row],[Adj Close]]</f>
        <v>1163081.3373120087</v>
      </c>
      <c r="J936" s="3">
        <f>IF(ROW()&lt;3, Dashboard!$E$7, IF(Query1[[#This Row],[Month]]&lt;&gt;H935,J935*(1+Dashboard!$E$4)+Dashboard!$E$5,J935))</f>
        <v>884522.30006083264</v>
      </c>
      <c r="K936">
        <f>IF(ROW()&lt;3, 0,IF(Query1[[#This Row],[Month]]&lt;&gt;H935,IF((J936-I936&gt;0),J936-I936,0),0))</f>
        <v>0</v>
      </c>
      <c r="L936" s="2">
        <f t="shared" si="14"/>
        <v>3592.2989655359538</v>
      </c>
      <c r="M936">
        <f>IF(ROW()&lt;3, 0, IF(Query1[[#This Row],[Month]]&lt;&gt;H935, Dashboard!$J$5,0))</f>
        <v>0</v>
      </c>
      <c r="N936" s="2">
        <f>IF(ROW()&lt;3, Query1[[#This Row],[Shares]], IF(Query1[[#This Row],[Month]]&lt;&gt;H935, N935+Query1[[#This Row],[Fix Top Up]]/Query1[[#This Row],[Adj Close]], N935))</f>
        <v>3414.2969804616141</v>
      </c>
      <c r="O936">
        <f>IF(AND(Query1[[#This Row],[avg]]&gt;0, Query1[[#This Row],[Month]]&lt;&gt;H935),
    IF(Query1[[#This Row],[Adj Close]]&gt;Query1[[#This Row],[avg]],
       Dashboard!$L$5-Dashboard!$E$6,
       Dashboard!$L$5+Dashboard!$E$6
    ), 0
)</f>
        <v>0</v>
      </c>
      <c r="P936" s="2">
        <f>IF(ROW()&lt;3, Query1[[#This Row],[Shares]], IF(Query1[[#This Row],[Month]]&lt;&gt;H935, P935+Query1[[#This Row],[Enhanced top up]]/Query1[[#This Row],[Adj Close]], P935))</f>
        <v>3406.418237205678</v>
      </c>
      <c r="Q936" s="2">
        <f>IFERROR(AVERAGE(
  IF(ROW()&gt;20, INDEX(G:G, ROW()-20), 0) :
  INDEX(G:G, ROW())
),0)</f>
        <v>324.37923758370533</v>
      </c>
    </row>
    <row r="937" spans="1:17" x14ac:dyDescent="0.4">
      <c r="A937" s="1">
        <v>45189</v>
      </c>
      <c r="B937">
        <v>329.510009765625</v>
      </c>
      <c r="C937">
        <v>329.58999633789063</v>
      </c>
      <c r="D937">
        <v>320.510009765625</v>
      </c>
      <c r="E937">
        <v>320.76998901367188</v>
      </c>
      <c r="F937">
        <v>21436500</v>
      </c>
      <c r="G937">
        <v>316.00775146484375</v>
      </c>
      <c r="H937" s="2">
        <f>MONTH(Query1[[#This Row],[Date]])</f>
        <v>9</v>
      </c>
      <c r="I937" s="3">
        <f>Query1[[#This Row],[Shares]]*Query1[[#This Row],[Adj Close]]</f>
        <v>1135194.3186885009</v>
      </c>
      <c r="J937" s="3">
        <f>IF(ROW()&lt;3, Dashboard!$E$7, IF(Query1[[#This Row],[Month]]&lt;&gt;H936,J936*(1+Dashboard!$E$4)+Dashboard!$E$5,J936))</f>
        <v>884522.30006083264</v>
      </c>
      <c r="K937">
        <f>IF(ROW()&lt;3, 0,IF(Query1[[#This Row],[Month]]&lt;&gt;H936,IF((J937-I937&gt;0),J937-I937,0),0))</f>
        <v>0</v>
      </c>
      <c r="L937" s="2">
        <f t="shared" si="14"/>
        <v>3592.2989655359538</v>
      </c>
      <c r="M937">
        <f>IF(ROW()&lt;3, 0, IF(Query1[[#This Row],[Month]]&lt;&gt;H936, Dashboard!$J$5,0))</f>
        <v>0</v>
      </c>
      <c r="N937" s="2">
        <f>IF(ROW()&lt;3, Query1[[#This Row],[Shares]], IF(Query1[[#This Row],[Month]]&lt;&gt;H936, N936+Query1[[#This Row],[Fix Top Up]]/Query1[[#This Row],[Adj Close]], N936))</f>
        <v>3414.2969804616141</v>
      </c>
      <c r="O937">
        <f>IF(AND(Query1[[#This Row],[avg]]&gt;0, Query1[[#This Row],[Month]]&lt;&gt;H936),
    IF(Query1[[#This Row],[Adj Close]]&gt;Query1[[#This Row],[avg]],
       Dashboard!$L$5-Dashboard!$E$6,
       Dashboard!$L$5+Dashboard!$E$6
    ), 0
)</f>
        <v>0</v>
      </c>
      <c r="P937" s="2">
        <f>IF(ROW()&lt;3, Query1[[#This Row],[Shares]], IF(Query1[[#This Row],[Month]]&lt;&gt;H936, P936+Query1[[#This Row],[Enhanced top up]]/Query1[[#This Row],[Adj Close]], P936))</f>
        <v>3406.418237205678</v>
      </c>
      <c r="Q937" s="2">
        <f>IFERROR(AVERAGE(
  IF(ROW()&gt;20, INDEX(G:G, ROW()-20), 0) :
  INDEX(G:G, ROW())
),0)</f>
        <v>324.32716296968005</v>
      </c>
    </row>
    <row r="938" spans="1:17" x14ac:dyDescent="0.4">
      <c r="A938" s="1">
        <v>45190</v>
      </c>
      <c r="B938">
        <v>319.260009765625</v>
      </c>
      <c r="C938">
        <v>325.35000610351563</v>
      </c>
      <c r="D938">
        <v>315</v>
      </c>
      <c r="E938">
        <v>319.52999877929688</v>
      </c>
      <c r="F938">
        <v>35560400</v>
      </c>
      <c r="G938">
        <v>314.78619384765625</v>
      </c>
      <c r="H938" s="2">
        <f>MONTH(Query1[[#This Row],[Date]])</f>
        <v>9</v>
      </c>
      <c r="I938" s="3">
        <f>Query1[[#This Row],[Shares]]*Query1[[#This Row],[Adj Close]]</f>
        <v>1130806.1185239358</v>
      </c>
      <c r="J938" s="3">
        <f>IF(ROW()&lt;3, Dashboard!$E$7, IF(Query1[[#This Row],[Month]]&lt;&gt;H937,J937*(1+Dashboard!$E$4)+Dashboard!$E$5,J937))</f>
        <v>884522.30006083264</v>
      </c>
      <c r="K938">
        <f>IF(ROW()&lt;3, 0,IF(Query1[[#This Row],[Month]]&lt;&gt;H937,IF((J938-I938&gt;0),J938-I938,0),0))</f>
        <v>0</v>
      </c>
      <c r="L938" s="2">
        <f t="shared" si="14"/>
        <v>3592.2989655359538</v>
      </c>
      <c r="M938">
        <f>IF(ROW()&lt;3, 0, IF(Query1[[#This Row],[Month]]&lt;&gt;H937, Dashboard!$J$5,0))</f>
        <v>0</v>
      </c>
      <c r="N938" s="2">
        <f>IF(ROW()&lt;3, Query1[[#This Row],[Shares]], IF(Query1[[#This Row],[Month]]&lt;&gt;H937, N937+Query1[[#This Row],[Fix Top Up]]/Query1[[#This Row],[Adj Close]], N937))</f>
        <v>3414.2969804616141</v>
      </c>
      <c r="O938">
        <f>IF(AND(Query1[[#This Row],[avg]]&gt;0, Query1[[#This Row],[Month]]&lt;&gt;H937),
    IF(Query1[[#This Row],[Adj Close]]&gt;Query1[[#This Row],[avg]],
       Dashboard!$L$5-Dashboard!$E$6,
       Dashboard!$L$5+Dashboard!$E$6
    ), 0
)</f>
        <v>0</v>
      </c>
      <c r="P938" s="2">
        <f>IF(ROW()&lt;3, Query1[[#This Row],[Shares]], IF(Query1[[#This Row],[Month]]&lt;&gt;H937, P937+Query1[[#This Row],[Enhanced top up]]/Query1[[#This Row],[Adj Close]], P937))</f>
        <v>3406.418237205678</v>
      </c>
      <c r="Q938" s="2">
        <f>IFERROR(AVERAGE(
  IF(ROW()&gt;20, INDEX(G:G, ROW()-20), 0) :
  INDEX(G:G, ROW())
),0)</f>
        <v>324.18971179780505</v>
      </c>
    </row>
    <row r="939" spans="1:17" x14ac:dyDescent="0.4">
      <c r="A939" s="1">
        <v>45191</v>
      </c>
      <c r="B939">
        <v>321.32000732421875</v>
      </c>
      <c r="C939">
        <v>321.45001220703125</v>
      </c>
      <c r="D939">
        <v>316.14999389648438</v>
      </c>
      <c r="E939">
        <v>317.010009765625</v>
      </c>
      <c r="F939">
        <v>21447900</v>
      </c>
      <c r="G939">
        <v>312.30361938476563</v>
      </c>
      <c r="H939" s="2">
        <f>MONTH(Query1[[#This Row],[Date]])</f>
        <v>9</v>
      </c>
      <c r="I939" s="3">
        <f>Query1[[#This Row],[Shares]]*Query1[[#This Row],[Adj Close]]</f>
        <v>1121887.9688490278</v>
      </c>
      <c r="J939" s="3">
        <f>IF(ROW()&lt;3, Dashboard!$E$7, IF(Query1[[#This Row],[Month]]&lt;&gt;H938,J938*(1+Dashboard!$E$4)+Dashboard!$E$5,J938))</f>
        <v>884522.30006083264</v>
      </c>
      <c r="K939">
        <f>IF(ROW()&lt;3, 0,IF(Query1[[#This Row],[Month]]&lt;&gt;H938,IF((J939-I939&gt;0),J939-I939,0),0))</f>
        <v>0</v>
      </c>
      <c r="L939" s="2">
        <f t="shared" si="14"/>
        <v>3592.2989655359538</v>
      </c>
      <c r="M939">
        <f>IF(ROW()&lt;3, 0, IF(Query1[[#This Row],[Month]]&lt;&gt;H938, Dashboard!$J$5,0))</f>
        <v>0</v>
      </c>
      <c r="N939" s="2">
        <f>IF(ROW()&lt;3, Query1[[#This Row],[Shares]], IF(Query1[[#This Row],[Month]]&lt;&gt;H938, N938+Query1[[#This Row],[Fix Top Up]]/Query1[[#This Row],[Adj Close]], N938))</f>
        <v>3414.2969804616141</v>
      </c>
      <c r="O939">
        <f>IF(AND(Query1[[#This Row],[avg]]&gt;0, Query1[[#This Row],[Month]]&lt;&gt;H938),
    IF(Query1[[#This Row],[Adj Close]]&gt;Query1[[#This Row],[avg]],
       Dashboard!$L$5-Dashboard!$E$6,
       Dashboard!$L$5+Dashboard!$E$6
    ), 0
)</f>
        <v>0</v>
      </c>
      <c r="P939" s="2">
        <f>IF(ROW()&lt;3, Query1[[#This Row],[Shares]], IF(Query1[[#This Row],[Month]]&lt;&gt;H938, P938+Query1[[#This Row],[Enhanced top up]]/Query1[[#This Row],[Adj Close]], P938))</f>
        <v>3406.418237205678</v>
      </c>
      <c r="Q939" s="2">
        <f>IFERROR(AVERAGE(
  IF(ROW()&gt;20, INDEX(G:G, ROW()-20), 0) :
  INDEX(G:G, ROW())
),0)</f>
        <v>323.72106061662947</v>
      </c>
    </row>
    <row r="940" spans="1:17" x14ac:dyDescent="0.4">
      <c r="A940" s="1">
        <v>45194</v>
      </c>
      <c r="B940">
        <v>316.58999633789063</v>
      </c>
      <c r="C940">
        <v>317.67001342773438</v>
      </c>
      <c r="D940">
        <v>315</v>
      </c>
      <c r="E940">
        <v>317.54000854492188</v>
      </c>
      <c r="F940">
        <v>17836000</v>
      </c>
      <c r="G940">
        <v>312.82574462890625</v>
      </c>
      <c r="H940" s="2">
        <f>MONTH(Query1[[#This Row],[Date]])</f>
        <v>9</v>
      </c>
      <c r="I940" s="3">
        <f>Query1[[#This Row],[Shares]]*Query1[[#This Row],[Adj Close]]</f>
        <v>1123763.5988234344</v>
      </c>
      <c r="J940" s="3">
        <f>IF(ROW()&lt;3, Dashboard!$E$7, IF(Query1[[#This Row],[Month]]&lt;&gt;H939,J939*(1+Dashboard!$E$4)+Dashboard!$E$5,J939))</f>
        <v>884522.30006083264</v>
      </c>
      <c r="K940">
        <f>IF(ROW()&lt;3, 0,IF(Query1[[#This Row],[Month]]&lt;&gt;H939,IF((J940-I940&gt;0),J940-I940,0),0))</f>
        <v>0</v>
      </c>
      <c r="L940" s="2">
        <f t="shared" si="14"/>
        <v>3592.2989655359538</v>
      </c>
      <c r="M940">
        <f>IF(ROW()&lt;3, 0, IF(Query1[[#This Row],[Month]]&lt;&gt;H939, Dashboard!$J$5,0))</f>
        <v>0</v>
      </c>
      <c r="N940" s="2">
        <f>IF(ROW()&lt;3, Query1[[#This Row],[Shares]], IF(Query1[[#This Row],[Month]]&lt;&gt;H939, N939+Query1[[#This Row],[Fix Top Up]]/Query1[[#This Row],[Adj Close]], N939))</f>
        <v>3414.2969804616141</v>
      </c>
      <c r="O940">
        <f>IF(AND(Query1[[#This Row],[avg]]&gt;0, Query1[[#This Row],[Month]]&lt;&gt;H939),
    IF(Query1[[#This Row],[Adj Close]]&gt;Query1[[#This Row],[avg]],
       Dashboard!$L$5-Dashboard!$E$6,
       Dashboard!$L$5+Dashboard!$E$6
    ), 0
)</f>
        <v>0</v>
      </c>
      <c r="P940" s="2">
        <f>IF(ROW()&lt;3, Query1[[#This Row],[Shares]], IF(Query1[[#This Row],[Month]]&lt;&gt;H939, P939+Query1[[#This Row],[Enhanced top up]]/Query1[[#This Row],[Adj Close]], P939))</f>
        <v>3406.418237205678</v>
      </c>
      <c r="Q940" s="2">
        <f>IFERROR(AVERAGE(
  IF(ROW()&gt;20, INDEX(G:G, ROW()-20), 0) :
  INDEX(G:G, ROW())
),0)</f>
        <v>323.60706438337053</v>
      </c>
    </row>
    <row r="941" spans="1:17" x14ac:dyDescent="0.4">
      <c r="A941" s="1">
        <v>45195</v>
      </c>
      <c r="B941">
        <v>315.1300048828125</v>
      </c>
      <c r="C941">
        <v>315.8800048828125</v>
      </c>
      <c r="D941">
        <v>310.01998901367188</v>
      </c>
      <c r="E941">
        <v>312.1400146484375</v>
      </c>
      <c r="F941">
        <v>26297600</v>
      </c>
      <c r="G941">
        <v>307.50592041015625</v>
      </c>
      <c r="H941" s="2">
        <f>MONTH(Query1[[#This Row],[Date]])</f>
        <v>9</v>
      </c>
      <c r="I941" s="3">
        <f>Query1[[#This Row],[Shares]]*Query1[[#This Row],[Adj Close]]</f>
        <v>1104653.1997855857</v>
      </c>
      <c r="J941" s="3">
        <f>IF(ROW()&lt;3, Dashboard!$E$7, IF(Query1[[#This Row],[Month]]&lt;&gt;H940,J940*(1+Dashboard!$E$4)+Dashboard!$E$5,J940))</f>
        <v>884522.30006083264</v>
      </c>
      <c r="K941">
        <f>IF(ROW()&lt;3, 0,IF(Query1[[#This Row],[Month]]&lt;&gt;H940,IF((J941-I941&gt;0),J941-I941,0),0))</f>
        <v>0</v>
      </c>
      <c r="L941" s="2">
        <f t="shared" si="14"/>
        <v>3592.2989655359538</v>
      </c>
      <c r="M941">
        <f>IF(ROW()&lt;3, 0, IF(Query1[[#This Row],[Month]]&lt;&gt;H940, Dashboard!$J$5,0))</f>
        <v>0</v>
      </c>
      <c r="N941" s="2">
        <f>IF(ROW()&lt;3, Query1[[#This Row],[Shares]], IF(Query1[[#This Row],[Month]]&lt;&gt;H940, N940+Query1[[#This Row],[Fix Top Up]]/Query1[[#This Row],[Adj Close]], N940))</f>
        <v>3414.2969804616141</v>
      </c>
      <c r="O941">
        <f>IF(AND(Query1[[#This Row],[avg]]&gt;0, Query1[[#This Row],[Month]]&lt;&gt;H940),
    IF(Query1[[#This Row],[Adj Close]]&gt;Query1[[#This Row],[avg]],
       Dashboard!$L$5-Dashboard!$E$6,
       Dashboard!$L$5+Dashboard!$E$6
    ), 0
)</f>
        <v>0</v>
      </c>
      <c r="P941" s="2">
        <f>IF(ROW()&lt;3, Query1[[#This Row],[Shares]], IF(Query1[[#This Row],[Month]]&lt;&gt;H940, P940+Query1[[#This Row],[Enhanced top up]]/Query1[[#This Row],[Adj Close]], P940))</f>
        <v>3406.418237205678</v>
      </c>
      <c r="Q941" s="2">
        <f>IFERROR(AVERAGE(
  IF(ROW()&gt;20, INDEX(G:G, ROW()-20), 0) :
  INDEX(G:G, ROW())
),0)</f>
        <v>323.09853835332962</v>
      </c>
    </row>
    <row r="942" spans="1:17" x14ac:dyDescent="0.4">
      <c r="A942" s="1">
        <v>45196</v>
      </c>
      <c r="B942">
        <v>312.29998779296875</v>
      </c>
      <c r="C942">
        <v>314.29998779296875</v>
      </c>
      <c r="D942">
        <v>309.69000244140625</v>
      </c>
      <c r="E942">
        <v>312.79000854492188</v>
      </c>
      <c r="F942">
        <v>19410100</v>
      </c>
      <c r="G942">
        <v>308.146240234375</v>
      </c>
      <c r="H942" s="2">
        <f>MONTH(Query1[[#This Row],[Date]])</f>
        <v>9</v>
      </c>
      <c r="I942" s="3">
        <f>Query1[[#This Row],[Shares]]*Query1[[#This Row],[Adj Close]]</f>
        <v>1106953.4200277389</v>
      </c>
      <c r="J942" s="3">
        <f>IF(ROW()&lt;3, Dashboard!$E$7, IF(Query1[[#This Row],[Month]]&lt;&gt;H941,J941*(1+Dashboard!$E$4)+Dashboard!$E$5,J941))</f>
        <v>884522.30006083264</v>
      </c>
      <c r="K942">
        <f>IF(ROW()&lt;3, 0,IF(Query1[[#This Row],[Month]]&lt;&gt;H941,IF((J942-I942&gt;0),J942-I942,0),0))</f>
        <v>0</v>
      </c>
      <c r="L942" s="2">
        <f t="shared" si="14"/>
        <v>3592.2989655359538</v>
      </c>
      <c r="M942">
        <f>IF(ROW()&lt;3, 0, IF(Query1[[#This Row],[Month]]&lt;&gt;H941, Dashboard!$J$5,0))</f>
        <v>0</v>
      </c>
      <c r="N942" s="2">
        <f>IF(ROW()&lt;3, Query1[[#This Row],[Shares]], IF(Query1[[#This Row],[Month]]&lt;&gt;H941, N941+Query1[[#This Row],[Fix Top Up]]/Query1[[#This Row],[Adj Close]], N941))</f>
        <v>3414.2969804616141</v>
      </c>
      <c r="O942">
        <f>IF(AND(Query1[[#This Row],[avg]]&gt;0, Query1[[#This Row],[Month]]&lt;&gt;H941),
    IF(Query1[[#This Row],[Adj Close]]&gt;Query1[[#This Row],[avg]],
       Dashboard!$L$5-Dashboard!$E$6,
       Dashboard!$L$5+Dashboard!$E$6
    ), 0
)</f>
        <v>0</v>
      </c>
      <c r="P942" s="2">
        <f>IF(ROW()&lt;3, Query1[[#This Row],[Shares]], IF(Query1[[#This Row],[Month]]&lt;&gt;H941, P941+Query1[[#This Row],[Enhanced top up]]/Query1[[#This Row],[Adj Close]], P941))</f>
        <v>3406.418237205678</v>
      </c>
      <c r="Q942" s="2">
        <f>IFERROR(AVERAGE(
  IF(ROW()&gt;20, INDEX(G:G, ROW()-20), 0) :
  INDEX(G:G, ROW())
),0)</f>
        <v>322.58672659737721</v>
      </c>
    </row>
    <row r="943" spans="1:17" x14ac:dyDescent="0.4">
      <c r="A943" s="1">
        <v>45197</v>
      </c>
      <c r="B943">
        <v>310.989990234375</v>
      </c>
      <c r="C943">
        <v>315.48001098632813</v>
      </c>
      <c r="D943">
        <v>309.45001220703125</v>
      </c>
      <c r="E943">
        <v>313.6400146484375</v>
      </c>
      <c r="F943">
        <v>19683600</v>
      </c>
      <c r="G943">
        <v>308.983642578125</v>
      </c>
      <c r="H943" s="2">
        <f>MONTH(Query1[[#This Row],[Date]])</f>
        <v>9</v>
      </c>
      <c r="I943" s="3">
        <f>Query1[[#This Row],[Shares]]*Query1[[#This Row],[Adj Close]]</f>
        <v>1109961.6196009293</v>
      </c>
      <c r="J943" s="3">
        <f>IF(ROW()&lt;3, Dashboard!$E$7, IF(Query1[[#This Row],[Month]]&lt;&gt;H942,J942*(1+Dashboard!$E$4)+Dashboard!$E$5,J942))</f>
        <v>884522.30006083264</v>
      </c>
      <c r="K943">
        <f>IF(ROW()&lt;3, 0,IF(Query1[[#This Row],[Month]]&lt;&gt;H942,IF((J943-I943&gt;0),J943-I943,0),0))</f>
        <v>0</v>
      </c>
      <c r="L943" s="2">
        <f t="shared" si="14"/>
        <v>3592.2989655359538</v>
      </c>
      <c r="M943">
        <f>IF(ROW()&lt;3, 0, IF(Query1[[#This Row],[Month]]&lt;&gt;H942, Dashboard!$J$5,0))</f>
        <v>0</v>
      </c>
      <c r="N943" s="2">
        <f>IF(ROW()&lt;3, Query1[[#This Row],[Shares]], IF(Query1[[#This Row],[Month]]&lt;&gt;H942, N942+Query1[[#This Row],[Fix Top Up]]/Query1[[#This Row],[Adj Close]], N942))</f>
        <v>3414.2969804616141</v>
      </c>
      <c r="O943">
        <f>IF(AND(Query1[[#This Row],[avg]]&gt;0, Query1[[#This Row],[Month]]&lt;&gt;H942),
    IF(Query1[[#This Row],[Adj Close]]&gt;Query1[[#This Row],[avg]],
       Dashboard!$L$5-Dashboard!$E$6,
       Dashboard!$L$5+Dashboard!$E$6
    ), 0
)</f>
        <v>0</v>
      </c>
      <c r="P943" s="2">
        <f>IF(ROW()&lt;3, Query1[[#This Row],[Shares]], IF(Query1[[#This Row],[Month]]&lt;&gt;H942, P942+Query1[[#This Row],[Enhanced top up]]/Query1[[#This Row],[Adj Close]], P942))</f>
        <v>3406.418237205678</v>
      </c>
      <c r="Q943" s="2">
        <f>IFERROR(AVERAGE(
  IF(ROW()&gt;20, INDEX(G:G, ROW()-20), 0) :
  INDEX(G:G, ROW())
),0)</f>
        <v>321.89383515857514</v>
      </c>
    </row>
    <row r="944" spans="1:17" x14ac:dyDescent="0.4">
      <c r="A944" s="1">
        <v>45198</v>
      </c>
      <c r="B944">
        <v>317.75</v>
      </c>
      <c r="C944">
        <v>319.47000122070313</v>
      </c>
      <c r="D944">
        <v>314.98001098632813</v>
      </c>
      <c r="E944">
        <v>315.75</v>
      </c>
      <c r="F944">
        <v>24147300</v>
      </c>
      <c r="G944">
        <v>311.06234741210938</v>
      </c>
      <c r="H944" s="2">
        <f>MONTH(Query1[[#This Row],[Date]])</f>
        <v>9</v>
      </c>
      <c r="I944" s="3">
        <f>Query1[[#This Row],[Shares]]*Query1[[#This Row],[Adj Close]]</f>
        <v>1117428.948825706</v>
      </c>
      <c r="J944" s="3">
        <f>IF(ROW()&lt;3, Dashboard!$E$7, IF(Query1[[#This Row],[Month]]&lt;&gt;H943,J943*(1+Dashboard!$E$4)+Dashboard!$E$5,J943))</f>
        <v>884522.30006083264</v>
      </c>
      <c r="K944">
        <f>IF(ROW()&lt;3, 0,IF(Query1[[#This Row],[Month]]&lt;&gt;H943,IF((J944-I944&gt;0),J944-I944,0),0))</f>
        <v>0</v>
      </c>
      <c r="L944" s="2">
        <f t="shared" si="14"/>
        <v>3592.2989655359538</v>
      </c>
      <c r="M944">
        <f>IF(ROW()&lt;3, 0, IF(Query1[[#This Row],[Month]]&lt;&gt;H943, Dashboard!$J$5,0))</f>
        <v>0</v>
      </c>
      <c r="N944" s="2">
        <f>IF(ROW()&lt;3, Query1[[#This Row],[Shares]], IF(Query1[[#This Row],[Month]]&lt;&gt;H943, N943+Query1[[#This Row],[Fix Top Up]]/Query1[[#This Row],[Adj Close]], N943))</f>
        <v>3414.2969804616141</v>
      </c>
      <c r="O944">
        <f>IF(AND(Query1[[#This Row],[avg]]&gt;0, Query1[[#This Row],[Month]]&lt;&gt;H943),
    IF(Query1[[#This Row],[Adj Close]]&gt;Query1[[#This Row],[avg]],
       Dashboard!$L$5-Dashboard!$E$6,
       Dashboard!$L$5+Dashboard!$E$6
    ), 0
)</f>
        <v>0</v>
      </c>
      <c r="P944" s="2">
        <f>IF(ROW()&lt;3, Query1[[#This Row],[Shares]], IF(Query1[[#This Row],[Month]]&lt;&gt;H943, P943+Query1[[#This Row],[Enhanced top up]]/Query1[[#This Row],[Adj Close]], P943))</f>
        <v>3406.418237205678</v>
      </c>
      <c r="Q944" s="2">
        <f>IFERROR(AVERAGE(
  IF(ROW()&gt;20, INDEX(G:G, ROW()-20), 0) :
  INDEX(G:G, ROW())
),0)</f>
        <v>321.2821044921875</v>
      </c>
    </row>
    <row r="945" spans="1:17" x14ac:dyDescent="0.4">
      <c r="A945" s="1">
        <v>45201</v>
      </c>
      <c r="B945">
        <v>316.27999877929688</v>
      </c>
      <c r="C945">
        <v>321.8900146484375</v>
      </c>
      <c r="D945">
        <v>315.17999267578125</v>
      </c>
      <c r="E945">
        <v>321.79998779296875</v>
      </c>
      <c r="F945">
        <v>20570000</v>
      </c>
      <c r="G945">
        <v>317.0224609375</v>
      </c>
      <c r="H945" s="2">
        <f>MONTH(Query1[[#This Row],[Date]])</f>
        <v>10</v>
      </c>
      <c r="I945" s="3">
        <f>Query1[[#This Row],[Shares]]*Query1[[#This Row],[Adj Close]]</f>
        <v>1138839.4584774435</v>
      </c>
      <c r="J945" s="3">
        <f>IF(ROW()&lt;3, Dashboard!$E$7, IF(Query1[[#This Row],[Month]]&lt;&gt;H944,J944*(1+Dashboard!$E$4)+Dashboard!$E$5,J944))</f>
        <v>895367.52306144102</v>
      </c>
      <c r="K945">
        <f>IF(ROW()&lt;3, 0,IF(Query1[[#This Row],[Month]]&lt;&gt;H944,IF((J945-I945&gt;0),J945-I945,0),0))</f>
        <v>0</v>
      </c>
      <c r="L945" s="2">
        <f t="shared" si="14"/>
        <v>3592.2989655359538</v>
      </c>
      <c r="M945">
        <f>IF(ROW()&lt;3, 0, IF(Query1[[#This Row],[Month]]&lt;&gt;H944, Dashboard!$J$5,0))</f>
        <v>773.47399999999971</v>
      </c>
      <c r="N945" s="2">
        <f>IF(ROW()&lt;3, Query1[[#This Row],[Shares]], IF(Query1[[#This Row],[Month]]&lt;&gt;H944, N944+Query1[[#This Row],[Fix Top Up]]/Query1[[#This Row],[Adj Close]], N944))</f>
        <v>3416.7367886623097</v>
      </c>
      <c r="O945">
        <f>IF(AND(Query1[[#This Row],[avg]]&gt;0, Query1[[#This Row],[Month]]&lt;&gt;H944),
    IF(Query1[[#This Row],[Adj Close]]&gt;Query1[[#This Row],[avg]],
       Dashboard!$L$5-Dashboard!$E$6,
       Dashboard!$L$5+Dashboard!$E$6
    ), 0
)</f>
        <v>1390.1406666666667</v>
      </c>
      <c r="P945" s="2">
        <f>IF(ROW()&lt;3, Query1[[#This Row],[Shares]], IF(Query1[[#This Row],[Month]]&lt;&gt;H944, P944+Query1[[#This Row],[Enhanced top up]]/Query1[[#This Row],[Adj Close]], P944))</f>
        <v>3410.8032282960748</v>
      </c>
      <c r="Q945" s="2">
        <f>IFERROR(AVERAGE(
  IF(ROW()&gt;20, INDEX(G:G, ROW()-20), 0) :
  INDEX(G:G, ROW())
),0)</f>
        <v>321.00250680106029</v>
      </c>
    </row>
    <row r="946" spans="1:17" x14ac:dyDescent="0.4">
      <c r="A946" s="1">
        <v>45202</v>
      </c>
      <c r="B946">
        <v>320.82998657226563</v>
      </c>
      <c r="C946">
        <v>321.3900146484375</v>
      </c>
      <c r="D946">
        <v>311.20999145507813</v>
      </c>
      <c r="E946">
        <v>313.3900146484375</v>
      </c>
      <c r="F946">
        <v>21033500</v>
      </c>
      <c r="G946">
        <v>308.73736572265625</v>
      </c>
      <c r="H946" s="2">
        <f>MONTH(Query1[[#This Row],[Date]])</f>
        <v>10</v>
      </c>
      <c r="I946" s="3">
        <f>Query1[[#This Row],[Shares]]*Query1[[#This Row],[Adj Close]]</f>
        <v>1109076.9195077934</v>
      </c>
      <c r="J946" s="3">
        <f>IF(ROW()&lt;3, Dashboard!$E$7, IF(Query1[[#This Row],[Month]]&lt;&gt;H945,J945*(1+Dashboard!$E$4)+Dashboard!$E$5,J945))</f>
        <v>895367.52306144102</v>
      </c>
      <c r="K946">
        <f>IF(ROW()&lt;3, 0,IF(Query1[[#This Row],[Month]]&lt;&gt;H945,IF((J946-I946&gt;0),J946-I946,0),0))</f>
        <v>0</v>
      </c>
      <c r="L946" s="2">
        <f t="shared" si="14"/>
        <v>3592.2989655359538</v>
      </c>
      <c r="M946">
        <f>IF(ROW()&lt;3, 0, IF(Query1[[#This Row],[Month]]&lt;&gt;H945, Dashboard!$J$5,0))</f>
        <v>0</v>
      </c>
      <c r="N946" s="2">
        <f>IF(ROW()&lt;3, Query1[[#This Row],[Shares]], IF(Query1[[#This Row],[Month]]&lt;&gt;H945, N945+Query1[[#This Row],[Fix Top Up]]/Query1[[#This Row],[Adj Close]], N945))</f>
        <v>3416.7367886623097</v>
      </c>
      <c r="O946">
        <f>IF(AND(Query1[[#This Row],[avg]]&gt;0, Query1[[#This Row],[Month]]&lt;&gt;H945),
    IF(Query1[[#This Row],[Adj Close]]&gt;Query1[[#This Row],[avg]],
       Dashboard!$L$5-Dashboard!$E$6,
       Dashboard!$L$5+Dashboard!$E$6
    ), 0
)</f>
        <v>0</v>
      </c>
      <c r="P946" s="2">
        <f>IF(ROW()&lt;3, Query1[[#This Row],[Shares]], IF(Query1[[#This Row],[Month]]&lt;&gt;H945, P945+Query1[[#This Row],[Enhanced top up]]/Query1[[#This Row],[Adj Close]], P945))</f>
        <v>3410.8032282960748</v>
      </c>
      <c r="Q946" s="2">
        <f>IFERROR(AVERAGE(
  IF(ROW()&gt;20, INDEX(G:G, ROW()-20), 0) :
  INDEX(G:G, ROW())
),0)</f>
        <v>320.28615751720611</v>
      </c>
    </row>
    <row r="947" spans="1:17" x14ac:dyDescent="0.4">
      <c r="A947" s="1">
        <v>45203</v>
      </c>
      <c r="B947">
        <v>314.02999877929688</v>
      </c>
      <c r="C947">
        <v>320.04000854492188</v>
      </c>
      <c r="D947">
        <v>314</v>
      </c>
      <c r="E947">
        <v>318.95999145507813</v>
      </c>
      <c r="F947">
        <v>20720100</v>
      </c>
      <c r="G947">
        <v>314.22470092773438</v>
      </c>
      <c r="H947" s="2">
        <f>MONTH(Query1[[#This Row],[Date]])</f>
        <v>10</v>
      </c>
      <c r="I947" s="3">
        <f>Query1[[#This Row],[Shares]]*Query1[[#This Row],[Adj Close]]</f>
        <v>1128789.0680885448</v>
      </c>
      <c r="J947" s="3">
        <f>IF(ROW()&lt;3, Dashboard!$E$7, IF(Query1[[#This Row],[Month]]&lt;&gt;H946,J946*(1+Dashboard!$E$4)+Dashboard!$E$5,J946))</f>
        <v>895367.52306144102</v>
      </c>
      <c r="K947">
        <f>IF(ROW()&lt;3, 0,IF(Query1[[#This Row],[Month]]&lt;&gt;H946,IF((J947-I947&gt;0),J947-I947,0),0))</f>
        <v>0</v>
      </c>
      <c r="L947" s="2">
        <f t="shared" si="14"/>
        <v>3592.2989655359538</v>
      </c>
      <c r="M947">
        <f>IF(ROW()&lt;3, 0, IF(Query1[[#This Row],[Month]]&lt;&gt;H946, Dashboard!$J$5,0))</f>
        <v>0</v>
      </c>
      <c r="N947" s="2">
        <f>IF(ROW()&lt;3, Query1[[#This Row],[Shares]], IF(Query1[[#This Row],[Month]]&lt;&gt;H946, N946+Query1[[#This Row],[Fix Top Up]]/Query1[[#This Row],[Adj Close]], N946))</f>
        <v>3416.7367886623097</v>
      </c>
      <c r="O947">
        <f>IF(AND(Query1[[#This Row],[avg]]&gt;0, Query1[[#This Row],[Month]]&lt;&gt;H946),
    IF(Query1[[#This Row],[Adj Close]]&gt;Query1[[#This Row],[avg]],
       Dashboard!$L$5-Dashboard!$E$6,
       Dashboard!$L$5+Dashboard!$E$6
    ), 0
)</f>
        <v>0</v>
      </c>
      <c r="P947" s="2">
        <f>IF(ROW()&lt;3, Query1[[#This Row],[Shares]], IF(Query1[[#This Row],[Month]]&lt;&gt;H946, P946+Query1[[#This Row],[Enhanced top up]]/Query1[[#This Row],[Adj Close]], P946))</f>
        <v>3410.8032282960748</v>
      </c>
      <c r="Q947" s="2">
        <f>IFERROR(AVERAGE(
  IF(ROW()&gt;20, INDEX(G:G, ROW()-20), 0) :
  INDEX(G:G, ROW())
),0)</f>
        <v>319.60171508789063</v>
      </c>
    </row>
    <row r="948" spans="1:17" x14ac:dyDescent="0.4">
      <c r="A948" s="1">
        <v>45204</v>
      </c>
      <c r="B948">
        <v>319.08999633789063</v>
      </c>
      <c r="C948">
        <v>319.98001098632813</v>
      </c>
      <c r="D948">
        <v>314.89999389648438</v>
      </c>
      <c r="E948">
        <v>319.3599853515625</v>
      </c>
      <c r="F948">
        <v>16965600</v>
      </c>
      <c r="G948">
        <v>314.61871337890625</v>
      </c>
      <c r="H948" s="2">
        <f>MONTH(Query1[[#This Row],[Date]])</f>
        <v>10</v>
      </c>
      <c r="I948" s="3">
        <f>Query1[[#This Row],[Shares]]*Query1[[#This Row],[Adj Close]]</f>
        <v>1130204.4786092977</v>
      </c>
      <c r="J948" s="3">
        <f>IF(ROW()&lt;3, Dashboard!$E$7, IF(Query1[[#This Row],[Month]]&lt;&gt;H947,J947*(1+Dashboard!$E$4)+Dashboard!$E$5,J947))</f>
        <v>895367.52306144102</v>
      </c>
      <c r="K948">
        <f>IF(ROW()&lt;3, 0,IF(Query1[[#This Row],[Month]]&lt;&gt;H947,IF((J948-I948&gt;0),J948-I948,0),0))</f>
        <v>0</v>
      </c>
      <c r="L948" s="2">
        <f t="shared" si="14"/>
        <v>3592.2989655359538</v>
      </c>
      <c r="M948">
        <f>IF(ROW()&lt;3, 0, IF(Query1[[#This Row],[Month]]&lt;&gt;H947, Dashboard!$J$5,0))</f>
        <v>0</v>
      </c>
      <c r="N948" s="2">
        <f>IF(ROW()&lt;3, Query1[[#This Row],[Shares]], IF(Query1[[#This Row],[Month]]&lt;&gt;H947, N947+Query1[[#This Row],[Fix Top Up]]/Query1[[#This Row],[Adj Close]], N947))</f>
        <v>3416.7367886623097</v>
      </c>
      <c r="O948">
        <f>IF(AND(Query1[[#This Row],[avg]]&gt;0, Query1[[#This Row],[Month]]&lt;&gt;H947),
    IF(Query1[[#This Row],[Adj Close]]&gt;Query1[[#This Row],[avg]],
       Dashboard!$L$5-Dashboard!$E$6,
       Dashboard!$L$5+Dashboard!$E$6
    ), 0
)</f>
        <v>0</v>
      </c>
      <c r="P948" s="2">
        <f>IF(ROW()&lt;3, Query1[[#This Row],[Shares]], IF(Query1[[#This Row],[Month]]&lt;&gt;H947, P947+Query1[[#This Row],[Enhanced top up]]/Query1[[#This Row],[Adj Close]], P947))</f>
        <v>3410.8032282960748</v>
      </c>
      <c r="Q948" s="2">
        <f>IFERROR(AVERAGE(
  IF(ROW()&gt;20, INDEX(G:G, ROW()-20), 0) :
  INDEX(G:G, ROW())
),0)</f>
        <v>318.96746244884673</v>
      </c>
    </row>
    <row r="949" spans="1:17" x14ac:dyDescent="0.4">
      <c r="A949" s="1">
        <v>45205</v>
      </c>
      <c r="B949">
        <v>316.54998779296875</v>
      </c>
      <c r="C949">
        <v>329.19000244140625</v>
      </c>
      <c r="D949">
        <v>316.29998779296875</v>
      </c>
      <c r="E949">
        <v>327.260009765625</v>
      </c>
      <c r="F949">
        <v>25673600</v>
      </c>
      <c r="G949">
        <v>322.40139770507813</v>
      </c>
      <c r="H949" s="2">
        <f>MONTH(Query1[[#This Row],[Date]])</f>
        <v>10</v>
      </c>
      <c r="I949" s="3">
        <f>Query1[[#This Row],[Shares]]*Query1[[#This Row],[Adj Close]]</f>
        <v>1158162.2074632978</v>
      </c>
      <c r="J949" s="3">
        <f>IF(ROW()&lt;3, Dashboard!$E$7, IF(Query1[[#This Row],[Month]]&lt;&gt;H948,J948*(1+Dashboard!$E$4)+Dashboard!$E$5,J948))</f>
        <v>895367.52306144102</v>
      </c>
      <c r="K949">
        <f>IF(ROW()&lt;3, 0,IF(Query1[[#This Row],[Month]]&lt;&gt;H948,IF((J949-I949&gt;0),J949-I949,0),0))</f>
        <v>0</v>
      </c>
      <c r="L949" s="2">
        <f t="shared" si="14"/>
        <v>3592.2989655359538</v>
      </c>
      <c r="M949">
        <f>IF(ROW()&lt;3, 0, IF(Query1[[#This Row],[Month]]&lt;&gt;H948, Dashboard!$J$5,0))</f>
        <v>0</v>
      </c>
      <c r="N949" s="2">
        <f>IF(ROW()&lt;3, Query1[[#This Row],[Shares]], IF(Query1[[#This Row],[Month]]&lt;&gt;H948, N948+Query1[[#This Row],[Fix Top Up]]/Query1[[#This Row],[Adj Close]], N948))</f>
        <v>3416.7367886623097</v>
      </c>
      <c r="O949">
        <f>IF(AND(Query1[[#This Row],[avg]]&gt;0, Query1[[#This Row],[Month]]&lt;&gt;H948),
    IF(Query1[[#This Row],[Adj Close]]&gt;Query1[[#This Row],[avg]],
       Dashboard!$L$5-Dashboard!$E$6,
       Dashboard!$L$5+Dashboard!$E$6
    ), 0
)</f>
        <v>0</v>
      </c>
      <c r="P949" s="2">
        <f>IF(ROW()&lt;3, Query1[[#This Row],[Shares]], IF(Query1[[#This Row],[Month]]&lt;&gt;H948, P948+Query1[[#This Row],[Enhanced top up]]/Query1[[#This Row],[Adj Close]], P948))</f>
        <v>3410.8032282960748</v>
      </c>
      <c r="Q949" s="2">
        <f>IFERROR(AVERAGE(
  IF(ROW()&gt;20, INDEX(G:G, ROW()-20), 0) :
  INDEX(G:G, ROW())
),0)</f>
        <v>318.84314546130952</v>
      </c>
    </row>
    <row r="950" spans="1:17" x14ac:dyDescent="0.4">
      <c r="A950" s="1">
        <v>45208</v>
      </c>
      <c r="B950">
        <v>324.75</v>
      </c>
      <c r="C950">
        <v>330.29998779296875</v>
      </c>
      <c r="D950">
        <v>323.17999267578125</v>
      </c>
      <c r="E950">
        <v>329.82000732421875</v>
      </c>
      <c r="F950">
        <v>19891200</v>
      </c>
      <c r="G950">
        <v>324.92340087890625</v>
      </c>
      <c r="H950" s="2">
        <f>MONTH(Query1[[#This Row],[Date]])</f>
        <v>10</v>
      </c>
      <c r="I950" s="3">
        <f>Query1[[#This Row],[Shares]]*Query1[[#This Row],[Adj Close]]</f>
        <v>1167221.996855719</v>
      </c>
      <c r="J950" s="3">
        <f>IF(ROW()&lt;3, Dashboard!$E$7, IF(Query1[[#This Row],[Month]]&lt;&gt;H949,J949*(1+Dashboard!$E$4)+Dashboard!$E$5,J949))</f>
        <v>895367.52306144102</v>
      </c>
      <c r="K950">
        <f>IF(ROW()&lt;3, 0,IF(Query1[[#This Row],[Month]]&lt;&gt;H949,IF((J950-I950&gt;0),J950-I950,0),0))</f>
        <v>0</v>
      </c>
      <c r="L950" s="2">
        <f t="shared" si="14"/>
        <v>3592.2989655359538</v>
      </c>
      <c r="M950">
        <f>IF(ROW()&lt;3, 0, IF(Query1[[#This Row],[Month]]&lt;&gt;H949, Dashboard!$J$5,0))</f>
        <v>0</v>
      </c>
      <c r="N950" s="2">
        <f>IF(ROW()&lt;3, Query1[[#This Row],[Shares]], IF(Query1[[#This Row],[Month]]&lt;&gt;H949, N949+Query1[[#This Row],[Fix Top Up]]/Query1[[#This Row],[Adj Close]], N949))</f>
        <v>3416.7367886623097</v>
      </c>
      <c r="O950">
        <f>IF(AND(Query1[[#This Row],[avg]]&gt;0, Query1[[#This Row],[Month]]&lt;&gt;H949),
    IF(Query1[[#This Row],[Adj Close]]&gt;Query1[[#This Row],[avg]],
       Dashboard!$L$5-Dashboard!$E$6,
       Dashboard!$L$5+Dashboard!$E$6
    ), 0
)</f>
        <v>0</v>
      </c>
      <c r="P950" s="2">
        <f>IF(ROW()&lt;3, Query1[[#This Row],[Shares]], IF(Query1[[#This Row],[Month]]&lt;&gt;H949, P949+Query1[[#This Row],[Enhanced top up]]/Query1[[#This Row],[Adj Close]], P949))</f>
        <v>3410.8032282960748</v>
      </c>
      <c r="Q950" s="2">
        <f>IFERROR(AVERAGE(
  IF(ROW()&gt;20, INDEX(G:G, ROW()-20), 0) :
  INDEX(G:G, ROW())
),0)</f>
        <v>318.63438778831846</v>
      </c>
    </row>
    <row r="951" spans="1:17" x14ac:dyDescent="0.4">
      <c r="A951" s="1">
        <v>45209</v>
      </c>
      <c r="B951">
        <v>330.95999145507813</v>
      </c>
      <c r="C951">
        <v>331.10000610351563</v>
      </c>
      <c r="D951">
        <v>327.67001342773438</v>
      </c>
      <c r="E951">
        <v>328.3900146484375</v>
      </c>
      <c r="F951">
        <v>20557100</v>
      </c>
      <c r="G951">
        <v>323.5146484375</v>
      </c>
      <c r="H951" s="2">
        <f>MONTH(Query1[[#This Row],[Date]])</f>
        <v>10</v>
      </c>
      <c r="I951" s="3">
        <f>Query1[[#This Row],[Shares]]*Query1[[#This Row],[Adj Close]]</f>
        <v>1162161.3369177589</v>
      </c>
      <c r="J951" s="3">
        <f>IF(ROW()&lt;3, Dashboard!$E$7, IF(Query1[[#This Row],[Month]]&lt;&gt;H950,J950*(1+Dashboard!$E$4)+Dashboard!$E$5,J950))</f>
        <v>895367.52306144102</v>
      </c>
      <c r="K951">
        <f>IF(ROW()&lt;3, 0,IF(Query1[[#This Row],[Month]]&lt;&gt;H950,IF((J951-I951&gt;0),J951-I951,0),0))</f>
        <v>0</v>
      </c>
      <c r="L951" s="2">
        <f t="shared" si="14"/>
        <v>3592.2989655359538</v>
      </c>
      <c r="M951">
        <f>IF(ROW()&lt;3, 0, IF(Query1[[#This Row],[Month]]&lt;&gt;H950, Dashboard!$J$5,0))</f>
        <v>0</v>
      </c>
      <c r="N951" s="2">
        <f>IF(ROW()&lt;3, Query1[[#This Row],[Shares]], IF(Query1[[#This Row],[Month]]&lt;&gt;H950, N950+Query1[[#This Row],[Fix Top Up]]/Query1[[#This Row],[Adj Close]], N950))</f>
        <v>3416.7367886623097</v>
      </c>
      <c r="O951">
        <f>IF(AND(Query1[[#This Row],[avg]]&gt;0, Query1[[#This Row],[Month]]&lt;&gt;H950),
    IF(Query1[[#This Row],[Adj Close]]&gt;Query1[[#This Row],[avg]],
       Dashboard!$L$5-Dashboard!$E$6,
       Dashboard!$L$5+Dashboard!$E$6
    ), 0
)</f>
        <v>0</v>
      </c>
      <c r="P951" s="2">
        <f>IF(ROW()&lt;3, Query1[[#This Row],[Shares]], IF(Query1[[#This Row],[Month]]&lt;&gt;H950, P950+Query1[[#This Row],[Enhanced top up]]/Query1[[#This Row],[Adj Close]], P950))</f>
        <v>3410.8032282960748</v>
      </c>
      <c r="Q951" s="2">
        <f>IFERROR(AVERAGE(
  IF(ROW()&gt;20, INDEX(G:G, ROW()-20), 0) :
  INDEX(G:G, ROW())
),0)</f>
        <v>318.18637520926342</v>
      </c>
    </row>
    <row r="952" spans="1:17" x14ac:dyDescent="0.4">
      <c r="A952" s="1">
        <v>45210</v>
      </c>
      <c r="B952">
        <v>331.20999145507813</v>
      </c>
      <c r="C952">
        <v>332.82000732421875</v>
      </c>
      <c r="D952">
        <v>329.1400146484375</v>
      </c>
      <c r="E952">
        <v>332.42001342773438</v>
      </c>
      <c r="F952">
        <v>20063200</v>
      </c>
      <c r="G952">
        <v>327.48483276367188</v>
      </c>
      <c r="H952" s="2">
        <f>MONTH(Query1[[#This Row],[Date]])</f>
        <v>10</v>
      </c>
      <c r="I952" s="3">
        <f>Query1[[#This Row],[Shares]]*Query1[[#This Row],[Adj Close]]</f>
        <v>1176423.4259656533</v>
      </c>
      <c r="J952" s="3">
        <f>IF(ROW()&lt;3, Dashboard!$E$7, IF(Query1[[#This Row],[Month]]&lt;&gt;H951,J951*(1+Dashboard!$E$4)+Dashboard!$E$5,J951))</f>
        <v>895367.52306144102</v>
      </c>
      <c r="K952">
        <f>IF(ROW()&lt;3, 0,IF(Query1[[#This Row],[Month]]&lt;&gt;H951,IF((J952-I952&gt;0),J952-I952,0),0))</f>
        <v>0</v>
      </c>
      <c r="L952" s="2">
        <f t="shared" si="14"/>
        <v>3592.2989655359538</v>
      </c>
      <c r="M952">
        <f>IF(ROW()&lt;3, 0, IF(Query1[[#This Row],[Month]]&lt;&gt;H951, Dashboard!$J$5,0))</f>
        <v>0</v>
      </c>
      <c r="N952" s="2">
        <f>IF(ROW()&lt;3, Query1[[#This Row],[Shares]], IF(Query1[[#This Row],[Month]]&lt;&gt;H951, N951+Query1[[#This Row],[Fix Top Up]]/Query1[[#This Row],[Adj Close]], N951))</f>
        <v>3416.7367886623097</v>
      </c>
      <c r="O952">
        <f>IF(AND(Query1[[#This Row],[avg]]&gt;0, Query1[[#This Row],[Month]]&lt;&gt;H951),
    IF(Query1[[#This Row],[Adj Close]]&gt;Query1[[#This Row],[avg]],
       Dashboard!$L$5-Dashboard!$E$6,
       Dashboard!$L$5+Dashboard!$E$6
    ), 0
)</f>
        <v>0</v>
      </c>
      <c r="P952" s="2">
        <f>IF(ROW()&lt;3, Query1[[#This Row],[Shares]], IF(Query1[[#This Row],[Month]]&lt;&gt;H951, P951+Query1[[#This Row],[Enhanced top up]]/Query1[[#This Row],[Adj Close]], P951))</f>
        <v>3410.8032282960748</v>
      </c>
      <c r="Q952" s="2">
        <f>IFERROR(AVERAGE(
  IF(ROW()&gt;20, INDEX(G:G, ROW()-20), 0) :
  INDEX(G:G, ROW())
),0)</f>
        <v>318.21687098911832</v>
      </c>
    </row>
    <row r="953" spans="1:17" x14ac:dyDescent="0.4">
      <c r="A953" s="1">
        <v>45211</v>
      </c>
      <c r="B953">
        <v>330.57000732421875</v>
      </c>
      <c r="C953">
        <v>333.6300048828125</v>
      </c>
      <c r="D953">
        <v>328.72000122070313</v>
      </c>
      <c r="E953">
        <v>331.16000366210938</v>
      </c>
      <c r="F953">
        <v>19313100</v>
      </c>
      <c r="G953">
        <v>326.2435302734375</v>
      </c>
      <c r="H953" s="2">
        <f>MONTH(Query1[[#This Row],[Date]])</f>
        <v>10</v>
      </c>
      <c r="I953" s="3">
        <f>Query1[[#This Row],[Shares]]*Query1[[#This Row],[Adj Close]]</f>
        <v>1171964.2963140672</v>
      </c>
      <c r="J953" s="3">
        <f>IF(ROW()&lt;3, Dashboard!$E$7, IF(Query1[[#This Row],[Month]]&lt;&gt;H952,J952*(1+Dashboard!$E$4)+Dashboard!$E$5,J952))</f>
        <v>895367.52306144102</v>
      </c>
      <c r="K953">
        <f>IF(ROW()&lt;3, 0,IF(Query1[[#This Row],[Month]]&lt;&gt;H952,IF((J953-I953&gt;0),J953-I953,0),0))</f>
        <v>0</v>
      </c>
      <c r="L953" s="2">
        <f t="shared" si="14"/>
        <v>3592.2989655359538</v>
      </c>
      <c r="M953">
        <f>IF(ROW()&lt;3, 0, IF(Query1[[#This Row],[Month]]&lt;&gt;H952, Dashboard!$J$5,0))</f>
        <v>0</v>
      </c>
      <c r="N953" s="2">
        <f>IF(ROW()&lt;3, Query1[[#This Row],[Shares]], IF(Query1[[#This Row],[Month]]&lt;&gt;H952, N952+Query1[[#This Row],[Fix Top Up]]/Query1[[#This Row],[Adj Close]], N952))</f>
        <v>3416.7367886623097</v>
      </c>
      <c r="O953">
        <f>IF(AND(Query1[[#This Row],[avg]]&gt;0, Query1[[#This Row],[Month]]&lt;&gt;H952),
    IF(Query1[[#This Row],[Adj Close]]&gt;Query1[[#This Row],[avg]],
       Dashboard!$L$5-Dashboard!$E$6,
       Dashboard!$L$5+Dashboard!$E$6
    ), 0
)</f>
        <v>0</v>
      </c>
      <c r="P953" s="2">
        <f>IF(ROW()&lt;3, Query1[[#This Row],[Shares]], IF(Query1[[#This Row],[Month]]&lt;&gt;H952, P952+Query1[[#This Row],[Enhanced top up]]/Query1[[#This Row],[Adj Close]], P952))</f>
        <v>3410.8032282960748</v>
      </c>
      <c r="Q953" s="2">
        <f>IFERROR(AVERAGE(
  IF(ROW()&gt;20, INDEX(G:G, ROW()-20), 0) :
  INDEX(G:G, ROW())
),0)</f>
        <v>317.98700241815476</v>
      </c>
    </row>
    <row r="954" spans="1:17" x14ac:dyDescent="0.4">
      <c r="A954" s="1">
        <v>45212</v>
      </c>
      <c r="B954">
        <v>332.3800048828125</v>
      </c>
      <c r="C954">
        <v>333.82998657226563</v>
      </c>
      <c r="D954">
        <v>326.3599853515625</v>
      </c>
      <c r="E954">
        <v>327.73001098632813</v>
      </c>
      <c r="F954">
        <v>21072400</v>
      </c>
      <c r="G954">
        <v>322.86447143554688</v>
      </c>
      <c r="H954" s="2">
        <f>MONTH(Query1[[#This Row],[Date]])</f>
        <v>10</v>
      </c>
      <c r="I954" s="3">
        <f>Query1[[#This Row],[Shares]]*Query1[[#This Row],[Adj Close]]</f>
        <v>1159825.7067462276</v>
      </c>
      <c r="J954" s="3">
        <f>IF(ROW()&lt;3, Dashboard!$E$7, IF(Query1[[#This Row],[Month]]&lt;&gt;H953,J953*(1+Dashboard!$E$4)+Dashboard!$E$5,J953))</f>
        <v>895367.52306144102</v>
      </c>
      <c r="K954">
        <f>IF(ROW()&lt;3, 0,IF(Query1[[#This Row],[Month]]&lt;&gt;H953,IF((J954-I954&gt;0),J954-I954,0),0))</f>
        <v>0</v>
      </c>
      <c r="L954" s="2">
        <f t="shared" si="14"/>
        <v>3592.2989655359538</v>
      </c>
      <c r="M954">
        <f>IF(ROW()&lt;3, 0, IF(Query1[[#This Row],[Month]]&lt;&gt;H953, Dashboard!$J$5,0))</f>
        <v>0</v>
      </c>
      <c r="N954" s="2">
        <f>IF(ROW()&lt;3, Query1[[#This Row],[Shares]], IF(Query1[[#This Row],[Month]]&lt;&gt;H953, N953+Query1[[#This Row],[Fix Top Up]]/Query1[[#This Row],[Adj Close]], N953))</f>
        <v>3416.7367886623097</v>
      </c>
      <c r="O954">
        <f>IF(AND(Query1[[#This Row],[avg]]&gt;0, Query1[[#This Row],[Month]]&lt;&gt;H953),
    IF(Query1[[#This Row],[Adj Close]]&gt;Query1[[#This Row],[avg]],
       Dashboard!$L$5-Dashboard!$E$6,
       Dashboard!$L$5+Dashboard!$E$6
    ), 0
)</f>
        <v>0</v>
      </c>
      <c r="P954" s="2">
        <f>IF(ROW()&lt;3, Query1[[#This Row],[Shares]], IF(Query1[[#This Row],[Month]]&lt;&gt;H953, P953+Query1[[#This Row],[Enhanced top up]]/Query1[[#This Row],[Adj Close]], P953))</f>
        <v>3410.8032282960748</v>
      </c>
      <c r="Q954" s="2">
        <f>IFERROR(AVERAGE(
  IF(ROW()&gt;20, INDEX(G:G, ROW()-20), 0) :
  INDEX(G:G, ROW())
),0)</f>
        <v>317.47237723214283</v>
      </c>
    </row>
    <row r="955" spans="1:17" x14ac:dyDescent="0.4">
      <c r="A955" s="1">
        <v>45215</v>
      </c>
      <c r="B955">
        <v>331.04998779296875</v>
      </c>
      <c r="C955">
        <v>336.1400146484375</v>
      </c>
      <c r="D955">
        <v>330.60000610351563</v>
      </c>
      <c r="E955">
        <v>332.6400146484375</v>
      </c>
      <c r="F955">
        <v>22158000</v>
      </c>
      <c r="G955">
        <v>327.70159912109375</v>
      </c>
      <c r="H955" s="2">
        <f>MONTH(Query1[[#This Row],[Date]])</f>
        <v>10</v>
      </c>
      <c r="I955" s="3">
        <f>Query1[[#This Row],[Shares]]*Query1[[#This Row],[Adj Close]]</f>
        <v>1177202.1155271828</v>
      </c>
      <c r="J955" s="3">
        <f>IF(ROW()&lt;3, Dashboard!$E$7, IF(Query1[[#This Row],[Month]]&lt;&gt;H954,J954*(1+Dashboard!$E$4)+Dashboard!$E$5,J954))</f>
        <v>895367.52306144102</v>
      </c>
      <c r="K955">
        <f>IF(ROW()&lt;3, 0,IF(Query1[[#This Row],[Month]]&lt;&gt;H954,IF((J955-I955&gt;0),J955-I955,0),0))</f>
        <v>0</v>
      </c>
      <c r="L955" s="2">
        <f t="shared" si="14"/>
        <v>3592.2989655359538</v>
      </c>
      <c r="M955">
        <f>IF(ROW()&lt;3, 0, IF(Query1[[#This Row],[Month]]&lt;&gt;H954, Dashboard!$J$5,0))</f>
        <v>0</v>
      </c>
      <c r="N955" s="2">
        <f>IF(ROW()&lt;3, Query1[[#This Row],[Shares]], IF(Query1[[#This Row],[Month]]&lt;&gt;H954, N954+Query1[[#This Row],[Fix Top Up]]/Query1[[#This Row],[Adj Close]], N954))</f>
        <v>3416.7367886623097</v>
      </c>
      <c r="O955">
        <f>IF(AND(Query1[[#This Row],[avg]]&gt;0, Query1[[#This Row],[Month]]&lt;&gt;H954),
    IF(Query1[[#This Row],[Adj Close]]&gt;Query1[[#This Row],[avg]],
       Dashboard!$L$5-Dashboard!$E$6,
       Dashboard!$L$5+Dashboard!$E$6
    ), 0
)</f>
        <v>0</v>
      </c>
      <c r="P955" s="2">
        <f>IF(ROW()&lt;3, Query1[[#This Row],[Shares]], IF(Query1[[#This Row],[Month]]&lt;&gt;H954, P954+Query1[[#This Row],[Enhanced top up]]/Query1[[#This Row],[Adj Close]], P954))</f>
        <v>3410.8032282960748</v>
      </c>
      <c r="Q955" s="2">
        <f>IFERROR(AVERAGE(
  IF(ROW()&gt;20, INDEX(G:G, ROW()-20), 0) :
  INDEX(G:G, ROW())
),0)</f>
        <v>317.58590552920384</v>
      </c>
    </row>
    <row r="956" spans="1:17" x14ac:dyDescent="0.4">
      <c r="A956" s="1">
        <v>45216</v>
      </c>
      <c r="B956">
        <v>329.58999633789063</v>
      </c>
      <c r="C956">
        <v>333.45999145507813</v>
      </c>
      <c r="D956">
        <v>327.41000366210938</v>
      </c>
      <c r="E956">
        <v>332.05999755859375</v>
      </c>
      <c r="F956">
        <v>18338500</v>
      </c>
      <c r="G956">
        <v>327.13015747070313</v>
      </c>
      <c r="H956" s="2">
        <f>MONTH(Query1[[#This Row],[Date]])</f>
        <v>10</v>
      </c>
      <c r="I956" s="3">
        <f>Query1[[#This Row],[Shares]]*Query1[[#This Row],[Adj Close]]</f>
        <v>1175149.3262776206</v>
      </c>
      <c r="J956" s="3">
        <f>IF(ROW()&lt;3, Dashboard!$E$7, IF(Query1[[#This Row],[Month]]&lt;&gt;H955,J955*(1+Dashboard!$E$4)+Dashboard!$E$5,J955))</f>
        <v>895367.52306144102</v>
      </c>
      <c r="K956">
        <f>IF(ROW()&lt;3, 0,IF(Query1[[#This Row],[Month]]&lt;&gt;H955,IF((J956-I956&gt;0),J956-I956,0),0))</f>
        <v>0</v>
      </c>
      <c r="L956" s="2">
        <f t="shared" si="14"/>
        <v>3592.2989655359538</v>
      </c>
      <c r="M956">
        <f>IF(ROW()&lt;3, 0, IF(Query1[[#This Row],[Month]]&lt;&gt;H955, Dashboard!$J$5,0))</f>
        <v>0</v>
      </c>
      <c r="N956" s="2">
        <f>IF(ROW()&lt;3, Query1[[#This Row],[Shares]], IF(Query1[[#This Row],[Month]]&lt;&gt;H955, N955+Query1[[#This Row],[Fix Top Up]]/Query1[[#This Row],[Adj Close]], N955))</f>
        <v>3416.7367886623097</v>
      </c>
      <c r="O956">
        <f>IF(AND(Query1[[#This Row],[avg]]&gt;0, Query1[[#This Row],[Month]]&lt;&gt;H955),
    IF(Query1[[#This Row],[Adj Close]]&gt;Query1[[#This Row],[avg]],
       Dashboard!$L$5-Dashboard!$E$6,
       Dashboard!$L$5+Dashboard!$E$6
    ), 0
)</f>
        <v>0</v>
      </c>
      <c r="P956" s="2">
        <f>IF(ROW()&lt;3, Query1[[#This Row],[Shares]], IF(Query1[[#This Row],[Month]]&lt;&gt;H955, P955+Query1[[#This Row],[Enhanced top up]]/Query1[[#This Row],[Adj Close]], P955))</f>
        <v>3410.8032282960748</v>
      </c>
      <c r="Q956" s="2">
        <f>IFERROR(AVERAGE(
  IF(ROW()&gt;20, INDEX(G:G, ROW()-20), 0) :
  INDEX(G:G, ROW())
),0)</f>
        <v>317.72664242699034</v>
      </c>
    </row>
    <row r="957" spans="1:17" x14ac:dyDescent="0.4">
      <c r="A957" s="1">
        <v>45217</v>
      </c>
      <c r="B957">
        <v>332.489990234375</v>
      </c>
      <c r="C957">
        <v>335.58999633789063</v>
      </c>
      <c r="D957">
        <v>328.29998779296875</v>
      </c>
      <c r="E957">
        <v>330.1099853515625</v>
      </c>
      <c r="F957">
        <v>23153600</v>
      </c>
      <c r="G957">
        <v>325.2091064453125</v>
      </c>
      <c r="H957" s="2">
        <f>MONTH(Query1[[#This Row],[Date]])</f>
        <v>10</v>
      </c>
      <c r="I957" s="3">
        <f>Query1[[#This Row],[Shares]]*Query1[[#This Row],[Adj Close]]</f>
        <v>1168248.3366663679</v>
      </c>
      <c r="J957" s="3">
        <f>IF(ROW()&lt;3, Dashboard!$E$7, IF(Query1[[#This Row],[Month]]&lt;&gt;H956,J956*(1+Dashboard!$E$4)+Dashboard!$E$5,J956))</f>
        <v>895367.52306144102</v>
      </c>
      <c r="K957">
        <f>IF(ROW()&lt;3, 0,IF(Query1[[#This Row],[Month]]&lt;&gt;H956,IF((J957-I957&gt;0),J957-I957,0),0))</f>
        <v>0</v>
      </c>
      <c r="L957" s="2">
        <f t="shared" si="14"/>
        <v>3592.2989655359538</v>
      </c>
      <c r="M957">
        <f>IF(ROW()&lt;3, 0, IF(Query1[[#This Row],[Month]]&lt;&gt;H956, Dashboard!$J$5,0))</f>
        <v>0</v>
      </c>
      <c r="N957" s="2">
        <f>IF(ROW()&lt;3, Query1[[#This Row],[Shares]], IF(Query1[[#This Row],[Month]]&lt;&gt;H956, N956+Query1[[#This Row],[Fix Top Up]]/Query1[[#This Row],[Adj Close]], N956))</f>
        <v>3416.7367886623097</v>
      </c>
      <c r="O957">
        <f>IF(AND(Query1[[#This Row],[avg]]&gt;0, Query1[[#This Row],[Month]]&lt;&gt;H956),
    IF(Query1[[#This Row],[Adj Close]]&gt;Query1[[#This Row],[avg]],
       Dashboard!$L$5-Dashboard!$E$6,
       Dashboard!$L$5+Dashboard!$E$6
    ), 0
)</f>
        <v>0</v>
      </c>
      <c r="P957" s="2">
        <f>IF(ROW()&lt;3, Query1[[#This Row],[Shares]], IF(Query1[[#This Row],[Month]]&lt;&gt;H956, P956+Query1[[#This Row],[Enhanced top up]]/Query1[[#This Row],[Adj Close]], P956))</f>
        <v>3410.8032282960748</v>
      </c>
      <c r="Q957" s="2">
        <f>IFERROR(AVERAGE(
  IF(ROW()&gt;20, INDEX(G:G, ROW()-20), 0) :
  INDEX(G:G, ROW())
),0)</f>
        <v>317.79513549804688</v>
      </c>
    </row>
    <row r="958" spans="1:17" x14ac:dyDescent="0.4">
      <c r="A958" s="1">
        <v>45218</v>
      </c>
      <c r="B958">
        <v>332.14999389648438</v>
      </c>
      <c r="C958">
        <v>336.8800048828125</v>
      </c>
      <c r="D958">
        <v>330.91000366210938</v>
      </c>
      <c r="E958">
        <v>331.32000732421875</v>
      </c>
      <c r="F958">
        <v>25052100</v>
      </c>
      <c r="G958">
        <v>326.40115356445313</v>
      </c>
      <c r="H958" s="2">
        <f>MONTH(Query1[[#This Row],[Date]])</f>
        <v>10</v>
      </c>
      <c r="I958" s="3">
        <f>Query1[[#This Row],[Shares]]*Query1[[#This Row],[Adj Close]]</f>
        <v>1172530.5262993269</v>
      </c>
      <c r="J958" s="3">
        <f>IF(ROW()&lt;3, Dashboard!$E$7, IF(Query1[[#This Row],[Month]]&lt;&gt;H957,J957*(1+Dashboard!$E$4)+Dashboard!$E$5,J957))</f>
        <v>895367.52306144102</v>
      </c>
      <c r="K958">
        <f>IF(ROW()&lt;3, 0,IF(Query1[[#This Row],[Month]]&lt;&gt;H957,IF((J958-I958&gt;0),J958-I958,0),0))</f>
        <v>0</v>
      </c>
      <c r="L958" s="2">
        <f t="shared" si="14"/>
        <v>3592.2989655359538</v>
      </c>
      <c r="M958">
        <f>IF(ROW()&lt;3, 0, IF(Query1[[#This Row],[Month]]&lt;&gt;H957, Dashboard!$J$5,0))</f>
        <v>0</v>
      </c>
      <c r="N958" s="2">
        <f>IF(ROW()&lt;3, Query1[[#This Row],[Shares]], IF(Query1[[#This Row],[Month]]&lt;&gt;H957, N957+Query1[[#This Row],[Fix Top Up]]/Query1[[#This Row],[Adj Close]], N957))</f>
        <v>3416.7367886623097</v>
      </c>
      <c r="O958">
        <f>IF(AND(Query1[[#This Row],[avg]]&gt;0, Query1[[#This Row],[Month]]&lt;&gt;H957),
    IF(Query1[[#This Row],[Adj Close]]&gt;Query1[[#This Row],[avg]],
       Dashboard!$L$5-Dashboard!$E$6,
       Dashboard!$L$5+Dashboard!$E$6
    ), 0
)</f>
        <v>0</v>
      </c>
      <c r="P958" s="2">
        <f>IF(ROW()&lt;3, Query1[[#This Row],[Shares]], IF(Query1[[#This Row],[Month]]&lt;&gt;H957, P957+Query1[[#This Row],[Enhanced top up]]/Query1[[#This Row],[Adj Close]], P957))</f>
        <v>3410.8032282960748</v>
      </c>
      <c r="Q958" s="2">
        <f>IFERROR(AVERAGE(
  IF(ROW()&gt;20, INDEX(G:G, ROW()-20), 0) :
  INDEX(G:G, ROW())
),0)</f>
        <v>318.29005940755206</v>
      </c>
    </row>
    <row r="959" spans="1:17" x14ac:dyDescent="0.4">
      <c r="A959" s="1">
        <v>45219</v>
      </c>
      <c r="B959">
        <v>331.72000122070313</v>
      </c>
      <c r="C959">
        <v>331.92001342773438</v>
      </c>
      <c r="D959">
        <v>325.45001220703125</v>
      </c>
      <c r="E959">
        <v>326.67001342773438</v>
      </c>
      <c r="F959">
        <v>25027700</v>
      </c>
      <c r="G959">
        <v>321.8201904296875</v>
      </c>
      <c r="H959" s="2">
        <f>MONTH(Query1[[#This Row],[Date]])</f>
        <v>10</v>
      </c>
      <c r="I959" s="3">
        <f>Query1[[#This Row],[Shares]]*Query1[[#This Row],[Adj Close]]</f>
        <v>1156074.3371691501</v>
      </c>
      <c r="J959" s="3">
        <f>IF(ROW()&lt;3, Dashboard!$E$7, IF(Query1[[#This Row],[Month]]&lt;&gt;H958,J958*(1+Dashboard!$E$4)+Dashboard!$E$5,J958))</f>
        <v>895367.52306144102</v>
      </c>
      <c r="K959">
        <f>IF(ROW()&lt;3, 0,IF(Query1[[#This Row],[Month]]&lt;&gt;H958,IF((J959-I959&gt;0),J959-I959,0),0))</f>
        <v>0</v>
      </c>
      <c r="L959" s="2">
        <f t="shared" si="14"/>
        <v>3592.2989655359538</v>
      </c>
      <c r="M959">
        <f>IF(ROW()&lt;3, 0, IF(Query1[[#This Row],[Month]]&lt;&gt;H958, Dashboard!$J$5,0))</f>
        <v>0</v>
      </c>
      <c r="N959" s="2">
        <f>IF(ROW()&lt;3, Query1[[#This Row],[Shares]], IF(Query1[[#This Row],[Month]]&lt;&gt;H958, N958+Query1[[#This Row],[Fix Top Up]]/Query1[[#This Row],[Adj Close]], N958))</f>
        <v>3416.7367886623097</v>
      </c>
      <c r="O959">
        <f>IF(AND(Query1[[#This Row],[avg]]&gt;0, Query1[[#This Row],[Month]]&lt;&gt;H958),
    IF(Query1[[#This Row],[Adj Close]]&gt;Query1[[#This Row],[avg]],
       Dashboard!$L$5-Dashboard!$E$6,
       Dashboard!$L$5+Dashboard!$E$6
    ), 0
)</f>
        <v>0</v>
      </c>
      <c r="P959" s="2">
        <f>IF(ROW()&lt;3, Query1[[#This Row],[Shares]], IF(Query1[[#This Row],[Month]]&lt;&gt;H958, P958+Query1[[#This Row],[Enhanced top up]]/Query1[[#This Row],[Adj Close]], P958))</f>
        <v>3410.8032282960748</v>
      </c>
      <c r="Q959" s="2">
        <f>IFERROR(AVERAGE(
  IF(ROW()&gt;20, INDEX(G:G, ROW()-20), 0) :
  INDEX(G:G, ROW())
),0)</f>
        <v>318.62501162574404</v>
      </c>
    </row>
    <row r="960" spans="1:17" x14ac:dyDescent="0.4">
      <c r="A960" s="1">
        <v>45222</v>
      </c>
      <c r="B960">
        <v>325.47000122070313</v>
      </c>
      <c r="C960">
        <v>332.73001098632813</v>
      </c>
      <c r="D960">
        <v>324.3900146484375</v>
      </c>
      <c r="E960">
        <v>329.32000732421875</v>
      </c>
      <c r="F960">
        <v>24374700</v>
      </c>
      <c r="G960">
        <v>324.43087768554688</v>
      </c>
      <c r="H960" s="2">
        <f>MONTH(Query1[[#This Row],[Date]])</f>
        <v>10</v>
      </c>
      <c r="I960" s="3">
        <f>Query1[[#This Row],[Shares]]*Query1[[#This Row],[Adj Close]]</f>
        <v>1165452.7062977117</v>
      </c>
      <c r="J960" s="3">
        <f>IF(ROW()&lt;3, Dashboard!$E$7, IF(Query1[[#This Row],[Month]]&lt;&gt;H959,J959*(1+Dashboard!$E$4)+Dashboard!$E$5,J959))</f>
        <v>895367.52306144102</v>
      </c>
      <c r="K960">
        <f>IF(ROW()&lt;3, 0,IF(Query1[[#This Row],[Month]]&lt;&gt;H959,IF((J960-I960&gt;0),J960-I960,0),0))</f>
        <v>0</v>
      </c>
      <c r="L960" s="2">
        <f t="shared" si="14"/>
        <v>3592.2989655359538</v>
      </c>
      <c r="M960">
        <f>IF(ROW()&lt;3, 0, IF(Query1[[#This Row],[Month]]&lt;&gt;H959, Dashboard!$J$5,0))</f>
        <v>0</v>
      </c>
      <c r="N960" s="2">
        <f>IF(ROW()&lt;3, Query1[[#This Row],[Shares]], IF(Query1[[#This Row],[Month]]&lt;&gt;H959, N959+Query1[[#This Row],[Fix Top Up]]/Query1[[#This Row],[Adj Close]], N959))</f>
        <v>3416.7367886623097</v>
      </c>
      <c r="O960">
        <f>IF(AND(Query1[[#This Row],[avg]]&gt;0, Query1[[#This Row],[Month]]&lt;&gt;H959),
    IF(Query1[[#This Row],[Adj Close]]&gt;Query1[[#This Row],[avg]],
       Dashboard!$L$5-Dashboard!$E$6,
       Dashboard!$L$5+Dashboard!$E$6
    ), 0
)</f>
        <v>0</v>
      </c>
      <c r="P960" s="2">
        <f>IF(ROW()&lt;3, Query1[[#This Row],[Shares]], IF(Query1[[#This Row],[Month]]&lt;&gt;H959, P959+Query1[[#This Row],[Enhanced top up]]/Query1[[#This Row],[Adj Close]], P959))</f>
        <v>3410.8032282960748</v>
      </c>
      <c r="Q960" s="2">
        <f>IFERROR(AVERAGE(
  IF(ROW()&gt;20, INDEX(G:G, ROW()-20), 0) :
  INDEX(G:G, ROW())
),0)</f>
        <v>319.20250011625745</v>
      </c>
    </row>
    <row r="961" spans="1:17" x14ac:dyDescent="0.4">
      <c r="A961" s="1">
        <v>45223</v>
      </c>
      <c r="B961">
        <v>331.29998779296875</v>
      </c>
      <c r="C961">
        <v>331.83999633789063</v>
      </c>
      <c r="D961">
        <v>327.60000610351563</v>
      </c>
      <c r="E961">
        <v>330.52999877929688</v>
      </c>
      <c r="F961">
        <v>31153600</v>
      </c>
      <c r="G961">
        <v>325.62289428710938</v>
      </c>
      <c r="H961" s="2">
        <f>MONTH(Query1[[#This Row],[Date]])</f>
        <v>10</v>
      </c>
      <c r="I961" s="3">
        <f>Query1[[#This Row],[Shares]]*Query1[[#This Row],[Adj Close]]</f>
        <v>1169734.7863024063</v>
      </c>
      <c r="J961" s="3">
        <f>IF(ROW()&lt;3, Dashboard!$E$7, IF(Query1[[#This Row],[Month]]&lt;&gt;H960,J960*(1+Dashboard!$E$4)+Dashboard!$E$5,J960))</f>
        <v>895367.52306144102</v>
      </c>
      <c r="K961">
        <f>IF(ROW()&lt;3, 0,IF(Query1[[#This Row],[Month]]&lt;&gt;H960,IF((J961-I961&gt;0),J961-I961,0),0))</f>
        <v>0</v>
      </c>
      <c r="L961" s="2">
        <f t="shared" si="14"/>
        <v>3592.2989655359538</v>
      </c>
      <c r="M961">
        <f>IF(ROW()&lt;3, 0, IF(Query1[[#This Row],[Month]]&lt;&gt;H960, Dashboard!$J$5,0))</f>
        <v>0</v>
      </c>
      <c r="N961" s="2">
        <f>IF(ROW()&lt;3, Query1[[#This Row],[Shares]], IF(Query1[[#This Row],[Month]]&lt;&gt;H960, N960+Query1[[#This Row],[Fix Top Up]]/Query1[[#This Row],[Adj Close]], N960))</f>
        <v>3416.7367886623097</v>
      </c>
      <c r="O961">
        <f>IF(AND(Query1[[#This Row],[avg]]&gt;0, Query1[[#This Row],[Month]]&lt;&gt;H960),
    IF(Query1[[#This Row],[Adj Close]]&gt;Query1[[#This Row],[avg]],
       Dashboard!$L$5-Dashboard!$E$6,
       Dashboard!$L$5+Dashboard!$E$6
    ), 0
)</f>
        <v>0</v>
      </c>
      <c r="P961" s="2">
        <f>IF(ROW()&lt;3, Query1[[#This Row],[Shares]], IF(Query1[[#This Row],[Month]]&lt;&gt;H960, P960+Query1[[#This Row],[Enhanced top up]]/Query1[[#This Row],[Adj Close]], P960))</f>
        <v>3410.8032282960748</v>
      </c>
      <c r="Q961" s="2">
        <f>IFERROR(AVERAGE(
  IF(ROW()&gt;20, INDEX(G:G, ROW()-20), 0) :
  INDEX(G:G, ROW())
),0)</f>
        <v>319.81188819521947</v>
      </c>
    </row>
    <row r="962" spans="1:17" x14ac:dyDescent="0.4">
      <c r="A962" s="1">
        <v>45224</v>
      </c>
      <c r="B962">
        <v>345.01998901367188</v>
      </c>
      <c r="C962">
        <v>346.20001220703125</v>
      </c>
      <c r="D962">
        <v>337.6199951171875</v>
      </c>
      <c r="E962">
        <v>340.67001342773438</v>
      </c>
      <c r="F962">
        <v>55053800</v>
      </c>
      <c r="G962">
        <v>335.61233520507813</v>
      </c>
      <c r="H962" s="2">
        <f>MONTH(Query1[[#This Row],[Date]])</f>
        <v>10</v>
      </c>
      <c r="I962" s="3">
        <f>Query1[[#This Row],[Shares]]*Query1[[#This Row],[Adj Close]]</f>
        <v>1205619.8445783078</v>
      </c>
      <c r="J962" s="3">
        <f>IF(ROW()&lt;3, Dashboard!$E$7, IF(Query1[[#This Row],[Month]]&lt;&gt;H961,J961*(1+Dashboard!$E$4)+Dashboard!$E$5,J961))</f>
        <v>895367.52306144102</v>
      </c>
      <c r="K962">
        <f>IF(ROW()&lt;3, 0,IF(Query1[[#This Row],[Month]]&lt;&gt;H961,IF((J962-I962&gt;0),J962-I962,0),0))</f>
        <v>0</v>
      </c>
      <c r="L962" s="2">
        <f t="shared" ref="L962:L1025" si="15">IF(ROW()&lt;3, J962/G962, L961+K961/G961)</f>
        <v>3592.2989655359538</v>
      </c>
      <c r="M962">
        <f>IF(ROW()&lt;3, 0, IF(Query1[[#This Row],[Month]]&lt;&gt;H961, Dashboard!$J$5,0))</f>
        <v>0</v>
      </c>
      <c r="N962" s="2">
        <f>IF(ROW()&lt;3, Query1[[#This Row],[Shares]], IF(Query1[[#This Row],[Month]]&lt;&gt;H961, N961+Query1[[#This Row],[Fix Top Up]]/Query1[[#This Row],[Adj Close]], N961))</f>
        <v>3416.7367886623097</v>
      </c>
      <c r="O962">
        <f>IF(AND(Query1[[#This Row],[avg]]&gt;0, Query1[[#This Row],[Month]]&lt;&gt;H961),
    IF(Query1[[#This Row],[Adj Close]]&gt;Query1[[#This Row],[avg]],
       Dashboard!$L$5-Dashboard!$E$6,
       Dashboard!$L$5+Dashboard!$E$6
    ), 0
)</f>
        <v>0</v>
      </c>
      <c r="P962" s="2">
        <f>IF(ROW()&lt;3, Query1[[#This Row],[Shares]], IF(Query1[[#This Row],[Month]]&lt;&gt;H961, P961+Query1[[#This Row],[Enhanced top up]]/Query1[[#This Row],[Adj Close]], P961))</f>
        <v>3410.8032282960748</v>
      </c>
      <c r="Q962" s="2">
        <f>IFERROR(AVERAGE(
  IF(ROW()&gt;20, INDEX(G:G, ROW()-20), 0) :
  INDEX(G:G, ROW())
),0)</f>
        <v>321.15028889973956</v>
      </c>
    </row>
    <row r="963" spans="1:17" x14ac:dyDescent="0.4">
      <c r="A963" s="1">
        <v>45225</v>
      </c>
      <c r="B963">
        <v>340.54000854492188</v>
      </c>
      <c r="C963">
        <v>341.6300048828125</v>
      </c>
      <c r="D963">
        <v>326.94000244140625</v>
      </c>
      <c r="E963">
        <v>327.8900146484375</v>
      </c>
      <c r="F963">
        <v>37828500</v>
      </c>
      <c r="G963">
        <v>323.0220947265625</v>
      </c>
      <c r="H963" s="2">
        <f>MONTH(Query1[[#This Row],[Date]])</f>
        <v>10</v>
      </c>
      <c r="I963" s="3">
        <f>Query1[[#This Row],[Shares]]*Query1[[#This Row],[Adj Close]]</f>
        <v>1160391.9367314873</v>
      </c>
      <c r="J963" s="3">
        <f>IF(ROW()&lt;3, Dashboard!$E$7, IF(Query1[[#This Row],[Month]]&lt;&gt;H962,J962*(1+Dashboard!$E$4)+Dashboard!$E$5,J962))</f>
        <v>895367.52306144102</v>
      </c>
      <c r="K963">
        <f>IF(ROW()&lt;3, 0,IF(Query1[[#This Row],[Month]]&lt;&gt;H962,IF((J963-I963&gt;0),J963-I963,0),0))</f>
        <v>0</v>
      </c>
      <c r="L963" s="2">
        <f t="shared" si="15"/>
        <v>3592.2989655359538</v>
      </c>
      <c r="M963">
        <f>IF(ROW()&lt;3, 0, IF(Query1[[#This Row],[Month]]&lt;&gt;H962, Dashboard!$J$5,0))</f>
        <v>0</v>
      </c>
      <c r="N963" s="2">
        <f>IF(ROW()&lt;3, Query1[[#This Row],[Shares]], IF(Query1[[#This Row],[Month]]&lt;&gt;H962, N962+Query1[[#This Row],[Fix Top Up]]/Query1[[#This Row],[Adj Close]], N962))</f>
        <v>3416.7367886623097</v>
      </c>
      <c r="O963">
        <f>IF(AND(Query1[[#This Row],[avg]]&gt;0, Query1[[#This Row],[Month]]&lt;&gt;H962),
    IF(Query1[[#This Row],[Adj Close]]&gt;Query1[[#This Row],[avg]],
       Dashboard!$L$5-Dashboard!$E$6,
       Dashboard!$L$5+Dashboard!$E$6
    ), 0
)</f>
        <v>0</v>
      </c>
      <c r="P963" s="2">
        <f>IF(ROW()&lt;3, Query1[[#This Row],[Shares]], IF(Query1[[#This Row],[Month]]&lt;&gt;H962, P962+Query1[[#This Row],[Enhanced top up]]/Query1[[#This Row],[Adj Close]], P962))</f>
        <v>3410.8032282960748</v>
      </c>
      <c r="Q963" s="2">
        <f>IFERROR(AVERAGE(
  IF(ROW()&gt;20, INDEX(G:G, ROW()-20), 0) :
  INDEX(G:G, ROW())
),0)</f>
        <v>321.85866292317706</v>
      </c>
    </row>
    <row r="964" spans="1:17" x14ac:dyDescent="0.4">
      <c r="A964" s="1">
        <v>45226</v>
      </c>
      <c r="B964">
        <v>330.42999267578125</v>
      </c>
      <c r="C964">
        <v>336.72000122070313</v>
      </c>
      <c r="D964">
        <v>328.39999389648438</v>
      </c>
      <c r="E964">
        <v>329.80999755859375</v>
      </c>
      <c r="F964">
        <v>29856500</v>
      </c>
      <c r="G964">
        <v>324.91360473632813</v>
      </c>
      <c r="H964" s="2">
        <f>MONTH(Query1[[#This Row],[Date]])</f>
        <v>10</v>
      </c>
      <c r="I964" s="3">
        <f>Query1[[#This Row],[Shares]]*Query1[[#This Row],[Adj Close]]</f>
        <v>1167186.8061828692</v>
      </c>
      <c r="J964" s="3">
        <f>IF(ROW()&lt;3, Dashboard!$E$7, IF(Query1[[#This Row],[Month]]&lt;&gt;H963,J963*(1+Dashboard!$E$4)+Dashboard!$E$5,J963))</f>
        <v>895367.52306144102</v>
      </c>
      <c r="K964">
        <f>IF(ROW()&lt;3, 0,IF(Query1[[#This Row],[Month]]&lt;&gt;H963,IF((J964-I964&gt;0),J964-I964,0),0))</f>
        <v>0</v>
      </c>
      <c r="L964" s="2">
        <f t="shared" si="15"/>
        <v>3592.2989655359538</v>
      </c>
      <c r="M964">
        <f>IF(ROW()&lt;3, 0, IF(Query1[[#This Row],[Month]]&lt;&gt;H963, Dashboard!$J$5,0))</f>
        <v>0</v>
      </c>
      <c r="N964" s="2">
        <f>IF(ROW()&lt;3, Query1[[#This Row],[Shares]], IF(Query1[[#This Row],[Month]]&lt;&gt;H963, N963+Query1[[#This Row],[Fix Top Up]]/Query1[[#This Row],[Adj Close]], N963))</f>
        <v>3416.7367886623097</v>
      </c>
      <c r="O964">
        <f>IF(AND(Query1[[#This Row],[avg]]&gt;0, Query1[[#This Row],[Month]]&lt;&gt;H963),
    IF(Query1[[#This Row],[Adj Close]]&gt;Query1[[#This Row],[avg]],
       Dashboard!$L$5-Dashboard!$E$6,
       Dashboard!$L$5+Dashboard!$E$6
    ), 0
)</f>
        <v>0</v>
      </c>
      <c r="P964" s="2">
        <f>IF(ROW()&lt;3, Query1[[#This Row],[Shares]], IF(Query1[[#This Row],[Month]]&lt;&gt;H963, P963+Query1[[#This Row],[Enhanced top up]]/Query1[[#This Row],[Adj Close]], P963))</f>
        <v>3410.8032282960748</v>
      </c>
      <c r="Q964" s="2">
        <f>IFERROR(AVERAGE(
  IF(ROW()&gt;20, INDEX(G:G, ROW()-20), 0) :
  INDEX(G:G, ROW())
),0)</f>
        <v>322.61723254975817</v>
      </c>
    </row>
    <row r="965" spans="1:17" x14ac:dyDescent="0.4">
      <c r="A965" s="1">
        <v>45229</v>
      </c>
      <c r="B965">
        <v>333.41000366210938</v>
      </c>
      <c r="C965">
        <v>339.45001220703125</v>
      </c>
      <c r="D965">
        <v>331.82998657226563</v>
      </c>
      <c r="E965">
        <v>337.30999755859375</v>
      </c>
      <c r="F965">
        <v>22828100</v>
      </c>
      <c r="G965">
        <v>332.30224609375</v>
      </c>
      <c r="H965" s="2">
        <f>MONTH(Query1[[#This Row],[Date]])</f>
        <v>10</v>
      </c>
      <c r="I965" s="3">
        <f>Query1[[#This Row],[Shares]]*Query1[[#This Row],[Adj Close]]</f>
        <v>1193729.0148878521</v>
      </c>
      <c r="J965" s="3">
        <f>IF(ROW()&lt;3, Dashboard!$E$7, IF(Query1[[#This Row],[Month]]&lt;&gt;H964,J964*(1+Dashboard!$E$4)+Dashboard!$E$5,J964))</f>
        <v>895367.52306144102</v>
      </c>
      <c r="K965">
        <f>IF(ROW()&lt;3, 0,IF(Query1[[#This Row],[Month]]&lt;&gt;H964,IF((J965-I965&gt;0),J965-I965,0),0))</f>
        <v>0</v>
      </c>
      <c r="L965" s="2">
        <f t="shared" si="15"/>
        <v>3592.2989655359538</v>
      </c>
      <c r="M965">
        <f>IF(ROW()&lt;3, 0, IF(Query1[[#This Row],[Month]]&lt;&gt;H964, Dashboard!$J$5,0))</f>
        <v>0</v>
      </c>
      <c r="N965" s="2">
        <f>IF(ROW()&lt;3, Query1[[#This Row],[Shares]], IF(Query1[[#This Row],[Month]]&lt;&gt;H964, N964+Query1[[#This Row],[Fix Top Up]]/Query1[[#This Row],[Adj Close]], N964))</f>
        <v>3416.7367886623097</v>
      </c>
      <c r="O965">
        <f>IF(AND(Query1[[#This Row],[avg]]&gt;0, Query1[[#This Row],[Month]]&lt;&gt;H964),
    IF(Query1[[#This Row],[Adj Close]]&gt;Query1[[#This Row],[avg]],
       Dashboard!$L$5-Dashboard!$E$6,
       Dashboard!$L$5+Dashboard!$E$6
    ), 0
)</f>
        <v>0</v>
      </c>
      <c r="P965" s="2">
        <f>IF(ROW()&lt;3, Query1[[#This Row],[Shares]], IF(Query1[[#This Row],[Month]]&lt;&gt;H964, P964+Query1[[#This Row],[Enhanced top up]]/Query1[[#This Row],[Adj Close]], P964))</f>
        <v>3410.8032282960748</v>
      </c>
      <c r="Q965" s="2">
        <f>IFERROR(AVERAGE(
  IF(ROW()&gt;20, INDEX(G:G, ROW()-20), 0) :
  INDEX(G:G, ROW())
),0)</f>
        <v>323.62865629650298</v>
      </c>
    </row>
    <row r="966" spans="1:17" x14ac:dyDescent="0.4">
      <c r="A966" s="1">
        <v>45230</v>
      </c>
      <c r="B966">
        <v>338.85000610351563</v>
      </c>
      <c r="C966">
        <v>339</v>
      </c>
      <c r="D966">
        <v>334.69000244140625</v>
      </c>
      <c r="E966">
        <v>338.1099853515625</v>
      </c>
      <c r="F966">
        <v>20265300</v>
      </c>
      <c r="G966">
        <v>333.09036254882813</v>
      </c>
      <c r="H966" s="2">
        <f>MONTH(Query1[[#This Row],[Date]])</f>
        <v>10</v>
      </c>
      <c r="I966" s="3">
        <f>Query1[[#This Row],[Shares]]*Query1[[#This Row],[Adj Close]]</f>
        <v>1196560.1648141511</v>
      </c>
      <c r="J966" s="3">
        <f>IF(ROW()&lt;3, Dashboard!$E$7, IF(Query1[[#This Row],[Month]]&lt;&gt;H965,J965*(1+Dashboard!$E$4)+Dashboard!$E$5,J965))</f>
        <v>895367.52306144102</v>
      </c>
      <c r="K966">
        <f>IF(ROW()&lt;3, 0,IF(Query1[[#This Row],[Month]]&lt;&gt;H965,IF((J966-I966&gt;0),J966-I966,0),0))</f>
        <v>0</v>
      </c>
      <c r="L966" s="2">
        <f t="shared" si="15"/>
        <v>3592.2989655359538</v>
      </c>
      <c r="M966">
        <f>IF(ROW()&lt;3, 0, IF(Query1[[#This Row],[Month]]&lt;&gt;H965, Dashboard!$J$5,0))</f>
        <v>0</v>
      </c>
      <c r="N966" s="2">
        <f>IF(ROW()&lt;3, Query1[[#This Row],[Shares]], IF(Query1[[#This Row],[Month]]&lt;&gt;H965, N965+Query1[[#This Row],[Fix Top Up]]/Query1[[#This Row],[Adj Close]], N965))</f>
        <v>3416.7367886623097</v>
      </c>
      <c r="O966">
        <f>IF(AND(Query1[[#This Row],[avg]]&gt;0, Query1[[#This Row],[Month]]&lt;&gt;H965),
    IF(Query1[[#This Row],[Adj Close]]&gt;Query1[[#This Row],[avg]],
       Dashboard!$L$5-Dashboard!$E$6,
       Dashboard!$L$5+Dashboard!$E$6
    ), 0
)</f>
        <v>0</v>
      </c>
      <c r="P966" s="2">
        <f>IF(ROW()&lt;3, Query1[[#This Row],[Shares]], IF(Query1[[#This Row],[Month]]&lt;&gt;H965, P965+Query1[[#This Row],[Enhanced top up]]/Query1[[#This Row],[Adj Close]], P965))</f>
        <v>3410.8032282960748</v>
      </c>
      <c r="Q966" s="2">
        <f>IFERROR(AVERAGE(
  IF(ROW()&gt;20, INDEX(G:G, ROW()-20), 0) :
  INDEX(G:G, ROW())
),0)</f>
        <v>324.39379446847096</v>
      </c>
    </row>
    <row r="967" spans="1:17" x14ac:dyDescent="0.4">
      <c r="A967" s="1">
        <v>45231</v>
      </c>
      <c r="B967">
        <v>339.79000854492188</v>
      </c>
      <c r="C967">
        <v>347.42001342773438</v>
      </c>
      <c r="D967">
        <v>339.64999389648438</v>
      </c>
      <c r="E967">
        <v>346.07000732421875</v>
      </c>
      <c r="F967">
        <v>28158800</v>
      </c>
      <c r="G967">
        <v>340.93215942382813</v>
      </c>
      <c r="H967" s="2">
        <f>MONTH(Query1[[#This Row],[Date]])</f>
        <v>11</v>
      </c>
      <c r="I967" s="3">
        <f>Query1[[#This Row],[Shares]]*Query1[[#This Row],[Adj Close]]</f>
        <v>1224730.2436161567</v>
      </c>
      <c r="J967" s="3">
        <f>IF(ROW()&lt;3, Dashboard!$E$7, IF(Query1[[#This Row],[Month]]&lt;&gt;H966,J966*(1+Dashboard!$E$4)+Dashboard!$E$5,J966))</f>
        <v>906321.1982920554</v>
      </c>
      <c r="K967">
        <f>IF(ROW()&lt;3, 0,IF(Query1[[#This Row],[Month]]&lt;&gt;H966,IF((J967-I967&gt;0),J967-I967,0),0))</f>
        <v>0</v>
      </c>
      <c r="L967" s="2">
        <f t="shared" si="15"/>
        <v>3592.2989655359538</v>
      </c>
      <c r="M967">
        <f>IF(ROW()&lt;3, 0, IF(Query1[[#This Row],[Month]]&lt;&gt;H966, Dashboard!$J$5,0))</f>
        <v>773.47399999999971</v>
      </c>
      <c r="N967" s="2">
        <f>IF(ROW()&lt;3, Query1[[#This Row],[Shares]], IF(Query1[[#This Row],[Month]]&lt;&gt;H966, N966+Query1[[#This Row],[Fix Top Up]]/Query1[[#This Row],[Adj Close]], N966))</f>
        <v>3419.005492211154</v>
      </c>
      <c r="O967">
        <f>IF(AND(Query1[[#This Row],[avg]]&gt;0, Query1[[#This Row],[Month]]&lt;&gt;H966),
    IF(Query1[[#This Row],[Adj Close]]&gt;Query1[[#This Row],[avg]],
       Dashboard!$L$5-Dashboard!$E$6,
       Dashboard!$L$5+Dashboard!$E$6
    ), 0
)</f>
        <v>390.14066666666668</v>
      </c>
      <c r="P967" s="2">
        <f>IF(ROW()&lt;3, Query1[[#This Row],[Shares]], IF(Query1[[#This Row],[Month]]&lt;&gt;H966, P966+Query1[[#This Row],[Enhanced top up]]/Query1[[#This Row],[Adj Close]], P966))</f>
        <v>3411.9475634838318</v>
      </c>
      <c r="Q967" s="2">
        <f>IFERROR(AVERAGE(
  IF(ROW()&gt;20, INDEX(G:G, ROW()-20), 0) :
  INDEX(G:G, ROW())
),0)</f>
        <v>325.9268798828125</v>
      </c>
    </row>
    <row r="968" spans="1:17" x14ac:dyDescent="0.4">
      <c r="A968" s="1">
        <v>45232</v>
      </c>
      <c r="B968">
        <v>347.239990234375</v>
      </c>
      <c r="C968">
        <v>348.82998657226563</v>
      </c>
      <c r="D968">
        <v>344.76998901367188</v>
      </c>
      <c r="E968">
        <v>348.32000732421875</v>
      </c>
      <c r="F968">
        <v>24348100</v>
      </c>
      <c r="G968">
        <v>343.14877319335938</v>
      </c>
      <c r="H968" s="2">
        <f>MONTH(Query1[[#This Row],[Date]])</f>
        <v>11</v>
      </c>
      <c r="I968" s="3">
        <f>Query1[[#This Row],[Shares]]*Query1[[#This Row],[Adj Close]]</f>
        <v>1232692.9829674365</v>
      </c>
      <c r="J968" s="3">
        <f>IF(ROW()&lt;3, Dashboard!$E$7, IF(Query1[[#This Row],[Month]]&lt;&gt;H967,J967*(1+Dashboard!$E$4)+Dashboard!$E$5,J967))</f>
        <v>906321.1982920554</v>
      </c>
      <c r="K968">
        <f>IF(ROW()&lt;3, 0,IF(Query1[[#This Row],[Month]]&lt;&gt;H967,IF((J968-I968&gt;0),J968-I968,0),0))</f>
        <v>0</v>
      </c>
      <c r="L968" s="2">
        <f t="shared" si="15"/>
        <v>3592.2989655359538</v>
      </c>
      <c r="M968">
        <f>IF(ROW()&lt;3, 0, IF(Query1[[#This Row],[Month]]&lt;&gt;H967, Dashboard!$J$5,0))</f>
        <v>0</v>
      </c>
      <c r="N968" s="2">
        <f>IF(ROW()&lt;3, Query1[[#This Row],[Shares]], IF(Query1[[#This Row],[Month]]&lt;&gt;H967, N967+Query1[[#This Row],[Fix Top Up]]/Query1[[#This Row],[Adj Close]], N967))</f>
        <v>3419.005492211154</v>
      </c>
      <c r="O968">
        <f>IF(AND(Query1[[#This Row],[avg]]&gt;0, Query1[[#This Row],[Month]]&lt;&gt;H967),
    IF(Query1[[#This Row],[Adj Close]]&gt;Query1[[#This Row],[avg]],
       Dashboard!$L$5-Dashboard!$E$6,
       Dashboard!$L$5+Dashboard!$E$6
    ), 0
)</f>
        <v>0</v>
      </c>
      <c r="P968" s="2">
        <f>IF(ROW()&lt;3, Query1[[#This Row],[Shares]], IF(Query1[[#This Row],[Month]]&lt;&gt;H967, P967+Query1[[#This Row],[Enhanced top up]]/Query1[[#This Row],[Adj Close]], P967))</f>
        <v>3411.9475634838318</v>
      </c>
      <c r="Q968" s="2">
        <f>IFERROR(AVERAGE(
  IF(ROW()&gt;20, INDEX(G:G, ROW()-20), 0) :
  INDEX(G:G, ROW())
),0)</f>
        <v>327.30421665736606</v>
      </c>
    </row>
    <row r="969" spans="1:17" x14ac:dyDescent="0.4">
      <c r="A969" s="1">
        <v>45233</v>
      </c>
      <c r="B969">
        <v>349.6300048828125</v>
      </c>
      <c r="C969">
        <v>354.3900146484375</v>
      </c>
      <c r="D969">
        <v>347.32998657226563</v>
      </c>
      <c r="E969">
        <v>352.79998779296875</v>
      </c>
      <c r="F969">
        <v>23637700</v>
      </c>
      <c r="G969">
        <v>347.56228637695313</v>
      </c>
      <c r="H969" s="2">
        <f>MONTH(Query1[[#This Row],[Date]])</f>
        <v>11</v>
      </c>
      <c r="I969" s="3">
        <f>Query1[[#This Row],[Shares]]*Query1[[#This Row],[Adj Close]]</f>
        <v>1248547.6418112395</v>
      </c>
      <c r="J969" s="3">
        <f>IF(ROW()&lt;3, Dashboard!$E$7, IF(Query1[[#This Row],[Month]]&lt;&gt;H968,J968*(1+Dashboard!$E$4)+Dashboard!$E$5,J968))</f>
        <v>906321.1982920554</v>
      </c>
      <c r="K969">
        <f>IF(ROW()&lt;3, 0,IF(Query1[[#This Row],[Month]]&lt;&gt;H968,IF((J969-I969&gt;0),J969-I969,0),0))</f>
        <v>0</v>
      </c>
      <c r="L969" s="2">
        <f t="shared" si="15"/>
        <v>3592.2989655359538</v>
      </c>
      <c r="M969">
        <f>IF(ROW()&lt;3, 0, IF(Query1[[#This Row],[Month]]&lt;&gt;H968, Dashboard!$J$5,0))</f>
        <v>0</v>
      </c>
      <c r="N969" s="2">
        <f>IF(ROW()&lt;3, Query1[[#This Row],[Shares]], IF(Query1[[#This Row],[Month]]&lt;&gt;H968, N968+Query1[[#This Row],[Fix Top Up]]/Query1[[#This Row],[Adj Close]], N968))</f>
        <v>3419.005492211154</v>
      </c>
      <c r="O969">
        <f>IF(AND(Query1[[#This Row],[avg]]&gt;0, Query1[[#This Row],[Month]]&lt;&gt;H968),
    IF(Query1[[#This Row],[Adj Close]]&gt;Query1[[#This Row],[avg]],
       Dashboard!$L$5-Dashboard!$E$6,
       Dashboard!$L$5+Dashboard!$E$6
    ), 0
)</f>
        <v>0</v>
      </c>
      <c r="P969" s="2">
        <f>IF(ROW()&lt;3, Query1[[#This Row],[Shares]], IF(Query1[[#This Row],[Month]]&lt;&gt;H968, P968+Query1[[#This Row],[Enhanced top up]]/Query1[[#This Row],[Adj Close]], P968))</f>
        <v>3411.9475634838318</v>
      </c>
      <c r="Q969" s="2">
        <f>IFERROR(AVERAGE(
  IF(ROW()&gt;20, INDEX(G:G, ROW()-20), 0) :
  INDEX(G:G, ROW())
),0)</f>
        <v>328.87295822870163</v>
      </c>
    </row>
    <row r="970" spans="1:17" x14ac:dyDescent="0.4">
      <c r="A970" s="1">
        <v>45236</v>
      </c>
      <c r="B970">
        <v>353.45001220703125</v>
      </c>
      <c r="C970">
        <v>357.54000854492188</v>
      </c>
      <c r="D970">
        <v>353.35000610351563</v>
      </c>
      <c r="E970">
        <v>356.52999877929688</v>
      </c>
      <c r="F970">
        <v>23828300</v>
      </c>
      <c r="G970">
        <v>351.23687744140625</v>
      </c>
      <c r="H970" s="2">
        <f>MONTH(Query1[[#This Row],[Date]])</f>
        <v>11</v>
      </c>
      <c r="I970" s="3">
        <f>Query1[[#This Row],[Shares]]*Query1[[#This Row],[Adj Close]]</f>
        <v>1261747.8714908422</v>
      </c>
      <c r="J970" s="3">
        <f>IF(ROW()&lt;3, Dashboard!$E$7, IF(Query1[[#This Row],[Month]]&lt;&gt;H969,J969*(1+Dashboard!$E$4)+Dashboard!$E$5,J969))</f>
        <v>906321.1982920554</v>
      </c>
      <c r="K970">
        <f>IF(ROW()&lt;3, 0,IF(Query1[[#This Row],[Month]]&lt;&gt;H969,IF((J970-I970&gt;0),J970-I970,0),0))</f>
        <v>0</v>
      </c>
      <c r="L970" s="2">
        <f t="shared" si="15"/>
        <v>3592.2989655359538</v>
      </c>
      <c r="M970">
        <f>IF(ROW()&lt;3, 0, IF(Query1[[#This Row],[Month]]&lt;&gt;H969, Dashboard!$J$5,0))</f>
        <v>0</v>
      </c>
      <c r="N970" s="2">
        <f>IF(ROW()&lt;3, Query1[[#This Row],[Shares]], IF(Query1[[#This Row],[Month]]&lt;&gt;H969, N969+Query1[[#This Row],[Fix Top Up]]/Query1[[#This Row],[Adj Close]], N969))</f>
        <v>3419.005492211154</v>
      </c>
      <c r="O970">
        <f>IF(AND(Query1[[#This Row],[avg]]&gt;0, Query1[[#This Row],[Month]]&lt;&gt;H969),
    IF(Query1[[#This Row],[Adj Close]]&gt;Query1[[#This Row],[avg]],
       Dashboard!$L$5-Dashboard!$E$6,
       Dashboard!$L$5+Dashboard!$E$6
    ), 0
)</f>
        <v>0</v>
      </c>
      <c r="P970" s="2">
        <f>IF(ROW()&lt;3, Query1[[#This Row],[Shares]], IF(Query1[[#This Row],[Month]]&lt;&gt;H969, P969+Query1[[#This Row],[Enhanced top up]]/Query1[[#This Row],[Adj Close]], P969))</f>
        <v>3411.9475634838318</v>
      </c>
      <c r="Q970" s="2">
        <f>IFERROR(AVERAGE(
  IF(ROW()&gt;20, INDEX(G:G, ROW()-20), 0) :
  INDEX(G:G, ROW())
),0)</f>
        <v>330.24607631138394</v>
      </c>
    </row>
    <row r="971" spans="1:17" x14ac:dyDescent="0.4">
      <c r="A971" s="1">
        <v>45237</v>
      </c>
      <c r="B971">
        <v>359.39999389648438</v>
      </c>
      <c r="C971">
        <v>362.45999145507813</v>
      </c>
      <c r="D971">
        <v>357.6300048828125</v>
      </c>
      <c r="E971">
        <v>360.52999877929688</v>
      </c>
      <c r="F971">
        <v>25833900</v>
      </c>
      <c r="G971">
        <v>355.17752075195313</v>
      </c>
      <c r="H971" s="2">
        <f>MONTH(Query1[[#This Row],[Date]])</f>
        <v>11</v>
      </c>
      <c r="I971" s="3">
        <f>Query1[[#This Row],[Shares]]*Query1[[#This Row],[Adj Close]]</f>
        <v>1275903.8403788661</v>
      </c>
      <c r="J971" s="3">
        <f>IF(ROW()&lt;3, Dashboard!$E$7, IF(Query1[[#This Row],[Month]]&lt;&gt;H970,J970*(1+Dashboard!$E$4)+Dashboard!$E$5,J970))</f>
        <v>906321.1982920554</v>
      </c>
      <c r="K971">
        <f>IF(ROW()&lt;3, 0,IF(Query1[[#This Row],[Month]]&lt;&gt;H970,IF((J971-I971&gt;0),J971-I971,0),0))</f>
        <v>0</v>
      </c>
      <c r="L971" s="2">
        <f t="shared" si="15"/>
        <v>3592.2989655359538</v>
      </c>
      <c r="M971">
        <f>IF(ROW()&lt;3, 0, IF(Query1[[#This Row],[Month]]&lt;&gt;H970, Dashboard!$J$5,0))</f>
        <v>0</v>
      </c>
      <c r="N971" s="2">
        <f>IF(ROW()&lt;3, Query1[[#This Row],[Shares]], IF(Query1[[#This Row],[Month]]&lt;&gt;H970, N970+Query1[[#This Row],[Fix Top Up]]/Query1[[#This Row],[Adj Close]], N970))</f>
        <v>3419.005492211154</v>
      </c>
      <c r="O971">
        <f>IF(AND(Query1[[#This Row],[avg]]&gt;0, Query1[[#This Row],[Month]]&lt;&gt;H970),
    IF(Query1[[#This Row],[Adj Close]]&gt;Query1[[#This Row],[avg]],
       Dashboard!$L$5-Dashboard!$E$6,
       Dashboard!$L$5+Dashboard!$E$6
    ), 0
)</f>
        <v>0</v>
      </c>
      <c r="P971" s="2">
        <f>IF(ROW()&lt;3, Query1[[#This Row],[Shares]], IF(Query1[[#This Row],[Month]]&lt;&gt;H970, P970+Query1[[#This Row],[Enhanced top up]]/Query1[[#This Row],[Adj Close]], P970))</f>
        <v>3411.9475634838318</v>
      </c>
      <c r="Q971" s="2">
        <f>IFERROR(AVERAGE(
  IF(ROW()&gt;20, INDEX(G:G, ROW()-20), 0) :
  INDEX(G:G, ROW())
),0)</f>
        <v>331.68674868629091</v>
      </c>
    </row>
    <row r="972" spans="1:17" x14ac:dyDescent="0.4">
      <c r="A972" s="1">
        <v>45238</v>
      </c>
      <c r="B972">
        <v>361.67999267578125</v>
      </c>
      <c r="C972">
        <v>363.8699951171875</v>
      </c>
      <c r="D972">
        <v>360.54998779296875</v>
      </c>
      <c r="E972">
        <v>363.20001220703125</v>
      </c>
      <c r="F972">
        <v>26767800</v>
      </c>
      <c r="G972">
        <v>357.80789184570313</v>
      </c>
      <c r="H972" s="2">
        <f>MONTH(Query1[[#This Row],[Date]])</f>
        <v>11</v>
      </c>
      <c r="I972" s="3">
        <f>Query1[[#This Row],[Shares]]*Query1[[#This Row],[Adj Close]]</f>
        <v>1285352.9197379197</v>
      </c>
      <c r="J972" s="3">
        <f>IF(ROW()&lt;3, Dashboard!$E$7, IF(Query1[[#This Row],[Month]]&lt;&gt;H971,J971*(1+Dashboard!$E$4)+Dashboard!$E$5,J971))</f>
        <v>906321.1982920554</v>
      </c>
      <c r="K972">
        <f>IF(ROW()&lt;3, 0,IF(Query1[[#This Row],[Month]]&lt;&gt;H971,IF((J972-I972&gt;0),J972-I972,0),0))</f>
        <v>0</v>
      </c>
      <c r="L972" s="2">
        <f t="shared" si="15"/>
        <v>3592.2989655359538</v>
      </c>
      <c r="M972">
        <f>IF(ROW()&lt;3, 0, IF(Query1[[#This Row],[Month]]&lt;&gt;H971, Dashboard!$J$5,0))</f>
        <v>0</v>
      </c>
      <c r="N972" s="2">
        <f>IF(ROW()&lt;3, Query1[[#This Row],[Shares]], IF(Query1[[#This Row],[Month]]&lt;&gt;H971, N971+Query1[[#This Row],[Fix Top Up]]/Query1[[#This Row],[Adj Close]], N971))</f>
        <v>3419.005492211154</v>
      </c>
      <c r="O972">
        <f>IF(AND(Query1[[#This Row],[avg]]&gt;0, Query1[[#This Row],[Month]]&lt;&gt;H971),
    IF(Query1[[#This Row],[Adj Close]]&gt;Query1[[#This Row],[avg]],
       Dashboard!$L$5-Dashboard!$E$6,
       Dashboard!$L$5+Dashboard!$E$6
    ), 0
)</f>
        <v>0</v>
      </c>
      <c r="P972" s="2">
        <f>IF(ROW()&lt;3, Query1[[#This Row],[Shares]], IF(Query1[[#This Row],[Month]]&lt;&gt;H971, P971+Query1[[#This Row],[Enhanced top up]]/Query1[[#This Row],[Adj Close]], P971))</f>
        <v>3411.9475634838318</v>
      </c>
      <c r="Q972" s="2">
        <f>IFERROR(AVERAGE(
  IF(ROW()&gt;20, INDEX(G:G, ROW()-20), 0) :
  INDEX(G:G, ROW())
),0)</f>
        <v>333.31976027715774</v>
      </c>
    </row>
    <row r="973" spans="1:17" x14ac:dyDescent="0.4">
      <c r="A973" s="1">
        <v>45239</v>
      </c>
      <c r="B973">
        <v>362.29998779296875</v>
      </c>
      <c r="C973">
        <v>364.79000854492188</v>
      </c>
      <c r="D973">
        <v>360.3599853515625</v>
      </c>
      <c r="E973">
        <v>360.69000244140625</v>
      </c>
      <c r="F973">
        <v>24847300</v>
      </c>
      <c r="G973">
        <v>355.33511352539063</v>
      </c>
      <c r="H973" s="2">
        <f>MONTH(Query1[[#This Row],[Date]])</f>
        <v>11</v>
      </c>
      <c r="I973" s="3">
        <f>Query1[[#This Row],[Shares]]*Query1[[#This Row],[Adj Close]]</f>
        <v>1276469.9607358614</v>
      </c>
      <c r="J973" s="3">
        <f>IF(ROW()&lt;3, Dashboard!$E$7, IF(Query1[[#This Row],[Month]]&lt;&gt;H972,J972*(1+Dashboard!$E$4)+Dashboard!$E$5,J972))</f>
        <v>906321.1982920554</v>
      </c>
      <c r="K973">
        <f>IF(ROW()&lt;3, 0,IF(Query1[[#This Row],[Month]]&lt;&gt;H972,IF((J973-I973&gt;0),J973-I973,0),0))</f>
        <v>0</v>
      </c>
      <c r="L973" s="2">
        <f t="shared" si="15"/>
        <v>3592.2989655359538</v>
      </c>
      <c r="M973">
        <f>IF(ROW()&lt;3, 0, IF(Query1[[#This Row],[Month]]&lt;&gt;H972, Dashboard!$J$5,0))</f>
        <v>0</v>
      </c>
      <c r="N973" s="2">
        <f>IF(ROW()&lt;3, Query1[[#This Row],[Shares]], IF(Query1[[#This Row],[Month]]&lt;&gt;H972, N972+Query1[[#This Row],[Fix Top Up]]/Query1[[#This Row],[Adj Close]], N972))</f>
        <v>3419.005492211154</v>
      </c>
      <c r="O973">
        <f>IF(AND(Query1[[#This Row],[avg]]&gt;0, Query1[[#This Row],[Month]]&lt;&gt;H972),
    IF(Query1[[#This Row],[Adj Close]]&gt;Query1[[#This Row],[avg]],
       Dashboard!$L$5-Dashboard!$E$6,
       Dashboard!$L$5+Dashboard!$E$6
    ), 0
)</f>
        <v>0</v>
      </c>
      <c r="P973" s="2">
        <f>IF(ROW()&lt;3, Query1[[#This Row],[Shares]], IF(Query1[[#This Row],[Month]]&lt;&gt;H972, P972+Query1[[#This Row],[Enhanced top up]]/Query1[[#This Row],[Adj Close]], P972))</f>
        <v>3411.9475634838318</v>
      </c>
      <c r="Q973" s="2">
        <f>IFERROR(AVERAGE(
  IF(ROW()&gt;20, INDEX(G:G, ROW()-20), 0) :
  INDEX(G:G, ROW())
),0)</f>
        <v>334.64596412295384</v>
      </c>
    </row>
    <row r="974" spans="1:17" x14ac:dyDescent="0.4">
      <c r="A974" s="1">
        <v>45240</v>
      </c>
      <c r="B974">
        <v>361.489990234375</v>
      </c>
      <c r="C974">
        <v>370.10000610351563</v>
      </c>
      <c r="D974">
        <v>361.07000732421875</v>
      </c>
      <c r="E974">
        <v>369.67001342773438</v>
      </c>
      <c r="F974">
        <v>28042100</v>
      </c>
      <c r="G974">
        <v>364.18179321289063</v>
      </c>
      <c r="H974" s="2">
        <f>MONTH(Query1[[#This Row],[Date]])</f>
        <v>11</v>
      </c>
      <c r="I974" s="3">
        <f>Query1[[#This Row],[Shares]]*Query1[[#This Row],[Adj Close]]</f>
        <v>1308249.8790256956</v>
      </c>
      <c r="J974" s="3">
        <f>IF(ROW()&lt;3, Dashboard!$E$7, IF(Query1[[#This Row],[Month]]&lt;&gt;H973,J973*(1+Dashboard!$E$4)+Dashboard!$E$5,J973))</f>
        <v>906321.1982920554</v>
      </c>
      <c r="K974">
        <f>IF(ROW()&lt;3, 0,IF(Query1[[#This Row],[Month]]&lt;&gt;H973,IF((J974-I974&gt;0),J974-I974,0),0))</f>
        <v>0</v>
      </c>
      <c r="L974" s="2">
        <f t="shared" si="15"/>
        <v>3592.2989655359538</v>
      </c>
      <c r="M974">
        <f>IF(ROW()&lt;3, 0, IF(Query1[[#This Row],[Month]]&lt;&gt;H973, Dashboard!$J$5,0))</f>
        <v>0</v>
      </c>
      <c r="N974" s="2">
        <f>IF(ROW()&lt;3, Query1[[#This Row],[Shares]], IF(Query1[[#This Row],[Month]]&lt;&gt;H973, N973+Query1[[#This Row],[Fix Top Up]]/Query1[[#This Row],[Adj Close]], N973))</f>
        <v>3419.005492211154</v>
      </c>
      <c r="O974">
        <f>IF(AND(Query1[[#This Row],[avg]]&gt;0, Query1[[#This Row],[Month]]&lt;&gt;H973),
    IF(Query1[[#This Row],[Adj Close]]&gt;Query1[[#This Row],[avg]],
       Dashboard!$L$5-Dashboard!$E$6,
       Dashboard!$L$5+Dashboard!$E$6
    ), 0
)</f>
        <v>0</v>
      </c>
      <c r="P974" s="2">
        <f>IF(ROW()&lt;3, Query1[[#This Row],[Shares]], IF(Query1[[#This Row],[Month]]&lt;&gt;H973, P973+Query1[[#This Row],[Enhanced top up]]/Query1[[#This Row],[Adj Close]], P973))</f>
        <v>3411.9475634838318</v>
      </c>
      <c r="Q974" s="2">
        <f>IFERROR(AVERAGE(
  IF(ROW()&gt;20, INDEX(G:G, ROW()-20), 0) :
  INDEX(G:G, ROW())
),0)</f>
        <v>336.45254807245163</v>
      </c>
    </row>
    <row r="975" spans="1:17" x14ac:dyDescent="0.4">
      <c r="A975" s="1">
        <v>45243</v>
      </c>
      <c r="B975">
        <v>368.22000122070313</v>
      </c>
      <c r="C975">
        <v>368.47000122070313</v>
      </c>
      <c r="D975">
        <v>365.89999389648438</v>
      </c>
      <c r="E975">
        <v>366.67999267578125</v>
      </c>
      <c r="F975">
        <v>19986500</v>
      </c>
      <c r="G975">
        <v>361.23617553710938</v>
      </c>
      <c r="H975" s="2">
        <f>MONTH(Query1[[#This Row],[Date]])</f>
        <v>11</v>
      </c>
      <c r="I975" s="3">
        <f>Query1[[#This Row],[Shares]]*Query1[[#This Row],[Adj Close]]</f>
        <v>1297668.3396961223</v>
      </c>
      <c r="J975" s="3">
        <f>IF(ROW()&lt;3, Dashboard!$E$7, IF(Query1[[#This Row],[Month]]&lt;&gt;H974,J974*(1+Dashboard!$E$4)+Dashboard!$E$5,J974))</f>
        <v>906321.1982920554</v>
      </c>
      <c r="K975">
        <f>IF(ROW()&lt;3, 0,IF(Query1[[#This Row],[Month]]&lt;&gt;H974,IF((J975-I975&gt;0),J975-I975,0),0))</f>
        <v>0</v>
      </c>
      <c r="L975" s="2">
        <f t="shared" si="15"/>
        <v>3592.2989655359538</v>
      </c>
      <c r="M975">
        <f>IF(ROW()&lt;3, 0, IF(Query1[[#This Row],[Month]]&lt;&gt;H974, Dashboard!$J$5,0))</f>
        <v>0</v>
      </c>
      <c r="N975" s="2">
        <f>IF(ROW()&lt;3, Query1[[#This Row],[Shares]], IF(Query1[[#This Row],[Month]]&lt;&gt;H974, N974+Query1[[#This Row],[Fix Top Up]]/Query1[[#This Row],[Adj Close]], N974))</f>
        <v>3419.005492211154</v>
      </c>
      <c r="O975">
        <f>IF(AND(Query1[[#This Row],[avg]]&gt;0, Query1[[#This Row],[Month]]&lt;&gt;H974),
    IF(Query1[[#This Row],[Adj Close]]&gt;Query1[[#This Row],[avg]],
       Dashboard!$L$5-Dashboard!$E$6,
       Dashboard!$L$5+Dashboard!$E$6
    ), 0
)</f>
        <v>0</v>
      </c>
      <c r="P975" s="2">
        <f>IF(ROW()&lt;3, Query1[[#This Row],[Shares]], IF(Query1[[#This Row],[Month]]&lt;&gt;H974, P974+Query1[[#This Row],[Enhanced top up]]/Query1[[#This Row],[Adj Close]], P974))</f>
        <v>3411.9475634838318</v>
      </c>
      <c r="Q975" s="2">
        <f>IFERROR(AVERAGE(
  IF(ROW()&gt;20, INDEX(G:G, ROW()-20), 0) :
  INDEX(G:G, ROW())
),0)</f>
        <v>338.27977207728793</v>
      </c>
    </row>
    <row r="976" spans="1:17" x14ac:dyDescent="0.4">
      <c r="A976" s="1">
        <v>45244</v>
      </c>
      <c r="B976">
        <v>371.010009765625</v>
      </c>
      <c r="C976">
        <v>371.95001220703125</v>
      </c>
      <c r="D976">
        <v>367.35000610351563</v>
      </c>
      <c r="E976">
        <v>370.26998901367188</v>
      </c>
      <c r="F976">
        <v>27683900</v>
      </c>
      <c r="G976">
        <v>364.77288818359375</v>
      </c>
      <c r="H976" s="2">
        <f>MONTH(Query1[[#This Row],[Date]])</f>
        <v>11</v>
      </c>
      <c r="I976" s="3">
        <f>Query1[[#This Row],[Shares]]*Query1[[#This Row],[Adj Close]]</f>
        <v>1310373.268877486</v>
      </c>
      <c r="J976" s="3">
        <f>IF(ROW()&lt;3, Dashboard!$E$7, IF(Query1[[#This Row],[Month]]&lt;&gt;H975,J975*(1+Dashboard!$E$4)+Dashboard!$E$5,J975))</f>
        <v>906321.1982920554</v>
      </c>
      <c r="K976">
        <f>IF(ROW()&lt;3, 0,IF(Query1[[#This Row],[Month]]&lt;&gt;H975,IF((J976-I976&gt;0),J976-I976,0),0))</f>
        <v>0</v>
      </c>
      <c r="L976" s="2">
        <f t="shared" si="15"/>
        <v>3592.2989655359538</v>
      </c>
      <c r="M976">
        <f>IF(ROW()&lt;3, 0, IF(Query1[[#This Row],[Month]]&lt;&gt;H975, Dashboard!$J$5,0))</f>
        <v>0</v>
      </c>
      <c r="N976" s="2">
        <f>IF(ROW()&lt;3, Query1[[#This Row],[Shares]], IF(Query1[[#This Row],[Month]]&lt;&gt;H975, N975+Query1[[#This Row],[Fix Top Up]]/Query1[[#This Row],[Adj Close]], N975))</f>
        <v>3419.005492211154</v>
      </c>
      <c r="O976">
        <f>IF(AND(Query1[[#This Row],[avg]]&gt;0, Query1[[#This Row],[Month]]&lt;&gt;H975),
    IF(Query1[[#This Row],[Adj Close]]&gt;Query1[[#This Row],[avg]],
       Dashboard!$L$5-Dashboard!$E$6,
       Dashboard!$L$5+Dashboard!$E$6
    ), 0
)</f>
        <v>0</v>
      </c>
      <c r="P976" s="2">
        <f>IF(ROW()&lt;3, Query1[[#This Row],[Shares]], IF(Query1[[#This Row],[Month]]&lt;&gt;H975, P975+Query1[[#This Row],[Enhanced top up]]/Query1[[#This Row],[Adj Close]], P975))</f>
        <v>3411.9475634838318</v>
      </c>
      <c r="Q976" s="2">
        <f>IFERROR(AVERAGE(
  IF(ROW()&gt;20, INDEX(G:G, ROW()-20), 0) :
  INDEX(G:G, ROW())
),0)</f>
        <v>340.04507155645462</v>
      </c>
    </row>
    <row r="977" spans="1:17" x14ac:dyDescent="0.4">
      <c r="A977" s="1">
        <v>45245</v>
      </c>
      <c r="B977">
        <v>371.27999877929688</v>
      </c>
      <c r="C977">
        <v>373.1300048828125</v>
      </c>
      <c r="D977">
        <v>367.1099853515625</v>
      </c>
      <c r="E977">
        <v>369.67001342773438</v>
      </c>
      <c r="F977">
        <v>26860100</v>
      </c>
      <c r="G977">
        <v>364.92098999023438</v>
      </c>
      <c r="H977" s="2">
        <f>MONTH(Query1[[#This Row],[Date]])</f>
        <v>11</v>
      </c>
      <c r="I977" s="3">
        <f>Query1[[#This Row],[Shares]]*Query1[[#This Row],[Adj Close]]</f>
        <v>1310905.2948442751</v>
      </c>
      <c r="J977" s="3">
        <f>IF(ROW()&lt;3, Dashboard!$E$7, IF(Query1[[#This Row],[Month]]&lt;&gt;H976,J976*(1+Dashboard!$E$4)+Dashboard!$E$5,J976))</f>
        <v>906321.1982920554</v>
      </c>
      <c r="K977">
        <f>IF(ROW()&lt;3, 0,IF(Query1[[#This Row],[Month]]&lt;&gt;H976,IF((J977-I977&gt;0),J977-I977,0),0))</f>
        <v>0</v>
      </c>
      <c r="L977" s="2">
        <f t="shared" si="15"/>
        <v>3592.2989655359538</v>
      </c>
      <c r="M977">
        <f>IF(ROW()&lt;3, 0, IF(Query1[[#This Row],[Month]]&lt;&gt;H976, Dashboard!$J$5,0))</f>
        <v>0</v>
      </c>
      <c r="N977" s="2">
        <f>IF(ROW()&lt;3, Query1[[#This Row],[Shares]], IF(Query1[[#This Row],[Month]]&lt;&gt;H976, N976+Query1[[#This Row],[Fix Top Up]]/Query1[[#This Row],[Adj Close]], N976))</f>
        <v>3419.005492211154</v>
      </c>
      <c r="O977">
        <f>IF(AND(Query1[[#This Row],[avg]]&gt;0, Query1[[#This Row],[Month]]&lt;&gt;H976),
    IF(Query1[[#This Row],[Adj Close]]&gt;Query1[[#This Row],[avg]],
       Dashboard!$L$5-Dashboard!$E$6,
       Dashboard!$L$5+Dashboard!$E$6
    ), 0
)</f>
        <v>0</v>
      </c>
      <c r="P977" s="2">
        <f>IF(ROW()&lt;3, Query1[[#This Row],[Shares]], IF(Query1[[#This Row],[Month]]&lt;&gt;H976, P976+Query1[[#This Row],[Enhanced top up]]/Query1[[#This Row],[Adj Close]], P976))</f>
        <v>3411.9475634838318</v>
      </c>
      <c r="Q977" s="2">
        <f>IFERROR(AVERAGE(
  IF(ROW()&gt;20, INDEX(G:G, ROW()-20), 0) :
  INDEX(G:G, ROW())
),0)</f>
        <v>341.84463500976563</v>
      </c>
    </row>
    <row r="978" spans="1:17" x14ac:dyDescent="0.4">
      <c r="A978" s="1">
        <v>45246</v>
      </c>
      <c r="B978">
        <v>370.95999145507813</v>
      </c>
      <c r="C978">
        <v>376.35000610351563</v>
      </c>
      <c r="D978">
        <v>370.17999267578125</v>
      </c>
      <c r="E978">
        <v>376.17001342773438</v>
      </c>
      <c r="F978">
        <v>27182300</v>
      </c>
      <c r="G978">
        <v>371.33749389648438</v>
      </c>
      <c r="H978" s="2">
        <f>MONTH(Query1[[#This Row],[Date]])</f>
        <v>11</v>
      </c>
      <c r="I978" s="3">
        <f>Query1[[#This Row],[Shares]]*Query1[[#This Row],[Adj Close]]</f>
        <v>1333955.2951890545</v>
      </c>
      <c r="J978" s="3">
        <f>IF(ROW()&lt;3, Dashboard!$E$7, IF(Query1[[#This Row],[Month]]&lt;&gt;H977,J977*(1+Dashboard!$E$4)+Dashboard!$E$5,J977))</f>
        <v>906321.1982920554</v>
      </c>
      <c r="K978">
        <f>IF(ROW()&lt;3, 0,IF(Query1[[#This Row],[Month]]&lt;&gt;H977,IF((J978-I978&gt;0),J978-I978,0),0))</f>
        <v>0</v>
      </c>
      <c r="L978" s="2">
        <f t="shared" si="15"/>
        <v>3592.2989655359538</v>
      </c>
      <c r="M978">
        <f>IF(ROW()&lt;3, 0, IF(Query1[[#This Row],[Month]]&lt;&gt;H977, Dashboard!$J$5,0))</f>
        <v>0</v>
      </c>
      <c r="N978" s="2">
        <f>IF(ROW()&lt;3, Query1[[#This Row],[Shares]], IF(Query1[[#This Row],[Month]]&lt;&gt;H977, N977+Query1[[#This Row],[Fix Top Up]]/Query1[[#This Row],[Adj Close]], N977))</f>
        <v>3419.005492211154</v>
      </c>
      <c r="O978">
        <f>IF(AND(Query1[[#This Row],[avg]]&gt;0, Query1[[#This Row],[Month]]&lt;&gt;H977),
    IF(Query1[[#This Row],[Adj Close]]&gt;Query1[[#This Row],[avg]],
       Dashboard!$L$5-Dashboard!$E$6,
       Dashboard!$L$5+Dashboard!$E$6
    ), 0
)</f>
        <v>0</v>
      </c>
      <c r="P978" s="2">
        <f>IF(ROW()&lt;3, Query1[[#This Row],[Shares]], IF(Query1[[#This Row],[Month]]&lt;&gt;H977, P977+Query1[[#This Row],[Enhanced top up]]/Query1[[#This Row],[Adj Close]], P977))</f>
        <v>3411.9475634838318</v>
      </c>
      <c r="Q978" s="2">
        <f>IFERROR(AVERAGE(
  IF(ROW()&gt;20, INDEX(G:G, ROW()-20), 0) :
  INDEX(G:G, ROW())
),0)</f>
        <v>344.04122488839283</v>
      </c>
    </row>
    <row r="979" spans="1:17" x14ac:dyDescent="0.4">
      <c r="A979" s="1">
        <v>45247</v>
      </c>
      <c r="B979">
        <v>373.6099853515625</v>
      </c>
      <c r="C979">
        <v>374.3699951171875</v>
      </c>
      <c r="D979">
        <v>367</v>
      </c>
      <c r="E979">
        <v>369.85000610351563</v>
      </c>
      <c r="F979">
        <v>40157000</v>
      </c>
      <c r="G979">
        <v>365.0986328125</v>
      </c>
      <c r="H979" s="2">
        <f>MONTH(Query1[[#This Row],[Date]])</f>
        <v>11</v>
      </c>
      <c r="I979" s="3">
        <f>Query1[[#This Row],[Shares]]*Query1[[#This Row],[Adj Close]]</f>
        <v>1311543.4409709347</v>
      </c>
      <c r="J979" s="3">
        <f>IF(ROW()&lt;3, Dashboard!$E$7, IF(Query1[[#This Row],[Month]]&lt;&gt;H978,J978*(1+Dashboard!$E$4)+Dashboard!$E$5,J978))</f>
        <v>906321.1982920554</v>
      </c>
      <c r="K979">
        <f>IF(ROW()&lt;3, 0,IF(Query1[[#This Row],[Month]]&lt;&gt;H978,IF((J979-I979&gt;0),J979-I979,0),0))</f>
        <v>0</v>
      </c>
      <c r="L979" s="2">
        <f t="shared" si="15"/>
        <v>3592.2989655359538</v>
      </c>
      <c r="M979">
        <f>IF(ROW()&lt;3, 0, IF(Query1[[#This Row],[Month]]&lt;&gt;H978, Dashboard!$J$5,0))</f>
        <v>0</v>
      </c>
      <c r="N979" s="2">
        <f>IF(ROW()&lt;3, Query1[[#This Row],[Shares]], IF(Query1[[#This Row],[Month]]&lt;&gt;H978, N978+Query1[[#This Row],[Fix Top Up]]/Query1[[#This Row],[Adj Close]], N978))</f>
        <v>3419.005492211154</v>
      </c>
      <c r="O979">
        <f>IF(AND(Query1[[#This Row],[avg]]&gt;0, Query1[[#This Row],[Month]]&lt;&gt;H978),
    IF(Query1[[#This Row],[Adj Close]]&gt;Query1[[#This Row],[avg]],
       Dashboard!$L$5-Dashboard!$E$6,
       Dashboard!$L$5+Dashboard!$E$6
    ), 0
)</f>
        <v>0</v>
      </c>
      <c r="P979" s="2">
        <f>IF(ROW()&lt;3, Query1[[#This Row],[Shares]], IF(Query1[[#This Row],[Month]]&lt;&gt;H978, P978+Query1[[#This Row],[Enhanced top up]]/Query1[[#This Row],[Adj Close]], P978))</f>
        <v>3411.9475634838318</v>
      </c>
      <c r="Q979" s="2">
        <f>IFERROR(AVERAGE(
  IF(ROW()&gt;20, INDEX(G:G, ROW()-20), 0) :
  INDEX(G:G, ROW())
),0)</f>
        <v>345.88396199544269</v>
      </c>
    </row>
    <row r="980" spans="1:17" x14ac:dyDescent="0.4">
      <c r="A980" s="1">
        <v>45250</v>
      </c>
      <c r="B980">
        <v>371.22000122070313</v>
      </c>
      <c r="C980">
        <v>378.8699951171875</v>
      </c>
      <c r="D980">
        <v>371</v>
      </c>
      <c r="E980">
        <v>377.44000244140625</v>
      </c>
      <c r="F980">
        <v>52465100</v>
      </c>
      <c r="G980">
        <v>372.59112548828125</v>
      </c>
      <c r="H980" s="2">
        <f>MONTH(Query1[[#This Row],[Date]])</f>
        <v>11</v>
      </c>
      <c r="I980" s="3">
        <f>Query1[[#This Row],[Shares]]*Query1[[#This Row],[Adj Close]]</f>
        <v>1338458.7146594294</v>
      </c>
      <c r="J980" s="3">
        <f>IF(ROW()&lt;3, Dashboard!$E$7, IF(Query1[[#This Row],[Month]]&lt;&gt;H979,J979*(1+Dashboard!$E$4)+Dashboard!$E$5,J979))</f>
        <v>906321.1982920554</v>
      </c>
      <c r="K980">
        <f>IF(ROW()&lt;3, 0,IF(Query1[[#This Row],[Month]]&lt;&gt;H979,IF((J980-I980&gt;0),J980-I980,0),0))</f>
        <v>0</v>
      </c>
      <c r="L980" s="2">
        <f t="shared" si="15"/>
        <v>3592.2989655359538</v>
      </c>
      <c r="M980">
        <f>IF(ROW()&lt;3, 0, IF(Query1[[#This Row],[Month]]&lt;&gt;H979, Dashboard!$J$5,0))</f>
        <v>0</v>
      </c>
      <c r="N980" s="2">
        <f>IF(ROW()&lt;3, Query1[[#This Row],[Shares]], IF(Query1[[#This Row],[Month]]&lt;&gt;H979, N979+Query1[[#This Row],[Fix Top Up]]/Query1[[#This Row],[Adj Close]], N979))</f>
        <v>3419.005492211154</v>
      </c>
      <c r="O980">
        <f>IF(AND(Query1[[#This Row],[avg]]&gt;0, Query1[[#This Row],[Month]]&lt;&gt;H979),
    IF(Query1[[#This Row],[Adj Close]]&gt;Query1[[#This Row],[avg]],
       Dashboard!$L$5-Dashboard!$E$6,
       Dashboard!$L$5+Dashboard!$E$6
    ), 0
)</f>
        <v>0</v>
      </c>
      <c r="P980" s="2">
        <f>IF(ROW()&lt;3, Query1[[#This Row],[Shares]], IF(Query1[[#This Row],[Month]]&lt;&gt;H979, P979+Query1[[#This Row],[Enhanced top up]]/Query1[[#This Row],[Adj Close]], P979))</f>
        <v>3411.9475634838318</v>
      </c>
      <c r="Q980" s="2">
        <f>IFERROR(AVERAGE(
  IF(ROW()&gt;20, INDEX(G:G, ROW()-20), 0) :
  INDEX(G:G, ROW())
),0)</f>
        <v>348.30162556966144</v>
      </c>
    </row>
    <row r="981" spans="1:17" x14ac:dyDescent="0.4">
      <c r="A981" s="1">
        <v>45251</v>
      </c>
      <c r="B981">
        <v>375.67001342773438</v>
      </c>
      <c r="C981">
        <v>376.22000122070313</v>
      </c>
      <c r="D981">
        <v>371.1199951171875</v>
      </c>
      <c r="E981">
        <v>373.07000732421875</v>
      </c>
      <c r="F981">
        <v>28423100</v>
      </c>
      <c r="G981">
        <v>368.27728271484375</v>
      </c>
      <c r="H981" s="2">
        <f>MONTH(Query1[[#This Row],[Date]])</f>
        <v>11</v>
      </c>
      <c r="I981" s="3">
        <f>Query1[[#This Row],[Shares]]*Query1[[#This Row],[Adj Close]]</f>
        <v>1322962.1017269252</v>
      </c>
      <c r="J981" s="3">
        <f>IF(ROW()&lt;3, Dashboard!$E$7, IF(Query1[[#This Row],[Month]]&lt;&gt;H980,J980*(1+Dashboard!$E$4)+Dashboard!$E$5,J980))</f>
        <v>906321.1982920554</v>
      </c>
      <c r="K981">
        <f>IF(ROW()&lt;3, 0,IF(Query1[[#This Row],[Month]]&lt;&gt;H980,IF((J981-I981&gt;0),J981-I981,0),0))</f>
        <v>0</v>
      </c>
      <c r="L981" s="2">
        <f t="shared" si="15"/>
        <v>3592.2989655359538</v>
      </c>
      <c r="M981">
        <f>IF(ROW()&lt;3, 0, IF(Query1[[#This Row],[Month]]&lt;&gt;H980, Dashboard!$J$5,0))</f>
        <v>0</v>
      </c>
      <c r="N981" s="2">
        <f>IF(ROW()&lt;3, Query1[[#This Row],[Shares]], IF(Query1[[#This Row],[Month]]&lt;&gt;H980, N980+Query1[[#This Row],[Fix Top Up]]/Query1[[#This Row],[Adj Close]], N980))</f>
        <v>3419.005492211154</v>
      </c>
      <c r="O981">
        <f>IF(AND(Query1[[#This Row],[avg]]&gt;0, Query1[[#This Row],[Month]]&lt;&gt;H980),
    IF(Query1[[#This Row],[Adj Close]]&gt;Query1[[#This Row],[avg]],
       Dashboard!$L$5-Dashboard!$E$6,
       Dashboard!$L$5+Dashboard!$E$6
    ), 0
)</f>
        <v>0</v>
      </c>
      <c r="P981" s="2">
        <f>IF(ROW()&lt;3, Query1[[#This Row],[Shares]], IF(Query1[[#This Row],[Month]]&lt;&gt;H980, P980+Query1[[#This Row],[Enhanced top up]]/Query1[[#This Row],[Adj Close]], P980))</f>
        <v>3411.9475634838318</v>
      </c>
      <c r="Q981" s="2">
        <f>IFERROR(AVERAGE(
  IF(ROW()&gt;20, INDEX(G:G, ROW()-20), 0) :
  INDEX(G:G, ROW())
),0)</f>
        <v>350.38954961867557</v>
      </c>
    </row>
    <row r="982" spans="1:17" x14ac:dyDescent="0.4">
      <c r="A982" s="1">
        <v>45252</v>
      </c>
      <c r="B982">
        <v>378</v>
      </c>
      <c r="C982">
        <v>379.79000854492188</v>
      </c>
      <c r="D982">
        <v>374.97000122070313</v>
      </c>
      <c r="E982">
        <v>377.85000610351563</v>
      </c>
      <c r="F982">
        <v>23345300</v>
      </c>
      <c r="G982">
        <v>372.99591064453125</v>
      </c>
      <c r="H982" s="2">
        <f>MONTH(Query1[[#This Row],[Date]])</f>
        <v>11</v>
      </c>
      <c r="I982" s="3">
        <f>Query1[[#This Row],[Shares]]*Query1[[#This Row],[Adj Close]]</f>
        <v>1339912.8239574907</v>
      </c>
      <c r="J982" s="3">
        <f>IF(ROW()&lt;3, Dashboard!$E$7, IF(Query1[[#This Row],[Month]]&lt;&gt;H981,J981*(1+Dashboard!$E$4)+Dashboard!$E$5,J981))</f>
        <v>906321.1982920554</v>
      </c>
      <c r="K982">
        <f>IF(ROW()&lt;3, 0,IF(Query1[[#This Row],[Month]]&lt;&gt;H981,IF((J982-I982&gt;0),J982-I982,0),0))</f>
        <v>0</v>
      </c>
      <c r="L982" s="2">
        <f t="shared" si="15"/>
        <v>3592.2989655359538</v>
      </c>
      <c r="M982">
        <f>IF(ROW()&lt;3, 0, IF(Query1[[#This Row],[Month]]&lt;&gt;H981, Dashboard!$J$5,0))</f>
        <v>0</v>
      </c>
      <c r="N982" s="2">
        <f>IF(ROW()&lt;3, Query1[[#This Row],[Shares]], IF(Query1[[#This Row],[Month]]&lt;&gt;H981, N981+Query1[[#This Row],[Fix Top Up]]/Query1[[#This Row],[Adj Close]], N981))</f>
        <v>3419.005492211154</v>
      </c>
      <c r="O982">
        <f>IF(AND(Query1[[#This Row],[avg]]&gt;0, Query1[[#This Row],[Month]]&lt;&gt;H981),
    IF(Query1[[#This Row],[Adj Close]]&gt;Query1[[#This Row],[avg]],
       Dashboard!$L$5-Dashboard!$E$6,
       Dashboard!$L$5+Dashboard!$E$6
    ), 0
)</f>
        <v>0</v>
      </c>
      <c r="P982" s="2">
        <f>IF(ROW()&lt;3, Query1[[#This Row],[Shares]], IF(Query1[[#This Row],[Month]]&lt;&gt;H981, P981+Query1[[#This Row],[Enhanced top up]]/Query1[[#This Row],[Adj Close]], P981))</f>
        <v>3411.9475634838318</v>
      </c>
      <c r="Q982" s="2">
        <f>IFERROR(AVERAGE(
  IF(ROW()&gt;20, INDEX(G:G, ROW()-20), 0) :
  INDEX(G:G, ROW())
),0)</f>
        <v>352.6454075404576</v>
      </c>
    </row>
    <row r="983" spans="1:17" x14ac:dyDescent="0.4">
      <c r="A983" s="1">
        <v>45254</v>
      </c>
      <c r="B983">
        <v>377.32998657226563</v>
      </c>
      <c r="C983">
        <v>377.97000122070313</v>
      </c>
      <c r="D983">
        <v>375.1400146484375</v>
      </c>
      <c r="E983">
        <v>377.42999267578125</v>
      </c>
      <c r="F983">
        <v>10176600</v>
      </c>
      <c r="G983">
        <v>372.58126831054688</v>
      </c>
      <c r="H983" s="2">
        <f>MONTH(Query1[[#This Row],[Date]])</f>
        <v>11</v>
      </c>
      <c r="I983" s="3">
        <f>Query1[[#This Row],[Shares]]*Query1[[#This Row],[Adj Close]]</f>
        <v>1338423.3047300512</v>
      </c>
      <c r="J983" s="3">
        <f>IF(ROW()&lt;3, Dashboard!$E$7, IF(Query1[[#This Row],[Month]]&lt;&gt;H982,J982*(1+Dashboard!$E$4)+Dashboard!$E$5,J982))</f>
        <v>906321.1982920554</v>
      </c>
      <c r="K983">
        <f>IF(ROW()&lt;3, 0,IF(Query1[[#This Row],[Month]]&lt;&gt;H982,IF((J983-I983&gt;0),J983-I983,0),0))</f>
        <v>0</v>
      </c>
      <c r="L983" s="2">
        <f t="shared" si="15"/>
        <v>3592.2989655359538</v>
      </c>
      <c r="M983">
        <f>IF(ROW()&lt;3, 0, IF(Query1[[#This Row],[Month]]&lt;&gt;H982, Dashboard!$J$5,0))</f>
        <v>0</v>
      </c>
      <c r="N983" s="2">
        <f>IF(ROW()&lt;3, Query1[[#This Row],[Shares]], IF(Query1[[#This Row],[Month]]&lt;&gt;H982, N982+Query1[[#This Row],[Fix Top Up]]/Query1[[#This Row],[Adj Close]], N982))</f>
        <v>3419.005492211154</v>
      </c>
      <c r="O983">
        <f>IF(AND(Query1[[#This Row],[avg]]&gt;0, Query1[[#This Row],[Month]]&lt;&gt;H982),
    IF(Query1[[#This Row],[Adj Close]]&gt;Query1[[#This Row],[avg]],
       Dashboard!$L$5-Dashboard!$E$6,
       Dashboard!$L$5+Dashboard!$E$6
    ), 0
)</f>
        <v>0</v>
      </c>
      <c r="P983" s="2">
        <f>IF(ROW()&lt;3, Query1[[#This Row],[Shares]], IF(Query1[[#This Row],[Month]]&lt;&gt;H982, P982+Query1[[#This Row],[Enhanced top up]]/Query1[[#This Row],[Adj Close]], P982))</f>
        <v>3411.9475634838318</v>
      </c>
      <c r="Q983" s="2">
        <f>IFERROR(AVERAGE(
  IF(ROW()&gt;20, INDEX(G:G, ROW()-20), 0) :
  INDEX(G:G, ROW())
),0)</f>
        <v>354.40583292643231</v>
      </c>
    </row>
    <row r="984" spans="1:17" x14ac:dyDescent="0.4">
      <c r="A984" s="1">
        <v>45257</v>
      </c>
      <c r="B984">
        <v>376.77999877929688</v>
      </c>
      <c r="C984">
        <v>380.6400146484375</v>
      </c>
      <c r="D984">
        <v>376.20001220703125</v>
      </c>
      <c r="E984">
        <v>378.6099853515625</v>
      </c>
      <c r="F984">
        <v>22179200</v>
      </c>
      <c r="G984">
        <v>373.74609375</v>
      </c>
      <c r="H984" s="2">
        <f>MONTH(Query1[[#This Row],[Date]])</f>
        <v>11</v>
      </c>
      <c r="I984" s="3">
        <f>Query1[[#This Row],[Shares]]*Query1[[#This Row],[Adj Close]]</f>
        <v>1342607.7059512285</v>
      </c>
      <c r="J984" s="3">
        <f>IF(ROW()&lt;3, Dashboard!$E$7, IF(Query1[[#This Row],[Month]]&lt;&gt;H983,J983*(1+Dashboard!$E$4)+Dashboard!$E$5,J983))</f>
        <v>906321.1982920554</v>
      </c>
      <c r="K984">
        <f>IF(ROW()&lt;3, 0,IF(Query1[[#This Row],[Month]]&lt;&gt;H983,IF((J984-I984&gt;0),J984-I984,0),0))</f>
        <v>0</v>
      </c>
      <c r="L984" s="2">
        <f t="shared" si="15"/>
        <v>3592.2989655359538</v>
      </c>
      <c r="M984">
        <f>IF(ROW()&lt;3, 0, IF(Query1[[#This Row],[Month]]&lt;&gt;H983, Dashboard!$J$5,0))</f>
        <v>0</v>
      </c>
      <c r="N984" s="2">
        <f>IF(ROW()&lt;3, Query1[[#This Row],[Shares]], IF(Query1[[#This Row],[Month]]&lt;&gt;H983, N983+Query1[[#This Row],[Fix Top Up]]/Query1[[#This Row],[Adj Close]], N983))</f>
        <v>3419.005492211154</v>
      </c>
      <c r="O984">
        <f>IF(AND(Query1[[#This Row],[avg]]&gt;0, Query1[[#This Row],[Month]]&lt;&gt;H983),
    IF(Query1[[#This Row],[Adj Close]]&gt;Query1[[#This Row],[avg]],
       Dashboard!$L$5-Dashboard!$E$6,
       Dashboard!$L$5+Dashboard!$E$6
    ), 0
)</f>
        <v>0</v>
      </c>
      <c r="P984" s="2">
        <f>IF(ROW()&lt;3, Query1[[#This Row],[Shares]], IF(Query1[[#This Row],[Month]]&lt;&gt;H983, P983+Query1[[#This Row],[Enhanced top up]]/Query1[[#This Row],[Adj Close]], P983))</f>
        <v>3411.9475634838318</v>
      </c>
      <c r="Q984" s="2">
        <f>IFERROR(AVERAGE(
  IF(ROW()&gt;20, INDEX(G:G, ROW()-20), 0) :
  INDEX(G:G, ROW())
),0)</f>
        <v>356.82126145135788</v>
      </c>
    </row>
    <row r="985" spans="1:17" x14ac:dyDescent="0.4">
      <c r="A985" s="1">
        <v>45258</v>
      </c>
      <c r="B985">
        <v>378.35000610351563</v>
      </c>
      <c r="C985">
        <v>383</v>
      </c>
      <c r="D985">
        <v>378.16000366210938</v>
      </c>
      <c r="E985">
        <v>382.70001220703125</v>
      </c>
      <c r="F985">
        <v>20453100</v>
      </c>
      <c r="G985">
        <v>377.7835693359375</v>
      </c>
      <c r="H985" s="2">
        <f>MONTH(Query1[[#This Row],[Date]])</f>
        <v>11</v>
      </c>
      <c r="I985" s="3">
        <f>Query1[[#This Row],[Shares]]*Query1[[#This Row],[Adj Close]]</f>
        <v>1357111.5253219686</v>
      </c>
      <c r="J985" s="3">
        <f>IF(ROW()&lt;3, Dashboard!$E$7, IF(Query1[[#This Row],[Month]]&lt;&gt;H984,J984*(1+Dashboard!$E$4)+Dashboard!$E$5,J984))</f>
        <v>906321.1982920554</v>
      </c>
      <c r="K985">
        <f>IF(ROW()&lt;3, 0,IF(Query1[[#This Row],[Month]]&lt;&gt;H984,IF((J985-I985&gt;0),J985-I985,0),0))</f>
        <v>0</v>
      </c>
      <c r="L985" s="2">
        <f t="shared" si="15"/>
        <v>3592.2989655359538</v>
      </c>
      <c r="M985">
        <f>IF(ROW()&lt;3, 0, IF(Query1[[#This Row],[Month]]&lt;&gt;H984, Dashboard!$J$5,0))</f>
        <v>0</v>
      </c>
      <c r="N985" s="2">
        <f>IF(ROW()&lt;3, Query1[[#This Row],[Shares]], IF(Query1[[#This Row],[Month]]&lt;&gt;H984, N984+Query1[[#This Row],[Fix Top Up]]/Query1[[#This Row],[Adj Close]], N984))</f>
        <v>3419.005492211154</v>
      </c>
      <c r="O985">
        <f>IF(AND(Query1[[#This Row],[avg]]&gt;0, Query1[[#This Row],[Month]]&lt;&gt;H984),
    IF(Query1[[#This Row],[Adj Close]]&gt;Query1[[#This Row],[avg]],
       Dashboard!$L$5-Dashboard!$E$6,
       Dashboard!$L$5+Dashboard!$E$6
    ), 0
)</f>
        <v>0</v>
      </c>
      <c r="P985" s="2">
        <f>IF(ROW()&lt;3, Query1[[#This Row],[Shares]], IF(Query1[[#This Row],[Month]]&lt;&gt;H984, P984+Query1[[#This Row],[Enhanced top up]]/Query1[[#This Row],[Adj Close]], P984))</f>
        <v>3411.9475634838318</v>
      </c>
      <c r="Q985" s="2">
        <f>IFERROR(AVERAGE(
  IF(ROW()&gt;20, INDEX(G:G, ROW()-20), 0) :
  INDEX(G:G, ROW())
),0)</f>
        <v>359.33887881324404</v>
      </c>
    </row>
    <row r="986" spans="1:17" x14ac:dyDescent="0.4">
      <c r="A986" s="1">
        <v>45259</v>
      </c>
      <c r="B986">
        <v>383.760009765625</v>
      </c>
      <c r="C986">
        <v>384.29998779296875</v>
      </c>
      <c r="D986">
        <v>377.44000244140625</v>
      </c>
      <c r="E986">
        <v>378.85000610351563</v>
      </c>
      <c r="F986">
        <v>28963400</v>
      </c>
      <c r="G986">
        <v>373.98306274414063</v>
      </c>
      <c r="H986" s="2">
        <f>MONTH(Query1[[#This Row],[Date]])</f>
        <v>11</v>
      </c>
      <c r="I986" s="3">
        <f>Query1[[#This Row],[Shares]]*Query1[[#This Row],[Adj Close]]</f>
        <v>1343458.9694237441</v>
      </c>
      <c r="J986" s="3">
        <f>IF(ROW()&lt;3, Dashboard!$E$7, IF(Query1[[#This Row],[Month]]&lt;&gt;H985,J985*(1+Dashboard!$E$4)+Dashboard!$E$5,J985))</f>
        <v>906321.1982920554</v>
      </c>
      <c r="K986">
        <f>IF(ROW()&lt;3, 0,IF(Query1[[#This Row],[Month]]&lt;&gt;H985,IF((J986-I986&gt;0),J986-I986,0),0))</f>
        <v>0</v>
      </c>
      <c r="L986" s="2">
        <f t="shared" si="15"/>
        <v>3592.2989655359538</v>
      </c>
      <c r="M986">
        <f>IF(ROW()&lt;3, 0, IF(Query1[[#This Row],[Month]]&lt;&gt;H985, Dashboard!$J$5,0))</f>
        <v>0</v>
      </c>
      <c r="N986" s="2">
        <f>IF(ROW()&lt;3, Query1[[#This Row],[Shares]], IF(Query1[[#This Row],[Month]]&lt;&gt;H985, N985+Query1[[#This Row],[Fix Top Up]]/Query1[[#This Row],[Adj Close]], N985))</f>
        <v>3419.005492211154</v>
      </c>
      <c r="O986">
        <f>IF(AND(Query1[[#This Row],[avg]]&gt;0, Query1[[#This Row],[Month]]&lt;&gt;H985),
    IF(Query1[[#This Row],[Adj Close]]&gt;Query1[[#This Row],[avg]],
       Dashboard!$L$5-Dashboard!$E$6,
       Dashboard!$L$5+Dashboard!$E$6
    ), 0
)</f>
        <v>0</v>
      </c>
      <c r="P986" s="2">
        <f>IF(ROW()&lt;3, Query1[[#This Row],[Shares]], IF(Query1[[#This Row],[Month]]&lt;&gt;H985, P985+Query1[[#This Row],[Enhanced top up]]/Query1[[#This Row],[Adj Close]], P985))</f>
        <v>3411.9475634838318</v>
      </c>
      <c r="Q986" s="2">
        <f>IFERROR(AVERAGE(
  IF(ROW()&gt;20, INDEX(G:G, ROW()-20), 0) :
  INDEX(G:G, ROW())
),0)</f>
        <v>361.32367960611981</v>
      </c>
    </row>
    <row r="987" spans="1:17" x14ac:dyDescent="0.4">
      <c r="A987" s="1">
        <v>45260</v>
      </c>
      <c r="B987">
        <v>378.489990234375</v>
      </c>
      <c r="C987">
        <v>380.08999633789063</v>
      </c>
      <c r="D987">
        <v>375.47000122070313</v>
      </c>
      <c r="E987">
        <v>378.91000366210938</v>
      </c>
      <c r="F987">
        <v>30554400</v>
      </c>
      <c r="G987">
        <v>374.04229736328125</v>
      </c>
      <c r="H987" s="2">
        <f>MONTH(Query1[[#This Row],[Date]])</f>
        <v>11</v>
      </c>
      <c r="I987" s="3">
        <f>Query1[[#This Row],[Shares]]*Query1[[#This Row],[Adj Close]]</f>
        <v>1343671.757884807</v>
      </c>
      <c r="J987" s="3">
        <f>IF(ROW()&lt;3, Dashboard!$E$7, IF(Query1[[#This Row],[Month]]&lt;&gt;H986,J986*(1+Dashboard!$E$4)+Dashboard!$E$5,J986))</f>
        <v>906321.1982920554</v>
      </c>
      <c r="K987">
        <f>IF(ROW()&lt;3, 0,IF(Query1[[#This Row],[Month]]&lt;&gt;H986,IF((J987-I987&gt;0),J987-I987,0),0))</f>
        <v>0</v>
      </c>
      <c r="L987" s="2">
        <f t="shared" si="15"/>
        <v>3592.2989655359538</v>
      </c>
      <c r="M987">
        <f>IF(ROW()&lt;3, 0, IF(Query1[[#This Row],[Month]]&lt;&gt;H986, Dashboard!$J$5,0))</f>
        <v>0</v>
      </c>
      <c r="N987" s="2">
        <f>IF(ROW()&lt;3, Query1[[#This Row],[Shares]], IF(Query1[[#This Row],[Month]]&lt;&gt;H986, N986+Query1[[#This Row],[Fix Top Up]]/Query1[[#This Row],[Adj Close]], N986))</f>
        <v>3419.005492211154</v>
      </c>
      <c r="O987">
        <f>IF(AND(Query1[[#This Row],[avg]]&gt;0, Query1[[#This Row],[Month]]&lt;&gt;H986),
    IF(Query1[[#This Row],[Adj Close]]&gt;Query1[[#This Row],[avg]],
       Dashboard!$L$5-Dashboard!$E$6,
       Dashboard!$L$5+Dashboard!$E$6
    ), 0
)</f>
        <v>0</v>
      </c>
      <c r="P987" s="2">
        <f>IF(ROW()&lt;3, Query1[[#This Row],[Shares]], IF(Query1[[#This Row],[Month]]&lt;&gt;H986, P986+Query1[[#This Row],[Enhanced top up]]/Query1[[#This Row],[Adj Close]], P986))</f>
        <v>3411.9475634838318</v>
      </c>
      <c r="Q987" s="2">
        <f>IFERROR(AVERAGE(
  IF(ROW()&gt;20, INDEX(G:G, ROW()-20), 0) :
  INDEX(G:G, ROW())
),0)</f>
        <v>363.27377174014134</v>
      </c>
    </row>
    <row r="988" spans="1:17" x14ac:dyDescent="0.4">
      <c r="A988" s="1">
        <v>45261</v>
      </c>
      <c r="B988">
        <v>376.760009765625</v>
      </c>
      <c r="C988">
        <v>378.16000366210938</v>
      </c>
      <c r="D988">
        <v>371.30999755859375</v>
      </c>
      <c r="E988">
        <v>374.510009765625</v>
      </c>
      <c r="F988">
        <v>33040500</v>
      </c>
      <c r="G988">
        <v>369.69882202148438</v>
      </c>
      <c r="H988" s="2">
        <f>MONTH(Query1[[#This Row],[Date]])</f>
        <v>12</v>
      </c>
      <c r="I988" s="3">
        <f>Query1[[#This Row],[Shares]]*Query1[[#This Row],[Adj Close]]</f>
        <v>1328068.6959076391</v>
      </c>
      <c r="J988" s="3">
        <f>IF(ROW()&lt;3, Dashboard!$E$7, IF(Query1[[#This Row],[Month]]&lt;&gt;H987,J987*(1+Dashboard!$E$4)+Dashboard!$E$5,J987))</f>
        <v>917384.41027497593</v>
      </c>
      <c r="K988">
        <f>IF(ROW()&lt;3, 0,IF(Query1[[#This Row],[Month]]&lt;&gt;H987,IF((J988-I988&gt;0),J988-I988,0),0))</f>
        <v>0</v>
      </c>
      <c r="L988" s="2">
        <f t="shared" si="15"/>
        <v>3592.2989655359538</v>
      </c>
      <c r="M988">
        <f>IF(ROW()&lt;3, 0, IF(Query1[[#This Row],[Month]]&lt;&gt;H987, Dashboard!$J$5,0))</f>
        <v>773.47399999999971</v>
      </c>
      <c r="N988" s="2">
        <f>IF(ROW()&lt;3, Query1[[#This Row],[Shares]], IF(Query1[[#This Row],[Month]]&lt;&gt;H987, N987+Query1[[#This Row],[Fix Top Up]]/Query1[[#This Row],[Adj Close]], N987))</f>
        <v>3421.09766549905</v>
      </c>
      <c r="O988">
        <f>IF(AND(Query1[[#This Row],[avg]]&gt;0, Query1[[#This Row],[Month]]&lt;&gt;H987),
    IF(Query1[[#This Row],[Adj Close]]&gt;Query1[[#This Row],[avg]],
       Dashboard!$L$5-Dashboard!$E$6,
       Dashboard!$L$5+Dashboard!$E$6
    ), 0
)</f>
        <v>390.14066666666668</v>
      </c>
      <c r="P988" s="2">
        <f>IF(ROW()&lt;3, Query1[[#This Row],[Shares]], IF(Query1[[#This Row],[Month]]&lt;&gt;H987, P987+Query1[[#This Row],[Enhanced top up]]/Query1[[#This Row],[Adj Close]], P987))</f>
        <v>3413.0028567209956</v>
      </c>
      <c r="Q988" s="2">
        <f>IFERROR(AVERAGE(
  IF(ROW()&gt;20, INDEX(G:G, ROW()-20), 0) :
  INDEX(G:G, ROW())
),0)</f>
        <v>364.64361281622024</v>
      </c>
    </row>
    <row r="989" spans="1:17" x14ac:dyDescent="0.4">
      <c r="A989" s="1">
        <v>45264</v>
      </c>
      <c r="B989">
        <v>369.10000610351563</v>
      </c>
      <c r="C989">
        <v>369.51998901367188</v>
      </c>
      <c r="D989">
        <v>362.89999389648438</v>
      </c>
      <c r="E989">
        <v>369.1400146484375</v>
      </c>
      <c r="F989">
        <v>32063300</v>
      </c>
      <c r="G989">
        <v>364.39779663085938</v>
      </c>
      <c r="H989" s="2">
        <f>MONTH(Query1[[#This Row],[Date]])</f>
        <v>12</v>
      </c>
      <c r="I989" s="3">
        <f>Query1[[#This Row],[Shares]]*Query1[[#This Row],[Adj Close]]</f>
        <v>1309025.827880617</v>
      </c>
      <c r="J989" s="3">
        <f>IF(ROW()&lt;3, Dashboard!$E$7, IF(Query1[[#This Row],[Month]]&lt;&gt;H988,J988*(1+Dashboard!$E$4)+Dashboard!$E$5,J988))</f>
        <v>917384.41027497593</v>
      </c>
      <c r="K989">
        <f>IF(ROW()&lt;3, 0,IF(Query1[[#This Row],[Month]]&lt;&gt;H988,IF((J989-I989&gt;0),J989-I989,0),0))</f>
        <v>0</v>
      </c>
      <c r="L989" s="2">
        <f t="shared" si="15"/>
        <v>3592.2989655359538</v>
      </c>
      <c r="M989">
        <f>IF(ROW()&lt;3, 0, IF(Query1[[#This Row],[Month]]&lt;&gt;H988, Dashboard!$J$5,0))</f>
        <v>0</v>
      </c>
      <c r="N989" s="2">
        <f>IF(ROW()&lt;3, Query1[[#This Row],[Shares]], IF(Query1[[#This Row],[Month]]&lt;&gt;H988, N988+Query1[[#This Row],[Fix Top Up]]/Query1[[#This Row],[Adj Close]], N988))</f>
        <v>3421.09766549905</v>
      </c>
      <c r="O989">
        <f>IF(AND(Query1[[#This Row],[avg]]&gt;0, Query1[[#This Row],[Month]]&lt;&gt;H988),
    IF(Query1[[#This Row],[Adj Close]]&gt;Query1[[#This Row],[avg]],
       Dashboard!$L$5-Dashboard!$E$6,
       Dashboard!$L$5+Dashboard!$E$6
    ), 0
)</f>
        <v>0</v>
      </c>
      <c r="P989" s="2">
        <f>IF(ROW()&lt;3, Query1[[#This Row],[Shares]], IF(Query1[[#This Row],[Month]]&lt;&gt;H988, P988+Query1[[#This Row],[Enhanced top up]]/Query1[[#This Row],[Adj Close]], P988))</f>
        <v>3413.0028567209956</v>
      </c>
      <c r="Q989" s="2">
        <f>IFERROR(AVERAGE(
  IF(ROW()&gt;20, INDEX(G:G, ROW()-20), 0) :
  INDEX(G:G, ROW())
),0)</f>
        <v>365.6554710751488</v>
      </c>
    </row>
    <row r="990" spans="1:17" x14ac:dyDescent="0.4">
      <c r="A990" s="1">
        <v>45265</v>
      </c>
      <c r="B990">
        <v>366.45001220703125</v>
      </c>
      <c r="C990">
        <v>373.07998657226563</v>
      </c>
      <c r="D990">
        <v>365.6199951171875</v>
      </c>
      <c r="E990">
        <v>372.51998901367188</v>
      </c>
      <c r="F990">
        <v>23065000</v>
      </c>
      <c r="G990">
        <v>367.73434448242188</v>
      </c>
      <c r="H990" s="2">
        <f>MONTH(Query1[[#This Row],[Date]])</f>
        <v>12</v>
      </c>
      <c r="I990" s="3">
        <f>Query1[[#This Row],[Shares]]*Query1[[#This Row],[Adj Close]]</f>
        <v>1321011.7052762462</v>
      </c>
      <c r="J990" s="3">
        <f>IF(ROW()&lt;3, Dashboard!$E$7, IF(Query1[[#This Row],[Month]]&lt;&gt;H989,J989*(1+Dashboard!$E$4)+Dashboard!$E$5,J989))</f>
        <v>917384.41027497593</v>
      </c>
      <c r="K990">
        <f>IF(ROW()&lt;3, 0,IF(Query1[[#This Row],[Month]]&lt;&gt;H989,IF((J990-I990&gt;0),J990-I990,0),0))</f>
        <v>0</v>
      </c>
      <c r="L990" s="2">
        <f t="shared" si="15"/>
        <v>3592.2989655359538</v>
      </c>
      <c r="M990">
        <f>IF(ROW()&lt;3, 0, IF(Query1[[#This Row],[Month]]&lt;&gt;H989, Dashboard!$J$5,0))</f>
        <v>0</v>
      </c>
      <c r="N990" s="2">
        <f>IF(ROW()&lt;3, Query1[[#This Row],[Shares]], IF(Query1[[#This Row],[Month]]&lt;&gt;H989, N989+Query1[[#This Row],[Fix Top Up]]/Query1[[#This Row],[Adj Close]], N989))</f>
        <v>3421.09766549905</v>
      </c>
      <c r="O990">
        <f>IF(AND(Query1[[#This Row],[avg]]&gt;0, Query1[[#This Row],[Month]]&lt;&gt;H989),
    IF(Query1[[#This Row],[Adj Close]]&gt;Query1[[#This Row],[avg]],
       Dashboard!$L$5-Dashboard!$E$6,
       Dashboard!$L$5+Dashboard!$E$6
    ), 0
)</f>
        <v>0</v>
      </c>
      <c r="P990" s="2">
        <f>IF(ROW()&lt;3, Query1[[#This Row],[Shares]], IF(Query1[[#This Row],[Month]]&lt;&gt;H989, P989+Query1[[#This Row],[Enhanced top up]]/Query1[[#This Row],[Adj Close]], P989))</f>
        <v>3413.0028567209956</v>
      </c>
      <c r="Q990" s="2">
        <f>IFERROR(AVERAGE(
  IF(ROW()&gt;20, INDEX(G:G, ROW()-20), 0) :
  INDEX(G:G, ROW())
),0)</f>
        <v>366.61604527064731</v>
      </c>
    </row>
    <row r="991" spans="1:17" x14ac:dyDescent="0.4">
      <c r="A991" s="1">
        <v>45266</v>
      </c>
      <c r="B991">
        <v>373.54000854492188</v>
      </c>
      <c r="C991">
        <v>374.17999267578125</v>
      </c>
      <c r="D991">
        <v>368.02999877929688</v>
      </c>
      <c r="E991">
        <v>368.79998779296875</v>
      </c>
      <c r="F991">
        <v>21182100</v>
      </c>
      <c r="G991">
        <v>364.0621337890625</v>
      </c>
      <c r="H991" s="2">
        <f>MONTH(Query1[[#This Row],[Date]])</f>
        <v>12</v>
      </c>
      <c r="I991" s="3">
        <f>Query1[[#This Row],[Shares]]*Query1[[#This Row],[Adj Close]]</f>
        <v>1307820.0266012612</v>
      </c>
      <c r="J991" s="3">
        <f>IF(ROW()&lt;3, Dashboard!$E$7, IF(Query1[[#This Row],[Month]]&lt;&gt;H990,J990*(1+Dashboard!$E$4)+Dashboard!$E$5,J990))</f>
        <v>917384.41027497593</v>
      </c>
      <c r="K991">
        <f>IF(ROW()&lt;3, 0,IF(Query1[[#This Row],[Month]]&lt;&gt;H990,IF((J991-I991&gt;0),J991-I991,0),0))</f>
        <v>0</v>
      </c>
      <c r="L991" s="2">
        <f t="shared" si="15"/>
        <v>3592.2989655359538</v>
      </c>
      <c r="M991">
        <f>IF(ROW()&lt;3, 0, IF(Query1[[#This Row],[Month]]&lt;&gt;H990, Dashboard!$J$5,0))</f>
        <v>0</v>
      </c>
      <c r="N991" s="2">
        <f>IF(ROW()&lt;3, Query1[[#This Row],[Shares]], IF(Query1[[#This Row],[Month]]&lt;&gt;H990, N990+Query1[[#This Row],[Fix Top Up]]/Query1[[#This Row],[Adj Close]], N990))</f>
        <v>3421.09766549905</v>
      </c>
      <c r="O991">
        <f>IF(AND(Query1[[#This Row],[avg]]&gt;0, Query1[[#This Row],[Month]]&lt;&gt;H990),
    IF(Query1[[#This Row],[Adj Close]]&gt;Query1[[#This Row],[avg]],
       Dashboard!$L$5-Dashboard!$E$6,
       Dashboard!$L$5+Dashboard!$E$6
    ), 0
)</f>
        <v>0</v>
      </c>
      <c r="P991" s="2">
        <f>IF(ROW()&lt;3, Query1[[#This Row],[Shares]], IF(Query1[[#This Row],[Month]]&lt;&gt;H990, P990+Query1[[#This Row],[Enhanced top up]]/Query1[[#This Row],[Adj Close]], P990))</f>
        <v>3413.0028567209956</v>
      </c>
      <c r="Q991" s="2">
        <f>IFERROR(AVERAGE(
  IF(ROW()&gt;20, INDEX(G:G, ROW()-20), 0) :
  INDEX(G:G, ROW())
),0)</f>
        <v>367.22677176339283</v>
      </c>
    </row>
    <row r="992" spans="1:17" x14ac:dyDescent="0.4">
      <c r="A992" s="1">
        <v>45267</v>
      </c>
      <c r="B992">
        <v>368.23001098632813</v>
      </c>
      <c r="C992">
        <v>371.45001220703125</v>
      </c>
      <c r="D992">
        <v>366.32000732421875</v>
      </c>
      <c r="E992">
        <v>370.95001220703125</v>
      </c>
      <c r="F992">
        <v>23118900</v>
      </c>
      <c r="G992">
        <v>366.1845703125</v>
      </c>
      <c r="H992" s="2">
        <f>MONTH(Query1[[#This Row],[Date]])</f>
        <v>12</v>
      </c>
      <c r="I992" s="3">
        <f>Query1[[#This Row],[Shares]]*Query1[[#This Row],[Adj Close]]</f>
        <v>1315444.4531288214</v>
      </c>
      <c r="J992" s="3">
        <f>IF(ROW()&lt;3, Dashboard!$E$7, IF(Query1[[#This Row],[Month]]&lt;&gt;H991,J991*(1+Dashboard!$E$4)+Dashboard!$E$5,J991))</f>
        <v>917384.41027497593</v>
      </c>
      <c r="K992">
        <f>IF(ROW()&lt;3, 0,IF(Query1[[#This Row],[Month]]&lt;&gt;H991,IF((J992-I992&gt;0),J992-I992,0),0))</f>
        <v>0</v>
      </c>
      <c r="L992" s="2">
        <f t="shared" si="15"/>
        <v>3592.2989655359538</v>
      </c>
      <c r="M992">
        <f>IF(ROW()&lt;3, 0, IF(Query1[[#This Row],[Month]]&lt;&gt;H991, Dashboard!$J$5,0))</f>
        <v>0</v>
      </c>
      <c r="N992" s="2">
        <f>IF(ROW()&lt;3, Query1[[#This Row],[Shares]], IF(Query1[[#This Row],[Month]]&lt;&gt;H991, N991+Query1[[#This Row],[Fix Top Up]]/Query1[[#This Row],[Adj Close]], N991))</f>
        <v>3421.09766549905</v>
      </c>
      <c r="O992">
        <f>IF(AND(Query1[[#This Row],[avg]]&gt;0, Query1[[#This Row],[Month]]&lt;&gt;H991),
    IF(Query1[[#This Row],[Adj Close]]&gt;Query1[[#This Row],[avg]],
       Dashboard!$L$5-Dashboard!$E$6,
       Dashboard!$L$5+Dashboard!$E$6
    ), 0
)</f>
        <v>0</v>
      </c>
      <c r="P992" s="2">
        <f>IF(ROW()&lt;3, Query1[[#This Row],[Shares]], IF(Query1[[#This Row],[Month]]&lt;&gt;H991, P991+Query1[[#This Row],[Enhanced top up]]/Query1[[#This Row],[Adj Close]], P991))</f>
        <v>3413.0028567209956</v>
      </c>
      <c r="Q992" s="2">
        <f>IFERROR(AVERAGE(
  IF(ROW()&gt;20, INDEX(G:G, ROW()-20), 0) :
  INDEX(G:G, ROW())
),0)</f>
        <v>367.75091698056178</v>
      </c>
    </row>
    <row r="993" spans="1:17" x14ac:dyDescent="0.4">
      <c r="A993" s="1">
        <v>45268</v>
      </c>
      <c r="B993">
        <v>369.20001220703125</v>
      </c>
      <c r="C993">
        <v>374.45999145507813</v>
      </c>
      <c r="D993">
        <v>368.23001098632813</v>
      </c>
      <c r="E993">
        <v>374.23001098632813</v>
      </c>
      <c r="F993">
        <v>20154400</v>
      </c>
      <c r="G993">
        <v>369.42236328125</v>
      </c>
      <c r="H993" s="2">
        <f>MONTH(Query1[[#This Row],[Date]])</f>
        <v>12</v>
      </c>
      <c r="I993" s="3">
        <f>Query1[[#This Row],[Shares]]*Query1[[#This Row],[Adj Close]]</f>
        <v>1327075.5734610816</v>
      </c>
      <c r="J993" s="3">
        <f>IF(ROW()&lt;3, Dashboard!$E$7, IF(Query1[[#This Row],[Month]]&lt;&gt;H992,J992*(1+Dashboard!$E$4)+Dashboard!$E$5,J992))</f>
        <v>917384.41027497593</v>
      </c>
      <c r="K993">
        <f>IF(ROW()&lt;3, 0,IF(Query1[[#This Row],[Month]]&lt;&gt;H992,IF((J993-I993&gt;0),J993-I993,0),0))</f>
        <v>0</v>
      </c>
      <c r="L993" s="2">
        <f t="shared" si="15"/>
        <v>3592.2989655359538</v>
      </c>
      <c r="M993">
        <f>IF(ROW()&lt;3, 0, IF(Query1[[#This Row],[Month]]&lt;&gt;H992, Dashboard!$J$5,0))</f>
        <v>0</v>
      </c>
      <c r="N993" s="2">
        <f>IF(ROW()&lt;3, Query1[[#This Row],[Shares]], IF(Query1[[#This Row],[Month]]&lt;&gt;H992, N992+Query1[[#This Row],[Fix Top Up]]/Query1[[#This Row],[Adj Close]], N992))</f>
        <v>3421.09766549905</v>
      </c>
      <c r="O993">
        <f>IF(AND(Query1[[#This Row],[avg]]&gt;0, Query1[[#This Row],[Month]]&lt;&gt;H992),
    IF(Query1[[#This Row],[Adj Close]]&gt;Query1[[#This Row],[avg]],
       Dashboard!$L$5-Dashboard!$E$6,
       Dashboard!$L$5+Dashboard!$E$6
    ), 0
)</f>
        <v>0</v>
      </c>
      <c r="P993" s="2">
        <f>IF(ROW()&lt;3, Query1[[#This Row],[Shares]], IF(Query1[[#This Row],[Month]]&lt;&gt;H992, P992+Query1[[#This Row],[Enhanced top up]]/Query1[[#This Row],[Adj Close]], P992))</f>
        <v>3413.0028567209956</v>
      </c>
      <c r="Q993" s="2">
        <f>IFERROR(AVERAGE(
  IF(ROW()&gt;20, INDEX(G:G, ROW()-20), 0) :
  INDEX(G:G, ROW())
),0)</f>
        <v>368.30398704892116</v>
      </c>
    </row>
    <row r="994" spans="1:17" x14ac:dyDescent="0.4">
      <c r="A994" s="1">
        <v>45271</v>
      </c>
      <c r="B994">
        <v>368.48001098632813</v>
      </c>
      <c r="C994">
        <v>371.60000610351563</v>
      </c>
      <c r="D994">
        <v>366.10000610351563</v>
      </c>
      <c r="E994">
        <v>371.29998779296875</v>
      </c>
      <c r="F994">
        <v>27708800</v>
      </c>
      <c r="G994">
        <v>366.530029296875</v>
      </c>
      <c r="H994" s="2">
        <f>MONTH(Query1[[#This Row],[Date]])</f>
        <v>12</v>
      </c>
      <c r="I994" s="3">
        <f>Query1[[#This Row],[Shares]]*Query1[[#This Row],[Adj Close]]</f>
        <v>1316685.445081027</v>
      </c>
      <c r="J994" s="3">
        <f>IF(ROW()&lt;3, Dashboard!$E$7, IF(Query1[[#This Row],[Month]]&lt;&gt;H993,J993*(1+Dashboard!$E$4)+Dashboard!$E$5,J993))</f>
        <v>917384.41027497593</v>
      </c>
      <c r="K994">
        <f>IF(ROW()&lt;3, 0,IF(Query1[[#This Row],[Month]]&lt;&gt;H993,IF((J994-I994&gt;0),J994-I994,0),0))</f>
        <v>0</v>
      </c>
      <c r="L994" s="2">
        <f t="shared" si="15"/>
        <v>3592.2989655359538</v>
      </c>
      <c r="M994">
        <f>IF(ROW()&lt;3, 0, IF(Query1[[#This Row],[Month]]&lt;&gt;H993, Dashboard!$J$5,0))</f>
        <v>0</v>
      </c>
      <c r="N994" s="2">
        <f>IF(ROW()&lt;3, Query1[[#This Row],[Shares]], IF(Query1[[#This Row],[Month]]&lt;&gt;H993, N993+Query1[[#This Row],[Fix Top Up]]/Query1[[#This Row],[Adj Close]], N993))</f>
        <v>3421.09766549905</v>
      </c>
      <c r="O994">
        <f>IF(AND(Query1[[#This Row],[avg]]&gt;0, Query1[[#This Row],[Month]]&lt;&gt;H993),
    IF(Query1[[#This Row],[Adj Close]]&gt;Query1[[#This Row],[avg]],
       Dashboard!$L$5-Dashboard!$E$6,
       Dashboard!$L$5+Dashboard!$E$6
    ), 0
)</f>
        <v>0</v>
      </c>
      <c r="P994" s="2">
        <f>IF(ROW()&lt;3, Query1[[#This Row],[Shares]], IF(Query1[[#This Row],[Month]]&lt;&gt;H993, P993+Query1[[#This Row],[Enhanced top up]]/Query1[[#This Row],[Adj Close]], P993))</f>
        <v>3413.0028567209956</v>
      </c>
      <c r="Q994" s="2">
        <f>IFERROR(AVERAGE(
  IF(ROW()&gt;20, INDEX(G:G, ROW()-20), 0) :
  INDEX(G:G, ROW())
),0)</f>
        <v>368.83707827613466</v>
      </c>
    </row>
    <row r="995" spans="1:17" x14ac:dyDescent="0.4">
      <c r="A995" s="1">
        <v>45272</v>
      </c>
      <c r="B995">
        <v>370.85000610351563</v>
      </c>
      <c r="C995">
        <v>374.42001342773438</v>
      </c>
      <c r="D995">
        <v>370.45999145507813</v>
      </c>
      <c r="E995">
        <v>374.3800048828125</v>
      </c>
      <c r="F995">
        <v>24838300</v>
      </c>
      <c r="G995">
        <v>369.5704345703125</v>
      </c>
      <c r="H995" s="2">
        <f>MONTH(Query1[[#This Row],[Date]])</f>
        <v>12</v>
      </c>
      <c r="I995" s="3">
        <f>Query1[[#This Row],[Shares]]*Query1[[#This Row],[Adj Close]]</f>
        <v>1327607.4897996064</v>
      </c>
      <c r="J995" s="3">
        <f>IF(ROW()&lt;3, Dashboard!$E$7, IF(Query1[[#This Row],[Month]]&lt;&gt;H994,J994*(1+Dashboard!$E$4)+Dashboard!$E$5,J994))</f>
        <v>917384.41027497593</v>
      </c>
      <c r="K995">
        <f>IF(ROW()&lt;3, 0,IF(Query1[[#This Row],[Month]]&lt;&gt;H994,IF((J995-I995&gt;0),J995-I995,0),0))</f>
        <v>0</v>
      </c>
      <c r="L995" s="2">
        <f t="shared" si="15"/>
        <v>3592.2989655359538</v>
      </c>
      <c r="M995">
        <f>IF(ROW()&lt;3, 0, IF(Query1[[#This Row],[Month]]&lt;&gt;H994, Dashboard!$J$5,0))</f>
        <v>0</v>
      </c>
      <c r="N995" s="2">
        <f>IF(ROW()&lt;3, Query1[[#This Row],[Shares]], IF(Query1[[#This Row],[Month]]&lt;&gt;H994, N994+Query1[[#This Row],[Fix Top Up]]/Query1[[#This Row],[Adj Close]], N994))</f>
        <v>3421.09766549905</v>
      </c>
      <c r="O995">
        <f>IF(AND(Query1[[#This Row],[avg]]&gt;0, Query1[[#This Row],[Month]]&lt;&gt;H994),
    IF(Query1[[#This Row],[Adj Close]]&gt;Query1[[#This Row],[avg]],
       Dashboard!$L$5-Dashboard!$E$6,
       Dashboard!$L$5+Dashboard!$E$6
    ), 0
)</f>
        <v>0</v>
      </c>
      <c r="P995" s="2">
        <f>IF(ROW()&lt;3, Query1[[#This Row],[Shares]], IF(Query1[[#This Row],[Month]]&lt;&gt;H994, P994+Query1[[#This Row],[Enhanced top up]]/Query1[[#This Row],[Adj Close]], P994))</f>
        <v>3413.0028567209956</v>
      </c>
      <c r="Q995" s="2">
        <f>IFERROR(AVERAGE(
  IF(ROW()&gt;20, INDEX(G:G, ROW()-20), 0) :
  INDEX(G:G, ROW())
),0)</f>
        <v>369.09368024553572</v>
      </c>
    </row>
    <row r="996" spans="1:17" x14ac:dyDescent="0.4">
      <c r="A996" s="1">
        <v>45273</v>
      </c>
      <c r="B996">
        <v>376.01998901367188</v>
      </c>
      <c r="C996">
        <v>377.6400146484375</v>
      </c>
      <c r="D996">
        <v>370.76998901367188</v>
      </c>
      <c r="E996">
        <v>374.3699951171875</v>
      </c>
      <c r="F996">
        <v>30955500</v>
      </c>
      <c r="G996">
        <v>369.56060791015625</v>
      </c>
      <c r="H996" s="2">
        <f>MONTH(Query1[[#This Row],[Date]])</f>
        <v>12</v>
      </c>
      <c r="I996" s="3">
        <f>Query1[[#This Row],[Shares]]*Query1[[#This Row],[Adj Close]]</f>
        <v>1327572.1894984925</v>
      </c>
      <c r="J996" s="3">
        <f>IF(ROW()&lt;3, Dashboard!$E$7, IF(Query1[[#This Row],[Month]]&lt;&gt;H995,J995*(1+Dashboard!$E$4)+Dashboard!$E$5,J995))</f>
        <v>917384.41027497593</v>
      </c>
      <c r="K996">
        <f>IF(ROW()&lt;3, 0,IF(Query1[[#This Row],[Month]]&lt;&gt;H995,IF((J996-I996&gt;0),J996-I996,0),0))</f>
        <v>0</v>
      </c>
      <c r="L996" s="2">
        <f t="shared" si="15"/>
        <v>3592.2989655359538</v>
      </c>
      <c r="M996">
        <f>IF(ROW()&lt;3, 0, IF(Query1[[#This Row],[Month]]&lt;&gt;H995, Dashboard!$J$5,0))</f>
        <v>0</v>
      </c>
      <c r="N996" s="2">
        <f>IF(ROW()&lt;3, Query1[[#This Row],[Shares]], IF(Query1[[#This Row],[Month]]&lt;&gt;H995, N995+Query1[[#This Row],[Fix Top Up]]/Query1[[#This Row],[Adj Close]], N995))</f>
        <v>3421.09766549905</v>
      </c>
      <c r="O996">
        <f>IF(AND(Query1[[#This Row],[avg]]&gt;0, Query1[[#This Row],[Month]]&lt;&gt;H995),
    IF(Query1[[#This Row],[Adj Close]]&gt;Query1[[#This Row],[avg]],
       Dashboard!$L$5-Dashboard!$E$6,
       Dashboard!$L$5+Dashboard!$E$6
    ), 0
)</f>
        <v>0</v>
      </c>
      <c r="P996" s="2">
        <f>IF(ROW()&lt;3, Query1[[#This Row],[Shares]], IF(Query1[[#This Row],[Month]]&lt;&gt;H995, P995+Query1[[#This Row],[Enhanced top up]]/Query1[[#This Row],[Adj Close]], P995))</f>
        <v>3413.0028567209956</v>
      </c>
      <c r="Q996" s="2">
        <f>IFERROR(AVERAGE(
  IF(ROW()&gt;20, INDEX(G:G, ROW()-20), 0) :
  INDEX(G:G, ROW())
),0)</f>
        <v>369.49008178710938</v>
      </c>
    </row>
    <row r="997" spans="1:17" x14ac:dyDescent="0.4">
      <c r="A997" s="1">
        <v>45274</v>
      </c>
      <c r="B997">
        <v>373.30999755859375</v>
      </c>
      <c r="C997">
        <v>373.760009765625</v>
      </c>
      <c r="D997">
        <v>364.1300048828125</v>
      </c>
      <c r="E997">
        <v>365.92999267578125</v>
      </c>
      <c r="F997">
        <v>43277500</v>
      </c>
      <c r="G997">
        <v>361.22900390625</v>
      </c>
      <c r="H997" s="2">
        <f>MONTH(Query1[[#This Row],[Date]])</f>
        <v>12</v>
      </c>
      <c r="I997" s="3">
        <f>Query1[[#This Row],[Shares]]*Query1[[#This Row],[Adj Close]]</f>
        <v>1297642.5770540049</v>
      </c>
      <c r="J997" s="3">
        <f>IF(ROW()&lt;3, Dashboard!$E$7, IF(Query1[[#This Row],[Month]]&lt;&gt;H996,J996*(1+Dashboard!$E$4)+Dashboard!$E$5,J996))</f>
        <v>917384.41027497593</v>
      </c>
      <c r="K997">
        <f>IF(ROW()&lt;3, 0,IF(Query1[[#This Row],[Month]]&lt;&gt;H996,IF((J997-I997&gt;0),J997-I997,0),0))</f>
        <v>0</v>
      </c>
      <c r="L997" s="2">
        <f t="shared" si="15"/>
        <v>3592.2989655359538</v>
      </c>
      <c r="M997">
        <f>IF(ROW()&lt;3, 0, IF(Query1[[#This Row],[Month]]&lt;&gt;H996, Dashboard!$J$5,0))</f>
        <v>0</v>
      </c>
      <c r="N997" s="2">
        <f>IF(ROW()&lt;3, Query1[[#This Row],[Shares]], IF(Query1[[#This Row],[Month]]&lt;&gt;H996, N996+Query1[[#This Row],[Fix Top Up]]/Query1[[#This Row],[Adj Close]], N996))</f>
        <v>3421.09766549905</v>
      </c>
      <c r="O997">
        <f>IF(AND(Query1[[#This Row],[avg]]&gt;0, Query1[[#This Row],[Month]]&lt;&gt;H996),
    IF(Query1[[#This Row],[Adj Close]]&gt;Query1[[#This Row],[avg]],
       Dashboard!$L$5-Dashboard!$E$6,
       Dashboard!$L$5+Dashboard!$E$6
    ), 0
)</f>
        <v>0</v>
      </c>
      <c r="P997" s="2">
        <f>IF(ROW()&lt;3, Query1[[#This Row],[Shares]], IF(Query1[[#This Row],[Month]]&lt;&gt;H996, P996+Query1[[#This Row],[Enhanced top up]]/Query1[[#This Row],[Adj Close]], P996))</f>
        <v>3413.0028567209956</v>
      </c>
      <c r="Q997" s="2">
        <f>IFERROR(AVERAGE(
  IF(ROW()&gt;20, INDEX(G:G, ROW()-20), 0) :
  INDEX(G:G, ROW())
),0)</f>
        <v>369.32132539295014</v>
      </c>
    </row>
    <row r="998" spans="1:17" x14ac:dyDescent="0.4">
      <c r="A998" s="1">
        <v>45275</v>
      </c>
      <c r="B998">
        <v>366.85000610351563</v>
      </c>
      <c r="C998">
        <v>372.39999389648438</v>
      </c>
      <c r="D998">
        <v>366.27999877929688</v>
      </c>
      <c r="E998">
        <v>370.73001098632813</v>
      </c>
      <c r="F998">
        <v>78502300</v>
      </c>
      <c r="G998">
        <v>365.96737670898438</v>
      </c>
      <c r="H998" s="2">
        <f>MONTH(Query1[[#This Row],[Date]])</f>
        <v>12</v>
      </c>
      <c r="I998" s="3">
        <f>Query1[[#This Row],[Shares]]*Query1[[#This Row],[Adj Close]]</f>
        <v>1314664.2287715913</v>
      </c>
      <c r="J998" s="3">
        <f>IF(ROW()&lt;3, Dashboard!$E$7, IF(Query1[[#This Row],[Month]]&lt;&gt;H997,J997*(1+Dashboard!$E$4)+Dashboard!$E$5,J997))</f>
        <v>917384.41027497593</v>
      </c>
      <c r="K998">
        <f>IF(ROW()&lt;3, 0,IF(Query1[[#This Row],[Month]]&lt;&gt;H997,IF((J998-I998&gt;0),J998-I998,0),0))</f>
        <v>0</v>
      </c>
      <c r="L998" s="2">
        <f t="shared" si="15"/>
        <v>3592.2989655359538</v>
      </c>
      <c r="M998">
        <f>IF(ROW()&lt;3, 0, IF(Query1[[#This Row],[Month]]&lt;&gt;H997, Dashboard!$J$5,0))</f>
        <v>0</v>
      </c>
      <c r="N998" s="2">
        <f>IF(ROW()&lt;3, Query1[[#This Row],[Shares]], IF(Query1[[#This Row],[Month]]&lt;&gt;H997, N997+Query1[[#This Row],[Fix Top Up]]/Query1[[#This Row],[Adj Close]], N997))</f>
        <v>3421.09766549905</v>
      </c>
      <c r="O998">
        <f>IF(AND(Query1[[#This Row],[avg]]&gt;0, Query1[[#This Row],[Month]]&lt;&gt;H997),
    IF(Query1[[#This Row],[Adj Close]]&gt;Query1[[#This Row],[avg]],
       Dashboard!$L$5-Dashboard!$E$6,
       Dashboard!$L$5+Dashboard!$E$6
    ), 0
)</f>
        <v>0</v>
      </c>
      <c r="P998" s="2">
        <f>IF(ROW()&lt;3, Query1[[#This Row],[Shares]], IF(Query1[[#This Row],[Month]]&lt;&gt;H997, P997+Query1[[#This Row],[Enhanced top up]]/Query1[[#This Row],[Adj Close]], P997))</f>
        <v>3413.0028567209956</v>
      </c>
      <c r="Q998" s="2">
        <f>IFERROR(AVERAGE(
  IF(ROW()&gt;20, INDEX(G:G, ROW()-20), 0) :
  INDEX(G:G, ROW())
),0)</f>
        <v>369.37115333193822</v>
      </c>
    </row>
    <row r="999" spans="1:17" x14ac:dyDescent="0.4">
      <c r="A999" s="1">
        <v>45278</v>
      </c>
      <c r="B999">
        <v>369.45001220703125</v>
      </c>
      <c r="C999">
        <v>373</v>
      </c>
      <c r="D999">
        <v>368.67999267578125</v>
      </c>
      <c r="E999">
        <v>372.64999389648438</v>
      </c>
      <c r="F999">
        <v>21802900</v>
      </c>
      <c r="G999">
        <v>367.8626708984375</v>
      </c>
      <c r="H999" s="2">
        <f>MONTH(Query1[[#This Row],[Date]])</f>
        <v>12</v>
      </c>
      <c r="I999" s="3">
        <f>Query1[[#This Row],[Shares]]*Query1[[#This Row],[Adj Close]]</f>
        <v>1321472.69212775</v>
      </c>
      <c r="J999" s="3">
        <f>IF(ROW()&lt;3, Dashboard!$E$7, IF(Query1[[#This Row],[Month]]&lt;&gt;H998,J998*(1+Dashboard!$E$4)+Dashboard!$E$5,J998))</f>
        <v>917384.41027497593</v>
      </c>
      <c r="K999">
        <f>IF(ROW()&lt;3, 0,IF(Query1[[#This Row],[Month]]&lt;&gt;H998,IF((J999-I999&gt;0),J999-I999,0),0))</f>
        <v>0</v>
      </c>
      <c r="L999" s="2">
        <f t="shared" si="15"/>
        <v>3592.2989655359538</v>
      </c>
      <c r="M999">
        <f>IF(ROW()&lt;3, 0, IF(Query1[[#This Row],[Month]]&lt;&gt;H998, Dashboard!$J$5,0))</f>
        <v>0</v>
      </c>
      <c r="N999" s="2">
        <f>IF(ROW()&lt;3, Query1[[#This Row],[Shares]], IF(Query1[[#This Row],[Month]]&lt;&gt;H998, N998+Query1[[#This Row],[Fix Top Up]]/Query1[[#This Row],[Adj Close]], N998))</f>
        <v>3421.09766549905</v>
      </c>
      <c r="O999">
        <f>IF(AND(Query1[[#This Row],[avg]]&gt;0, Query1[[#This Row],[Month]]&lt;&gt;H998),
    IF(Query1[[#This Row],[Adj Close]]&gt;Query1[[#This Row],[avg]],
       Dashboard!$L$5-Dashboard!$E$6,
       Dashboard!$L$5+Dashboard!$E$6
    ), 0
)</f>
        <v>0</v>
      </c>
      <c r="P999" s="2">
        <f>IF(ROW()&lt;3, Query1[[#This Row],[Shares]], IF(Query1[[#This Row],[Month]]&lt;&gt;H998, P998+Query1[[#This Row],[Enhanced top up]]/Query1[[#This Row],[Adj Close]], P998))</f>
        <v>3413.0028567209956</v>
      </c>
      <c r="Q999" s="2">
        <f>IFERROR(AVERAGE(
  IF(ROW()&gt;20, INDEX(G:G, ROW()-20), 0) :
  INDEX(G:G, ROW())
),0)</f>
        <v>369.20568557012649</v>
      </c>
    </row>
    <row r="1000" spans="1:17" x14ac:dyDescent="0.4">
      <c r="A1000" s="1">
        <v>45279</v>
      </c>
      <c r="B1000">
        <v>371.489990234375</v>
      </c>
      <c r="C1000">
        <v>373.260009765625</v>
      </c>
      <c r="D1000">
        <v>369.83999633789063</v>
      </c>
      <c r="E1000">
        <v>373.260009765625</v>
      </c>
      <c r="F1000">
        <v>20603700</v>
      </c>
      <c r="G1000">
        <v>368.46484375</v>
      </c>
      <c r="H1000" s="2">
        <f>MONTH(Query1[[#This Row],[Date]])</f>
        <v>12</v>
      </c>
      <c r="I1000" s="3">
        <f>Query1[[#This Row],[Shares]]*Query1[[#This Row],[Adj Close]]</f>
        <v>1323635.8770394919</v>
      </c>
      <c r="J1000" s="3">
        <f>IF(ROW()&lt;3, Dashboard!$E$7, IF(Query1[[#This Row],[Month]]&lt;&gt;H999,J999*(1+Dashboard!$E$4)+Dashboard!$E$5,J999))</f>
        <v>917384.41027497593</v>
      </c>
      <c r="K1000">
        <f>IF(ROW()&lt;3, 0,IF(Query1[[#This Row],[Month]]&lt;&gt;H999,IF((J1000-I1000&gt;0),J1000-I1000,0),0))</f>
        <v>0</v>
      </c>
      <c r="L1000" s="2">
        <f t="shared" si="15"/>
        <v>3592.2989655359538</v>
      </c>
      <c r="M1000">
        <f>IF(ROW()&lt;3, 0, IF(Query1[[#This Row],[Month]]&lt;&gt;H999, Dashboard!$J$5,0))</f>
        <v>0</v>
      </c>
      <c r="N1000" s="2">
        <f>IF(ROW()&lt;3, Query1[[#This Row],[Shares]], IF(Query1[[#This Row],[Month]]&lt;&gt;H999, N999+Query1[[#This Row],[Fix Top Up]]/Query1[[#This Row],[Adj Close]], N999))</f>
        <v>3421.09766549905</v>
      </c>
      <c r="O1000">
        <f>IF(AND(Query1[[#This Row],[avg]]&gt;0, Query1[[#This Row],[Month]]&lt;&gt;H999),
    IF(Query1[[#This Row],[Adj Close]]&gt;Query1[[#This Row],[avg]],
       Dashboard!$L$5-Dashboard!$E$6,
       Dashboard!$L$5+Dashboard!$E$6
    ), 0
)</f>
        <v>0</v>
      </c>
      <c r="P1000" s="2">
        <f>IF(ROW()&lt;3, Query1[[#This Row],[Shares]], IF(Query1[[#This Row],[Month]]&lt;&gt;H999, P999+Query1[[#This Row],[Enhanced top up]]/Query1[[#This Row],[Adj Close]], P999))</f>
        <v>3413.0028567209956</v>
      </c>
      <c r="Q1000" s="2">
        <f>IFERROR(AVERAGE(
  IF(ROW()&gt;20, INDEX(G:G, ROW()-20), 0) :
  INDEX(G:G, ROW())
),0)</f>
        <v>369.36598132905505</v>
      </c>
    </row>
    <row r="1001" spans="1:17" x14ac:dyDescent="0.4">
      <c r="A1001" s="1">
        <v>45280</v>
      </c>
      <c r="B1001">
        <v>375</v>
      </c>
      <c r="C1001">
        <v>376.02999877929688</v>
      </c>
      <c r="D1001">
        <v>370.52999877929688</v>
      </c>
      <c r="E1001">
        <v>370.6199951171875</v>
      </c>
      <c r="F1001">
        <v>26316700</v>
      </c>
      <c r="G1001">
        <v>365.85873413085938</v>
      </c>
      <c r="H1001" s="2">
        <f>MONTH(Query1[[#This Row],[Date]])</f>
        <v>12</v>
      </c>
      <c r="I1001" s="3">
        <f>Query1[[#This Row],[Shares]]*Query1[[#This Row],[Adj Close]]</f>
        <v>1314273.9521505798</v>
      </c>
      <c r="J1001" s="3">
        <f>IF(ROW()&lt;3, Dashboard!$E$7, IF(Query1[[#This Row],[Month]]&lt;&gt;H1000,J1000*(1+Dashboard!$E$4)+Dashboard!$E$5,J1000))</f>
        <v>917384.41027497593</v>
      </c>
      <c r="K1001">
        <f>IF(ROW()&lt;3, 0,IF(Query1[[#This Row],[Month]]&lt;&gt;H1000,IF((J1001-I1001&gt;0),J1001-I1001,0),0))</f>
        <v>0</v>
      </c>
      <c r="L1001" s="2">
        <f t="shared" si="15"/>
        <v>3592.2989655359538</v>
      </c>
      <c r="M1001">
        <f>IF(ROW()&lt;3, 0, IF(Query1[[#This Row],[Month]]&lt;&gt;H1000, Dashboard!$J$5,0))</f>
        <v>0</v>
      </c>
      <c r="N1001" s="2">
        <f>IF(ROW()&lt;3, Query1[[#This Row],[Shares]], IF(Query1[[#This Row],[Month]]&lt;&gt;H1000, N1000+Query1[[#This Row],[Fix Top Up]]/Query1[[#This Row],[Adj Close]], N1000))</f>
        <v>3421.09766549905</v>
      </c>
      <c r="O1001">
        <f>IF(AND(Query1[[#This Row],[avg]]&gt;0, Query1[[#This Row],[Month]]&lt;&gt;H1000),
    IF(Query1[[#This Row],[Adj Close]]&gt;Query1[[#This Row],[avg]],
       Dashboard!$L$5-Dashboard!$E$6,
       Dashboard!$L$5+Dashboard!$E$6
    ), 0
)</f>
        <v>0</v>
      </c>
      <c r="P1001" s="2">
        <f>IF(ROW()&lt;3, Query1[[#This Row],[Shares]], IF(Query1[[#This Row],[Month]]&lt;&gt;H1000, P1000+Query1[[#This Row],[Enhanced top up]]/Query1[[#This Row],[Adj Close]], P1000))</f>
        <v>3413.0028567209956</v>
      </c>
      <c r="Q1001" s="2">
        <f>IFERROR(AVERAGE(
  IF(ROW()&gt;20, INDEX(G:G, ROW()-20), 0) :
  INDEX(G:G, ROW())
),0)</f>
        <v>369.04539126441591</v>
      </c>
    </row>
    <row r="1002" spans="1:17" x14ac:dyDescent="0.4">
      <c r="A1002" s="1">
        <v>45281</v>
      </c>
      <c r="B1002">
        <v>372.55999755859375</v>
      </c>
      <c r="C1002">
        <v>374.41000366210938</v>
      </c>
      <c r="D1002">
        <v>370.04000854492188</v>
      </c>
      <c r="E1002">
        <v>373.54000854492188</v>
      </c>
      <c r="F1002">
        <v>17708000</v>
      </c>
      <c r="G1002">
        <v>368.74124145507813</v>
      </c>
      <c r="H1002" s="2">
        <f>MONTH(Query1[[#This Row],[Date]])</f>
        <v>12</v>
      </c>
      <c r="I1002" s="3">
        <f>Query1[[#This Row],[Shares]]*Query1[[#This Row],[Adj Close]]</f>
        <v>1324628.7802295205</v>
      </c>
      <c r="J1002" s="3">
        <f>IF(ROW()&lt;3, Dashboard!$E$7, IF(Query1[[#This Row],[Month]]&lt;&gt;H1001,J1001*(1+Dashboard!$E$4)+Dashboard!$E$5,J1001))</f>
        <v>917384.41027497593</v>
      </c>
      <c r="K1002">
        <f>IF(ROW()&lt;3, 0,IF(Query1[[#This Row],[Month]]&lt;&gt;H1001,IF((J1002-I1002&gt;0),J1002-I1002,0),0))</f>
        <v>0</v>
      </c>
      <c r="L1002" s="2">
        <f t="shared" si="15"/>
        <v>3592.2989655359538</v>
      </c>
      <c r="M1002">
        <f>IF(ROW()&lt;3, 0, IF(Query1[[#This Row],[Month]]&lt;&gt;H1001, Dashboard!$J$5,0))</f>
        <v>0</v>
      </c>
      <c r="N1002" s="2">
        <f>IF(ROW()&lt;3, Query1[[#This Row],[Shares]], IF(Query1[[#This Row],[Month]]&lt;&gt;H1001, N1001+Query1[[#This Row],[Fix Top Up]]/Query1[[#This Row],[Adj Close]], N1001))</f>
        <v>3421.09766549905</v>
      </c>
      <c r="O1002">
        <f>IF(AND(Query1[[#This Row],[avg]]&gt;0, Query1[[#This Row],[Month]]&lt;&gt;H1001),
    IF(Query1[[#This Row],[Adj Close]]&gt;Query1[[#This Row],[avg]],
       Dashboard!$L$5-Dashboard!$E$6,
       Dashboard!$L$5+Dashboard!$E$6
    ), 0
)</f>
        <v>0</v>
      </c>
      <c r="P1002" s="2">
        <f>IF(ROW()&lt;3, Query1[[#This Row],[Shares]], IF(Query1[[#This Row],[Month]]&lt;&gt;H1001, P1001+Query1[[#This Row],[Enhanced top up]]/Query1[[#This Row],[Adj Close]], P1001))</f>
        <v>3413.0028567209956</v>
      </c>
      <c r="Q1002" s="2">
        <f>IFERROR(AVERAGE(
  IF(ROW()&gt;20, INDEX(G:G, ROW()-20), 0) :
  INDEX(G:G, ROW())
),0)</f>
        <v>369.06748453776044</v>
      </c>
    </row>
    <row r="1003" spans="1:17" x14ac:dyDescent="0.4">
      <c r="A1003" s="1">
        <v>45282</v>
      </c>
      <c r="B1003">
        <v>373.67999267578125</v>
      </c>
      <c r="C1003">
        <v>375.17999267578125</v>
      </c>
      <c r="D1003">
        <v>372.70999145507813</v>
      </c>
      <c r="E1003">
        <v>374.57998657226563</v>
      </c>
      <c r="F1003">
        <v>17107500</v>
      </c>
      <c r="G1003">
        <v>369.76788330078125</v>
      </c>
      <c r="H1003" s="2">
        <f>MONTH(Query1[[#This Row],[Date]])</f>
        <v>12</v>
      </c>
      <c r="I1003" s="3">
        <f>Query1[[#This Row],[Shares]]*Query1[[#This Row],[Adj Close]]</f>
        <v>1328316.7846698158</v>
      </c>
      <c r="J1003" s="3">
        <f>IF(ROW()&lt;3, Dashboard!$E$7, IF(Query1[[#This Row],[Month]]&lt;&gt;H1002,J1002*(1+Dashboard!$E$4)+Dashboard!$E$5,J1002))</f>
        <v>917384.41027497593</v>
      </c>
      <c r="K1003">
        <f>IF(ROW()&lt;3, 0,IF(Query1[[#This Row],[Month]]&lt;&gt;H1002,IF((J1003-I1003&gt;0),J1003-I1003,0),0))</f>
        <v>0</v>
      </c>
      <c r="L1003" s="2">
        <f t="shared" si="15"/>
        <v>3592.2989655359538</v>
      </c>
      <c r="M1003">
        <f>IF(ROW()&lt;3, 0, IF(Query1[[#This Row],[Month]]&lt;&gt;H1002, Dashboard!$J$5,0))</f>
        <v>0</v>
      </c>
      <c r="N1003" s="2">
        <f>IF(ROW()&lt;3, Query1[[#This Row],[Shares]], IF(Query1[[#This Row],[Month]]&lt;&gt;H1002, N1002+Query1[[#This Row],[Fix Top Up]]/Query1[[#This Row],[Adj Close]], N1002))</f>
        <v>3421.09766549905</v>
      </c>
      <c r="O1003">
        <f>IF(AND(Query1[[#This Row],[avg]]&gt;0, Query1[[#This Row],[Month]]&lt;&gt;H1002),
    IF(Query1[[#This Row],[Adj Close]]&gt;Query1[[#This Row],[avg]],
       Dashboard!$L$5-Dashboard!$E$6,
       Dashboard!$L$5+Dashboard!$E$6
    ), 0
)</f>
        <v>0</v>
      </c>
      <c r="P1003" s="2">
        <f>IF(ROW()&lt;3, Query1[[#This Row],[Shares]], IF(Query1[[#This Row],[Month]]&lt;&gt;H1002, P1002+Query1[[#This Row],[Enhanced top up]]/Query1[[#This Row],[Adj Close]], P1002))</f>
        <v>3413.0028567209956</v>
      </c>
      <c r="Q1003" s="2">
        <f>IFERROR(AVERAGE(
  IF(ROW()&gt;20, INDEX(G:G, ROW()-20), 0) :
  INDEX(G:G, ROW())
),0)</f>
        <v>368.91376894996279</v>
      </c>
    </row>
    <row r="1004" spans="1:17" x14ac:dyDescent="0.4">
      <c r="A1004" s="1">
        <v>45286</v>
      </c>
      <c r="B1004">
        <v>375</v>
      </c>
      <c r="C1004">
        <v>376.94000244140625</v>
      </c>
      <c r="D1004">
        <v>373.5</v>
      </c>
      <c r="E1004">
        <v>374.66000366210938</v>
      </c>
      <c r="F1004">
        <v>12673100</v>
      </c>
      <c r="G1004">
        <v>369.84686279296875</v>
      </c>
      <c r="H1004" s="2">
        <f>MONTH(Query1[[#This Row],[Date]])</f>
        <v>12</v>
      </c>
      <c r="I1004" s="3">
        <f>Query1[[#This Row],[Shares]]*Query1[[#This Row],[Adj Close]]</f>
        <v>1328600.5026178996</v>
      </c>
      <c r="J1004" s="3">
        <f>IF(ROW()&lt;3, Dashboard!$E$7, IF(Query1[[#This Row],[Month]]&lt;&gt;H1003,J1003*(1+Dashboard!$E$4)+Dashboard!$E$5,J1003))</f>
        <v>917384.41027497593</v>
      </c>
      <c r="K1004">
        <f>IF(ROW()&lt;3, 0,IF(Query1[[#This Row],[Month]]&lt;&gt;H1003,IF((J1004-I1004&gt;0),J1004-I1004,0),0))</f>
        <v>0</v>
      </c>
      <c r="L1004" s="2">
        <f t="shared" si="15"/>
        <v>3592.2989655359538</v>
      </c>
      <c r="M1004">
        <f>IF(ROW()&lt;3, 0, IF(Query1[[#This Row],[Month]]&lt;&gt;H1003, Dashboard!$J$5,0))</f>
        <v>0</v>
      </c>
      <c r="N1004" s="2">
        <f>IF(ROW()&lt;3, Query1[[#This Row],[Shares]], IF(Query1[[#This Row],[Month]]&lt;&gt;H1003, N1003+Query1[[#This Row],[Fix Top Up]]/Query1[[#This Row],[Adj Close]], N1003))</f>
        <v>3421.09766549905</v>
      </c>
      <c r="O1004">
        <f>IF(AND(Query1[[#This Row],[avg]]&gt;0, Query1[[#This Row],[Month]]&lt;&gt;H1003),
    IF(Query1[[#This Row],[Adj Close]]&gt;Query1[[#This Row],[avg]],
       Dashboard!$L$5-Dashboard!$E$6,
       Dashboard!$L$5+Dashboard!$E$6
    ), 0
)</f>
        <v>0</v>
      </c>
      <c r="P1004" s="2">
        <f>IF(ROW()&lt;3, Query1[[#This Row],[Shares]], IF(Query1[[#This Row],[Month]]&lt;&gt;H1003, P1003+Query1[[#This Row],[Enhanced top up]]/Query1[[#This Row],[Adj Close]], P1003))</f>
        <v>3413.0028567209956</v>
      </c>
      <c r="Q1004" s="2">
        <f>IFERROR(AVERAGE(
  IF(ROW()&gt;20, INDEX(G:G, ROW()-20), 0) :
  INDEX(G:G, ROW())
),0)</f>
        <v>368.78355916341144</v>
      </c>
    </row>
    <row r="1005" spans="1:17" x14ac:dyDescent="0.4">
      <c r="A1005" s="1">
        <v>45287</v>
      </c>
      <c r="B1005">
        <v>373.69000244140625</v>
      </c>
      <c r="C1005">
        <v>375.05999755859375</v>
      </c>
      <c r="D1005">
        <v>372.80999755859375</v>
      </c>
      <c r="E1005">
        <v>374.07000732421875</v>
      </c>
      <c r="F1005">
        <v>14905400</v>
      </c>
      <c r="G1005">
        <v>369.26443481445313</v>
      </c>
      <c r="H1005" s="2">
        <f>MONTH(Query1[[#This Row],[Date]])</f>
        <v>12</v>
      </c>
      <c r="I1005" s="3">
        <f>Query1[[#This Row],[Shares]]*Query1[[#This Row],[Adj Close]]</f>
        <v>1326508.2471931786</v>
      </c>
      <c r="J1005" s="3">
        <f>IF(ROW()&lt;3, Dashboard!$E$7, IF(Query1[[#This Row],[Month]]&lt;&gt;H1004,J1004*(1+Dashboard!$E$4)+Dashboard!$E$5,J1004))</f>
        <v>917384.41027497593</v>
      </c>
      <c r="K1005">
        <f>IF(ROW()&lt;3, 0,IF(Query1[[#This Row],[Month]]&lt;&gt;H1004,IF((J1005-I1005&gt;0),J1005-I1005,0),0))</f>
        <v>0</v>
      </c>
      <c r="L1005" s="2">
        <f t="shared" si="15"/>
        <v>3592.2989655359538</v>
      </c>
      <c r="M1005">
        <f>IF(ROW()&lt;3, 0, IF(Query1[[#This Row],[Month]]&lt;&gt;H1004, Dashboard!$J$5,0))</f>
        <v>0</v>
      </c>
      <c r="N1005" s="2">
        <f>IF(ROW()&lt;3, Query1[[#This Row],[Shares]], IF(Query1[[#This Row],[Month]]&lt;&gt;H1004, N1004+Query1[[#This Row],[Fix Top Up]]/Query1[[#This Row],[Adj Close]], N1004))</f>
        <v>3421.09766549905</v>
      </c>
      <c r="O1005">
        <f>IF(AND(Query1[[#This Row],[avg]]&gt;0, Query1[[#This Row],[Month]]&lt;&gt;H1004),
    IF(Query1[[#This Row],[Adj Close]]&gt;Query1[[#This Row],[avg]],
       Dashboard!$L$5-Dashboard!$E$6,
       Dashboard!$L$5+Dashboard!$E$6
    ), 0
)</f>
        <v>0</v>
      </c>
      <c r="P1005" s="2">
        <f>IF(ROW()&lt;3, Query1[[#This Row],[Shares]], IF(Query1[[#This Row],[Month]]&lt;&gt;H1004, P1004+Query1[[#This Row],[Enhanced top up]]/Query1[[#This Row],[Adj Close]], P1004))</f>
        <v>3413.0028567209956</v>
      </c>
      <c r="Q1005" s="2">
        <f>IFERROR(AVERAGE(
  IF(ROW()&gt;20, INDEX(G:G, ROW()-20), 0) :
  INDEX(G:G, ROW())
),0)</f>
        <v>368.57014683314731</v>
      </c>
    </row>
    <row r="1006" spans="1:17" x14ac:dyDescent="0.4">
      <c r="A1006" s="1">
        <v>45288</v>
      </c>
      <c r="B1006">
        <v>375.3699951171875</v>
      </c>
      <c r="C1006">
        <v>376.45999145507813</v>
      </c>
      <c r="D1006">
        <v>374.16000366210938</v>
      </c>
      <c r="E1006">
        <v>375.27999877929688</v>
      </c>
      <c r="F1006">
        <v>14327000</v>
      </c>
      <c r="G1006">
        <v>370.45889282226563</v>
      </c>
      <c r="H1006" s="2">
        <f>MONTH(Query1[[#This Row],[Date]])</f>
        <v>12</v>
      </c>
      <c r="I1006" s="3">
        <f>Query1[[#This Row],[Shares]]*Query1[[#This Row],[Adj Close]]</f>
        <v>1330799.0974590196</v>
      </c>
      <c r="J1006" s="3">
        <f>IF(ROW()&lt;3, Dashboard!$E$7, IF(Query1[[#This Row],[Month]]&lt;&gt;H1005,J1005*(1+Dashboard!$E$4)+Dashboard!$E$5,J1005))</f>
        <v>917384.41027497593</v>
      </c>
      <c r="K1006">
        <f>IF(ROW()&lt;3, 0,IF(Query1[[#This Row],[Month]]&lt;&gt;H1005,IF((J1006-I1006&gt;0),J1006-I1006,0),0))</f>
        <v>0</v>
      </c>
      <c r="L1006" s="2">
        <f t="shared" si="15"/>
        <v>3592.2989655359538</v>
      </c>
      <c r="M1006">
        <f>IF(ROW()&lt;3, 0, IF(Query1[[#This Row],[Month]]&lt;&gt;H1005, Dashboard!$J$5,0))</f>
        <v>0</v>
      </c>
      <c r="N1006" s="2">
        <f>IF(ROW()&lt;3, Query1[[#This Row],[Shares]], IF(Query1[[#This Row],[Month]]&lt;&gt;H1005, N1005+Query1[[#This Row],[Fix Top Up]]/Query1[[#This Row],[Adj Close]], N1005))</f>
        <v>3421.09766549905</v>
      </c>
      <c r="O1006">
        <f>IF(AND(Query1[[#This Row],[avg]]&gt;0, Query1[[#This Row],[Month]]&lt;&gt;H1005),
    IF(Query1[[#This Row],[Adj Close]]&gt;Query1[[#This Row],[avg]],
       Dashboard!$L$5-Dashboard!$E$6,
       Dashboard!$L$5+Dashboard!$E$6
    ), 0
)</f>
        <v>0</v>
      </c>
      <c r="P1006" s="2">
        <f>IF(ROW()&lt;3, Query1[[#This Row],[Shares]], IF(Query1[[#This Row],[Month]]&lt;&gt;H1005, P1005+Query1[[#This Row],[Enhanced top up]]/Query1[[#This Row],[Adj Close]], P1005))</f>
        <v>3413.0028567209956</v>
      </c>
      <c r="Q1006" s="2">
        <f>IFERROR(AVERAGE(
  IF(ROW()&gt;20, INDEX(G:G, ROW()-20), 0) :
  INDEX(G:G, ROW())
),0)</f>
        <v>368.22135271344865</v>
      </c>
    </row>
    <row r="1007" spans="1:17" x14ac:dyDescent="0.4">
      <c r="A1007" s="1">
        <v>45289</v>
      </c>
      <c r="B1007">
        <v>376</v>
      </c>
      <c r="C1007">
        <v>377.16000366210938</v>
      </c>
      <c r="D1007">
        <v>373.48001098632813</v>
      </c>
      <c r="E1007">
        <v>376.04000854492188</v>
      </c>
      <c r="F1007">
        <v>18730800</v>
      </c>
      <c r="G1007">
        <v>371.20916748046875</v>
      </c>
      <c r="H1007" s="2">
        <f>MONTH(Query1[[#This Row],[Date]])</f>
        <v>12</v>
      </c>
      <c r="I1007" s="3">
        <f>Query1[[#This Row],[Shares]]*Query1[[#This Row],[Adj Close]]</f>
        <v>1333494.3083375506</v>
      </c>
      <c r="J1007" s="3">
        <f>IF(ROW()&lt;3, Dashboard!$E$7, IF(Query1[[#This Row],[Month]]&lt;&gt;H1006,J1006*(1+Dashboard!$E$4)+Dashboard!$E$5,J1006))</f>
        <v>917384.41027497593</v>
      </c>
      <c r="K1007">
        <f>IF(ROW()&lt;3, 0,IF(Query1[[#This Row],[Month]]&lt;&gt;H1006,IF((J1007-I1007&gt;0),J1007-I1007,0),0))</f>
        <v>0</v>
      </c>
      <c r="L1007" s="2">
        <f t="shared" si="15"/>
        <v>3592.2989655359538</v>
      </c>
      <c r="M1007">
        <f>IF(ROW()&lt;3, 0, IF(Query1[[#This Row],[Month]]&lt;&gt;H1006, Dashboard!$J$5,0))</f>
        <v>0</v>
      </c>
      <c r="N1007" s="2">
        <f>IF(ROW()&lt;3, Query1[[#This Row],[Shares]], IF(Query1[[#This Row],[Month]]&lt;&gt;H1006, N1006+Query1[[#This Row],[Fix Top Up]]/Query1[[#This Row],[Adj Close]], N1006))</f>
        <v>3421.09766549905</v>
      </c>
      <c r="O1007">
        <f>IF(AND(Query1[[#This Row],[avg]]&gt;0, Query1[[#This Row],[Month]]&lt;&gt;H1006),
    IF(Query1[[#This Row],[Adj Close]]&gt;Query1[[#This Row],[avg]],
       Dashboard!$L$5-Dashboard!$E$6,
       Dashboard!$L$5+Dashboard!$E$6
    ), 0
)</f>
        <v>0</v>
      </c>
      <c r="P1007" s="2">
        <f>IF(ROW()&lt;3, Query1[[#This Row],[Shares]], IF(Query1[[#This Row],[Month]]&lt;&gt;H1006, P1006+Query1[[#This Row],[Enhanced top up]]/Query1[[#This Row],[Adj Close]], P1006))</f>
        <v>3413.0028567209956</v>
      </c>
      <c r="Q1007" s="2">
        <f>IFERROR(AVERAGE(
  IF(ROW()&gt;20, INDEX(G:G, ROW()-20), 0) :
  INDEX(G:G, ROW())
),0)</f>
        <v>368.08926246279759</v>
      </c>
    </row>
    <row r="1008" spans="1:17" x14ac:dyDescent="0.4">
      <c r="A1008" s="1">
        <v>45293</v>
      </c>
      <c r="B1008">
        <v>373.8599853515625</v>
      </c>
      <c r="C1008">
        <v>375.89999389648438</v>
      </c>
      <c r="D1008">
        <v>366.76998901367188</v>
      </c>
      <c r="E1008">
        <v>370.8699951171875</v>
      </c>
      <c r="F1008">
        <v>25258600</v>
      </c>
      <c r="G1008">
        <v>366.10556030273438</v>
      </c>
      <c r="H1008" s="2">
        <f>MONTH(Query1[[#This Row],[Date]])</f>
        <v>1</v>
      </c>
      <c r="I1008" s="3">
        <f>Query1[[#This Row],[Shares]]*Query1[[#This Row],[Adj Close]]</f>
        <v>1315160.6255524734</v>
      </c>
      <c r="J1008" s="3">
        <f>IF(ROW()&lt;3, Dashboard!$E$7, IF(Query1[[#This Row],[Month]]&lt;&gt;H1007,J1007*(1+Dashboard!$E$4)+Dashboard!$E$5,J1007))</f>
        <v>928558.25437772565</v>
      </c>
      <c r="K1008">
        <f>IF(ROW()&lt;3, 0,IF(Query1[[#This Row],[Month]]&lt;&gt;H1007,IF((J1008-I1008&gt;0),J1008-I1008,0),0))</f>
        <v>0</v>
      </c>
      <c r="L1008" s="2">
        <f t="shared" si="15"/>
        <v>3592.2989655359538</v>
      </c>
      <c r="M1008">
        <f>IF(ROW()&lt;3, 0, IF(Query1[[#This Row],[Month]]&lt;&gt;H1007, Dashboard!$J$5,0))</f>
        <v>773.47399999999971</v>
      </c>
      <c r="N1008" s="2">
        <f>IF(ROW()&lt;3, Query1[[#This Row],[Shares]], IF(Query1[[#This Row],[Month]]&lt;&gt;H1007, N1007+Query1[[#This Row],[Fix Top Up]]/Query1[[#This Row],[Adj Close]], N1007))</f>
        <v>3423.2103730999956</v>
      </c>
      <c r="O1008">
        <f>IF(AND(Query1[[#This Row],[avg]]&gt;0, Query1[[#This Row],[Month]]&lt;&gt;H1007),
    IF(Query1[[#This Row],[Adj Close]]&gt;Query1[[#This Row],[avg]],
       Dashboard!$L$5-Dashboard!$E$6,
       Dashboard!$L$5+Dashboard!$E$6
    ), 0
)</f>
        <v>1390.1406666666667</v>
      </c>
      <c r="P1008" s="2">
        <f>IF(ROW()&lt;3, Query1[[#This Row],[Shares]], IF(Query1[[#This Row],[Month]]&lt;&gt;H1007, P1007+Query1[[#This Row],[Enhanced top up]]/Query1[[#This Row],[Adj Close]], P1007))</f>
        <v>3416.7999601179426</v>
      </c>
      <c r="Q1008" s="2">
        <f>IFERROR(AVERAGE(
  IF(ROW()&gt;20, INDEX(G:G, ROW()-20), 0) :
  INDEX(G:G, ROW())
),0)</f>
        <v>367.71132260277159</v>
      </c>
    </row>
    <row r="1009" spans="1:17" x14ac:dyDescent="0.4">
      <c r="A1009" s="1">
        <v>45294</v>
      </c>
      <c r="B1009">
        <v>369.010009765625</v>
      </c>
      <c r="C1009">
        <v>373.260009765625</v>
      </c>
      <c r="D1009">
        <v>368.510009765625</v>
      </c>
      <c r="E1009">
        <v>370.60000610351563</v>
      </c>
      <c r="F1009">
        <v>23083500</v>
      </c>
      <c r="G1009">
        <v>365.83901977539063</v>
      </c>
      <c r="H1009" s="2">
        <f>MONTH(Query1[[#This Row],[Date]])</f>
        <v>1</v>
      </c>
      <c r="I1009" s="3">
        <f>Query1[[#This Row],[Shares]]*Query1[[#This Row],[Adj Close]]</f>
        <v>1314203.1322918232</v>
      </c>
      <c r="J1009" s="3">
        <f>IF(ROW()&lt;3, Dashboard!$E$7, IF(Query1[[#This Row],[Month]]&lt;&gt;H1008,J1008*(1+Dashboard!$E$4)+Dashboard!$E$5,J1008))</f>
        <v>928558.25437772565</v>
      </c>
      <c r="K1009">
        <f>IF(ROW()&lt;3, 0,IF(Query1[[#This Row],[Month]]&lt;&gt;H1008,IF((J1009-I1009&gt;0),J1009-I1009,0),0))</f>
        <v>0</v>
      </c>
      <c r="L1009" s="2">
        <f t="shared" si="15"/>
        <v>3592.2989655359538</v>
      </c>
      <c r="M1009">
        <f>IF(ROW()&lt;3, 0, IF(Query1[[#This Row],[Month]]&lt;&gt;H1008, Dashboard!$J$5,0))</f>
        <v>0</v>
      </c>
      <c r="N1009" s="2">
        <f>IF(ROW()&lt;3, Query1[[#This Row],[Shares]], IF(Query1[[#This Row],[Month]]&lt;&gt;H1008, N1008+Query1[[#This Row],[Fix Top Up]]/Query1[[#This Row],[Adj Close]], N1008))</f>
        <v>3423.2103730999956</v>
      </c>
      <c r="O1009">
        <f>IF(AND(Query1[[#This Row],[avg]]&gt;0, Query1[[#This Row],[Month]]&lt;&gt;H1008),
    IF(Query1[[#This Row],[Adj Close]]&gt;Query1[[#This Row],[avg]],
       Dashboard!$L$5-Dashboard!$E$6,
       Dashboard!$L$5+Dashboard!$E$6
    ), 0
)</f>
        <v>0</v>
      </c>
      <c r="P1009" s="2">
        <f>IF(ROW()&lt;3, Query1[[#This Row],[Shares]], IF(Query1[[#This Row],[Month]]&lt;&gt;H1008, P1008+Query1[[#This Row],[Enhanced top up]]/Query1[[#This Row],[Adj Close]], P1008))</f>
        <v>3416.7999601179426</v>
      </c>
      <c r="Q1009" s="2">
        <f>IFERROR(AVERAGE(
  IF(ROW()&gt;20, INDEX(G:G, ROW()-20), 0) :
  INDEX(G:G, ROW())
),0)</f>
        <v>367.52752249581471</v>
      </c>
    </row>
    <row r="1010" spans="1:17" x14ac:dyDescent="0.4">
      <c r="A1010" s="1">
        <v>45295</v>
      </c>
      <c r="B1010">
        <v>370.67001342773438</v>
      </c>
      <c r="C1010">
        <v>373.10000610351563</v>
      </c>
      <c r="D1010">
        <v>367.17001342773438</v>
      </c>
      <c r="E1010">
        <v>367.94000244140625</v>
      </c>
      <c r="F1010">
        <v>20901500</v>
      </c>
      <c r="G1010">
        <v>363.21319580078125</v>
      </c>
      <c r="H1010" s="2">
        <f>MONTH(Query1[[#This Row],[Date]])</f>
        <v>1</v>
      </c>
      <c r="I1010" s="3">
        <f>Query1[[#This Row],[Shares]]*Query1[[#This Row],[Adj Close]]</f>
        <v>1304770.3875441544</v>
      </c>
      <c r="J1010" s="3">
        <f>IF(ROW()&lt;3, Dashboard!$E$7, IF(Query1[[#This Row],[Month]]&lt;&gt;H1009,J1009*(1+Dashboard!$E$4)+Dashboard!$E$5,J1009))</f>
        <v>928558.25437772565</v>
      </c>
      <c r="K1010">
        <f>IF(ROW()&lt;3, 0,IF(Query1[[#This Row],[Month]]&lt;&gt;H1009,IF((J1010-I1010&gt;0),J1010-I1010,0),0))</f>
        <v>0</v>
      </c>
      <c r="L1010" s="2">
        <f t="shared" si="15"/>
        <v>3592.2989655359538</v>
      </c>
      <c r="M1010">
        <f>IF(ROW()&lt;3, 0, IF(Query1[[#This Row],[Month]]&lt;&gt;H1009, Dashboard!$J$5,0))</f>
        <v>0</v>
      </c>
      <c r="N1010" s="2">
        <f>IF(ROW()&lt;3, Query1[[#This Row],[Shares]], IF(Query1[[#This Row],[Month]]&lt;&gt;H1009, N1009+Query1[[#This Row],[Fix Top Up]]/Query1[[#This Row],[Adj Close]], N1009))</f>
        <v>3423.2103730999956</v>
      </c>
      <c r="O1010">
        <f>IF(AND(Query1[[#This Row],[avg]]&gt;0, Query1[[#This Row],[Month]]&lt;&gt;H1009),
    IF(Query1[[#This Row],[Adj Close]]&gt;Query1[[#This Row],[avg]],
       Dashboard!$L$5-Dashboard!$E$6,
       Dashboard!$L$5+Dashboard!$E$6
    ), 0
)</f>
        <v>0</v>
      </c>
      <c r="P1010" s="2">
        <f>IF(ROW()&lt;3, Query1[[#This Row],[Shares]], IF(Query1[[#This Row],[Month]]&lt;&gt;H1009, P1009+Query1[[#This Row],[Enhanced top up]]/Query1[[#This Row],[Adj Close]], P1009))</f>
        <v>3416.7999601179426</v>
      </c>
      <c r="Q1010" s="2">
        <f>IFERROR(AVERAGE(
  IF(ROW()&gt;20, INDEX(G:G, ROW()-20), 0) :
  INDEX(G:G, ROW())
),0)</f>
        <v>367.47111293247769</v>
      </c>
    </row>
    <row r="1011" spans="1:17" x14ac:dyDescent="0.4">
      <c r="A1011" s="1">
        <v>45296</v>
      </c>
      <c r="B1011">
        <v>368.97000122070313</v>
      </c>
      <c r="C1011">
        <v>372.05999755859375</v>
      </c>
      <c r="D1011">
        <v>366.5</v>
      </c>
      <c r="E1011">
        <v>367.75</v>
      </c>
      <c r="F1011">
        <v>21004600</v>
      </c>
      <c r="G1011">
        <v>363.025634765625</v>
      </c>
      <c r="H1011" s="2">
        <f>MONTH(Query1[[#This Row],[Date]])</f>
        <v>1</v>
      </c>
      <c r="I1011" s="3">
        <f>Query1[[#This Row],[Shares]]*Query1[[#This Row],[Adj Close]]</f>
        <v>1304096.6122315878</v>
      </c>
      <c r="J1011" s="3">
        <f>IF(ROW()&lt;3, Dashboard!$E$7, IF(Query1[[#This Row],[Month]]&lt;&gt;H1010,J1010*(1+Dashboard!$E$4)+Dashboard!$E$5,J1010))</f>
        <v>928558.25437772565</v>
      </c>
      <c r="K1011">
        <f>IF(ROW()&lt;3, 0,IF(Query1[[#This Row],[Month]]&lt;&gt;H1010,IF((J1011-I1011&gt;0),J1011-I1011,0),0))</f>
        <v>0</v>
      </c>
      <c r="L1011" s="2">
        <f t="shared" si="15"/>
        <v>3592.2989655359538</v>
      </c>
      <c r="M1011">
        <f>IF(ROW()&lt;3, 0, IF(Query1[[#This Row],[Month]]&lt;&gt;H1010, Dashboard!$J$5,0))</f>
        <v>0</v>
      </c>
      <c r="N1011" s="2">
        <f>IF(ROW()&lt;3, Query1[[#This Row],[Shares]], IF(Query1[[#This Row],[Month]]&lt;&gt;H1010, N1010+Query1[[#This Row],[Fix Top Up]]/Query1[[#This Row],[Adj Close]], N1010))</f>
        <v>3423.2103730999956</v>
      </c>
      <c r="O1011">
        <f>IF(AND(Query1[[#This Row],[avg]]&gt;0, Query1[[#This Row],[Month]]&lt;&gt;H1010),
    IF(Query1[[#This Row],[Adj Close]]&gt;Query1[[#This Row],[avg]],
       Dashboard!$L$5-Dashboard!$E$6,
       Dashboard!$L$5+Dashboard!$E$6
    ), 0
)</f>
        <v>0</v>
      </c>
      <c r="P1011" s="2">
        <f>IF(ROW()&lt;3, Query1[[#This Row],[Shares]], IF(Query1[[#This Row],[Month]]&lt;&gt;H1010, P1010+Query1[[#This Row],[Enhanced top up]]/Query1[[#This Row],[Adj Close]], P1010))</f>
        <v>3416.7999601179426</v>
      </c>
      <c r="Q1011" s="2">
        <f>IFERROR(AVERAGE(
  IF(ROW()&gt;20, INDEX(G:G, ROW()-20), 0) :
  INDEX(G:G, ROW())
),0)</f>
        <v>367.24688866024928</v>
      </c>
    </row>
    <row r="1012" spans="1:17" x14ac:dyDescent="0.4">
      <c r="A1012" s="1">
        <v>45299</v>
      </c>
      <c r="B1012">
        <v>369.29998779296875</v>
      </c>
      <c r="C1012">
        <v>375.20001220703125</v>
      </c>
      <c r="D1012">
        <v>369.010009765625</v>
      </c>
      <c r="E1012">
        <v>374.69000244140625</v>
      </c>
      <c r="F1012">
        <v>23134000</v>
      </c>
      <c r="G1012">
        <v>369.87646484375</v>
      </c>
      <c r="H1012" s="2">
        <f>MONTH(Query1[[#This Row],[Date]])</f>
        <v>1</v>
      </c>
      <c r="I1012" s="3">
        <f>Query1[[#This Row],[Shares]]*Query1[[#This Row],[Adj Close]]</f>
        <v>1328706.8420342987</v>
      </c>
      <c r="J1012" s="3">
        <f>IF(ROW()&lt;3, Dashboard!$E$7, IF(Query1[[#This Row],[Month]]&lt;&gt;H1011,J1011*(1+Dashboard!$E$4)+Dashboard!$E$5,J1011))</f>
        <v>928558.25437772565</v>
      </c>
      <c r="K1012">
        <f>IF(ROW()&lt;3, 0,IF(Query1[[#This Row],[Month]]&lt;&gt;H1011,IF((J1012-I1012&gt;0),J1012-I1012,0),0))</f>
        <v>0</v>
      </c>
      <c r="L1012" s="2">
        <f t="shared" si="15"/>
        <v>3592.2989655359538</v>
      </c>
      <c r="M1012">
        <f>IF(ROW()&lt;3, 0, IF(Query1[[#This Row],[Month]]&lt;&gt;H1011, Dashboard!$J$5,0))</f>
        <v>0</v>
      </c>
      <c r="N1012" s="2">
        <f>IF(ROW()&lt;3, Query1[[#This Row],[Shares]], IF(Query1[[#This Row],[Month]]&lt;&gt;H1011, N1011+Query1[[#This Row],[Fix Top Up]]/Query1[[#This Row],[Adj Close]], N1011))</f>
        <v>3423.2103730999956</v>
      </c>
      <c r="O1012">
        <f>IF(AND(Query1[[#This Row],[avg]]&gt;0, Query1[[#This Row],[Month]]&lt;&gt;H1011),
    IF(Query1[[#This Row],[Adj Close]]&gt;Query1[[#This Row],[avg]],
       Dashboard!$L$5-Dashboard!$E$6,
       Dashboard!$L$5+Dashboard!$E$6
    ), 0
)</f>
        <v>0</v>
      </c>
      <c r="P1012" s="2">
        <f>IF(ROW()&lt;3, Query1[[#This Row],[Shares]], IF(Query1[[#This Row],[Month]]&lt;&gt;H1011, P1011+Query1[[#This Row],[Enhanced top up]]/Query1[[#This Row],[Adj Close]], P1011))</f>
        <v>3416.7999601179426</v>
      </c>
      <c r="Q1012" s="2">
        <f>IFERROR(AVERAGE(
  IF(ROW()&gt;20, INDEX(G:G, ROW()-20), 0) :
  INDEX(G:G, ROW())
),0)</f>
        <v>367.52376156761534</v>
      </c>
    </row>
    <row r="1013" spans="1:17" x14ac:dyDescent="0.4">
      <c r="A1013" s="1">
        <v>45300</v>
      </c>
      <c r="B1013">
        <v>372.010009765625</v>
      </c>
      <c r="C1013">
        <v>375.989990234375</v>
      </c>
      <c r="D1013">
        <v>371.19000244140625</v>
      </c>
      <c r="E1013">
        <v>375.79000854492188</v>
      </c>
      <c r="F1013">
        <v>20830000</v>
      </c>
      <c r="G1013">
        <v>370.96234130859375</v>
      </c>
      <c r="H1013" s="2">
        <f>MONTH(Query1[[#This Row],[Date]])</f>
        <v>1</v>
      </c>
      <c r="I1013" s="3">
        <f>Query1[[#This Row],[Shares]]*Query1[[#This Row],[Adj Close]]</f>
        <v>1332607.6349356568</v>
      </c>
      <c r="J1013" s="3">
        <f>IF(ROW()&lt;3, Dashboard!$E$7, IF(Query1[[#This Row],[Month]]&lt;&gt;H1012,J1012*(1+Dashboard!$E$4)+Dashboard!$E$5,J1012))</f>
        <v>928558.25437772565</v>
      </c>
      <c r="K1013">
        <f>IF(ROW()&lt;3, 0,IF(Query1[[#This Row],[Month]]&lt;&gt;H1012,IF((J1013-I1013&gt;0),J1013-I1013,0),0))</f>
        <v>0</v>
      </c>
      <c r="L1013" s="2">
        <f t="shared" si="15"/>
        <v>3592.2989655359538</v>
      </c>
      <c r="M1013">
        <f>IF(ROW()&lt;3, 0, IF(Query1[[#This Row],[Month]]&lt;&gt;H1012, Dashboard!$J$5,0))</f>
        <v>0</v>
      </c>
      <c r="N1013" s="2">
        <f>IF(ROW()&lt;3, Query1[[#This Row],[Shares]], IF(Query1[[#This Row],[Month]]&lt;&gt;H1012, N1012+Query1[[#This Row],[Fix Top Up]]/Query1[[#This Row],[Adj Close]], N1012))</f>
        <v>3423.2103730999956</v>
      </c>
      <c r="O1013">
        <f>IF(AND(Query1[[#This Row],[avg]]&gt;0, Query1[[#This Row],[Month]]&lt;&gt;H1012),
    IF(Query1[[#This Row],[Adj Close]]&gt;Query1[[#This Row],[avg]],
       Dashboard!$L$5-Dashboard!$E$6,
       Dashboard!$L$5+Dashboard!$E$6
    ), 0
)</f>
        <v>0</v>
      </c>
      <c r="P1013" s="2">
        <f>IF(ROW()&lt;3, Query1[[#This Row],[Shares]], IF(Query1[[#This Row],[Month]]&lt;&gt;H1012, P1012+Query1[[#This Row],[Enhanced top up]]/Query1[[#This Row],[Adj Close]], P1012))</f>
        <v>3416.7999601179426</v>
      </c>
      <c r="Q1013" s="2">
        <f>IFERROR(AVERAGE(
  IF(ROW()&gt;20, INDEX(G:G, ROW()-20), 0) :
  INDEX(G:G, ROW())
),0)</f>
        <v>367.7512744721912</v>
      </c>
    </row>
    <row r="1014" spans="1:17" x14ac:dyDescent="0.4">
      <c r="A1014" s="1">
        <v>45301</v>
      </c>
      <c r="B1014">
        <v>376.3699951171875</v>
      </c>
      <c r="C1014">
        <v>384.17001342773438</v>
      </c>
      <c r="D1014">
        <v>376.32000732421875</v>
      </c>
      <c r="E1014">
        <v>382.76998901367188</v>
      </c>
      <c r="F1014">
        <v>25514200</v>
      </c>
      <c r="G1014">
        <v>377.85269165039063</v>
      </c>
      <c r="H1014" s="2">
        <f>MONTH(Query1[[#This Row],[Date]])</f>
        <v>1</v>
      </c>
      <c r="I1014" s="3">
        <f>Query1[[#This Row],[Shares]]*Query1[[#This Row],[Adj Close]]</f>
        <v>1357359.8333406739</v>
      </c>
      <c r="J1014" s="3">
        <f>IF(ROW()&lt;3, Dashboard!$E$7, IF(Query1[[#This Row],[Month]]&lt;&gt;H1013,J1013*(1+Dashboard!$E$4)+Dashboard!$E$5,J1013))</f>
        <v>928558.25437772565</v>
      </c>
      <c r="K1014">
        <f>IF(ROW()&lt;3, 0,IF(Query1[[#This Row],[Month]]&lt;&gt;H1013,IF((J1014-I1014&gt;0),J1014-I1014,0),0))</f>
        <v>0</v>
      </c>
      <c r="L1014" s="2">
        <f t="shared" si="15"/>
        <v>3592.2989655359538</v>
      </c>
      <c r="M1014">
        <f>IF(ROW()&lt;3, 0, IF(Query1[[#This Row],[Month]]&lt;&gt;H1013, Dashboard!$J$5,0))</f>
        <v>0</v>
      </c>
      <c r="N1014" s="2">
        <f>IF(ROW()&lt;3, Query1[[#This Row],[Shares]], IF(Query1[[#This Row],[Month]]&lt;&gt;H1013, N1013+Query1[[#This Row],[Fix Top Up]]/Query1[[#This Row],[Adj Close]], N1013))</f>
        <v>3423.2103730999956</v>
      </c>
      <c r="O1014">
        <f>IF(AND(Query1[[#This Row],[avg]]&gt;0, Query1[[#This Row],[Month]]&lt;&gt;H1013),
    IF(Query1[[#This Row],[Adj Close]]&gt;Query1[[#This Row],[avg]],
       Dashboard!$L$5-Dashboard!$E$6,
       Dashboard!$L$5+Dashboard!$E$6
    ), 0
)</f>
        <v>0</v>
      </c>
      <c r="P1014" s="2">
        <f>IF(ROW()&lt;3, Query1[[#This Row],[Shares]], IF(Query1[[#This Row],[Month]]&lt;&gt;H1013, P1013+Query1[[#This Row],[Enhanced top up]]/Query1[[#This Row],[Adj Close]], P1013))</f>
        <v>3416.7999601179426</v>
      </c>
      <c r="Q1014" s="2">
        <f>IFERROR(AVERAGE(
  IF(ROW()&gt;20, INDEX(G:G, ROW()-20), 0) :
  INDEX(G:G, ROW())
),0)</f>
        <v>368.15271868024553</v>
      </c>
    </row>
    <row r="1015" spans="1:17" x14ac:dyDescent="0.4">
      <c r="A1015" s="1">
        <v>45302</v>
      </c>
      <c r="B1015">
        <v>386</v>
      </c>
      <c r="C1015">
        <v>390.67999267578125</v>
      </c>
      <c r="D1015">
        <v>380.3800048828125</v>
      </c>
      <c r="E1015">
        <v>384.6300048828125</v>
      </c>
      <c r="F1015">
        <v>27850800</v>
      </c>
      <c r="G1015">
        <v>379.68878173828125</v>
      </c>
      <c r="H1015" s="2">
        <f>MONTH(Query1[[#This Row],[Date]])</f>
        <v>1</v>
      </c>
      <c r="I1015" s="3">
        <f>Query1[[#This Row],[Shares]]*Query1[[#This Row],[Adj Close]]</f>
        <v>1363955.6178640344</v>
      </c>
      <c r="J1015" s="3">
        <f>IF(ROW()&lt;3, Dashboard!$E$7, IF(Query1[[#This Row],[Month]]&lt;&gt;H1014,J1014*(1+Dashboard!$E$4)+Dashboard!$E$5,J1014))</f>
        <v>928558.25437772565</v>
      </c>
      <c r="K1015">
        <f>IF(ROW()&lt;3, 0,IF(Query1[[#This Row],[Month]]&lt;&gt;H1014,IF((J1015-I1015&gt;0),J1015-I1015,0),0))</f>
        <v>0</v>
      </c>
      <c r="L1015" s="2">
        <f t="shared" si="15"/>
        <v>3592.2989655359538</v>
      </c>
      <c r="M1015">
        <f>IF(ROW()&lt;3, 0, IF(Query1[[#This Row],[Month]]&lt;&gt;H1014, Dashboard!$J$5,0))</f>
        <v>0</v>
      </c>
      <c r="N1015" s="2">
        <f>IF(ROW()&lt;3, Query1[[#This Row],[Shares]], IF(Query1[[#This Row],[Month]]&lt;&gt;H1014, N1014+Query1[[#This Row],[Fix Top Up]]/Query1[[#This Row],[Adj Close]], N1014))</f>
        <v>3423.2103730999956</v>
      </c>
      <c r="O1015">
        <f>IF(AND(Query1[[#This Row],[avg]]&gt;0, Query1[[#This Row],[Month]]&lt;&gt;H1014),
    IF(Query1[[#This Row],[Adj Close]]&gt;Query1[[#This Row],[avg]],
       Dashboard!$L$5-Dashboard!$E$6,
       Dashboard!$L$5+Dashboard!$E$6
    ), 0
)</f>
        <v>0</v>
      </c>
      <c r="P1015" s="2">
        <f>IF(ROW()&lt;3, Query1[[#This Row],[Shares]], IF(Query1[[#This Row],[Month]]&lt;&gt;H1014, P1014+Query1[[#This Row],[Enhanced top up]]/Query1[[#This Row],[Adj Close]], P1014))</f>
        <v>3416.7999601179426</v>
      </c>
      <c r="Q1015" s="2">
        <f>IFERROR(AVERAGE(
  IF(ROW()&gt;20, INDEX(G:G, ROW()-20), 0) :
  INDEX(G:G, ROW())
),0)</f>
        <v>368.77932593936009</v>
      </c>
    </row>
    <row r="1016" spans="1:17" x14ac:dyDescent="0.4">
      <c r="A1016" s="1">
        <v>45303</v>
      </c>
      <c r="B1016">
        <v>385.489990234375</v>
      </c>
      <c r="C1016">
        <v>388.67999267578125</v>
      </c>
      <c r="D1016">
        <v>384.64999389648438</v>
      </c>
      <c r="E1016">
        <v>388.47000122070313</v>
      </c>
      <c r="F1016">
        <v>21661200</v>
      </c>
      <c r="G1016">
        <v>383.47946166992188</v>
      </c>
      <c r="H1016" s="2">
        <f>MONTH(Query1[[#This Row],[Date]])</f>
        <v>1</v>
      </c>
      <c r="I1016" s="3">
        <f>Query1[[#This Row],[Shares]]*Query1[[#This Row],[Adj Close]]</f>
        <v>1377572.8734611447</v>
      </c>
      <c r="J1016" s="3">
        <f>IF(ROW()&lt;3, Dashboard!$E$7, IF(Query1[[#This Row],[Month]]&lt;&gt;H1015,J1015*(1+Dashboard!$E$4)+Dashboard!$E$5,J1015))</f>
        <v>928558.25437772565</v>
      </c>
      <c r="K1016">
        <f>IF(ROW()&lt;3, 0,IF(Query1[[#This Row],[Month]]&lt;&gt;H1015,IF((J1016-I1016&gt;0),J1016-I1016,0),0))</f>
        <v>0</v>
      </c>
      <c r="L1016" s="2">
        <f t="shared" si="15"/>
        <v>3592.2989655359538</v>
      </c>
      <c r="M1016">
        <f>IF(ROW()&lt;3, 0, IF(Query1[[#This Row],[Month]]&lt;&gt;H1015, Dashboard!$J$5,0))</f>
        <v>0</v>
      </c>
      <c r="N1016" s="2">
        <f>IF(ROW()&lt;3, Query1[[#This Row],[Shares]], IF(Query1[[#This Row],[Month]]&lt;&gt;H1015, N1015+Query1[[#This Row],[Fix Top Up]]/Query1[[#This Row],[Adj Close]], N1015))</f>
        <v>3423.2103730999956</v>
      </c>
      <c r="O1016">
        <f>IF(AND(Query1[[#This Row],[avg]]&gt;0, Query1[[#This Row],[Month]]&lt;&gt;H1015),
    IF(Query1[[#This Row],[Adj Close]]&gt;Query1[[#This Row],[avg]],
       Dashboard!$L$5-Dashboard!$E$6,
       Dashboard!$L$5+Dashboard!$E$6
    ), 0
)</f>
        <v>0</v>
      </c>
      <c r="P1016" s="2">
        <f>IF(ROW()&lt;3, Query1[[#This Row],[Shares]], IF(Query1[[#This Row],[Month]]&lt;&gt;H1015, P1015+Query1[[#This Row],[Enhanced top up]]/Query1[[#This Row],[Adj Close]], P1015))</f>
        <v>3416.7999601179426</v>
      </c>
      <c r="Q1016" s="2">
        <f>IFERROR(AVERAGE(
  IF(ROW()&gt;20, INDEX(G:G, ROW()-20), 0) :
  INDEX(G:G, ROW())
),0)</f>
        <v>369.44166056315106</v>
      </c>
    </row>
    <row r="1017" spans="1:17" x14ac:dyDescent="0.4">
      <c r="A1017" s="1">
        <v>45307</v>
      </c>
      <c r="B1017">
        <v>393.66000366210938</v>
      </c>
      <c r="C1017">
        <v>394.02999877929688</v>
      </c>
      <c r="D1017">
        <v>387.6199951171875</v>
      </c>
      <c r="E1017">
        <v>390.26998901367188</v>
      </c>
      <c r="F1017">
        <v>27202300</v>
      </c>
      <c r="G1017">
        <v>385.25631713867188</v>
      </c>
      <c r="H1017" s="2">
        <f>MONTH(Query1[[#This Row],[Date]])</f>
        <v>1</v>
      </c>
      <c r="I1017" s="3">
        <f>Query1[[#This Row],[Shares]]*Query1[[#This Row],[Adj Close]]</f>
        <v>1383955.8695234424</v>
      </c>
      <c r="J1017" s="3">
        <f>IF(ROW()&lt;3, Dashboard!$E$7, IF(Query1[[#This Row],[Month]]&lt;&gt;H1016,J1016*(1+Dashboard!$E$4)+Dashboard!$E$5,J1016))</f>
        <v>928558.25437772565</v>
      </c>
      <c r="K1017">
        <f>IF(ROW()&lt;3, 0,IF(Query1[[#This Row],[Month]]&lt;&gt;H1016,IF((J1017-I1017&gt;0),J1017-I1017,0),0))</f>
        <v>0</v>
      </c>
      <c r="L1017" s="2">
        <f t="shared" si="15"/>
        <v>3592.2989655359538</v>
      </c>
      <c r="M1017">
        <f>IF(ROW()&lt;3, 0, IF(Query1[[#This Row],[Month]]&lt;&gt;H1016, Dashboard!$J$5,0))</f>
        <v>0</v>
      </c>
      <c r="N1017" s="2">
        <f>IF(ROW()&lt;3, Query1[[#This Row],[Shares]], IF(Query1[[#This Row],[Month]]&lt;&gt;H1016, N1016+Query1[[#This Row],[Fix Top Up]]/Query1[[#This Row],[Adj Close]], N1016))</f>
        <v>3423.2103730999956</v>
      </c>
      <c r="O1017">
        <f>IF(AND(Query1[[#This Row],[avg]]&gt;0, Query1[[#This Row],[Month]]&lt;&gt;H1016),
    IF(Query1[[#This Row],[Adj Close]]&gt;Query1[[#This Row],[avg]],
       Dashboard!$L$5-Dashboard!$E$6,
       Dashboard!$L$5+Dashboard!$E$6
    ), 0
)</f>
        <v>0</v>
      </c>
      <c r="P1017" s="2">
        <f>IF(ROW()&lt;3, Query1[[#This Row],[Shares]], IF(Query1[[#This Row],[Month]]&lt;&gt;H1016, P1016+Query1[[#This Row],[Enhanced top up]]/Query1[[#This Row],[Adj Close]], P1016))</f>
        <v>3416.7999601179426</v>
      </c>
      <c r="Q1017" s="2">
        <f>IFERROR(AVERAGE(
  IF(ROW()&gt;20, INDEX(G:G, ROW()-20), 0) :
  INDEX(G:G, ROW())
),0)</f>
        <v>370.18907528831846</v>
      </c>
    </row>
    <row r="1018" spans="1:17" x14ac:dyDescent="0.4">
      <c r="A1018" s="1">
        <v>45308</v>
      </c>
      <c r="B1018">
        <v>387.98001098632813</v>
      </c>
      <c r="C1018">
        <v>390.1099853515625</v>
      </c>
      <c r="D1018">
        <v>384.80999755859375</v>
      </c>
      <c r="E1018">
        <v>389.47000122070313</v>
      </c>
      <c r="F1018">
        <v>22234100</v>
      </c>
      <c r="G1018">
        <v>384.46661376953125</v>
      </c>
      <c r="H1018" s="2">
        <f>MONTH(Query1[[#This Row],[Date]])</f>
        <v>1</v>
      </c>
      <c r="I1018" s="3">
        <f>Query1[[#This Row],[Shares]]*Query1[[#This Row],[Adj Close]]</f>
        <v>1381119.0189273981</v>
      </c>
      <c r="J1018" s="3">
        <f>IF(ROW()&lt;3, Dashboard!$E$7, IF(Query1[[#This Row],[Month]]&lt;&gt;H1017,J1017*(1+Dashboard!$E$4)+Dashboard!$E$5,J1017))</f>
        <v>928558.25437772565</v>
      </c>
      <c r="K1018">
        <f>IF(ROW()&lt;3, 0,IF(Query1[[#This Row],[Month]]&lt;&gt;H1017,IF((J1018-I1018&gt;0),J1018-I1018,0),0))</f>
        <v>0</v>
      </c>
      <c r="L1018" s="2">
        <f t="shared" si="15"/>
        <v>3592.2989655359538</v>
      </c>
      <c r="M1018">
        <f>IF(ROW()&lt;3, 0, IF(Query1[[#This Row],[Month]]&lt;&gt;H1017, Dashboard!$J$5,0))</f>
        <v>0</v>
      </c>
      <c r="N1018" s="2">
        <f>IF(ROW()&lt;3, Query1[[#This Row],[Shares]], IF(Query1[[#This Row],[Month]]&lt;&gt;H1017, N1017+Query1[[#This Row],[Fix Top Up]]/Query1[[#This Row],[Adj Close]], N1017))</f>
        <v>3423.2103730999956</v>
      </c>
      <c r="O1018">
        <f>IF(AND(Query1[[#This Row],[avg]]&gt;0, Query1[[#This Row],[Month]]&lt;&gt;H1017),
    IF(Query1[[#This Row],[Adj Close]]&gt;Query1[[#This Row],[avg]],
       Dashboard!$L$5-Dashboard!$E$6,
       Dashboard!$L$5+Dashboard!$E$6
    ), 0
)</f>
        <v>0</v>
      </c>
      <c r="P1018" s="2">
        <f>IF(ROW()&lt;3, Query1[[#This Row],[Shares]], IF(Query1[[#This Row],[Month]]&lt;&gt;H1017, P1017+Query1[[#This Row],[Enhanced top up]]/Query1[[#This Row],[Adj Close]], P1017))</f>
        <v>3416.7999601179426</v>
      </c>
      <c r="Q1018" s="2">
        <f>IFERROR(AVERAGE(
  IF(ROW()&gt;20, INDEX(G:G, ROW()-20), 0) :
  INDEX(G:G, ROW())
),0)</f>
        <v>371.29562813895092</v>
      </c>
    </row>
    <row r="1019" spans="1:17" x14ac:dyDescent="0.4">
      <c r="A1019" s="1">
        <v>45309</v>
      </c>
      <c r="B1019">
        <v>391.72000122070313</v>
      </c>
      <c r="C1019">
        <v>393.989990234375</v>
      </c>
      <c r="D1019">
        <v>390.1199951171875</v>
      </c>
      <c r="E1019">
        <v>393.8699951171875</v>
      </c>
      <c r="F1019">
        <v>23392100</v>
      </c>
      <c r="G1019">
        <v>388.81005859375</v>
      </c>
      <c r="H1019" s="2">
        <f>MONTH(Query1[[#This Row],[Date]])</f>
        <v>1</v>
      </c>
      <c r="I1019" s="3">
        <f>Query1[[#This Row],[Shares]]*Query1[[#This Row],[Adj Close]]</f>
        <v>1396721.9712763017</v>
      </c>
      <c r="J1019" s="3">
        <f>IF(ROW()&lt;3, Dashboard!$E$7, IF(Query1[[#This Row],[Month]]&lt;&gt;H1018,J1018*(1+Dashboard!$E$4)+Dashboard!$E$5,J1018))</f>
        <v>928558.25437772565</v>
      </c>
      <c r="K1019">
        <f>IF(ROW()&lt;3, 0,IF(Query1[[#This Row],[Month]]&lt;&gt;H1018,IF((J1019-I1019&gt;0),J1019-I1019,0),0))</f>
        <v>0</v>
      </c>
      <c r="L1019" s="2">
        <f t="shared" si="15"/>
        <v>3592.2989655359538</v>
      </c>
      <c r="M1019">
        <f>IF(ROW()&lt;3, 0, IF(Query1[[#This Row],[Month]]&lt;&gt;H1018, Dashboard!$J$5,0))</f>
        <v>0</v>
      </c>
      <c r="N1019" s="2">
        <f>IF(ROW()&lt;3, Query1[[#This Row],[Shares]], IF(Query1[[#This Row],[Month]]&lt;&gt;H1018, N1018+Query1[[#This Row],[Fix Top Up]]/Query1[[#This Row],[Adj Close]], N1018))</f>
        <v>3423.2103730999956</v>
      </c>
      <c r="O1019">
        <f>IF(AND(Query1[[#This Row],[avg]]&gt;0, Query1[[#This Row],[Month]]&lt;&gt;H1018),
    IF(Query1[[#This Row],[Adj Close]]&gt;Query1[[#This Row],[avg]],
       Dashboard!$L$5-Dashboard!$E$6,
       Dashboard!$L$5+Dashboard!$E$6
    ), 0
)</f>
        <v>0</v>
      </c>
      <c r="P1019" s="2">
        <f>IF(ROW()&lt;3, Query1[[#This Row],[Shares]], IF(Query1[[#This Row],[Month]]&lt;&gt;H1018, P1018+Query1[[#This Row],[Enhanced top up]]/Query1[[#This Row],[Adj Close]], P1018))</f>
        <v>3416.7999601179426</v>
      </c>
      <c r="Q1019" s="2">
        <f>IFERROR(AVERAGE(
  IF(ROW()&gt;20, INDEX(G:G, ROW()-20), 0) :
  INDEX(G:G, ROW())
),0)</f>
        <v>372.38337489536832</v>
      </c>
    </row>
    <row r="1020" spans="1:17" x14ac:dyDescent="0.4">
      <c r="A1020" s="1">
        <v>45310</v>
      </c>
      <c r="B1020">
        <v>395.760009765625</v>
      </c>
      <c r="C1020">
        <v>398.67001342773438</v>
      </c>
      <c r="D1020">
        <v>393.5</v>
      </c>
      <c r="E1020">
        <v>398.67001342773438</v>
      </c>
      <c r="F1020">
        <v>29331100</v>
      </c>
      <c r="G1020">
        <v>393.54840087890625</v>
      </c>
      <c r="H1020" s="2">
        <f>MONTH(Query1[[#This Row],[Date]])</f>
        <v>1</v>
      </c>
      <c r="I1020" s="3">
        <f>Query1[[#This Row],[Shares]]*Query1[[#This Row],[Adj Close]]</f>
        <v>1413743.5133656238</v>
      </c>
      <c r="J1020" s="3">
        <f>IF(ROW()&lt;3, Dashboard!$E$7, IF(Query1[[#This Row],[Month]]&lt;&gt;H1019,J1019*(1+Dashboard!$E$4)+Dashboard!$E$5,J1019))</f>
        <v>928558.25437772565</v>
      </c>
      <c r="K1020">
        <f>IF(ROW()&lt;3, 0,IF(Query1[[#This Row],[Month]]&lt;&gt;H1019,IF((J1020-I1020&gt;0),J1020-I1020,0),0))</f>
        <v>0</v>
      </c>
      <c r="L1020" s="2">
        <f t="shared" si="15"/>
        <v>3592.2989655359538</v>
      </c>
      <c r="M1020">
        <f>IF(ROW()&lt;3, 0, IF(Query1[[#This Row],[Month]]&lt;&gt;H1019, Dashboard!$J$5,0))</f>
        <v>0</v>
      </c>
      <c r="N1020" s="2">
        <f>IF(ROW()&lt;3, Query1[[#This Row],[Shares]], IF(Query1[[#This Row],[Month]]&lt;&gt;H1019, N1019+Query1[[#This Row],[Fix Top Up]]/Query1[[#This Row],[Adj Close]], N1019))</f>
        <v>3423.2103730999956</v>
      </c>
      <c r="O1020">
        <f>IF(AND(Query1[[#This Row],[avg]]&gt;0, Query1[[#This Row],[Month]]&lt;&gt;H1019),
    IF(Query1[[#This Row],[Adj Close]]&gt;Query1[[#This Row],[avg]],
       Dashboard!$L$5-Dashboard!$E$6,
       Dashboard!$L$5+Dashboard!$E$6
    ), 0
)</f>
        <v>0</v>
      </c>
      <c r="P1020" s="2">
        <f>IF(ROW()&lt;3, Query1[[#This Row],[Shares]], IF(Query1[[#This Row],[Month]]&lt;&gt;H1019, P1019+Query1[[#This Row],[Enhanced top up]]/Query1[[#This Row],[Adj Close]], P1019))</f>
        <v>3416.7999601179426</v>
      </c>
      <c r="Q1020" s="2">
        <f>IFERROR(AVERAGE(
  IF(ROW()&gt;20, INDEX(G:G, ROW()-20), 0) :
  INDEX(G:G, ROW())
),0)</f>
        <v>373.60650489443822</v>
      </c>
    </row>
    <row r="1021" spans="1:17" x14ac:dyDescent="0.4">
      <c r="A1021" s="1">
        <v>45313</v>
      </c>
      <c r="B1021">
        <v>400.01998901367188</v>
      </c>
      <c r="C1021">
        <v>400.6199951171875</v>
      </c>
      <c r="D1021">
        <v>393.58999633789063</v>
      </c>
      <c r="E1021">
        <v>396.510009765625</v>
      </c>
      <c r="F1021">
        <v>27016900</v>
      </c>
      <c r="G1021">
        <v>391.41619873046875</v>
      </c>
      <c r="H1021" s="2">
        <f>MONTH(Query1[[#This Row],[Date]])</f>
        <v>1</v>
      </c>
      <c r="I1021" s="3">
        <f>Query1[[#This Row],[Shares]]*Query1[[#This Row],[Adj Close]]</f>
        <v>1406084.0057934781</v>
      </c>
      <c r="J1021" s="3">
        <f>IF(ROW()&lt;3, Dashboard!$E$7, IF(Query1[[#This Row],[Month]]&lt;&gt;H1020,J1020*(1+Dashboard!$E$4)+Dashboard!$E$5,J1020))</f>
        <v>928558.25437772565</v>
      </c>
      <c r="K1021">
        <f>IF(ROW()&lt;3, 0,IF(Query1[[#This Row],[Month]]&lt;&gt;H1020,IF((J1021-I1021&gt;0),J1021-I1021,0),0))</f>
        <v>0</v>
      </c>
      <c r="L1021" s="2">
        <f t="shared" si="15"/>
        <v>3592.2989655359538</v>
      </c>
      <c r="M1021">
        <f>IF(ROW()&lt;3, 0, IF(Query1[[#This Row],[Month]]&lt;&gt;H1020, Dashboard!$J$5,0))</f>
        <v>0</v>
      </c>
      <c r="N1021" s="2">
        <f>IF(ROW()&lt;3, Query1[[#This Row],[Shares]], IF(Query1[[#This Row],[Month]]&lt;&gt;H1020, N1020+Query1[[#This Row],[Fix Top Up]]/Query1[[#This Row],[Adj Close]], N1020))</f>
        <v>3423.2103730999956</v>
      </c>
      <c r="O1021">
        <f>IF(AND(Query1[[#This Row],[avg]]&gt;0, Query1[[#This Row],[Month]]&lt;&gt;H1020),
    IF(Query1[[#This Row],[Adj Close]]&gt;Query1[[#This Row],[avg]],
       Dashboard!$L$5-Dashboard!$E$6,
       Dashboard!$L$5+Dashboard!$E$6
    ), 0
)</f>
        <v>0</v>
      </c>
      <c r="P1021" s="2">
        <f>IF(ROW()&lt;3, Query1[[#This Row],[Shares]], IF(Query1[[#This Row],[Month]]&lt;&gt;H1020, P1020+Query1[[#This Row],[Enhanced top up]]/Query1[[#This Row],[Adj Close]], P1020))</f>
        <v>3416.7999601179426</v>
      </c>
      <c r="Q1021" s="2">
        <f>IFERROR(AVERAGE(
  IF(ROW()&gt;20, INDEX(G:G, ROW()-20), 0) :
  INDEX(G:G, ROW())
),0)</f>
        <v>374.69942656017486</v>
      </c>
    </row>
    <row r="1022" spans="1:17" x14ac:dyDescent="0.4">
      <c r="A1022" s="1">
        <v>45314</v>
      </c>
      <c r="B1022">
        <v>395.75</v>
      </c>
      <c r="C1022">
        <v>399.3800048828125</v>
      </c>
      <c r="D1022">
        <v>393.92999267578125</v>
      </c>
      <c r="E1022">
        <v>398.89999389648438</v>
      </c>
      <c r="F1022">
        <v>20525900</v>
      </c>
      <c r="G1022">
        <v>393.77545166015625</v>
      </c>
      <c r="H1022" s="2">
        <f>MONTH(Query1[[#This Row],[Date]])</f>
        <v>1</v>
      </c>
      <c r="I1022" s="3">
        <f>Query1[[#This Row],[Shares]]*Query1[[#This Row],[Adj Close]]</f>
        <v>1414559.1476522323</v>
      </c>
      <c r="J1022" s="3">
        <f>IF(ROW()&lt;3, Dashboard!$E$7, IF(Query1[[#This Row],[Month]]&lt;&gt;H1021,J1021*(1+Dashboard!$E$4)+Dashboard!$E$5,J1021))</f>
        <v>928558.25437772565</v>
      </c>
      <c r="K1022">
        <f>IF(ROW()&lt;3, 0,IF(Query1[[#This Row],[Month]]&lt;&gt;H1021,IF((J1022-I1022&gt;0),J1022-I1022,0),0))</f>
        <v>0</v>
      </c>
      <c r="L1022" s="2">
        <f t="shared" si="15"/>
        <v>3592.2989655359538</v>
      </c>
      <c r="M1022">
        <f>IF(ROW()&lt;3, 0, IF(Query1[[#This Row],[Month]]&lt;&gt;H1021, Dashboard!$J$5,0))</f>
        <v>0</v>
      </c>
      <c r="N1022" s="2">
        <f>IF(ROW()&lt;3, Query1[[#This Row],[Shares]], IF(Query1[[#This Row],[Month]]&lt;&gt;H1021, N1021+Query1[[#This Row],[Fix Top Up]]/Query1[[#This Row],[Adj Close]], N1021))</f>
        <v>3423.2103730999956</v>
      </c>
      <c r="O1022">
        <f>IF(AND(Query1[[#This Row],[avg]]&gt;0, Query1[[#This Row],[Month]]&lt;&gt;H1021),
    IF(Query1[[#This Row],[Adj Close]]&gt;Query1[[#This Row],[avg]],
       Dashboard!$L$5-Dashboard!$E$6,
       Dashboard!$L$5+Dashboard!$E$6
    ), 0
)</f>
        <v>0</v>
      </c>
      <c r="P1022" s="2">
        <f>IF(ROW()&lt;3, Query1[[#This Row],[Shares]], IF(Query1[[#This Row],[Month]]&lt;&gt;H1021, P1021+Query1[[#This Row],[Enhanced top up]]/Query1[[#This Row],[Adj Close]], P1021))</f>
        <v>3416.7999601179426</v>
      </c>
      <c r="Q1022" s="2">
        <f>IFERROR(AVERAGE(
  IF(ROW()&gt;20, INDEX(G:G, ROW()-20), 0) :
  INDEX(G:G, ROW())
),0)</f>
        <v>376.02879406156995</v>
      </c>
    </row>
    <row r="1023" spans="1:17" x14ac:dyDescent="0.4">
      <c r="A1023" s="1">
        <v>45315</v>
      </c>
      <c r="B1023">
        <v>401.54000854492188</v>
      </c>
      <c r="C1023">
        <v>405.6300048828125</v>
      </c>
      <c r="D1023">
        <v>400.45001220703125</v>
      </c>
      <c r="E1023">
        <v>402.55999755859375</v>
      </c>
      <c r="F1023">
        <v>24867000</v>
      </c>
      <c r="G1023">
        <v>397.388427734375</v>
      </c>
      <c r="H1023" s="2">
        <f>MONTH(Query1[[#This Row],[Date]])</f>
        <v>1</v>
      </c>
      <c r="I1023" s="3">
        <f>Query1[[#This Row],[Shares]]*Query1[[#This Row],[Adj Close]]</f>
        <v>1427538.0378661545</v>
      </c>
      <c r="J1023" s="3">
        <f>IF(ROW()&lt;3, Dashboard!$E$7, IF(Query1[[#This Row],[Month]]&lt;&gt;H1022,J1022*(1+Dashboard!$E$4)+Dashboard!$E$5,J1022))</f>
        <v>928558.25437772565</v>
      </c>
      <c r="K1023">
        <f>IF(ROW()&lt;3, 0,IF(Query1[[#This Row],[Month]]&lt;&gt;H1022,IF((J1023-I1023&gt;0),J1023-I1023,0),0))</f>
        <v>0</v>
      </c>
      <c r="L1023" s="2">
        <f t="shared" si="15"/>
        <v>3592.2989655359538</v>
      </c>
      <c r="M1023">
        <f>IF(ROW()&lt;3, 0, IF(Query1[[#This Row],[Month]]&lt;&gt;H1022, Dashboard!$J$5,0))</f>
        <v>0</v>
      </c>
      <c r="N1023" s="2">
        <f>IF(ROW()&lt;3, Query1[[#This Row],[Shares]], IF(Query1[[#This Row],[Month]]&lt;&gt;H1022, N1022+Query1[[#This Row],[Fix Top Up]]/Query1[[#This Row],[Adj Close]], N1022))</f>
        <v>3423.2103730999956</v>
      </c>
      <c r="O1023">
        <f>IF(AND(Query1[[#This Row],[avg]]&gt;0, Query1[[#This Row],[Month]]&lt;&gt;H1022),
    IF(Query1[[#This Row],[Adj Close]]&gt;Query1[[#This Row],[avg]],
       Dashboard!$L$5-Dashboard!$E$6,
       Dashboard!$L$5+Dashboard!$E$6
    ), 0
)</f>
        <v>0</v>
      </c>
      <c r="P1023" s="2">
        <f>IF(ROW()&lt;3, Query1[[#This Row],[Shares]], IF(Query1[[#This Row],[Month]]&lt;&gt;H1022, P1022+Query1[[#This Row],[Enhanced top up]]/Query1[[#This Row],[Adj Close]], P1022))</f>
        <v>3416.7999601179426</v>
      </c>
      <c r="Q1023" s="2">
        <f>IFERROR(AVERAGE(
  IF(ROW()&gt;20, INDEX(G:G, ROW()-20), 0) :
  INDEX(G:G, ROW())
),0)</f>
        <v>377.39294578915553</v>
      </c>
    </row>
    <row r="1024" spans="1:17" x14ac:dyDescent="0.4">
      <c r="A1024" s="1">
        <v>45316</v>
      </c>
      <c r="B1024">
        <v>404.32000732421875</v>
      </c>
      <c r="C1024">
        <v>407.010009765625</v>
      </c>
      <c r="D1024">
        <v>402.52999877929688</v>
      </c>
      <c r="E1024">
        <v>404.8699951171875</v>
      </c>
      <c r="F1024">
        <v>21021200</v>
      </c>
      <c r="G1024">
        <v>399.66876220703125</v>
      </c>
      <c r="H1024" s="2">
        <f>MONTH(Query1[[#This Row],[Date]])</f>
        <v>1</v>
      </c>
      <c r="I1024" s="3">
        <f>Query1[[#This Row],[Shares]]*Query1[[#This Row],[Adj Close]]</f>
        <v>1435729.6810333536</v>
      </c>
      <c r="J1024" s="3">
        <f>IF(ROW()&lt;3, Dashboard!$E$7, IF(Query1[[#This Row],[Month]]&lt;&gt;H1023,J1023*(1+Dashboard!$E$4)+Dashboard!$E$5,J1023))</f>
        <v>928558.25437772565</v>
      </c>
      <c r="K1024">
        <f>IF(ROW()&lt;3, 0,IF(Query1[[#This Row],[Month]]&lt;&gt;H1023,IF((J1024-I1024&gt;0),J1024-I1024,0),0))</f>
        <v>0</v>
      </c>
      <c r="L1024" s="2">
        <f t="shared" si="15"/>
        <v>3592.2989655359538</v>
      </c>
      <c r="M1024">
        <f>IF(ROW()&lt;3, 0, IF(Query1[[#This Row],[Month]]&lt;&gt;H1023, Dashboard!$J$5,0))</f>
        <v>0</v>
      </c>
      <c r="N1024" s="2">
        <f>IF(ROW()&lt;3, Query1[[#This Row],[Shares]], IF(Query1[[#This Row],[Month]]&lt;&gt;H1023, N1023+Query1[[#This Row],[Fix Top Up]]/Query1[[#This Row],[Adj Close]], N1023))</f>
        <v>3423.2103730999956</v>
      </c>
      <c r="O1024">
        <f>IF(AND(Query1[[#This Row],[avg]]&gt;0, Query1[[#This Row],[Month]]&lt;&gt;H1023),
    IF(Query1[[#This Row],[Adj Close]]&gt;Query1[[#This Row],[avg]],
       Dashboard!$L$5-Dashboard!$E$6,
       Dashboard!$L$5+Dashboard!$E$6
    ), 0
)</f>
        <v>0</v>
      </c>
      <c r="P1024" s="2">
        <f>IF(ROW()&lt;3, Query1[[#This Row],[Shares]], IF(Query1[[#This Row],[Month]]&lt;&gt;H1023, P1023+Query1[[#This Row],[Enhanced top up]]/Query1[[#This Row],[Adj Close]], P1023))</f>
        <v>3416.7999601179426</v>
      </c>
      <c r="Q1024" s="2">
        <f>IFERROR(AVERAGE(
  IF(ROW()&gt;20, INDEX(G:G, ROW()-20), 0) :
  INDEX(G:G, ROW())
),0)</f>
        <v>378.81679716564361</v>
      </c>
    </row>
    <row r="1025" spans="1:17" x14ac:dyDescent="0.4">
      <c r="A1025" s="1">
        <v>45317</v>
      </c>
      <c r="B1025">
        <v>404.3699951171875</v>
      </c>
      <c r="C1025">
        <v>406.17001342773438</v>
      </c>
      <c r="D1025">
        <v>402.42999267578125</v>
      </c>
      <c r="E1025">
        <v>403.92999267578125</v>
      </c>
      <c r="F1025">
        <v>17803300</v>
      </c>
      <c r="G1025">
        <v>398.74081420898438</v>
      </c>
      <c r="H1025" s="2">
        <f>MONTH(Query1[[#This Row],[Date]])</f>
        <v>1</v>
      </c>
      <c r="I1025" s="3">
        <f>Query1[[#This Row],[Shares]]*Query1[[#This Row],[Adj Close]]</f>
        <v>1432396.2143998984</v>
      </c>
      <c r="J1025" s="3">
        <f>IF(ROW()&lt;3, Dashboard!$E$7, IF(Query1[[#This Row],[Month]]&lt;&gt;H1024,J1024*(1+Dashboard!$E$4)+Dashboard!$E$5,J1024))</f>
        <v>928558.25437772565</v>
      </c>
      <c r="K1025">
        <f>IF(ROW()&lt;3, 0,IF(Query1[[#This Row],[Month]]&lt;&gt;H1024,IF((J1025-I1025&gt;0),J1025-I1025,0),0))</f>
        <v>0</v>
      </c>
      <c r="L1025" s="2">
        <f t="shared" si="15"/>
        <v>3592.2989655359538</v>
      </c>
      <c r="M1025">
        <f>IF(ROW()&lt;3, 0, IF(Query1[[#This Row],[Month]]&lt;&gt;H1024, Dashboard!$J$5,0))</f>
        <v>0</v>
      </c>
      <c r="N1025" s="2">
        <f>IF(ROW()&lt;3, Query1[[#This Row],[Shares]], IF(Query1[[#This Row],[Month]]&lt;&gt;H1024, N1024+Query1[[#This Row],[Fix Top Up]]/Query1[[#This Row],[Adj Close]], N1024))</f>
        <v>3423.2103730999956</v>
      </c>
      <c r="O1025">
        <f>IF(AND(Query1[[#This Row],[avg]]&gt;0, Query1[[#This Row],[Month]]&lt;&gt;H1024),
    IF(Query1[[#This Row],[Adj Close]]&gt;Query1[[#This Row],[avg]],
       Dashboard!$L$5-Dashboard!$E$6,
       Dashboard!$L$5+Dashboard!$E$6
    ), 0
)</f>
        <v>0</v>
      </c>
      <c r="P1025" s="2">
        <f>IF(ROW()&lt;3, Query1[[#This Row],[Shares]], IF(Query1[[#This Row],[Month]]&lt;&gt;H1024, P1024+Query1[[#This Row],[Enhanced top up]]/Query1[[#This Row],[Adj Close]], P1024))</f>
        <v>3416.7999601179426</v>
      </c>
      <c r="Q1025" s="2">
        <f>IFERROR(AVERAGE(
  IF(ROW()&gt;20, INDEX(G:G, ROW()-20), 0) :
  INDEX(G:G, ROW())
),0)</f>
        <v>380.19269961402529</v>
      </c>
    </row>
    <row r="1026" spans="1:17" x14ac:dyDescent="0.4">
      <c r="A1026" s="1">
        <v>45320</v>
      </c>
      <c r="B1026">
        <v>406.05999755859375</v>
      </c>
      <c r="C1026">
        <v>409.98001098632813</v>
      </c>
      <c r="D1026">
        <v>404.32998657226563</v>
      </c>
      <c r="E1026">
        <v>409.72000122070313</v>
      </c>
      <c r="F1026">
        <v>24510200</v>
      </c>
      <c r="G1026">
        <v>404.45645141601563</v>
      </c>
      <c r="H1026" s="2">
        <f>MONTH(Query1[[#This Row],[Date]])</f>
        <v>1</v>
      </c>
      <c r="I1026" s="3">
        <f>Query1[[#This Row],[Shares]]*Query1[[#This Row],[Adj Close]]</f>
        <v>1452928.4920260957</v>
      </c>
      <c r="J1026" s="3">
        <f>IF(ROW()&lt;3, Dashboard!$E$7, IF(Query1[[#This Row],[Month]]&lt;&gt;H1025,J1025*(1+Dashboard!$E$4)+Dashboard!$E$5,J1025))</f>
        <v>928558.25437772565</v>
      </c>
      <c r="K1026">
        <f>IF(ROW()&lt;3, 0,IF(Query1[[#This Row],[Month]]&lt;&gt;H1025,IF((J1026-I1026&gt;0),J1026-I1026,0),0))</f>
        <v>0</v>
      </c>
      <c r="L1026" s="2">
        <f t="shared" ref="L1026:L1089" si="16">IF(ROW()&lt;3, J1026/G1026, L1025+K1025/G1025)</f>
        <v>3592.2989655359538</v>
      </c>
      <c r="M1026">
        <f>IF(ROW()&lt;3, 0, IF(Query1[[#This Row],[Month]]&lt;&gt;H1025, Dashboard!$J$5,0))</f>
        <v>0</v>
      </c>
      <c r="N1026" s="2">
        <f>IF(ROW()&lt;3, Query1[[#This Row],[Shares]], IF(Query1[[#This Row],[Month]]&lt;&gt;H1025, N1025+Query1[[#This Row],[Fix Top Up]]/Query1[[#This Row],[Adj Close]], N1025))</f>
        <v>3423.2103730999956</v>
      </c>
      <c r="O1026">
        <f>IF(AND(Query1[[#This Row],[avg]]&gt;0, Query1[[#This Row],[Month]]&lt;&gt;H1025),
    IF(Query1[[#This Row],[Adj Close]]&gt;Query1[[#This Row],[avg]],
       Dashboard!$L$5-Dashboard!$E$6,
       Dashboard!$L$5+Dashboard!$E$6
    ), 0
)</f>
        <v>0</v>
      </c>
      <c r="P1026" s="2">
        <f>IF(ROW()&lt;3, Query1[[#This Row],[Shares]], IF(Query1[[#This Row],[Month]]&lt;&gt;H1025, P1025+Query1[[#This Row],[Enhanced top up]]/Query1[[#This Row],[Adj Close]], P1025))</f>
        <v>3416.7999601179426</v>
      </c>
      <c r="Q1026" s="2">
        <f>IFERROR(AVERAGE(
  IF(ROW()&gt;20, INDEX(G:G, ROW()-20), 0) :
  INDEX(G:G, ROW())
),0)</f>
        <v>381.86850992838544</v>
      </c>
    </row>
    <row r="1027" spans="1:17" x14ac:dyDescent="0.4">
      <c r="A1027" s="1">
        <v>45321</v>
      </c>
      <c r="B1027">
        <v>412.260009765625</v>
      </c>
      <c r="C1027">
        <v>413.04998779296875</v>
      </c>
      <c r="D1027">
        <v>406.45001220703125</v>
      </c>
      <c r="E1027">
        <v>408.58999633789063</v>
      </c>
      <c r="F1027">
        <v>33477600</v>
      </c>
      <c r="G1027">
        <v>403.34100341796875</v>
      </c>
      <c r="H1027" s="2">
        <f>MONTH(Query1[[#This Row],[Date]])</f>
        <v>1</v>
      </c>
      <c r="I1027" s="3">
        <f>Query1[[#This Row],[Shares]]*Query1[[#This Row],[Adj Close]]</f>
        <v>1448921.4693366028</v>
      </c>
      <c r="J1027" s="3">
        <f>IF(ROW()&lt;3, Dashboard!$E$7, IF(Query1[[#This Row],[Month]]&lt;&gt;H1026,J1026*(1+Dashboard!$E$4)+Dashboard!$E$5,J1026))</f>
        <v>928558.25437772565</v>
      </c>
      <c r="K1027">
        <f>IF(ROW()&lt;3, 0,IF(Query1[[#This Row],[Month]]&lt;&gt;H1026,IF((J1027-I1027&gt;0),J1027-I1027,0),0))</f>
        <v>0</v>
      </c>
      <c r="L1027" s="2">
        <f t="shared" si="16"/>
        <v>3592.2989655359538</v>
      </c>
      <c r="M1027">
        <f>IF(ROW()&lt;3, 0, IF(Query1[[#This Row],[Month]]&lt;&gt;H1026, Dashboard!$J$5,0))</f>
        <v>0</v>
      </c>
      <c r="N1027" s="2">
        <f>IF(ROW()&lt;3, Query1[[#This Row],[Shares]], IF(Query1[[#This Row],[Month]]&lt;&gt;H1026, N1026+Query1[[#This Row],[Fix Top Up]]/Query1[[#This Row],[Adj Close]], N1026))</f>
        <v>3423.2103730999956</v>
      </c>
      <c r="O1027">
        <f>IF(AND(Query1[[#This Row],[avg]]&gt;0, Query1[[#This Row],[Month]]&lt;&gt;H1026),
    IF(Query1[[#This Row],[Adj Close]]&gt;Query1[[#This Row],[avg]],
       Dashboard!$L$5-Dashboard!$E$6,
       Dashboard!$L$5+Dashboard!$E$6
    ), 0
)</f>
        <v>0</v>
      </c>
      <c r="P1027" s="2">
        <f>IF(ROW()&lt;3, Query1[[#This Row],[Shares]], IF(Query1[[#This Row],[Month]]&lt;&gt;H1026, P1026+Query1[[#This Row],[Enhanced top up]]/Query1[[#This Row],[Adj Close]], P1026))</f>
        <v>3416.7999601179426</v>
      </c>
      <c r="Q1027" s="2">
        <f>IFERROR(AVERAGE(
  IF(ROW()&gt;20, INDEX(G:G, ROW()-20), 0) :
  INDEX(G:G, ROW())
),0)</f>
        <v>383.43432471865697</v>
      </c>
    </row>
    <row r="1028" spans="1:17" x14ac:dyDescent="0.4">
      <c r="A1028" s="1">
        <v>45322</v>
      </c>
      <c r="B1028">
        <v>406.95999145507813</v>
      </c>
      <c r="C1028">
        <v>415.32000732421875</v>
      </c>
      <c r="D1028">
        <v>397.20999145507813</v>
      </c>
      <c r="E1028">
        <v>397.57998657226563</v>
      </c>
      <c r="F1028">
        <v>47871100</v>
      </c>
      <c r="G1028">
        <v>392.472412109375</v>
      </c>
      <c r="H1028" s="2">
        <f>MONTH(Query1[[#This Row],[Date]])</f>
        <v>1</v>
      </c>
      <c r="I1028" s="3">
        <f>Query1[[#This Row],[Shares]]*Query1[[#This Row],[Adj Close]]</f>
        <v>1409878.2400219084</v>
      </c>
      <c r="J1028" s="3">
        <f>IF(ROW()&lt;3, Dashboard!$E$7, IF(Query1[[#This Row],[Month]]&lt;&gt;H1027,J1027*(1+Dashboard!$E$4)+Dashboard!$E$5,J1027))</f>
        <v>928558.25437772565</v>
      </c>
      <c r="K1028">
        <f>IF(ROW()&lt;3, 0,IF(Query1[[#This Row],[Month]]&lt;&gt;H1027,IF((J1028-I1028&gt;0),J1028-I1028,0),0))</f>
        <v>0</v>
      </c>
      <c r="L1028" s="2">
        <f t="shared" si="16"/>
        <v>3592.2989655359538</v>
      </c>
      <c r="M1028">
        <f>IF(ROW()&lt;3, 0, IF(Query1[[#This Row],[Month]]&lt;&gt;H1027, Dashboard!$J$5,0))</f>
        <v>0</v>
      </c>
      <c r="N1028" s="2">
        <f>IF(ROW()&lt;3, Query1[[#This Row],[Shares]], IF(Query1[[#This Row],[Month]]&lt;&gt;H1027, N1027+Query1[[#This Row],[Fix Top Up]]/Query1[[#This Row],[Adj Close]], N1027))</f>
        <v>3423.2103730999956</v>
      </c>
      <c r="O1028">
        <f>IF(AND(Query1[[#This Row],[avg]]&gt;0, Query1[[#This Row],[Month]]&lt;&gt;H1027),
    IF(Query1[[#This Row],[Adj Close]]&gt;Query1[[#This Row],[avg]],
       Dashboard!$L$5-Dashboard!$E$6,
       Dashboard!$L$5+Dashboard!$E$6
    ), 0
)</f>
        <v>0</v>
      </c>
      <c r="P1028" s="2">
        <f>IF(ROW()&lt;3, Query1[[#This Row],[Shares]], IF(Query1[[#This Row],[Month]]&lt;&gt;H1027, P1027+Query1[[#This Row],[Enhanced top up]]/Query1[[#This Row],[Adj Close]], P1027))</f>
        <v>3416.7999601179426</v>
      </c>
      <c r="Q1028" s="2">
        <f>IFERROR(AVERAGE(
  IF(ROW()&gt;20, INDEX(G:G, ROW()-20), 0) :
  INDEX(G:G, ROW())
),0)</f>
        <v>384.44686017717635</v>
      </c>
    </row>
    <row r="1029" spans="1:17" x14ac:dyDescent="0.4">
      <c r="A1029" s="1">
        <v>45323</v>
      </c>
      <c r="B1029">
        <v>401.82998657226563</v>
      </c>
      <c r="C1029">
        <v>408</v>
      </c>
      <c r="D1029">
        <v>401.79998779296875</v>
      </c>
      <c r="E1029">
        <v>403.77999877929688</v>
      </c>
      <c r="F1029">
        <v>30657700</v>
      </c>
      <c r="G1029">
        <v>398.5927734375</v>
      </c>
      <c r="H1029" s="2">
        <f>MONTH(Query1[[#This Row],[Date]])</f>
        <v>2</v>
      </c>
      <c r="I1029" s="3">
        <f>Query1[[#This Row],[Shares]]*Query1[[#This Row],[Adj Close]]</f>
        <v>1431864.407689638</v>
      </c>
      <c r="J1029" s="3">
        <f>IF(ROW()&lt;3, Dashboard!$E$7, IF(Query1[[#This Row],[Month]]&lt;&gt;H1028,J1028*(1+Dashboard!$E$4)+Dashboard!$E$5,J1028))</f>
        <v>939843.83692150295</v>
      </c>
      <c r="K1029">
        <f>IF(ROW()&lt;3, 0,IF(Query1[[#This Row],[Month]]&lt;&gt;H1028,IF((J1029-I1029&gt;0),J1029-I1029,0),0))</f>
        <v>0</v>
      </c>
      <c r="L1029" s="2">
        <f t="shared" si="16"/>
        <v>3592.2989655359538</v>
      </c>
      <c r="M1029">
        <f>IF(ROW()&lt;3, 0, IF(Query1[[#This Row],[Month]]&lt;&gt;H1028, Dashboard!$J$5,0))</f>
        <v>773.47399999999971</v>
      </c>
      <c r="N1029" s="2">
        <f>IF(ROW()&lt;3, Query1[[#This Row],[Shares]], IF(Query1[[#This Row],[Month]]&lt;&gt;H1028, N1028+Query1[[#This Row],[Fix Top Up]]/Query1[[#This Row],[Adj Close]], N1028))</f>
        <v>3425.1508849495444</v>
      </c>
      <c r="O1029">
        <f>IF(AND(Query1[[#This Row],[avg]]&gt;0, Query1[[#This Row],[Month]]&lt;&gt;H1028),
    IF(Query1[[#This Row],[Adj Close]]&gt;Query1[[#This Row],[avg]],
       Dashboard!$L$5-Dashboard!$E$6,
       Dashboard!$L$5+Dashboard!$E$6
    ), 0
)</f>
        <v>390.14066666666668</v>
      </c>
      <c r="P1029" s="2">
        <f>IF(ROW()&lt;3, Query1[[#This Row],[Shares]], IF(Query1[[#This Row],[Month]]&lt;&gt;H1028, P1028+Query1[[#This Row],[Enhanced top up]]/Query1[[#This Row],[Adj Close]], P1028))</f>
        <v>3417.7787552508853</v>
      </c>
      <c r="Q1029" s="2">
        <f>IFERROR(AVERAGE(
  IF(ROW()&gt;20, INDEX(G:G, ROW()-20), 0) :
  INDEX(G:G, ROW())
),0)</f>
        <v>385.99387032645092</v>
      </c>
    </row>
    <row r="1030" spans="1:17" x14ac:dyDescent="0.4">
      <c r="A1030" s="1">
        <v>45324</v>
      </c>
      <c r="B1030">
        <v>403.80999755859375</v>
      </c>
      <c r="C1030">
        <v>412.64999389648438</v>
      </c>
      <c r="D1030">
        <v>403.55999755859375</v>
      </c>
      <c r="E1030">
        <v>411.22000122070313</v>
      </c>
      <c r="F1030">
        <v>28256700</v>
      </c>
      <c r="G1030">
        <v>405.93716430664063</v>
      </c>
      <c r="H1030" s="2">
        <f>MONTH(Query1[[#This Row],[Date]])</f>
        <v>2</v>
      </c>
      <c r="I1030" s="3">
        <f>Query1[[#This Row],[Shares]]*Query1[[#This Row],[Adj Close]]</f>
        <v>1458247.6554113436</v>
      </c>
      <c r="J1030" s="3">
        <f>IF(ROW()&lt;3, Dashboard!$E$7, IF(Query1[[#This Row],[Month]]&lt;&gt;H1029,J1029*(1+Dashboard!$E$4)+Dashboard!$E$5,J1029))</f>
        <v>939843.83692150295</v>
      </c>
      <c r="K1030">
        <f>IF(ROW()&lt;3, 0,IF(Query1[[#This Row],[Month]]&lt;&gt;H1029,IF((J1030-I1030&gt;0),J1030-I1030,0),0))</f>
        <v>0</v>
      </c>
      <c r="L1030" s="2">
        <f t="shared" si="16"/>
        <v>3592.2989655359538</v>
      </c>
      <c r="M1030">
        <f>IF(ROW()&lt;3, 0, IF(Query1[[#This Row],[Month]]&lt;&gt;H1029, Dashboard!$J$5,0))</f>
        <v>0</v>
      </c>
      <c r="N1030" s="2">
        <f>IF(ROW()&lt;3, Query1[[#This Row],[Shares]], IF(Query1[[#This Row],[Month]]&lt;&gt;H1029, N1029+Query1[[#This Row],[Fix Top Up]]/Query1[[#This Row],[Adj Close]], N1029))</f>
        <v>3425.1508849495444</v>
      </c>
      <c r="O1030">
        <f>IF(AND(Query1[[#This Row],[avg]]&gt;0, Query1[[#This Row],[Month]]&lt;&gt;H1029),
    IF(Query1[[#This Row],[Adj Close]]&gt;Query1[[#This Row],[avg]],
       Dashboard!$L$5-Dashboard!$E$6,
       Dashboard!$L$5+Dashboard!$E$6
    ), 0
)</f>
        <v>0</v>
      </c>
      <c r="P1030" s="2">
        <f>IF(ROW()&lt;3, Query1[[#This Row],[Shares]], IF(Query1[[#This Row],[Month]]&lt;&gt;H1029, P1029+Query1[[#This Row],[Enhanced top up]]/Query1[[#This Row],[Adj Close]], P1029))</f>
        <v>3417.7787552508853</v>
      </c>
      <c r="Q1030" s="2">
        <f>IFERROR(AVERAGE(
  IF(ROW()&gt;20, INDEX(G:G, ROW()-20), 0) :
  INDEX(G:G, ROW())
),0)</f>
        <v>387.90330578031995</v>
      </c>
    </row>
    <row r="1031" spans="1:17" x14ac:dyDescent="0.4">
      <c r="A1031" s="1">
        <v>45327</v>
      </c>
      <c r="B1031">
        <v>409.89999389648438</v>
      </c>
      <c r="C1031">
        <v>411.16000366210938</v>
      </c>
      <c r="D1031">
        <v>403.989990234375</v>
      </c>
      <c r="E1031">
        <v>405.64999389648438</v>
      </c>
      <c r="F1031">
        <v>25352300</v>
      </c>
      <c r="G1031">
        <v>400.438720703125</v>
      </c>
      <c r="H1031" s="2">
        <f>MONTH(Query1[[#This Row],[Date]])</f>
        <v>2</v>
      </c>
      <c r="I1031" s="3">
        <f>Query1[[#This Row],[Shares]]*Query1[[#This Row],[Adj Close]]</f>
        <v>1438495.6021423766</v>
      </c>
      <c r="J1031" s="3">
        <f>IF(ROW()&lt;3, Dashboard!$E$7, IF(Query1[[#This Row],[Month]]&lt;&gt;H1030,J1030*(1+Dashboard!$E$4)+Dashboard!$E$5,J1030))</f>
        <v>939843.83692150295</v>
      </c>
      <c r="K1031">
        <f>IF(ROW()&lt;3, 0,IF(Query1[[#This Row],[Month]]&lt;&gt;H1030,IF((J1031-I1031&gt;0),J1031-I1031,0),0))</f>
        <v>0</v>
      </c>
      <c r="L1031" s="2">
        <f t="shared" si="16"/>
        <v>3592.2989655359538</v>
      </c>
      <c r="M1031">
        <f>IF(ROW()&lt;3, 0, IF(Query1[[#This Row],[Month]]&lt;&gt;H1030, Dashboard!$J$5,0))</f>
        <v>0</v>
      </c>
      <c r="N1031" s="2">
        <f>IF(ROW()&lt;3, Query1[[#This Row],[Shares]], IF(Query1[[#This Row],[Month]]&lt;&gt;H1030, N1030+Query1[[#This Row],[Fix Top Up]]/Query1[[#This Row],[Adj Close]], N1030))</f>
        <v>3425.1508849495444</v>
      </c>
      <c r="O1031">
        <f>IF(AND(Query1[[#This Row],[avg]]&gt;0, Query1[[#This Row],[Month]]&lt;&gt;H1030),
    IF(Query1[[#This Row],[Adj Close]]&gt;Query1[[#This Row],[avg]],
       Dashboard!$L$5-Dashboard!$E$6,
       Dashboard!$L$5+Dashboard!$E$6
    ), 0
)</f>
        <v>0</v>
      </c>
      <c r="P1031" s="2">
        <f>IF(ROW()&lt;3, Query1[[#This Row],[Shares]], IF(Query1[[#This Row],[Month]]&lt;&gt;H1030, P1030+Query1[[#This Row],[Enhanced top up]]/Query1[[#This Row],[Adj Close]], P1030))</f>
        <v>3417.7787552508853</v>
      </c>
      <c r="Q1031" s="2">
        <f>IFERROR(AVERAGE(
  IF(ROW()&gt;20, INDEX(G:G, ROW()-20), 0) :
  INDEX(G:G, ROW())
),0)</f>
        <v>389.6759498232887</v>
      </c>
    </row>
    <row r="1032" spans="1:17" x14ac:dyDescent="0.4">
      <c r="A1032" s="1">
        <v>45328</v>
      </c>
      <c r="B1032">
        <v>405.8800048828125</v>
      </c>
      <c r="C1032">
        <v>407.97000122070313</v>
      </c>
      <c r="D1032">
        <v>402.91000366210938</v>
      </c>
      <c r="E1032">
        <v>405.489990234375</v>
      </c>
      <c r="F1032">
        <v>18382600</v>
      </c>
      <c r="G1032">
        <v>400.28076171875</v>
      </c>
      <c r="H1032" s="2">
        <f>MONTH(Query1[[#This Row],[Date]])</f>
        <v>2</v>
      </c>
      <c r="I1032" s="3">
        <f>Query1[[#This Row],[Shares]]*Query1[[#This Row],[Adj Close]]</f>
        <v>1437928.1662462093</v>
      </c>
      <c r="J1032" s="3">
        <f>IF(ROW()&lt;3, Dashboard!$E$7, IF(Query1[[#This Row],[Month]]&lt;&gt;H1031,J1031*(1+Dashboard!$E$4)+Dashboard!$E$5,J1031))</f>
        <v>939843.83692150295</v>
      </c>
      <c r="K1032">
        <f>IF(ROW()&lt;3, 0,IF(Query1[[#This Row],[Month]]&lt;&gt;H1031,IF((J1032-I1032&gt;0),J1032-I1032,0),0))</f>
        <v>0</v>
      </c>
      <c r="L1032" s="2">
        <f t="shared" si="16"/>
        <v>3592.2989655359538</v>
      </c>
      <c r="M1032">
        <f>IF(ROW()&lt;3, 0, IF(Query1[[#This Row],[Month]]&lt;&gt;H1031, Dashboard!$J$5,0))</f>
        <v>0</v>
      </c>
      <c r="N1032" s="2">
        <f>IF(ROW()&lt;3, Query1[[#This Row],[Shares]], IF(Query1[[#This Row],[Month]]&lt;&gt;H1031, N1031+Query1[[#This Row],[Fix Top Up]]/Query1[[#This Row],[Adj Close]], N1031))</f>
        <v>3425.1508849495444</v>
      </c>
      <c r="O1032">
        <f>IF(AND(Query1[[#This Row],[avg]]&gt;0, Query1[[#This Row],[Month]]&lt;&gt;H1031),
    IF(Query1[[#This Row],[Adj Close]]&gt;Query1[[#This Row],[avg]],
       Dashboard!$L$5-Dashboard!$E$6,
       Dashboard!$L$5+Dashboard!$E$6
    ), 0
)</f>
        <v>0</v>
      </c>
      <c r="P1032" s="2">
        <f>IF(ROW()&lt;3, Query1[[#This Row],[Shares]], IF(Query1[[#This Row],[Month]]&lt;&gt;H1031, P1031+Query1[[#This Row],[Enhanced top up]]/Query1[[#This Row],[Adj Close]], P1031))</f>
        <v>3417.7787552508853</v>
      </c>
      <c r="Q1032" s="2">
        <f>IFERROR(AVERAGE(
  IF(ROW()&gt;20, INDEX(G:G, ROW()-20), 0) :
  INDEX(G:G, ROW())
),0)</f>
        <v>391.45000348772322</v>
      </c>
    </row>
    <row r="1033" spans="1:17" x14ac:dyDescent="0.4">
      <c r="A1033" s="1">
        <v>45329</v>
      </c>
      <c r="B1033">
        <v>407.44000244140625</v>
      </c>
      <c r="C1033">
        <v>414.29998779296875</v>
      </c>
      <c r="D1033">
        <v>407.39999389648438</v>
      </c>
      <c r="E1033">
        <v>414.04998779296875</v>
      </c>
      <c r="F1033">
        <v>22340500</v>
      </c>
      <c r="G1033">
        <v>408.73080444335938</v>
      </c>
      <c r="H1033" s="2">
        <f>MONTH(Query1[[#This Row],[Date]])</f>
        <v>2</v>
      </c>
      <c r="I1033" s="3">
        <f>Query1[[#This Row],[Shares]]*Query1[[#This Row],[Adj Close]]</f>
        <v>1468283.245984558</v>
      </c>
      <c r="J1033" s="3">
        <f>IF(ROW()&lt;3, Dashboard!$E$7, IF(Query1[[#This Row],[Month]]&lt;&gt;H1032,J1032*(1+Dashboard!$E$4)+Dashboard!$E$5,J1032))</f>
        <v>939843.83692150295</v>
      </c>
      <c r="K1033">
        <f>IF(ROW()&lt;3, 0,IF(Query1[[#This Row],[Month]]&lt;&gt;H1032,IF((J1033-I1033&gt;0),J1033-I1033,0),0))</f>
        <v>0</v>
      </c>
      <c r="L1033" s="2">
        <f t="shared" si="16"/>
        <v>3592.2989655359538</v>
      </c>
      <c r="M1033">
        <f>IF(ROW()&lt;3, 0, IF(Query1[[#This Row],[Month]]&lt;&gt;H1032, Dashboard!$J$5,0))</f>
        <v>0</v>
      </c>
      <c r="N1033" s="2">
        <f>IF(ROW()&lt;3, Query1[[#This Row],[Shares]], IF(Query1[[#This Row],[Month]]&lt;&gt;H1032, N1032+Query1[[#This Row],[Fix Top Up]]/Query1[[#This Row],[Adj Close]], N1032))</f>
        <v>3425.1508849495444</v>
      </c>
      <c r="O1033">
        <f>IF(AND(Query1[[#This Row],[avg]]&gt;0, Query1[[#This Row],[Month]]&lt;&gt;H1032),
    IF(Query1[[#This Row],[Adj Close]]&gt;Query1[[#This Row],[avg]],
       Dashboard!$L$5-Dashboard!$E$6,
       Dashboard!$L$5+Dashboard!$E$6
    ), 0
)</f>
        <v>0</v>
      </c>
      <c r="P1033" s="2">
        <f>IF(ROW()&lt;3, Query1[[#This Row],[Shares]], IF(Query1[[#This Row],[Month]]&lt;&gt;H1032, P1032+Query1[[#This Row],[Enhanced top up]]/Query1[[#This Row],[Adj Close]], P1032))</f>
        <v>3417.7787552508853</v>
      </c>
      <c r="Q1033" s="2">
        <f>IFERROR(AVERAGE(
  IF(ROW()&gt;20, INDEX(G:G, ROW()-20), 0) :
  INDEX(G:G, ROW())
),0)</f>
        <v>393.30021013532365</v>
      </c>
    </row>
    <row r="1034" spans="1:17" x14ac:dyDescent="0.4">
      <c r="A1034" s="1">
        <v>45330</v>
      </c>
      <c r="B1034">
        <v>414.04998779296875</v>
      </c>
      <c r="C1034">
        <v>415.55999755859375</v>
      </c>
      <c r="D1034">
        <v>412.52999877929688</v>
      </c>
      <c r="E1034">
        <v>414.1099853515625</v>
      </c>
      <c r="F1034">
        <v>21225300</v>
      </c>
      <c r="G1034">
        <v>408.7900390625</v>
      </c>
      <c r="H1034" s="2">
        <f>MONTH(Query1[[#This Row],[Date]])</f>
        <v>2</v>
      </c>
      <c r="I1034" s="3">
        <f>Query1[[#This Row],[Shares]]*Query1[[#This Row],[Adj Close]]</f>
        <v>1468496.0344456208</v>
      </c>
      <c r="J1034" s="3">
        <f>IF(ROW()&lt;3, Dashboard!$E$7, IF(Query1[[#This Row],[Month]]&lt;&gt;H1033,J1033*(1+Dashboard!$E$4)+Dashboard!$E$5,J1033))</f>
        <v>939843.83692150295</v>
      </c>
      <c r="K1034">
        <f>IF(ROW()&lt;3, 0,IF(Query1[[#This Row],[Month]]&lt;&gt;H1033,IF((J1034-I1034&gt;0),J1034-I1034,0),0))</f>
        <v>0</v>
      </c>
      <c r="L1034" s="2">
        <f t="shared" si="16"/>
        <v>3592.2989655359538</v>
      </c>
      <c r="M1034">
        <f>IF(ROW()&lt;3, 0, IF(Query1[[#This Row],[Month]]&lt;&gt;H1033, Dashboard!$J$5,0))</f>
        <v>0</v>
      </c>
      <c r="N1034" s="2">
        <f>IF(ROW()&lt;3, Query1[[#This Row],[Shares]], IF(Query1[[#This Row],[Month]]&lt;&gt;H1033, N1033+Query1[[#This Row],[Fix Top Up]]/Query1[[#This Row],[Adj Close]], N1033))</f>
        <v>3425.1508849495444</v>
      </c>
      <c r="O1034">
        <f>IF(AND(Query1[[#This Row],[avg]]&gt;0, Query1[[#This Row],[Month]]&lt;&gt;H1033),
    IF(Query1[[#This Row],[Adj Close]]&gt;Query1[[#This Row],[avg]],
       Dashboard!$L$5-Dashboard!$E$6,
       Dashboard!$L$5+Dashboard!$E$6
    ), 0
)</f>
        <v>0</v>
      </c>
      <c r="P1034" s="2">
        <f>IF(ROW()&lt;3, Query1[[#This Row],[Shares]], IF(Query1[[#This Row],[Month]]&lt;&gt;H1033, P1033+Query1[[#This Row],[Enhanced top up]]/Query1[[#This Row],[Adj Close]], P1033))</f>
        <v>3417.7787552508853</v>
      </c>
      <c r="Q1034" s="2">
        <f>IFERROR(AVERAGE(
  IF(ROW()&gt;20, INDEX(G:G, ROW()-20), 0) :
  INDEX(G:G, ROW())
),0)</f>
        <v>395.10152907598587</v>
      </c>
    </row>
    <row r="1035" spans="1:17" x14ac:dyDescent="0.4">
      <c r="A1035" s="1">
        <v>45331</v>
      </c>
      <c r="B1035">
        <v>415.25</v>
      </c>
      <c r="C1035">
        <v>420.82000732421875</v>
      </c>
      <c r="D1035">
        <v>415.08999633789063</v>
      </c>
      <c r="E1035">
        <v>420.54998779296875</v>
      </c>
      <c r="F1035">
        <v>22032800</v>
      </c>
      <c r="G1035">
        <v>415.1473388671875</v>
      </c>
      <c r="H1035" s="2">
        <f>MONTH(Query1[[#This Row],[Date]])</f>
        <v>2</v>
      </c>
      <c r="I1035" s="3">
        <f>Query1[[#This Row],[Shares]]*Query1[[#This Row],[Adj Close]]</f>
        <v>1491333.3559576017</v>
      </c>
      <c r="J1035" s="3">
        <f>IF(ROW()&lt;3, Dashboard!$E$7, IF(Query1[[#This Row],[Month]]&lt;&gt;H1034,J1034*(1+Dashboard!$E$4)+Dashboard!$E$5,J1034))</f>
        <v>939843.83692150295</v>
      </c>
      <c r="K1035">
        <f>IF(ROW()&lt;3, 0,IF(Query1[[#This Row],[Month]]&lt;&gt;H1034,IF((J1035-I1035&gt;0),J1035-I1035,0),0))</f>
        <v>0</v>
      </c>
      <c r="L1035" s="2">
        <f t="shared" si="16"/>
        <v>3592.2989655359538</v>
      </c>
      <c r="M1035">
        <f>IF(ROW()&lt;3, 0, IF(Query1[[#This Row],[Month]]&lt;&gt;H1034, Dashboard!$J$5,0))</f>
        <v>0</v>
      </c>
      <c r="N1035" s="2">
        <f>IF(ROW()&lt;3, Query1[[#This Row],[Shares]], IF(Query1[[#This Row],[Month]]&lt;&gt;H1034, N1034+Query1[[#This Row],[Fix Top Up]]/Query1[[#This Row],[Adj Close]], N1034))</f>
        <v>3425.1508849495444</v>
      </c>
      <c r="O1035">
        <f>IF(AND(Query1[[#This Row],[avg]]&gt;0, Query1[[#This Row],[Month]]&lt;&gt;H1034),
    IF(Query1[[#This Row],[Adj Close]]&gt;Query1[[#This Row],[avg]],
       Dashboard!$L$5-Dashboard!$E$6,
       Dashboard!$L$5+Dashboard!$E$6
    ), 0
)</f>
        <v>0</v>
      </c>
      <c r="P1035" s="2">
        <f>IF(ROW()&lt;3, Query1[[#This Row],[Shares]], IF(Query1[[#This Row],[Month]]&lt;&gt;H1034, P1034+Query1[[#This Row],[Enhanced top up]]/Query1[[#This Row],[Adj Close]], P1034))</f>
        <v>3417.7787552508853</v>
      </c>
      <c r="Q1035" s="2">
        <f>IFERROR(AVERAGE(
  IF(ROW()&gt;20, INDEX(G:G, ROW()-20), 0) :
  INDEX(G:G, ROW())
),0)</f>
        <v>396.87746465773807</v>
      </c>
    </row>
    <row r="1036" spans="1:17" x14ac:dyDescent="0.4">
      <c r="A1036" s="1">
        <v>45334</v>
      </c>
      <c r="B1036">
        <v>420.55999755859375</v>
      </c>
      <c r="C1036">
        <v>420.739990234375</v>
      </c>
      <c r="D1036">
        <v>414.75</v>
      </c>
      <c r="E1036">
        <v>415.260009765625</v>
      </c>
      <c r="F1036">
        <v>21202900</v>
      </c>
      <c r="G1036">
        <v>409.92529296875</v>
      </c>
      <c r="H1036" s="2">
        <f>MONTH(Query1[[#This Row],[Date]])</f>
        <v>2</v>
      </c>
      <c r="I1036" s="3">
        <f>Query1[[#This Row],[Shares]]*Query1[[#This Row],[Adj Close]]</f>
        <v>1472574.2058786633</v>
      </c>
      <c r="J1036" s="3">
        <f>IF(ROW()&lt;3, Dashboard!$E$7, IF(Query1[[#This Row],[Month]]&lt;&gt;H1035,J1035*(1+Dashboard!$E$4)+Dashboard!$E$5,J1035))</f>
        <v>939843.83692150295</v>
      </c>
      <c r="K1036">
        <f>IF(ROW()&lt;3, 0,IF(Query1[[#This Row],[Month]]&lt;&gt;H1035,IF((J1036-I1036&gt;0),J1036-I1036,0),0))</f>
        <v>0</v>
      </c>
      <c r="L1036" s="2">
        <f t="shared" si="16"/>
        <v>3592.2989655359538</v>
      </c>
      <c r="M1036">
        <f>IF(ROW()&lt;3, 0, IF(Query1[[#This Row],[Month]]&lt;&gt;H1035, Dashboard!$J$5,0))</f>
        <v>0</v>
      </c>
      <c r="N1036" s="2">
        <f>IF(ROW()&lt;3, Query1[[#This Row],[Shares]], IF(Query1[[#This Row],[Month]]&lt;&gt;H1035, N1035+Query1[[#This Row],[Fix Top Up]]/Query1[[#This Row],[Adj Close]], N1035))</f>
        <v>3425.1508849495444</v>
      </c>
      <c r="O1036">
        <f>IF(AND(Query1[[#This Row],[avg]]&gt;0, Query1[[#This Row],[Month]]&lt;&gt;H1035),
    IF(Query1[[#This Row],[Adj Close]]&gt;Query1[[#This Row],[avg]],
       Dashboard!$L$5-Dashboard!$E$6,
       Dashboard!$L$5+Dashboard!$E$6
    ), 0
)</f>
        <v>0</v>
      </c>
      <c r="P1036" s="2">
        <f>IF(ROW()&lt;3, Query1[[#This Row],[Shares]], IF(Query1[[#This Row],[Month]]&lt;&gt;H1035, P1035+Query1[[#This Row],[Enhanced top up]]/Query1[[#This Row],[Adj Close]], P1035))</f>
        <v>3417.7787552508853</v>
      </c>
      <c r="Q1036" s="2">
        <f>IFERROR(AVERAGE(
  IF(ROW()&gt;20, INDEX(G:G, ROW()-20), 0) :
  INDEX(G:G, ROW())
),0)</f>
        <v>398.31729852585568</v>
      </c>
    </row>
    <row r="1037" spans="1:17" x14ac:dyDescent="0.4">
      <c r="A1037" s="1">
        <v>45335</v>
      </c>
      <c r="B1037">
        <v>404.94000244140625</v>
      </c>
      <c r="C1037">
        <v>410.07000732421875</v>
      </c>
      <c r="D1037">
        <v>403.3900146484375</v>
      </c>
      <c r="E1037">
        <v>406.32000732421875</v>
      </c>
      <c r="F1037">
        <v>27824900</v>
      </c>
      <c r="G1037">
        <v>401.10012817382813</v>
      </c>
      <c r="H1037" s="2">
        <f>MONTH(Query1[[#This Row],[Date]])</f>
        <v>2</v>
      </c>
      <c r="I1037" s="3">
        <f>Query1[[#This Row],[Shares]]*Query1[[#This Row],[Adj Close]]</f>
        <v>1440871.5755151813</v>
      </c>
      <c r="J1037" s="3">
        <f>IF(ROW()&lt;3, Dashboard!$E$7, IF(Query1[[#This Row],[Month]]&lt;&gt;H1036,J1036*(1+Dashboard!$E$4)+Dashboard!$E$5,J1036))</f>
        <v>939843.83692150295</v>
      </c>
      <c r="K1037">
        <f>IF(ROW()&lt;3, 0,IF(Query1[[#This Row],[Month]]&lt;&gt;H1036,IF((J1037-I1037&gt;0),J1037-I1037,0),0))</f>
        <v>0</v>
      </c>
      <c r="L1037" s="2">
        <f t="shared" si="16"/>
        <v>3592.2989655359538</v>
      </c>
      <c r="M1037">
        <f>IF(ROW()&lt;3, 0, IF(Query1[[#This Row],[Month]]&lt;&gt;H1036, Dashboard!$J$5,0))</f>
        <v>0</v>
      </c>
      <c r="N1037" s="2">
        <f>IF(ROW()&lt;3, Query1[[#This Row],[Shares]], IF(Query1[[#This Row],[Month]]&lt;&gt;H1036, N1036+Query1[[#This Row],[Fix Top Up]]/Query1[[#This Row],[Adj Close]], N1036))</f>
        <v>3425.1508849495444</v>
      </c>
      <c r="O1037">
        <f>IF(AND(Query1[[#This Row],[avg]]&gt;0, Query1[[#This Row],[Month]]&lt;&gt;H1036),
    IF(Query1[[#This Row],[Adj Close]]&gt;Query1[[#This Row],[avg]],
       Dashboard!$L$5-Dashboard!$E$6,
       Dashboard!$L$5+Dashboard!$E$6
    ), 0
)</f>
        <v>0</v>
      </c>
      <c r="P1037" s="2">
        <f>IF(ROW()&lt;3, Query1[[#This Row],[Shares]], IF(Query1[[#This Row],[Month]]&lt;&gt;H1036, P1036+Query1[[#This Row],[Enhanced top up]]/Query1[[#This Row],[Adj Close]], P1036))</f>
        <v>3417.7787552508853</v>
      </c>
      <c r="Q1037" s="2">
        <f>IFERROR(AVERAGE(
  IF(ROW()&gt;20, INDEX(G:G, ROW()-20), 0) :
  INDEX(G:G, ROW())
),0)</f>
        <v>399.15637788318452</v>
      </c>
    </row>
    <row r="1038" spans="1:17" x14ac:dyDescent="0.4">
      <c r="A1038" s="1">
        <v>45336</v>
      </c>
      <c r="B1038">
        <v>408.07000732421875</v>
      </c>
      <c r="C1038">
        <v>409.83999633789063</v>
      </c>
      <c r="D1038">
        <v>404.57000732421875</v>
      </c>
      <c r="E1038">
        <v>409.489990234375</v>
      </c>
      <c r="F1038">
        <v>20401200</v>
      </c>
      <c r="G1038">
        <v>404.97689819335938</v>
      </c>
      <c r="H1038" s="2">
        <f>MONTH(Query1[[#This Row],[Date]])</f>
        <v>2</v>
      </c>
      <c r="I1038" s="3">
        <f>Query1[[#This Row],[Shares]]*Query1[[#This Row],[Adj Close]]</f>
        <v>1454798.0924459642</v>
      </c>
      <c r="J1038" s="3">
        <f>IF(ROW()&lt;3, Dashboard!$E$7, IF(Query1[[#This Row],[Month]]&lt;&gt;H1037,J1037*(1+Dashboard!$E$4)+Dashboard!$E$5,J1037))</f>
        <v>939843.83692150295</v>
      </c>
      <c r="K1038">
        <f>IF(ROW()&lt;3, 0,IF(Query1[[#This Row],[Month]]&lt;&gt;H1037,IF((J1038-I1038&gt;0),J1038-I1038,0),0))</f>
        <v>0</v>
      </c>
      <c r="L1038" s="2">
        <f t="shared" si="16"/>
        <v>3592.2989655359538</v>
      </c>
      <c r="M1038">
        <f>IF(ROW()&lt;3, 0, IF(Query1[[#This Row],[Month]]&lt;&gt;H1037, Dashboard!$J$5,0))</f>
        <v>0</v>
      </c>
      <c r="N1038" s="2">
        <f>IF(ROW()&lt;3, Query1[[#This Row],[Shares]], IF(Query1[[#This Row],[Month]]&lt;&gt;H1037, N1037+Query1[[#This Row],[Fix Top Up]]/Query1[[#This Row],[Adj Close]], N1037))</f>
        <v>3425.1508849495444</v>
      </c>
      <c r="O1038">
        <f>IF(AND(Query1[[#This Row],[avg]]&gt;0, Query1[[#This Row],[Month]]&lt;&gt;H1037),
    IF(Query1[[#This Row],[Adj Close]]&gt;Query1[[#This Row],[avg]],
       Dashboard!$L$5-Dashboard!$E$6,
       Dashboard!$L$5+Dashboard!$E$6
    ), 0
)</f>
        <v>0</v>
      </c>
      <c r="P1038" s="2">
        <f>IF(ROW()&lt;3, Query1[[#This Row],[Shares]], IF(Query1[[#This Row],[Month]]&lt;&gt;H1037, P1037+Query1[[#This Row],[Enhanced top up]]/Query1[[#This Row],[Adj Close]], P1037))</f>
        <v>3417.7787552508853</v>
      </c>
      <c r="Q1038" s="2">
        <f>IFERROR(AVERAGE(
  IF(ROW()&gt;20, INDEX(G:G, ROW()-20), 0) :
  INDEX(G:G, ROW())
),0)</f>
        <v>400.09545317150298</v>
      </c>
    </row>
    <row r="1039" spans="1:17" x14ac:dyDescent="0.4">
      <c r="A1039" s="1">
        <v>45337</v>
      </c>
      <c r="B1039">
        <v>408.1400146484375</v>
      </c>
      <c r="C1039">
        <v>409.1300048828125</v>
      </c>
      <c r="D1039">
        <v>404.29000854492188</v>
      </c>
      <c r="E1039">
        <v>406.55999755859375</v>
      </c>
      <c r="F1039">
        <v>21825500</v>
      </c>
      <c r="G1039">
        <v>402.0792236328125</v>
      </c>
      <c r="H1039" s="2">
        <f>MONTH(Query1[[#This Row],[Date]])</f>
        <v>2</v>
      </c>
      <c r="I1039" s="3">
        <f>Query1[[#This Row],[Shares]]*Query1[[#This Row],[Adj Close]]</f>
        <v>1444388.7791196518</v>
      </c>
      <c r="J1039" s="3">
        <f>IF(ROW()&lt;3, Dashboard!$E$7, IF(Query1[[#This Row],[Month]]&lt;&gt;H1038,J1038*(1+Dashboard!$E$4)+Dashboard!$E$5,J1038))</f>
        <v>939843.83692150295</v>
      </c>
      <c r="K1039">
        <f>IF(ROW()&lt;3, 0,IF(Query1[[#This Row],[Month]]&lt;&gt;H1038,IF((J1039-I1039&gt;0),J1039-I1039,0),0))</f>
        <v>0</v>
      </c>
      <c r="L1039" s="2">
        <f t="shared" si="16"/>
        <v>3592.2989655359538</v>
      </c>
      <c r="M1039">
        <f>IF(ROW()&lt;3, 0, IF(Query1[[#This Row],[Month]]&lt;&gt;H1038, Dashboard!$J$5,0))</f>
        <v>0</v>
      </c>
      <c r="N1039" s="2">
        <f>IF(ROW()&lt;3, Query1[[#This Row],[Shares]], IF(Query1[[#This Row],[Month]]&lt;&gt;H1038, N1038+Query1[[#This Row],[Fix Top Up]]/Query1[[#This Row],[Adj Close]], N1038))</f>
        <v>3425.1508849495444</v>
      </c>
      <c r="O1039">
        <f>IF(AND(Query1[[#This Row],[avg]]&gt;0, Query1[[#This Row],[Month]]&lt;&gt;H1038),
    IF(Query1[[#This Row],[Adj Close]]&gt;Query1[[#This Row],[avg]],
       Dashboard!$L$5-Dashboard!$E$6,
       Dashboard!$L$5+Dashboard!$E$6
    ), 0
)</f>
        <v>0</v>
      </c>
      <c r="P1039" s="2">
        <f>IF(ROW()&lt;3, Query1[[#This Row],[Shares]], IF(Query1[[#This Row],[Month]]&lt;&gt;H1038, P1038+Query1[[#This Row],[Enhanced top up]]/Query1[[#This Row],[Adj Close]], P1038))</f>
        <v>3417.7787552508853</v>
      </c>
      <c r="Q1039" s="2">
        <f>IFERROR(AVERAGE(
  IF(ROW()&gt;20, INDEX(G:G, ROW()-20), 0) :
  INDEX(G:G, ROW())
),0)</f>
        <v>400.93414887927827</v>
      </c>
    </row>
    <row r="1040" spans="1:17" x14ac:dyDescent="0.4">
      <c r="A1040" s="1">
        <v>45338</v>
      </c>
      <c r="B1040">
        <v>407.95999145507813</v>
      </c>
      <c r="C1040">
        <v>408.29000854492188</v>
      </c>
      <c r="D1040">
        <v>403.44000244140625</v>
      </c>
      <c r="E1040">
        <v>404.05999755859375</v>
      </c>
      <c r="F1040">
        <v>22296500</v>
      </c>
      <c r="G1040">
        <v>399.60675048828125</v>
      </c>
      <c r="H1040" s="2">
        <f>MONTH(Query1[[#This Row],[Date]])</f>
        <v>2</v>
      </c>
      <c r="I1040" s="3">
        <f>Query1[[#This Row],[Shares]]*Query1[[#This Row],[Adj Close]]</f>
        <v>1435506.9164002368</v>
      </c>
      <c r="J1040" s="3">
        <f>IF(ROW()&lt;3, Dashboard!$E$7, IF(Query1[[#This Row],[Month]]&lt;&gt;H1039,J1039*(1+Dashboard!$E$4)+Dashboard!$E$5,J1039))</f>
        <v>939843.83692150295</v>
      </c>
      <c r="K1040">
        <f>IF(ROW()&lt;3, 0,IF(Query1[[#This Row],[Month]]&lt;&gt;H1039,IF((J1040-I1040&gt;0),J1040-I1040,0),0))</f>
        <v>0</v>
      </c>
      <c r="L1040" s="2">
        <f t="shared" si="16"/>
        <v>3592.2989655359538</v>
      </c>
      <c r="M1040">
        <f>IF(ROW()&lt;3, 0, IF(Query1[[#This Row],[Month]]&lt;&gt;H1039, Dashboard!$J$5,0))</f>
        <v>0</v>
      </c>
      <c r="N1040" s="2">
        <f>IF(ROW()&lt;3, Query1[[#This Row],[Shares]], IF(Query1[[#This Row],[Month]]&lt;&gt;H1039, N1039+Query1[[#This Row],[Fix Top Up]]/Query1[[#This Row],[Adj Close]], N1039))</f>
        <v>3425.1508849495444</v>
      </c>
      <c r="O1040">
        <f>IF(AND(Query1[[#This Row],[avg]]&gt;0, Query1[[#This Row],[Month]]&lt;&gt;H1039),
    IF(Query1[[#This Row],[Adj Close]]&gt;Query1[[#This Row],[avg]],
       Dashboard!$L$5-Dashboard!$E$6,
       Dashboard!$L$5+Dashboard!$E$6
    ), 0
)</f>
        <v>0</v>
      </c>
      <c r="P1040" s="2">
        <f>IF(ROW()&lt;3, Query1[[#This Row],[Shares]], IF(Query1[[#This Row],[Month]]&lt;&gt;H1039, P1039+Query1[[#This Row],[Enhanced top up]]/Query1[[#This Row],[Adj Close]], P1039))</f>
        <v>3417.7787552508853</v>
      </c>
      <c r="Q1040" s="2">
        <f>IFERROR(AVERAGE(
  IF(ROW()&gt;20, INDEX(G:G, ROW()-20), 0) :
  INDEX(G:G, ROW())
),0)</f>
        <v>401.44827706473217</v>
      </c>
    </row>
    <row r="1041" spans="1:17" x14ac:dyDescent="0.4">
      <c r="A1041" s="1">
        <v>45342</v>
      </c>
      <c r="B1041">
        <v>403.239990234375</v>
      </c>
      <c r="C1041">
        <v>404.489990234375</v>
      </c>
      <c r="D1041">
        <v>398.010009765625</v>
      </c>
      <c r="E1041">
        <v>402.79000854492188</v>
      </c>
      <c r="F1041">
        <v>24307900</v>
      </c>
      <c r="G1041">
        <v>398.35076904296875</v>
      </c>
      <c r="H1041" s="2">
        <f>MONTH(Query1[[#This Row],[Date]])</f>
        <v>2</v>
      </c>
      <c r="I1041" s="3">
        <f>Query1[[#This Row],[Shares]]*Query1[[#This Row],[Adj Close]]</f>
        <v>1430995.0555535082</v>
      </c>
      <c r="J1041" s="3">
        <f>IF(ROW()&lt;3, Dashboard!$E$7, IF(Query1[[#This Row],[Month]]&lt;&gt;H1040,J1040*(1+Dashboard!$E$4)+Dashboard!$E$5,J1040))</f>
        <v>939843.83692150295</v>
      </c>
      <c r="K1041">
        <f>IF(ROW()&lt;3, 0,IF(Query1[[#This Row],[Month]]&lt;&gt;H1040,IF((J1041-I1041&gt;0),J1041-I1041,0),0))</f>
        <v>0</v>
      </c>
      <c r="L1041" s="2">
        <f t="shared" si="16"/>
        <v>3592.2989655359538</v>
      </c>
      <c r="M1041">
        <f>IF(ROW()&lt;3, 0, IF(Query1[[#This Row],[Month]]&lt;&gt;H1040, Dashboard!$J$5,0))</f>
        <v>0</v>
      </c>
      <c r="N1041" s="2">
        <f>IF(ROW()&lt;3, Query1[[#This Row],[Shares]], IF(Query1[[#This Row],[Month]]&lt;&gt;H1040, N1040+Query1[[#This Row],[Fix Top Up]]/Query1[[#This Row],[Adj Close]], N1040))</f>
        <v>3425.1508849495444</v>
      </c>
      <c r="O1041">
        <f>IF(AND(Query1[[#This Row],[avg]]&gt;0, Query1[[#This Row],[Month]]&lt;&gt;H1040),
    IF(Query1[[#This Row],[Adj Close]]&gt;Query1[[#This Row],[avg]],
       Dashboard!$L$5-Dashboard!$E$6,
       Dashboard!$L$5+Dashboard!$E$6
    ), 0
)</f>
        <v>0</v>
      </c>
      <c r="P1041" s="2">
        <f>IF(ROW()&lt;3, Query1[[#This Row],[Shares]], IF(Query1[[#This Row],[Month]]&lt;&gt;H1040, P1040+Query1[[#This Row],[Enhanced top up]]/Query1[[#This Row],[Adj Close]], P1040))</f>
        <v>3417.7787552508853</v>
      </c>
      <c r="Q1041" s="2">
        <f>IFERROR(AVERAGE(
  IF(ROW()&gt;20, INDEX(G:G, ROW()-20), 0) :
  INDEX(G:G, ROW())
),0)</f>
        <v>401.67696126302081</v>
      </c>
    </row>
    <row r="1042" spans="1:17" x14ac:dyDescent="0.4">
      <c r="A1042" s="1">
        <v>45343</v>
      </c>
      <c r="B1042">
        <v>400.17001342773438</v>
      </c>
      <c r="C1042">
        <v>402.29000854492188</v>
      </c>
      <c r="D1042">
        <v>397.22000122070313</v>
      </c>
      <c r="E1042">
        <v>402.17999267578125</v>
      </c>
      <c r="F1042">
        <v>18518900</v>
      </c>
      <c r="G1042">
        <v>397.74746704101563</v>
      </c>
      <c r="H1042" s="2">
        <f>MONTH(Query1[[#This Row],[Date]])</f>
        <v>2</v>
      </c>
      <c r="I1042" s="3">
        <f>Query1[[#This Row],[Shares]]*Query1[[#This Row],[Adj Close]]</f>
        <v>1428827.8143959863</v>
      </c>
      <c r="J1042" s="3">
        <f>IF(ROW()&lt;3, Dashboard!$E$7, IF(Query1[[#This Row],[Month]]&lt;&gt;H1041,J1041*(1+Dashboard!$E$4)+Dashboard!$E$5,J1041))</f>
        <v>939843.83692150295</v>
      </c>
      <c r="K1042">
        <f>IF(ROW()&lt;3, 0,IF(Query1[[#This Row],[Month]]&lt;&gt;H1041,IF((J1042-I1042&gt;0),J1042-I1042,0),0))</f>
        <v>0</v>
      </c>
      <c r="L1042" s="2">
        <f t="shared" si="16"/>
        <v>3592.2989655359538</v>
      </c>
      <c r="M1042">
        <f>IF(ROW()&lt;3, 0, IF(Query1[[#This Row],[Month]]&lt;&gt;H1041, Dashboard!$J$5,0))</f>
        <v>0</v>
      </c>
      <c r="N1042" s="2">
        <f>IF(ROW()&lt;3, Query1[[#This Row],[Shares]], IF(Query1[[#This Row],[Month]]&lt;&gt;H1041, N1041+Query1[[#This Row],[Fix Top Up]]/Query1[[#This Row],[Adj Close]], N1041))</f>
        <v>3425.1508849495444</v>
      </c>
      <c r="O1042">
        <f>IF(AND(Query1[[#This Row],[avg]]&gt;0, Query1[[#This Row],[Month]]&lt;&gt;H1041),
    IF(Query1[[#This Row],[Adj Close]]&gt;Query1[[#This Row],[avg]],
       Dashboard!$L$5-Dashboard!$E$6,
       Dashboard!$L$5+Dashboard!$E$6
    ), 0
)</f>
        <v>0</v>
      </c>
      <c r="P1042" s="2">
        <f>IF(ROW()&lt;3, Query1[[#This Row],[Shares]], IF(Query1[[#This Row],[Month]]&lt;&gt;H1041, P1041+Query1[[#This Row],[Enhanced top up]]/Query1[[#This Row],[Adj Close]], P1041))</f>
        <v>3417.7787552508853</v>
      </c>
      <c r="Q1042" s="2">
        <f>IFERROR(AVERAGE(
  IF(ROW()&gt;20, INDEX(G:G, ROW()-20), 0) :
  INDEX(G:G, ROW())
),0)</f>
        <v>401.97845023018971</v>
      </c>
    </row>
    <row r="1043" spans="1:17" x14ac:dyDescent="0.4">
      <c r="A1043" s="1">
        <v>45344</v>
      </c>
      <c r="B1043">
        <v>410.19000244140625</v>
      </c>
      <c r="C1043">
        <v>412.82998657226563</v>
      </c>
      <c r="D1043">
        <v>408.57000732421875</v>
      </c>
      <c r="E1043">
        <v>411.64999389648438</v>
      </c>
      <c r="F1043">
        <v>27009900</v>
      </c>
      <c r="G1043">
        <v>407.11309814453125</v>
      </c>
      <c r="H1043" s="2">
        <f>MONTH(Query1[[#This Row],[Date]])</f>
        <v>2</v>
      </c>
      <c r="I1043" s="3">
        <f>Query1[[#This Row],[Shares]]*Query1[[#This Row],[Adj Close]]</f>
        <v>1462471.9613207369</v>
      </c>
      <c r="J1043" s="3">
        <f>IF(ROW()&lt;3, Dashboard!$E$7, IF(Query1[[#This Row],[Month]]&lt;&gt;H1042,J1042*(1+Dashboard!$E$4)+Dashboard!$E$5,J1042))</f>
        <v>939843.83692150295</v>
      </c>
      <c r="K1043">
        <f>IF(ROW()&lt;3, 0,IF(Query1[[#This Row],[Month]]&lt;&gt;H1042,IF((J1043-I1043&gt;0),J1043-I1043,0),0))</f>
        <v>0</v>
      </c>
      <c r="L1043" s="2">
        <f t="shared" si="16"/>
        <v>3592.2989655359538</v>
      </c>
      <c r="M1043">
        <f>IF(ROW()&lt;3, 0, IF(Query1[[#This Row],[Month]]&lt;&gt;H1042, Dashboard!$J$5,0))</f>
        <v>0</v>
      </c>
      <c r="N1043" s="2">
        <f>IF(ROW()&lt;3, Query1[[#This Row],[Shares]], IF(Query1[[#This Row],[Month]]&lt;&gt;H1042, N1042+Query1[[#This Row],[Fix Top Up]]/Query1[[#This Row],[Adj Close]], N1042))</f>
        <v>3425.1508849495444</v>
      </c>
      <c r="O1043">
        <f>IF(AND(Query1[[#This Row],[avg]]&gt;0, Query1[[#This Row],[Month]]&lt;&gt;H1042),
    IF(Query1[[#This Row],[Adj Close]]&gt;Query1[[#This Row],[avg]],
       Dashboard!$L$5-Dashboard!$E$6,
       Dashboard!$L$5+Dashboard!$E$6
    ), 0
)</f>
        <v>0</v>
      </c>
      <c r="P1043" s="2">
        <f>IF(ROW()&lt;3, Query1[[#This Row],[Shares]], IF(Query1[[#This Row],[Month]]&lt;&gt;H1042, P1042+Query1[[#This Row],[Enhanced top up]]/Query1[[#This Row],[Adj Close]], P1042))</f>
        <v>3417.7787552508853</v>
      </c>
      <c r="Q1043" s="2">
        <f>IFERROR(AVERAGE(
  IF(ROW()&gt;20, INDEX(G:G, ROW()-20), 0) :
  INDEX(G:G, ROW())
),0)</f>
        <v>402.61357625325519</v>
      </c>
    </row>
    <row r="1044" spans="1:17" x14ac:dyDescent="0.4">
      <c r="A1044" s="1">
        <v>45345</v>
      </c>
      <c r="B1044">
        <v>415.67001342773438</v>
      </c>
      <c r="C1044">
        <v>415.8599853515625</v>
      </c>
      <c r="D1044">
        <v>408.97000122070313</v>
      </c>
      <c r="E1044">
        <v>410.33999633789063</v>
      </c>
      <c r="F1044">
        <v>16295900</v>
      </c>
      <c r="G1044">
        <v>405.81753540039063</v>
      </c>
      <c r="H1044" s="2">
        <f>MONTH(Query1[[#This Row],[Date]])</f>
        <v>2</v>
      </c>
      <c r="I1044" s="3">
        <f>Query1[[#This Row],[Shares]]*Query1[[#This Row],[Adj Close]]</f>
        <v>1457817.9126151735</v>
      </c>
      <c r="J1044" s="3">
        <f>IF(ROW()&lt;3, Dashboard!$E$7, IF(Query1[[#This Row],[Month]]&lt;&gt;H1043,J1043*(1+Dashboard!$E$4)+Dashboard!$E$5,J1043))</f>
        <v>939843.83692150295</v>
      </c>
      <c r="K1044">
        <f>IF(ROW()&lt;3, 0,IF(Query1[[#This Row],[Month]]&lt;&gt;H1043,IF((J1044-I1044&gt;0),J1044-I1044,0),0))</f>
        <v>0</v>
      </c>
      <c r="L1044" s="2">
        <f t="shared" si="16"/>
        <v>3592.2989655359538</v>
      </c>
      <c r="M1044">
        <f>IF(ROW()&lt;3, 0, IF(Query1[[#This Row],[Month]]&lt;&gt;H1043, Dashboard!$J$5,0))</f>
        <v>0</v>
      </c>
      <c r="N1044" s="2">
        <f>IF(ROW()&lt;3, Query1[[#This Row],[Shares]], IF(Query1[[#This Row],[Month]]&lt;&gt;H1043, N1043+Query1[[#This Row],[Fix Top Up]]/Query1[[#This Row],[Adj Close]], N1043))</f>
        <v>3425.1508849495444</v>
      </c>
      <c r="O1044">
        <f>IF(AND(Query1[[#This Row],[avg]]&gt;0, Query1[[#This Row],[Month]]&lt;&gt;H1043),
    IF(Query1[[#This Row],[Adj Close]]&gt;Query1[[#This Row],[avg]],
       Dashboard!$L$5-Dashboard!$E$6,
       Dashboard!$L$5+Dashboard!$E$6
    ), 0
)</f>
        <v>0</v>
      </c>
      <c r="P1044" s="2">
        <f>IF(ROW()&lt;3, Query1[[#This Row],[Shares]], IF(Query1[[#This Row],[Month]]&lt;&gt;H1043, P1043+Query1[[#This Row],[Enhanced top up]]/Query1[[#This Row],[Adj Close]], P1043))</f>
        <v>3417.7787552508853</v>
      </c>
      <c r="Q1044" s="2">
        <f>IFERROR(AVERAGE(
  IF(ROW()&gt;20, INDEX(G:G, ROW()-20), 0) :
  INDEX(G:G, ROW())
),0)</f>
        <v>403.01496233258928</v>
      </c>
    </row>
    <row r="1045" spans="1:17" x14ac:dyDescent="0.4">
      <c r="A1045" s="1">
        <v>45348</v>
      </c>
      <c r="B1045">
        <v>411.45999145507813</v>
      </c>
      <c r="C1045">
        <v>412.16000366210938</v>
      </c>
      <c r="D1045">
        <v>407.3599853515625</v>
      </c>
      <c r="E1045">
        <v>407.54000854492188</v>
      </c>
      <c r="F1045">
        <v>16193500</v>
      </c>
      <c r="G1045">
        <v>403.04843139648438</v>
      </c>
      <c r="H1045" s="2">
        <f>MONTH(Query1[[#This Row],[Date]])</f>
        <v>2</v>
      </c>
      <c r="I1045" s="3">
        <f>Query1[[#This Row],[Shares]]*Query1[[#This Row],[Adj Close]]</f>
        <v>1447870.4631664797</v>
      </c>
      <c r="J1045" s="3">
        <f>IF(ROW()&lt;3, Dashboard!$E$7, IF(Query1[[#This Row],[Month]]&lt;&gt;H1044,J1044*(1+Dashboard!$E$4)+Dashboard!$E$5,J1044))</f>
        <v>939843.83692150295</v>
      </c>
      <c r="K1045">
        <f>IF(ROW()&lt;3, 0,IF(Query1[[#This Row],[Month]]&lt;&gt;H1044,IF((J1045-I1045&gt;0),J1045-I1045,0),0))</f>
        <v>0</v>
      </c>
      <c r="L1045" s="2">
        <f t="shared" si="16"/>
        <v>3592.2989655359538</v>
      </c>
      <c r="M1045">
        <f>IF(ROW()&lt;3, 0, IF(Query1[[#This Row],[Month]]&lt;&gt;H1044, Dashboard!$J$5,0))</f>
        <v>0</v>
      </c>
      <c r="N1045" s="2">
        <f>IF(ROW()&lt;3, Query1[[#This Row],[Shares]], IF(Query1[[#This Row],[Month]]&lt;&gt;H1044, N1044+Query1[[#This Row],[Fix Top Up]]/Query1[[#This Row],[Adj Close]], N1044))</f>
        <v>3425.1508849495444</v>
      </c>
      <c r="O1045">
        <f>IF(AND(Query1[[#This Row],[avg]]&gt;0, Query1[[#This Row],[Month]]&lt;&gt;H1044),
    IF(Query1[[#This Row],[Adj Close]]&gt;Query1[[#This Row],[avg]],
       Dashboard!$L$5-Dashboard!$E$6,
       Dashboard!$L$5+Dashboard!$E$6
    ), 0
)</f>
        <v>0</v>
      </c>
      <c r="P1045" s="2">
        <f>IF(ROW()&lt;3, Query1[[#This Row],[Shares]], IF(Query1[[#This Row],[Month]]&lt;&gt;H1044, P1044+Query1[[#This Row],[Enhanced top up]]/Query1[[#This Row],[Adj Close]], P1044))</f>
        <v>3417.7787552508853</v>
      </c>
      <c r="Q1045" s="2">
        <f>IFERROR(AVERAGE(
  IF(ROW()&gt;20, INDEX(G:G, ROW()-20), 0) :
  INDEX(G:G, ROW())
),0)</f>
        <v>403.17589896065846</v>
      </c>
    </row>
    <row r="1046" spans="1:17" x14ac:dyDescent="0.4">
      <c r="A1046" s="1">
        <v>45349</v>
      </c>
      <c r="B1046">
        <v>407.989990234375</v>
      </c>
      <c r="C1046">
        <v>408.32000732421875</v>
      </c>
      <c r="D1046">
        <v>403.85000610351563</v>
      </c>
      <c r="E1046">
        <v>407.48001098632813</v>
      </c>
      <c r="F1046">
        <v>14835800</v>
      </c>
      <c r="G1046">
        <v>402.9891357421875</v>
      </c>
      <c r="H1046" s="2">
        <f>MONTH(Query1[[#This Row],[Date]])</f>
        <v>2</v>
      </c>
      <c r="I1046" s="3">
        <f>Query1[[#This Row],[Shares]]*Query1[[#This Row],[Adj Close]]</f>
        <v>1447657.4554488882</v>
      </c>
      <c r="J1046" s="3">
        <f>IF(ROW()&lt;3, Dashboard!$E$7, IF(Query1[[#This Row],[Month]]&lt;&gt;H1045,J1045*(1+Dashboard!$E$4)+Dashboard!$E$5,J1045))</f>
        <v>939843.83692150295</v>
      </c>
      <c r="K1046">
        <f>IF(ROW()&lt;3, 0,IF(Query1[[#This Row],[Month]]&lt;&gt;H1045,IF((J1046-I1046&gt;0),J1046-I1046,0),0))</f>
        <v>0</v>
      </c>
      <c r="L1046" s="2">
        <f t="shared" si="16"/>
        <v>3592.2989655359538</v>
      </c>
      <c r="M1046">
        <f>IF(ROW()&lt;3, 0, IF(Query1[[#This Row],[Month]]&lt;&gt;H1045, Dashboard!$J$5,0))</f>
        <v>0</v>
      </c>
      <c r="N1046" s="2">
        <f>IF(ROW()&lt;3, Query1[[#This Row],[Shares]], IF(Query1[[#This Row],[Month]]&lt;&gt;H1045, N1045+Query1[[#This Row],[Fix Top Up]]/Query1[[#This Row],[Adj Close]], N1045))</f>
        <v>3425.1508849495444</v>
      </c>
      <c r="O1046">
        <f>IF(AND(Query1[[#This Row],[avg]]&gt;0, Query1[[#This Row],[Month]]&lt;&gt;H1045),
    IF(Query1[[#This Row],[Adj Close]]&gt;Query1[[#This Row],[avg]],
       Dashboard!$L$5-Dashboard!$E$6,
       Dashboard!$L$5+Dashboard!$E$6
    ), 0
)</f>
        <v>0</v>
      </c>
      <c r="P1046" s="2">
        <f>IF(ROW()&lt;3, Query1[[#This Row],[Shares]], IF(Query1[[#This Row],[Month]]&lt;&gt;H1045, P1045+Query1[[#This Row],[Enhanced top up]]/Query1[[#This Row],[Adj Close]], P1045))</f>
        <v>3417.7787552508853</v>
      </c>
      <c r="Q1046" s="2">
        <f>IFERROR(AVERAGE(
  IF(ROW()&gt;20, INDEX(G:G, ROW()-20), 0) :
  INDEX(G:G, ROW())
),0)</f>
        <v>403.37819998604908</v>
      </c>
    </row>
    <row r="1047" spans="1:17" x14ac:dyDescent="0.4">
      <c r="A1047" s="1">
        <v>45350</v>
      </c>
      <c r="B1047">
        <v>408.17999267578125</v>
      </c>
      <c r="C1047">
        <v>409.29998779296875</v>
      </c>
      <c r="D1047">
        <v>405.32000732421875</v>
      </c>
      <c r="E1047">
        <v>407.72000122070313</v>
      </c>
      <c r="F1047">
        <v>13183100</v>
      </c>
      <c r="G1047">
        <v>403.22647094726563</v>
      </c>
      <c r="H1047" s="2">
        <f>MONTH(Query1[[#This Row],[Date]])</f>
        <v>2</v>
      </c>
      <c r="I1047" s="3">
        <f>Query1[[#This Row],[Shares]]*Query1[[#This Row],[Adj Close]]</f>
        <v>1448510.0344605756</v>
      </c>
      <c r="J1047" s="3">
        <f>IF(ROW()&lt;3, Dashboard!$E$7, IF(Query1[[#This Row],[Month]]&lt;&gt;H1046,J1046*(1+Dashboard!$E$4)+Dashboard!$E$5,J1046))</f>
        <v>939843.83692150295</v>
      </c>
      <c r="K1047">
        <f>IF(ROW()&lt;3, 0,IF(Query1[[#This Row],[Month]]&lt;&gt;H1046,IF((J1047-I1047&gt;0),J1047-I1047,0),0))</f>
        <v>0</v>
      </c>
      <c r="L1047" s="2">
        <f t="shared" si="16"/>
        <v>3592.2989655359538</v>
      </c>
      <c r="M1047">
        <f>IF(ROW()&lt;3, 0, IF(Query1[[#This Row],[Month]]&lt;&gt;H1046, Dashboard!$J$5,0))</f>
        <v>0</v>
      </c>
      <c r="N1047" s="2">
        <f>IF(ROW()&lt;3, Query1[[#This Row],[Shares]], IF(Query1[[#This Row],[Month]]&lt;&gt;H1046, N1046+Query1[[#This Row],[Fix Top Up]]/Query1[[#This Row],[Adj Close]], N1046))</f>
        <v>3425.1508849495444</v>
      </c>
      <c r="O1047">
        <f>IF(AND(Query1[[#This Row],[avg]]&gt;0, Query1[[#This Row],[Month]]&lt;&gt;H1046),
    IF(Query1[[#This Row],[Adj Close]]&gt;Query1[[#This Row],[avg]],
       Dashboard!$L$5-Dashboard!$E$6,
       Dashboard!$L$5+Dashboard!$E$6
    ), 0
)</f>
        <v>0</v>
      </c>
      <c r="P1047" s="2">
        <f>IF(ROW()&lt;3, Query1[[#This Row],[Shares]], IF(Query1[[#This Row],[Month]]&lt;&gt;H1046, P1046+Query1[[#This Row],[Enhanced top up]]/Query1[[#This Row],[Adj Close]], P1046))</f>
        <v>3417.7787552508853</v>
      </c>
      <c r="Q1047" s="2">
        <f>IFERROR(AVERAGE(
  IF(ROW()&gt;20, INDEX(G:G, ROW()-20), 0) :
  INDEX(G:G, ROW())
),0)</f>
        <v>403.31962948753721</v>
      </c>
    </row>
    <row r="1048" spans="1:17" x14ac:dyDescent="0.4">
      <c r="A1048" s="1">
        <v>45351</v>
      </c>
      <c r="B1048">
        <v>408.6400146484375</v>
      </c>
      <c r="C1048">
        <v>414.20001220703125</v>
      </c>
      <c r="D1048">
        <v>405.92001342773438</v>
      </c>
      <c r="E1048">
        <v>413.6400146484375</v>
      </c>
      <c r="F1048">
        <v>31947300</v>
      </c>
      <c r="G1048">
        <v>409.0811767578125</v>
      </c>
      <c r="H1048" s="2">
        <f>MONTH(Query1[[#This Row],[Date]])</f>
        <v>2</v>
      </c>
      <c r="I1048" s="3">
        <f>Query1[[#This Row],[Shares]]*Query1[[#This Row],[Adj Close]]</f>
        <v>1469541.8880873206</v>
      </c>
      <c r="J1048" s="3">
        <f>IF(ROW()&lt;3, Dashboard!$E$7, IF(Query1[[#This Row],[Month]]&lt;&gt;H1047,J1047*(1+Dashboard!$E$4)+Dashboard!$E$5,J1047))</f>
        <v>939843.83692150295</v>
      </c>
      <c r="K1048">
        <f>IF(ROW()&lt;3, 0,IF(Query1[[#This Row],[Month]]&lt;&gt;H1047,IF((J1048-I1048&gt;0),J1048-I1048,0),0))</f>
        <v>0</v>
      </c>
      <c r="L1048" s="2">
        <f t="shared" si="16"/>
        <v>3592.2989655359538</v>
      </c>
      <c r="M1048">
        <f>IF(ROW()&lt;3, 0, IF(Query1[[#This Row],[Month]]&lt;&gt;H1047, Dashboard!$J$5,0))</f>
        <v>0</v>
      </c>
      <c r="N1048" s="2">
        <f>IF(ROW()&lt;3, Query1[[#This Row],[Shares]], IF(Query1[[#This Row],[Month]]&lt;&gt;H1047, N1047+Query1[[#This Row],[Fix Top Up]]/Query1[[#This Row],[Adj Close]], N1047))</f>
        <v>3425.1508849495444</v>
      </c>
      <c r="O1048">
        <f>IF(AND(Query1[[#This Row],[avg]]&gt;0, Query1[[#This Row],[Month]]&lt;&gt;H1047),
    IF(Query1[[#This Row],[Adj Close]]&gt;Query1[[#This Row],[avg]],
       Dashboard!$L$5-Dashboard!$E$6,
       Dashboard!$L$5+Dashboard!$E$6
    ), 0
)</f>
        <v>0</v>
      </c>
      <c r="P1048" s="2">
        <f>IF(ROW()&lt;3, Query1[[#This Row],[Shares]], IF(Query1[[#This Row],[Month]]&lt;&gt;H1047, P1047+Query1[[#This Row],[Enhanced top up]]/Query1[[#This Row],[Adj Close]], P1047))</f>
        <v>3417.7787552508853</v>
      </c>
      <c r="Q1048" s="2">
        <f>IFERROR(AVERAGE(
  IF(ROW()&gt;20, INDEX(G:G, ROW()-20), 0) :
  INDEX(G:G, ROW())
),0)</f>
        <v>403.5929710751488</v>
      </c>
    </row>
    <row r="1049" spans="1:17" x14ac:dyDescent="0.4">
      <c r="A1049" s="1">
        <v>45352</v>
      </c>
      <c r="B1049">
        <v>411.26998901367188</v>
      </c>
      <c r="C1049">
        <v>415.8699951171875</v>
      </c>
      <c r="D1049">
        <v>410.8800048828125</v>
      </c>
      <c r="E1049">
        <v>415.5</v>
      </c>
      <c r="F1049">
        <v>17823400</v>
      </c>
      <c r="G1049">
        <v>410.92071533203125</v>
      </c>
      <c r="H1049" s="2">
        <f>MONTH(Query1[[#This Row],[Date]])</f>
        <v>3</v>
      </c>
      <c r="I1049" s="3">
        <f>Query1[[#This Row],[Shares]]*Query1[[#This Row],[Adj Close]]</f>
        <v>1476150.0606045499</v>
      </c>
      <c r="J1049" s="3">
        <f>IF(ROW()&lt;3, Dashboard!$E$7, IF(Query1[[#This Row],[Month]]&lt;&gt;H1048,J1048*(1+Dashboard!$E$4)+Dashboard!$E$5,J1048))</f>
        <v>951242.27529071795</v>
      </c>
      <c r="K1049">
        <f>IF(ROW()&lt;3, 0,IF(Query1[[#This Row],[Month]]&lt;&gt;H1048,IF((J1049-I1049&gt;0),J1049-I1049,0),0))</f>
        <v>0</v>
      </c>
      <c r="L1049" s="2">
        <f t="shared" si="16"/>
        <v>3592.2989655359538</v>
      </c>
      <c r="M1049">
        <f>IF(ROW()&lt;3, 0, IF(Query1[[#This Row],[Month]]&lt;&gt;H1048, Dashboard!$J$5,0))</f>
        <v>773.47399999999971</v>
      </c>
      <c r="N1049" s="2">
        <f>IF(ROW()&lt;3, Query1[[#This Row],[Shares]], IF(Query1[[#This Row],[Month]]&lt;&gt;H1048, N1048+Query1[[#This Row],[Fix Top Up]]/Query1[[#This Row],[Adj Close]], N1048))</f>
        <v>3427.0331799304022</v>
      </c>
      <c r="O1049">
        <f>IF(AND(Query1[[#This Row],[avg]]&gt;0, Query1[[#This Row],[Month]]&lt;&gt;H1048),
    IF(Query1[[#This Row],[Adj Close]]&gt;Query1[[#This Row],[avg]],
       Dashboard!$L$5-Dashboard!$E$6,
       Dashboard!$L$5+Dashboard!$E$6
    ), 0
)</f>
        <v>390.14066666666668</v>
      </c>
      <c r="P1049" s="2">
        <f>IF(ROW()&lt;3, Query1[[#This Row],[Shares]], IF(Query1[[#This Row],[Month]]&lt;&gt;H1048, P1048+Query1[[#This Row],[Enhanced top up]]/Query1[[#This Row],[Adj Close]], P1048))</f>
        <v>3418.7281857665785</v>
      </c>
      <c r="Q1049" s="2">
        <f>IFERROR(AVERAGE(
  IF(ROW()&gt;20, INDEX(G:G, ROW()-20), 0) :
  INDEX(G:G, ROW())
),0)</f>
        <v>404.47146170479908</v>
      </c>
    </row>
    <row r="1050" spans="1:17" x14ac:dyDescent="0.4">
      <c r="A1050" s="1">
        <v>45355</v>
      </c>
      <c r="B1050">
        <v>413.44000244140625</v>
      </c>
      <c r="C1050">
        <v>417.35000610351563</v>
      </c>
      <c r="D1050">
        <v>412.32000732421875</v>
      </c>
      <c r="E1050">
        <v>414.92001342773438</v>
      </c>
      <c r="F1050">
        <v>17596000</v>
      </c>
      <c r="G1050">
        <v>410.34713745117188</v>
      </c>
      <c r="H1050" s="2">
        <f>MONTH(Query1[[#This Row],[Date]])</f>
        <v>3</v>
      </c>
      <c r="I1050" s="3">
        <f>Query1[[#This Row],[Shares]]*Query1[[#This Row],[Adj Close]]</f>
        <v>1474089.5973764847</v>
      </c>
      <c r="J1050" s="3">
        <f>IF(ROW()&lt;3, Dashboard!$E$7, IF(Query1[[#This Row],[Month]]&lt;&gt;H1049,J1049*(1+Dashboard!$E$4)+Dashboard!$E$5,J1049))</f>
        <v>951242.27529071795</v>
      </c>
      <c r="K1050">
        <f>IF(ROW()&lt;3, 0,IF(Query1[[#This Row],[Month]]&lt;&gt;H1049,IF((J1050-I1050&gt;0),J1050-I1050,0),0))</f>
        <v>0</v>
      </c>
      <c r="L1050" s="2">
        <f t="shared" si="16"/>
        <v>3592.2989655359538</v>
      </c>
      <c r="M1050">
        <f>IF(ROW()&lt;3, 0, IF(Query1[[#This Row],[Month]]&lt;&gt;H1049, Dashboard!$J$5,0))</f>
        <v>0</v>
      </c>
      <c r="N1050" s="2">
        <f>IF(ROW()&lt;3, Query1[[#This Row],[Shares]], IF(Query1[[#This Row],[Month]]&lt;&gt;H1049, N1049+Query1[[#This Row],[Fix Top Up]]/Query1[[#This Row],[Adj Close]], N1049))</f>
        <v>3427.0331799304022</v>
      </c>
      <c r="O1050">
        <f>IF(AND(Query1[[#This Row],[avg]]&gt;0, Query1[[#This Row],[Month]]&lt;&gt;H1049),
    IF(Query1[[#This Row],[Adj Close]]&gt;Query1[[#This Row],[avg]],
       Dashboard!$L$5-Dashboard!$E$6,
       Dashboard!$L$5+Dashboard!$E$6
    ), 0
)</f>
        <v>0</v>
      </c>
      <c r="P1050" s="2">
        <f>IF(ROW()&lt;3, Query1[[#This Row],[Shares]], IF(Query1[[#This Row],[Month]]&lt;&gt;H1049, P1049+Query1[[#This Row],[Enhanced top up]]/Query1[[#This Row],[Adj Close]], P1049))</f>
        <v>3418.7281857665785</v>
      </c>
      <c r="Q1050" s="2">
        <f>IFERROR(AVERAGE(
  IF(ROW()&gt;20, INDEX(G:G, ROW()-20), 0) :
  INDEX(G:G, ROW())
),0)</f>
        <v>405.03119332449779</v>
      </c>
    </row>
    <row r="1051" spans="1:17" x14ac:dyDescent="0.4">
      <c r="A1051" s="1">
        <v>45356</v>
      </c>
      <c r="B1051">
        <v>413.95999145507813</v>
      </c>
      <c r="C1051">
        <v>414.25</v>
      </c>
      <c r="D1051">
        <v>400.6400146484375</v>
      </c>
      <c r="E1051">
        <v>402.64999389648438</v>
      </c>
      <c r="F1051">
        <v>26919200</v>
      </c>
      <c r="G1051">
        <v>398.21234130859375</v>
      </c>
      <c r="H1051" s="2">
        <f>MONTH(Query1[[#This Row],[Date]])</f>
        <v>3</v>
      </c>
      <c r="I1051" s="3">
        <f>Query1[[#This Row],[Shares]]*Query1[[#This Row],[Adj Close]]</f>
        <v>1430497.7817465116</v>
      </c>
      <c r="J1051" s="3">
        <f>IF(ROW()&lt;3, Dashboard!$E$7, IF(Query1[[#This Row],[Month]]&lt;&gt;H1050,J1050*(1+Dashboard!$E$4)+Dashboard!$E$5,J1050))</f>
        <v>951242.27529071795</v>
      </c>
      <c r="K1051">
        <f>IF(ROW()&lt;3, 0,IF(Query1[[#This Row],[Month]]&lt;&gt;H1050,IF((J1051-I1051&gt;0),J1051-I1051,0),0))</f>
        <v>0</v>
      </c>
      <c r="L1051" s="2">
        <f t="shared" si="16"/>
        <v>3592.2989655359538</v>
      </c>
      <c r="M1051">
        <f>IF(ROW()&lt;3, 0, IF(Query1[[#This Row],[Month]]&lt;&gt;H1050, Dashboard!$J$5,0))</f>
        <v>0</v>
      </c>
      <c r="N1051" s="2">
        <f>IF(ROW()&lt;3, Query1[[#This Row],[Shares]], IF(Query1[[#This Row],[Month]]&lt;&gt;H1050, N1050+Query1[[#This Row],[Fix Top Up]]/Query1[[#This Row],[Adj Close]], N1050))</f>
        <v>3427.0331799304022</v>
      </c>
      <c r="O1051">
        <f>IF(AND(Query1[[#This Row],[avg]]&gt;0, Query1[[#This Row],[Month]]&lt;&gt;H1050),
    IF(Query1[[#This Row],[Adj Close]]&gt;Query1[[#This Row],[avg]],
       Dashboard!$L$5-Dashboard!$E$6,
       Dashboard!$L$5+Dashboard!$E$6
    ), 0
)</f>
        <v>0</v>
      </c>
      <c r="P1051" s="2">
        <f>IF(ROW()&lt;3, Query1[[#This Row],[Shares]], IF(Query1[[#This Row],[Month]]&lt;&gt;H1050, P1050+Query1[[#This Row],[Enhanced top up]]/Query1[[#This Row],[Adj Close]], P1050))</f>
        <v>3418.7281857665785</v>
      </c>
      <c r="Q1051" s="2">
        <f>IFERROR(AVERAGE(
  IF(ROW()&gt;20, INDEX(G:G, ROW()-20), 0) :
  INDEX(G:G, ROW())
),0)</f>
        <v>404.66334461030505</v>
      </c>
    </row>
    <row r="1052" spans="1:17" x14ac:dyDescent="0.4">
      <c r="A1052" s="1">
        <v>45357</v>
      </c>
      <c r="B1052">
        <v>402.97000122070313</v>
      </c>
      <c r="C1052">
        <v>405.16000366210938</v>
      </c>
      <c r="D1052">
        <v>398.3900146484375</v>
      </c>
      <c r="E1052">
        <v>402.08999633789063</v>
      </c>
      <c r="F1052">
        <v>22344100</v>
      </c>
      <c r="G1052">
        <v>397.65847778320313</v>
      </c>
      <c r="H1052" s="2">
        <f>MONTH(Query1[[#This Row],[Date]])</f>
        <v>3</v>
      </c>
      <c r="I1052" s="3">
        <f>Query1[[#This Row],[Shares]]*Query1[[#This Row],[Adj Close]]</f>
        <v>1428508.1383772027</v>
      </c>
      <c r="J1052" s="3">
        <f>IF(ROW()&lt;3, Dashboard!$E$7, IF(Query1[[#This Row],[Month]]&lt;&gt;H1051,J1051*(1+Dashboard!$E$4)+Dashboard!$E$5,J1051))</f>
        <v>951242.27529071795</v>
      </c>
      <c r="K1052">
        <f>IF(ROW()&lt;3, 0,IF(Query1[[#This Row],[Month]]&lt;&gt;H1051,IF((J1052-I1052&gt;0),J1052-I1052,0),0))</f>
        <v>0</v>
      </c>
      <c r="L1052" s="2">
        <f t="shared" si="16"/>
        <v>3592.2989655359538</v>
      </c>
      <c r="M1052">
        <f>IF(ROW()&lt;3, 0, IF(Query1[[#This Row],[Month]]&lt;&gt;H1051, Dashboard!$J$5,0))</f>
        <v>0</v>
      </c>
      <c r="N1052" s="2">
        <f>IF(ROW()&lt;3, Query1[[#This Row],[Shares]], IF(Query1[[#This Row],[Month]]&lt;&gt;H1051, N1051+Query1[[#This Row],[Fix Top Up]]/Query1[[#This Row],[Adj Close]], N1051))</f>
        <v>3427.0331799304022</v>
      </c>
      <c r="O1052">
        <f>IF(AND(Query1[[#This Row],[avg]]&gt;0, Query1[[#This Row],[Month]]&lt;&gt;H1051),
    IF(Query1[[#This Row],[Adj Close]]&gt;Query1[[#This Row],[avg]],
       Dashboard!$L$5-Dashboard!$E$6,
       Dashboard!$L$5+Dashboard!$E$6
    ), 0
)</f>
        <v>0</v>
      </c>
      <c r="P1052" s="2">
        <f>IF(ROW()&lt;3, Query1[[#This Row],[Shares]], IF(Query1[[#This Row],[Month]]&lt;&gt;H1051, P1051+Query1[[#This Row],[Enhanced top up]]/Query1[[#This Row],[Adj Close]], P1051))</f>
        <v>3418.7281857665785</v>
      </c>
      <c r="Q1052" s="2">
        <f>IFERROR(AVERAGE(
  IF(ROW()&gt;20, INDEX(G:G, ROW()-20), 0) :
  INDEX(G:G, ROW())
),0)</f>
        <v>404.5309520903088</v>
      </c>
    </row>
    <row r="1053" spans="1:17" x14ac:dyDescent="0.4">
      <c r="A1053" s="1">
        <v>45358</v>
      </c>
      <c r="B1053">
        <v>406.1199951171875</v>
      </c>
      <c r="C1053">
        <v>409.77999877929688</v>
      </c>
      <c r="D1053">
        <v>402.239990234375</v>
      </c>
      <c r="E1053">
        <v>409.1400146484375</v>
      </c>
      <c r="F1053">
        <v>18718500</v>
      </c>
      <c r="G1053">
        <v>404.63082885742188</v>
      </c>
      <c r="H1053" s="2">
        <f>MONTH(Query1[[#This Row],[Date]])</f>
        <v>3</v>
      </c>
      <c r="I1053" s="3">
        <f>Query1[[#This Row],[Shares]]*Query1[[#This Row],[Adj Close]]</f>
        <v>1453554.9079284722</v>
      </c>
      <c r="J1053" s="3">
        <f>IF(ROW()&lt;3, Dashboard!$E$7, IF(Query1[[#This Row],[Month]]&lt;&gt;H1052,J1052*(1+Dashboard!$E$4)+Dashboard!$E$5,J1052))</f>
        <v>951242.27529071795</v>
      </c>
      <c r="K1053">
        <f>IF(ROW()&lt;3, 0,IF(Query1[[#This Row],[Month]]&lt;&gt;H1052,IF((J1053-I1053&gt;0),J1053-I1053,0),0))</f>
        <v>0</v>
      </c>
      <c r="L1053" s="2">
        <f t="shared" si="16"/>
        <v>3592.2989655359538</v>
      </c>
      <c r="M1053">
        <f>IF(ROW()&lt;3, 0, IF(Query1[[#This Row],[Month]]&lt;&gt;H1052, Dashboard!$J$5,0))</f>
        <v>0</v>
      </c>
      <c r="N1053" s="2">
        <f>IF(ROW()&lt;3, Query1[[#This Row],[Shares]], IF(Query1[[#This Row],[Month]]&lt;&gt;H1052, N1052+Query1[[#This Row],[Fix Top Up]]/Query1[[#This Row],[Adj Close]], N1052))</f>
        <v>3427.0331799304022</v>
      </c>
      <c r="O1053">
        <f>IF(AND(Query1[[#This Row],[avg]]&gt;0, Query1[[#This Row],[Month]]&lt;&gt;H1052),
    IF(Query1[[#This Row],[Adj Close]]&gt;Query1[[#This Row],[avg]],
       Dashboard!$L$5-Dashboard!$E$6,
       Dashboard!$L$5+Dashboard!$E$6
    ), 0
)</f>
        <v>0</v>
      </c>
      <c r="P1053" s="2">
        <f>IF(ROW()&lt;3, Query1[[#This Row],[Shares]], IF(Query1[[#This Row],[Month]]&lt;&gt;H1052, P1052+Query1[[#This Row],[Enhanced top up]]/Query1[[#This Row],[Adj Close]], P1052))</f>
        <v>3418.7281857665785</v>
      </c>
      <c r="Q1053" s="2">
        <f>IFERROR(AVERAGE(
  IF(ROW()&gt;20, INDEX(G:G, ROW()-20), 0) :
  INDEX(G:G, ROW())
),0)</f>
        <v>404.73809814453125</v>
      </c>
    </row>
    <row r="1054" spans="1:17" x14ac:dyDescent="0.4">
      <c r="A1054" s="1">
        <v>45359</v>
      </c>
      <c r="B1054">
        <v>407.95999145507813</v>
      </c>
      <c r="C1054">
        <v>410.42001342773438</v>
      </c>
      <c r="D1054">
        <v>404.32998657226563</v>
      </c>
      <c r="E1054">
        <v>406.22000122070313</v>
      </c>
      <c r="F1054">
        <v>18002200</v>
      </c>
      <c r="G1054">
        <v>401.74295043945313</v>
      </c>
      <c r="H1054" s="2">
        <f>MONTH(Query1[[#This Row],[Date]])</f>
        <v>3</v>
      </c>
      <c r="I1054" s="3">
        <f>Query1[[#This Row],[Shares]]*Query1[[#This Row],[Adj Close]]</f>
        <v>1443180.7852750095</v>
      </c>
      <c r="J1054" s="3">
        <f>IF(ROW()&lt;3, Dashboard!$E$7, IF(Query1[[#This Row],[Month]]&lt;&gt;H1053,J1053*(1+Dashboard!$E$4)+Dashboard!$E$5,J1053))</f>
        <v>951242.27529071795</v>
      </c>
      <c r="K1054">
        <f>IF(ROW()&lt;3, 0,IF(Query1[[#This Row],[Month]]&lt;&gt;H1053,IF((J1054-I1054&gt;0),J1054-I1054,0),0))</f>
        <v>0</v>
      </c>
      <c r="L1054" s="2">
        <f t="shared" si="16"/>
        <v>3592.2989655359538</v>
      </c>
      <c r="M1054">
        <f>IF(ROW()&lt;3, 0, IF(Query1[[#This Row],[Month]]&lt;&gt;H1053, Dashboard!$J$5,0))</f>
        <v>0</v>
      </c>
      <c r="N1054" s="2">
        <f>IF(ROW()&lt;3, Query1[[#This Row],[Shares]], IF(Query1[[#This Row],[Month]]&lt;&gt;H1053, N1053+Query1[[#This Row],[Fix Top Up]]/Query1[[#This Row],[Adj Close]], N1053))</f>
        <v>3427.0331799304022</v>
      </c>
      <c r="O1054">
        <f>IF(AND(Query1[[#This Row],[avg]]&gt;0, Query1[[#This Row],[Month]]&lt;&gt;H1053),
    IF(Query1[[#This Row],[Adj Close]]&gt;Query1[[#This Row],[avg]],
       Dashboard!$L$5-Dashboard!$E$6,
       Dashboard!$L$5+Dashboard!$E$6
    ), 0
)</f>
        <v>0</v>
      </c>
      <c r="P1054" s="2">
        <f>IF(ROW()&lt;3, Query1[[#This Row],[Shares]], IF(Query1[[#This Row],[Month]]&lt;&gt;H1053, P1053+Query1[[#This Row],[Enhanced top up]]/Query1[[#This Row],[Adj Close]], P1053))</f>
        <v>3418.7281857665785</v>
      </c>
      <c r="Q1054" s="2">
        <f>IFERROR(AVERAGE(
  IF(ROW()&gt;20, INDEX(G:G, ROW()-20), 0) :
  INDEX(G:G, ROW())
),0)</f>
        <v>404.40534319196428</v>
      </c>
    </row>
    <row r="1055" spans="1:17" x14ac:dyDescent="0.4">
      <c r="A1055" s="1">
        <v>45362</v>
      </c>
      <c r="B1055">
        <v>403.760009765625</v>
      </c>
      <c r="C1055">
        <v>405.67999267578125</v>
      </c>
      <c r="D1055">
        <v>401.260009765625</v>
      </c>
      <c r="E1055">
        <v>404.51998901367188</v>
      </c>
      <c r="F1055">
        <v>16120800</v>
      </c>
      <c r="G1055">
        <v>400.06170654296875</v>
      </c>
      <c r="H1055" s="2">
        <f>MONTH(Query1[[#This Row],[Date]])</f>
        <v>3</v>
      </c>
      <c r="I1055" s="3">
        <f>Query1[[#This Row],[Shares]]*Query1[[#This Row],[Adj Close]]</f>
        <v>1437141.254564855</v>
      </c>
      <c r="J1055" s="3">
        <f>IF(ROW()&lt;3, Dashboard!$E$7, IF(Query1[[#This Row],[Month]]&lt;&gt;H1054,J1054*(1+Dashboard!$E$4)+Dashboard!$E$5,J1054))</f>
        <v>951242.27529071795</v>
      </c>
      <c r="K1055">
        <f>IF(ROW()&lt;3, 0,IF(Query1[[#This Row],[Month]]&lt;&gt;H1054,IF((J1055-I1055&gt;0),J1055-I1055,0),0))</f>
        <v>0</v>
      </c>
      <c r="L1055" s="2">
        <f t="shared" si="16"/>
        <v>3592.2989655359538</v>
      </c>
      <c r="M1055">
        <f>IF(ROW()&lt;3, 0, IF(Query1[[#This Row],[Month]]&lt;&gt;H1054, Dashboard!$J$5,0))</f>
        <v>0</v>
      </c>
      <c r="N1055" s="2">
        <f>IF(ROW()&lt;3, Query1[[#This Row],[Shares]], IF(Query1[[#This Row],[Month]]&lt;&gt;H1054, N1054+Query1[[#This Row],[Fix Top Up]]/Query1[[#This Row],[Adj Close]], N1054))</f>
        <v>3427.0331799304022</v>
      </c>
      <c r="O1055">
        <f>IF(AND(Query1[[#This Row],[avg]]&gt;0, Query1[[#This Row],[Month]]&lt;&gt;H1054),
    IF(Query1[[#This Row],[Adj Close]]&gt;Query1[[#This Row],[avg]],
       Dashboard!$L$5-Dashboard!$E$6,
       Dashboard!$L$5+Dashboard!$E$6
    ), 0
)</f>
        <v>0</v>
      </c>
      <c r="P1055" s="2">
        <f>IF(ROW()&lt;3, Query1[[#This Row],[Shares]], IF(Query1[[#This Row],[Month]]&lt;&gt;H1054, P1054+Query1[[#This Row],[Enhanced top up]]/Query1[[#This Row],[Adj Close]], P1054))</f>
        <v>3418.7281857665785</v>
      </c>
      <c r="Q1055" s="2">
        <f>IFERROR(AVERAGE(
  IF(ROW()&gt;20, INDEX(G:G, ROW()-20), 0) :
  INDEX(G:G, ROW())
),0)</f>
        <v>403.98970831008182</v>
      </c>
    </row>
    <row r="1056" spans="1:17" x14ac:dyDescent="0.4">
      <c r="A1056" s="1">
        <v>45363</v>
      </c>
      <c r="B1056">
        <v>407.6199951171875</v>
      </c>
      <c r="C1056">
        <v>415.57000732421875</v>
      </c>
      <c r="D1056">
        <v>406.79000854492188</v>
      </c>
      <c r="E1056">
        <v>415.27999877929688</v>
      </c>
      <c r="F1056">
        <v>22457000</v>
      </c>
      <c r="G1056">
        <v>410.70309448242188</v>
      </c>
      <c r="H1056" s="2">
        <f>MONTH(Query1[[#This Row],[Date]])</f>
        <v>3</v>
      </c>
      <c r="I1056" s="3">
        <f>Query1[[#This Row],[Shares]]*Query1[[#This Row],[Adj Close]]</f>
        <v>1475368.3014516192</v>
      </c>
      <c r="J1056" s="3">
        <f>IF(ROW()&lt;3, Dashboard!$E$7, IF(Query1[[#This Row],[Month]]&lt;&gt;H1055,J1055*(1+Dashboard!$E$4)+Dashboard!$E$5,J1055))</f>
        <v>951242.27529071795</v>
      </c>
      <c r="K1056">
        <f>IF(ROW()&lt;3, 0,IF(Query1[[#This Row],[Month]]&lt;&gt;H1055,IF((J1056-I1056&gt;0),J1056-I1056,0),0))</f>
        <v>0</v>
      </c>
      <c r="L1056" s="2">
        <f t="shared" si="16"/>
        <v>3592.2989655359538</v>
      </c>
      <c r="M1056">
        <f>IF(ROW()&lt;3, 0, IF(Query1[[#This Row],[Month]]&lt;&gt;H1055, Dashboard!$J$5,0))</f>
        <v>0</v>
      </c>
      <c r="N1056" s="2">
        <f>IF(ROW()&lt;3, Query1[[#This Row],[Shares]], IF(Query1[[#This Row],[Month]]&lt;&gt;H1055, N1055+Query1[[#This Row],[Fix Top Up]]/Query1[[#This Row],[Adj Close]], N1055))</f>
        <v>3427.0331799304022</v>
      </c>
      <c r="O1056">
        <f>IF(AND(Query1[[#This Row],[avg]]&gt;0, Query1[[#This Row],[Month]]&lt;&gt;H1055),
    IF(Query1[[#This Row],[Adj Close]]&gt;Query1[[#This Row],[avg]],
       Dashboard!$L$5-Dashboard!$E$6,
       Dashboard!$L$5+Dashboard!$E$6
    ), 0
)</f>
        <v>0</v>
      </c>
      <c r="P1056" s="2">
        <f>IF(ROW()&lt;3, Query1[[#This Row],[Shares]], IF(Query1[[#This Row],[Month]]&lt;&gt;H1055, P1055+Query1[[#This Row],[Enhanced top up]]/Query1[[#This Row],[Adj Close]], P1055))</f>
        <v>3418.7281857665785</v>
      </c>
      <c r="Q1056" s="2">
        <f>IFERROR(AVERAGE(
  IF(ROW()&gt;20, INDEX(G:G, ROW()-20), 0) :
  INDEX(G:G, ROW())
),0)</f>
        <v>403.77807762509303</v>
      </c>
    </row>
    <row r="1057" spans="1:17" x14ac:dyDescent="0.4">
      <c r="A1057" s="1">
        <v>45364</v>
      </c>
      <c r="B1057">
        <v>418.10000610351563</v>
      </c>
      <c r="C1057">
        <v>418.17999267578125</v>
      </c>
      <c r="D1057">
        <v>411.45001220703125</v>
      </c>
      <c r="E1057">
        <v>415.10000610351563</v>
      </c>
      <c r="F1057">
        <v>17115900</v>
      </c>
      <c r="G1057">
        <v>410.52511596679688</v>
      </c>
      <c r="H1057" s="2">
        <f>MONTH(Query1[[#This Row],[Date]])</f>
        <v>3</v>
      </c>
      <c r="I1057" s="3">
        <f>Query1[[#This Row],[Shares]]*Query1[[#This Row],[Adj Close]]</f>
        <v>1474728.9494140518</v>
      </c>
      <c r="J1057" s="3">
        <f>IF(ROW()&lt;3, Dashboard!$E$7, IF(Query1[[#This Row],[Month]]&lt;&gt;H1056,J1056*(1+Dashboard!$E$4)+Dashboard!$E$5,J1056))</f>
        <v>951242.27529071795</v>
      </c>
      <c r="K1057">
        <f>IF(ROW()&lt;3, 0,IF(Query1[[#This Row],[Month]]&lt;&gt;H1056,IF((J1057-I1057&gt;0),J1057-I1057,0),0))</f>
        <v>0</v>
      </c>
      <c r="L1057" s="2">
        <f t="shared" si="16"/>
        <v>3592.2989655359538</v>
      </c>
      <c r="M1057">
        <f>IF(ROW()&lt;3, 0, IF(Query1[[#This Row],[Month]]&lt;&gt;H1056, Dashboard!$J$5,0))</f>
        <v>0</v>
      </c>
      <c r="N1057" s="2">
        <f>IF(ROW()&lt;3, Query1[[#This Row],[Shares]], IF(Query1[[#This Row],[Month]]&lt;&gt;H1056, N1056+Query1[[#This Row],[Fix Top Up]]/Query1[[#This Row],[Adj Close]], N1056))</f>
        <v>3427.0331799304022</v>
      </c>
      <c r="O1057">
        <f>IF(AND(Query1[[#This Row],[avg]]&gt;0, Query1[[#This Row],[Month]]&lt;&gt;H1056),
    IF(Query1[[#This Row],[Adj Close]]&gt;Query1[[#This Row],[avg]],
       Dashboard!$L$5-Dashboard!$E$6,
       Dashboard!$L$5+Dashboard!$E$6
    ), 0
)</f>
        <v>0</v>
      </c>
      <c r="P1057" s="2">
        <f>IF(ROW()&lt;3, Query1[[#This Row],[Shares]], IF(Query1[[#This Row],[Month]]&lt;&gt;H1056, P1056+Query1[[#This Row],[Enhanced top up]]/Query1[[#This Row],[Adj Close]], P1056))</f>
        <v>3418.7281857665785</v>
      </c>
      <c r="Q1057" s="2">
        <f>IFERROR(AVERAGE(
  IF(ROW()&gt;20, INDEX(G:G, ROW()-20), 0) :
  INDEX(G:G, ROW())
),0)</f>
        <v>403.806640625</v>
      </c>
    </row>
    <row r="1058" spans="1:17" x14ac:dyDescent="0.4">
      <c r="A1058" s="1">
        <v>45365</v>
      </c>
      <c r="B1058">
        <v>420.239990234375</v>
      </c>
      <c r="C1058">
        <v>427.82000732421875</v>
      </c>
      <c r="D1058">
        <v>417.989990234375</v>
      </c>
      <c r="E1058">
        <v>425.22000122070313</v>
      </c>
      <c r="F1058">
        <v>34157300</v>
      </c>
      <c r="G1058">
        <v>420.53359985351563</v>
      </c>
      <c r="H1058" s="2">
        <f>MONTH(Query1[[#This Row],[Date]])</f>
        <v>3</v>
      </c>
      <c r="I1058" s="3">
        <f>Query1[[#This Row],[Shares]]*Query1[[#This Row],[Adj Close]]</f>
        <v>1510682.415726895</v>
      </c>
      <c r="J1058" s="3">
        <f>IF(ROW()&lt;3, Dashboard!$E$7, IF(Query1[[#This Row],[Month]]&lt;&gt;H1057,J1057*(1+Dashboard!$E$4)+Dashboard!$E$5,J1057))</f>
        <v>951242.27529071795</v>
      </c>
      <c r="K1058">
        <f>IF(ROW()&lt;3, 0,IF(Query1[[#This Row],[Month]]&lt;&gt;H1057,IF((J1058-I1058&gt;0),J1058-I1058,0),0))</f>
        <v>0</v>
      </c>
      <c r="L1058" s="2">
        <f t="shared" si="16"/>
        <v>3592.2989655359538</v>
      </c>
      <c r="M1058">
        <f>IF(ROW()&lt;3, 0, IF(Query1[[#This Row],[Month]]&lt;&gt;H1057, Dashboard!$J$5,0))</f>
        <v>0</v>
      </c>
      <c r="N1058" s="2">
        <f>IF(ROW()&lt;3, Query1[[#This Row],[Shares]], IF(Query1[[#This Row],[Month]]&lt;&gt;H1057, N1057+Query1[[#This Row],[Fix Top Up]]/Query1[[#This Row],[Adj Close]], N1057))</f>
        <v>3427.0331799304022</v>
      </c>
      <c r="O1058">
        <f>IF(AND(Query1[[#This Row],[avg]]&gt;0, Query1[[#This Row],[Month]]&lt;&gt;H1057),
    IF(Query1[[#This Row],[Adj Close]]&gt;Query1[[#This Row],[avg]],
       Dashboard!$L$5-Dashboard!$E$6,
       Dashboard!$L$5+Dashboard!$E$6
    ), 0
)</f>
        <v>0</v>
      </c>
      <c r="P1058" s="2">
        <f>IF(ROW()&lt;3, Query1[[#This Row],[Shares]], IF(Query1[[#This Row],[Month]]&lt;&gt;H1057, P1057+Query1[[#This Row],[Enhanced top up]]/Query1[[#This Row],[Adj Close]], P1057))</f>
        <v>3418.7281857665785</v>
      </c>
      <c r="Q1058" s="2">
        <f>IFERROR(AVERAGE(
  IF(ROW()&gt;20, INDEX(G:G, ROW()-20), 0) :
  INDEX(G:G, ROW())
),0)</f>
        <v>404.73204403831846</v>
      </c>
    </row>
    <row r="1059" spans="1:17" x14ac:dyDescent="0.4">
      <c r="A1059" s="1">
        <v>45366</v>
      </c>
      <c r="B1059">
        <v>419.29000854492188</v>
      </c>
      <c r="C1059">
        <v>422.60000610351563</v>
      </c>
      <c r="D1059">
        <v>412.79000854492188</v>
      </c>
      <c r="E1059">
        <v>416.42001342773438</v>
      </c>
      <c r="F1059">
        <v>45079900</v>
      </c>
      <c r="G1059">
        <v>411.83059692382813</v>
      </c>
      <c r="H1059" s="2">
        <f>MONTH(Query1[[#This Row],[Date]])</f>
        <v>3</v>
      </c>
      <c r="I1059" s="3">
        <f>Query1[[#This Row],[Shares]]*Query1[[#This Row],[Adj Close]]</f>
        <v>1479418.6273055221</v>
      </c>
      <c r="J1059" s="3">
        <f>IF(ROW()&lt;3, Dashboard!$E$7, IF(Query1[[#This Row],[Month]]&lt;&gt;H1058,J1058*(1+Dashboard!$E$4)+Dashboard!$E$5,J1058))</f>
        <v>951242.27529071795</v>
      </c>
      <c r="K1059">
        <f>IF(ROW()&lt;3, 0,IF(Query1[[#This Row],[Month]]&lt;&gt;H1058,IF((J1059-I1059&gt;0),J1059-I1059,0),0))</f>
        <v>0</v>
      </c>
      <c r="L1059" s="2">
        <f t="shared" si="16"/>
        <v>3592.2989655359538</v>
      </c>
      <c r="M1059">
        <f>IF(ROW()&lt;3, 0, IF(Query1[[#This Row],[Month]]&lt;&gt;H1058, Dashboard!$J$5,0))</f>
        <v>0</v>
      </c>
      <c r="N1059" s="2">
        <f>IF(ROW()&lt;3, Query1[[#This Row],[Shares]], IF(Query1[[#This Row],[Month]]&lt;&gt;H1058, N1058+Query1[[#This Row],[Fix Top Up]]/Query1[[#This Row],[Adj Close]], N1058))</f>
        <v>3427.0331799304022</v>
      </c>
      <c r="O1059">
        <f>IF(AND(Query1[[#This Row],[avg]]&gt;0, Query1[[#This Row],[Month]]&lt;&gt;H1058),
    IF(Query1[[#This Row],[Adj Close]]&gt;Query1[[#This Row],[avg]],
       Dashboard!$L$5-Dashboard!$E$6,
       Dashboard!$L$5+Dashboard!$E$6
    ), 0
)</f>
        <v>0</v>
      </c>
      <c r="P1059" s="2">
        <f>IF(ROW()&lt;3, Query1[[#This Row],[Shares]], IF(Query1[[#This Row],[Month]]&lt;&gt;H1058, P1058+Query1[[#This Row],[Enhanced top up]]/Query1[[#This Row],[Adj Close]], P1058))</f>
        <v>3418.7281857665785</v>
      </c>
      <c r="Q1059" s="2">
        <f>IFERROR(AVERAGE(
  IF(ROW()&gt;20, INDEX(G:G, ROW()-20), 0) :
  INDEX(G:G, ROW())
),0)</f>
        <v>405.05841064453125</v>
      </c>
    </row>
    <row r="1060" spans="1:17" x14ac:dyDescent="0.4">
      <c r="A1060" s="1">
        <v>45369</v>
      </c>
      <c r="B1060">
        <v>414.25</v>
      </c>
      <c r="C1060">
        <v>420.73001098632813</v>
      </c>
      <c r="D1060">
        <v>413.77999877929688</v>
      </c>
      <c r="E1060">
        <v>417.32000732421875</v>
      </c>
      <c r="F1060">
        <v>20106000</v>
      </c>
      <c r="G1060">
        <v>412.72064208984375</v>
      </c>
      <c r="H1060" s="2">
        <f>MONTH(Query1[[#This Row],[Date]])</f>
        <v>3</v>
      </c>
      <c r="I1060" s="3">
        <f>Query1[[#This Row],[Shares]]*Query1[[#This Row],[Adj Close]]</f>
        <v>1482615.9356346803</v>
      </c>
      <c r="J1060" s="3">
        <f>IF(ROW()&lt;3, Dashboard!$E$7, IF(Query1[[#This Row],[Month]]&lt;&gt;H1059,J1059*(1+Dashboard!$E$4)+Dashboard!$E$5,J1059))</f>
        <v>951242.27529071795</v>
      </c>
      <c r="K1060">
        <f>IF(ROW()&lt;3, 0,IF(Query1[[#This Row],[Month]]&lt;&gt;H1059,IF((J1060-I1060&gt;0),J1060-I1060,0),0))</f>
        <v>0</v>
      </c>
      <c r="L1060" s="2">
        <f t="shared" si="16"/>
        <v>3592.2989655359538</v>
      </c>
      <c r="M1060">
        <f>IF(ROW()&lt;3, 0, IF(Query1[[#This Row],[Month]]&lt;&gt;H1059, Dashboard!$J$5,0))</f>
        <v>0</v>
      </c>
      <c r="N1060" s="2">
        <f>IF(ROW()&lt;3, Query1[[#This Row],[Shares]], IF(Query1[[#This Row],[Month]]&lt;&gt;H1059, N1059+Query1[[#This Row],[Fix Top Up]]/Query1[[#This Row],[Adj Close]], N1059))</f>
        <v>3427.0331799304022</v>
      </c>
      <c r="O1060">
        <f>IF(AND(Query1[[#This Row],[avg]]&gt;0, Query1[[#This Row],[Month]]&lt;&gt;H1059),
    IF(Query1[[#This Row],[Adj Close]]&gt;Query1[[#This Row],[avg]],
       Dashboard!$L$5-Dashboard!$E$6,
       Dashboard!$L$5+Dashboard!$E$6
    ), 0
)</f>
        <v>0</v>
      </c>
      <c r="P1060" s="2">
        <f>IF(ROW()&lt;3, Query1[[#This Row],[Shares]], IF(Query1[[#This Row],[Month]]&lt;&gt;H1059, P1059+Query1[[#This Row],[Enhanced top up]]/Query1[[#This Row],[Adj Close]], P1059))</f>
        <v>3418.7281857665785</v>
      </c>
      <c r="Q1060" s="2">
        <f>IFERROR(AVERAGE(
  IF(ROW()&gt;20, INDEX(G:G, ROW()-20), 0) :
  INDEX(G:G, ROW())
),0)</f>
        <v>405.56514485677081</v>
      </c>
    </row>
    <row r="1061" spans="1:17" x14ac:dyDescent="0.4">
      <c r="A1061" s="1">
        <v>45370</v>
      </c>
      <c r="B1061">
        <v>417.82998657226563</v>
      </c>
      <c r="C1061">
        <v>421.67001342773438</v>
      </c>
      <c r="D1061">
        <v>415.54998779296875</v>
      </c>
      <c r="E1061">
        <v>421.41000366210938</v>
      </c>
      <c r="F1061">
        <v>19837900</v>
      </c>
      <c r="G1061">
        <v>416.76556396484375</v>
      </c>
      <c r="H1061" s="2">
        <f>MONTH(Query1[[#This Row],[Date]])</f>
        <v>3</v>
      </c>
      <c r="I1061" s="3">
        <f>Query1[[#This Row],[Shares]]*Query1[[#This Row],[Adj Close]]</f>
        <v>1497146.5043019166</v>
      </c>
      <c r="J1061" s="3">
        <f>IF(ROW()&lt;3, Dashboard!$E$7, IF(Query1[[#This Row],[Month]]&lt;&gt;H1060,J1060*(1+Dashboard!$E$4)+Dashboard!$E$5,J1060))</f>
        <v>951242.27529071795</v>
      </c>
      <c r="K1061">
        <f>IF(ROW()&lt;3, 0,IF(Query1[[#This Row],[Month]]&lt;&gt;H1060,IF((J1061-I1061&gt;0),J1061-I1061,0),0))</f>
        <v>0</v>
      </c>
      <c r="L1061" s="2">
        <f t="shared" si="16"/>
        <v>3592.2989655359538</v>
      </c>
      <c r="M1061">
        <f>IF(ROW()&lt;3, 0, IF(Query1[[#This Row],[Month]]&lt;&gt;H1060, Dashboard!$J$5,0))</f>
        <v>0</v>
      </c>
      <c r="N1061" s="2">
        <f>IF(ROW()&lt;3, Query1[[#This Row],[Shares]], IF(Query1[[#This Row],[Month]]&lt;&gt;H1060, N1060+Query1[[#This Row],[Fix Top Up]]/Query1[[#This Row],[Adj Close]], N1060))</f>
        <v>3427.0331799304022</v>
      </c>
      <c r="O1061">
        <f>IF(AND(Query1[[#This Row],[avg]]&gt;0, Query1[[#This Row],[Month]]&lt;&gt;H1060),
    IF(Query1[[#This Row],[Adj Close]]&gt;Query1[[#This Row],[avg]],
       Dashboard!$L$5-Dashboard!$E$6,
       Dashboard!$L$5+Dashboard!$E$6
    ), 0
)</f>
        <v>0</v>
      </c>
      <c r="P1061" s="2">
        <f>IF(ROW()&lt;3, Query1[[#This Row],[Shares]], IF(Query1[[#This Row],[Month]]&lt;&gt;H1060, P1060+Query1[[#This Row],[Enhanced top up]]/Query1[[#This Row],[Adj Close]], P1060))</f>
        <v>3418.7281857665785</v>
      </c>
      <c r="Q1061" s="2">
        <f>IFERROR(AVERAGE(
  IF(ROW()&gt;20, INDEX(G:G, ROW()-20), 0) :
  INDEX(G:G, ROW())
),0)</f>
        <v>406.38223121279759</v>
      </c>
    </row>
    <row r="1062" spans="1:17" x14ac:dyDescent="0.4">
      <c r="A1062" s="1">
        <v>45371</v>
      </c>
      <c r="B1062">
        <v>422</v>
      </c>
      <c r="C1062">
        <v>425.95999145507813</v>
      </c>
      <c r="D1062">
        <v>420.66000366210938</v>
      </c>
      <c r="E1062">
        <v>425.23001098632813</v>
      </c>
      <c r="F1062">
        <v>17860100</v>
      </c>
      <c r="G1062">
        <v>420.54345703125</v>
      </c>
      <c r="H1062" s="2">
        <f>MONTH(Query1[[#This Row],[Date]])</f>
        <v>3</v>
      </c>
      <c r="I1062" s="3">
        <f>Query1[[#This Row],[Shares]]*Query1[[#This Row],[Adj Close]]</f>
        <v>1510717.8256562732</v>
      </c>
      <c r="J1062" s="3">
        <f>IF(ROW()&lt;3, Dashboard!$E$7, IF(Query1[[#This Row],[Month]]&lt;&gt;H1061,J1061*(1+Dashboard!$E$4)+Dashboard!$E$5,J1061))</f>
        <v>951242.27529071795</v>
      </c>
      <c r="K1062">
        <f>IF(ROW()&lt;3, 0,IF(Query1[[#This Row],[Month]]&lt;&gt;H1061,IF((J1062-I1062&gt;0),J1062-I1062,0),0))</f>
        <v>0</v>
      </c>
      <c r="L1062" s="2">
        <f t="shared" si="16"/>
        <v>3592.2989655359538</v>
      </c>
      <c r="M1062">
        <f>IF(ROW()&lt;3, 0, IF(Query1[[#This Row],[Month]]&lt;&gt;H1061, Dashboard!$J$5,0))</f>
        <v>0</v>
      </c>
      <c r="N1062" s="2">
        <f>IF(ROW()&lt;3, Query1[[#This Row],[Shares]], IF(Query1[[#This Row],[Month]]&lt;&gt;H1061, N1061+Query1[[#This Row],[Fix Top Up]]/Query1[[#This Row],[Adj Close]], N1061))</f>
        <v>3427.0331799304022</v>
      </c>
      <c r="O1062">
        <f>IF(AND(Query1[[#This Row],[avg]]&gt;0, Query1[[#This Row],[Month]]&lt;&gt;H1061),
    IF(Query1[[#This Row],[Adj Close]]&gt;Query1[[#This Row],[avg]],
       Dashboard!$L$5-Dashboard!$E$6,
       Dashboard!$L$5+Dashboard!$E$6
    ), 0
)</f>
        <v>0</v>
      </c>
      <c r="P1062" s="2">
        <f>IF(ROW()&lt;3, Query1[[#This Row],[Shares]], IF(Query1[[#This Row],[Month]]&lt;&gt;H1061, P1061+Query1[[#This Row],[Enhanced top up]]/Query1[[#This Row],[Adj Close]], P1061))</f>
        <v>3418.7281857665785</v>
      </c>
      <c r="Q1062" s="2">
        <f>IFERROR(AVERAGE(
  IF(ROW()&gt;20, INDEX(G:G, ROW()-20), 0) :
  INDEX(G:G, ROW())
),0)</f>
        <v>407.43902587890625</v>
      </c>
    </row>
    <row r="1063" spans="1:17" x14ac:dyDescent="0.4">
      <c r="A1063" s="1">
        <v>45372</v>
      </c>
      <c r="B1063">
        <v>429.82998657226563</v>
      </c>
      <c r="C1063">
        <v>430.82000732421875</v>
      </c>
      <c r="D1063">
        <v>427.16000366210938</v>
      </c>
      <c r="E1063">
        <v>429.3699951171875</v>
      </c>
      <c r="F1063">
        <v>21296200</v>
      </c>
      <c r="G1063">
        <v>424.63775634765625</v>
      </c>
      <c r="H1063" s="2">
        <f>MONTH(Query1[[#This Row],[Date]])</f>
        <v>3</v>
      </c>
      <c r="I1063" s="3">
        <f>Query1[[#This Row],[Shares]]*Query1[[#This Row],[Adj Close]]</f>
        <v>1525425.7728551941</v>
      </c>
      <c r="J1063" s="3">
        <f>IF(ROW()&lt;3, Dashboard!$E$7, IF(Query1[[#This Row],[Month]]&lt;&gt;H1062,J1062*(1+Dashboard!$E$4)+Dashboard!$E$5,J1062))</f>
        <v>951242.27529071795</v>
      </c>
      <c r="K1063">
        <f>IF(ROW()&lt;3, 0,IF(Query1[[#This Row],[Month]]&lt;&gt;H1062,IF((J1063-I1063&gt;0),J1063-I1063,0),0))</f>
        <v>0</v>
      </c>
      <c r="L1063" s="2">
        <f t="shared" si="16"/>
        <v>3592.2989655359538</v>
      </c>
      <c r="M1063">
        <f>IF(ROW()&lt;3, 0, IF(Query1[[#This Row],[Month]]&lt;&gt;H1062, Dashboard!$J$5,0))</f>
        <v>0</v>
      </c>
      <c r="N1063" s="2">
        <f>IF(ROW()&lt;3, Query1[[#This Row],[Shares]], IF(Query1[[#This Row],[Month]]&lt;&gt;H1062, N1062+Query1[[#This Row],[Fix Top Up]]/Query1[[#This Row],[Adj Close]], N1062))</f>
        <v>3427.0331799304022</v>
      </c>
      <c r="O1063">
        <f>IF(AND(Query1[[#This Row],[avg]]&gt;0, Query1[[#This Row],[Month]]&lt;&gt;H1062),
    IF(Query1[[#This Row],[Adj Close]]&gt;Query1[[#This Row],[avg]],
       Dashboard!$L$5-Dashboard!$E$6,
       Dashboard!$L$5+Dashboard!$E$6
    ), 0
)</f>
        <v>0</v>
      </c>
      <c r="P1063" s="2">
        <f>IF(ROW()&lt;3, Query1[[#This Row],[Shares]], IF(Query1[[#This Row],[Month]]&lt;&gt;H1062, P1062+Query1[[#This Row],[Enhanced top up]]/Query1[[#This Row],[Adj Close]], P1062))</f>
        <v>3418.7281857665785</v>
      </c>
      <c r="Q1063" s="2">
        <f>IFERROR(AVERAGE(
  IF(ROW()&gt;20, INDEX(G:G, ROW()-20), 0) :
  INDEX(G:G, ROW())
),0)</f>
        <v>408.71951584588913</v>
      </c>
    </row>
    <row r="1064" spans="1:17" x14ac:dyDescent="0.4">
      <c r="A1064" s="1">
        <v>45373</v>
      </c>
      <c r="B1064">
        <v>429.70001220703125</v>
      </c>
      <c r="C1064">
        <v>429.8599853515625</v>
      </c>
      <c r="D1064">
        <v>426.07000732421875</v>
      </c>
      <c r="E1064">
        <v>428.739990234375</v>
      </c>
      <c r="F1064">
        <v>17648500</v>
      </c>
      <c r="G1064">
        <v>424.01480102539063</v>
      </c>
      <c r="H1064" s="2">
        <f>MONTH(Query1[[#This Row],[Date]])</f>
        <v>3</v>
      </c>
      <c r="I1064" s="3">
        <f>Query1[[#This Row],[Shares]]*Query1[[#This Row],[Adj Close]]</f>
        <v>1523187.9310954441</v>
      </c>
      <c r="J1064" s="3">
        <f>IF(ROW()&lt;3, Dashboard!$E$7, IF(Query1[[#This Row],[Month]]&lt;&gt;H1063,J1063*(1+Dashboard!$E$4)+Dashboard!$E$5,J1063))</f>
        <v>951242.27529071795</v>
      </c>
      <c r="K1064">
        <f>IF(ROW()&lt;3, 0,IF(Query1[[#This Row],[Month]]&lt;&gt;H1063,IF((J1064-I1064&gt;0),J1064-I1064,0),0))</f>
        <v>0</v>
      </c>
      <c r="L1064" s="2">
        <f t="shared" si="16"/>
        <v>3592.2989655359538</v>
      </c>
      <c r="M1064">
        <f>IF(ROW()&lt;3, 0, IF(Query1[[#This Row],[Month]]&lt;&gt;H1063, Dashboard!$J$5,0))</f>
        <v>0</v>
      </c>
      <c r="N1064" s="2">
        <f>IF(ROW()&lt;3, Query1[[#This Row],[Shares]], IF(Query1[[#This Row],[Month]]&lt;&gt;H1063, N1063+Query1[[#This Row],[Fix Top Up]]/Query1[[#This Row],[Adj Close]], N1063))</f>
        <v>3427.0331799304022</v>
      </c>
      <c r="O1064">
        <f>IF(AND(Query1[[#This Row],[avg]]&gt;0, Query1[[#This Row],[Month]]&lt;&gt;H1063),
    IF(Query1[[#This Row],[Adj Close]]&gt;Query1[[#This Row],[avg]],
       Dashboard!$L$5-Dashboard!$E$6,
       Dashboard!$L$5+Dashboard!$E$6
    ), 0
)</f>
        <v>0</v>
      </c>
      <c r="P1064" s="2">
        <f>IF(ROW()&lt;3, Query1[[#This Row],[Shares]], IF(Query1[[#This Row],[Month]]&lt;&gt;H1063, P1063+Query1[[#This Row],[Enhanced top up]]/Query1[[#This Row],[Adj Close]], P1063))</f>
        <v>3418.7281857665785</v>
      </c>
      <c r="Q1064" s="2">
        <f>IFERROR(AVERAGE(
  IF(ROW()&gt;20, INDEX(G:G, ROW()-20), 0) :
  INDEX(G:G, ROW())
),0)</f>
        <v>409.52435884021577</v>
      </c>
    </row>
    <row r="1065" spans="1:17" x14ac:dyDescent="0.4">
      <c r="A1065" s="1">
        <v>45376</v>
      </c>
      <c r="B1065">
        <v>425.239990234375</v>
      </c>
      <c r="C1065">
        <v>427.41000366210938</v>
      </c>
      <c r="D1065">
        <v>421.6099853515625</v>
      </c>
      <c r="E1065">
        <v>422.8599853515625</v>
      </c>
      <c r="F1065">
        <v>18060500</v>
      </c>
      <c r="G1065">
        <v>418.1995849609375</v>
      </c>
      <c r="H1065" s="2">
        <f>MONTH(Query1[[#This Row],[Date]])</f>
        <v>3</v>
      </c>
      <c r="I1065" s="3">
        <f>Query1[[#This Row],[Shares]]*Query1[[#This Row],[Adj Close]]</f>
        <v>1502297.936442741</v>
      </c>
      <c r="J1065" s="3">
        <f>IF(ROW()&lt;3, Dashboard!$E$7, IF(Query1[[#This Row],[Month]]&lt;&gt;H1064,J1064*(1+Dashboard!$E$4)+Dashboard!$E$5,J1064))</f>
        <v>951242.27529071795</v>
      </c>
      <c r="K1065">
        <f>IF(ROW()&lt;3, 0,IF(Query1[[#This Row],[Month]]&lt;&gt;H1064,IF((J1065-I1065&gt;0),J1065-I1065,0),0))</f>
        <v>0</v>
      </c>
      <c r="L1065" s="2">
        <f t="shared" si="16"/>
        <v>3592.2989655359538</v>
      </c>
      <c r="M1065">
        <f>IF(ROW()&lt;3, 0, IF(Query1[[#This Row],[Month]]&lt;&gt;H1064, Dashboard!$J$5,0))</f>
        <v>0</v>
      </c>
      <c r="N1065" s="2">
        <f>IF(ROW()&lt;3, Query1[[#This Row],[Shares]], IF(Query1[[#This Row],[Month]]&lt;&gt;H1064, N1064+Query1[[#This Row],[Fix Top Up]]/Query1[[#This Row],[Adj Close]], N1064))</f>
        <v>3427.0331799304022</v>
      </c>
      <c r="O1065">
        <f>IF(AND(Query1[[#This Row],[avg]]&gt;0, Query1[[#This Row],[Month]]&lt;&gt;H1064),
    IF(Query1[[#This Row],[Adj Close]]&gt;Query1[[#This Row],[avg]],
       Dashboard!$L$5-Dashboard!$E$6,
       Dashboard!$L$5+Dashboard!$E$6
    ), 0
)</f>
        <v>0</v>
      </c>
      <c r="P1065" s="2">
        <f>IF(ROW()&lt;3, Query1[[#This Row],[Shares]], IF(Query1[[#This Row],[Month]]&lt;&gt;H1064, P1064+Query1[[#This Row],[Enhanced top up]]/Query1[[#This Row],[Adj Close]], P1064))</f>
        <v>3418.7281857665785</v>
      </c>
      <c r="Q1065" s="2">
        <f>IFERROR(AVERAGE(
  IF(ROW()&gt;20, INDEX(G:G, ROW()-20), 0) :
  INDEX(G:G, ROW())
),0)</f>
        <v>410.11398024786087</v>
      </c>
    </row>
    <row r="1066" spans="1:17" x14ac:dyDescent="0.4">
      <c r="A1066" s="1">
        <v>45377</v>
      </c>
      <c r="B1066">
        <v>425.6099853515625</v>
      </c>
      <c r="C1066">
        <v>425.989990234375</v>
      </c>
      <c r="D1066">
        <v>421.35000610351563</v>
      </c>
      <c r="E1066">
        <v>421.64999389648438</v>
      </c>
      <c r="F1066">
        <v>16725600</v>
      </c>
      <c r="G1066">
        <v>417.00289916992188</v>
      </c>
      <c r="H1066" s="2">
        <f>MONTH(Query1[[#This Row],[Date]])</f>
        <v>3</v>
      </c>
      <c r="I1066" s="3">
        <f>Query1[[#This Row],[Shares]]*Query1[[#This Row],[Adj Close]]</f>
        <v>1497999.0833136041</v>
      </c>
      <c r="J1066" s="3">
        <f>IF(ROW()&lt;3, Dashboard!$E$7, IF(Query1[[#This Row],[Month]]&lt;&gt;H1065,J1065*(1+Dashboard!$E$4)+Dashboard!$E$5,J1065))</f>
        <v>951242.27529071795</v>
      </c>
      <c r="K1066">
        <f>IF(ROW()&lt;3, 0,IF(Query1[[#This Row],[Month]]&lt;&gt;H1065,IF((J1066-I1066&gt;0),J1066-I1066,0),0))</f>
        <v>0</v>
      </c>
      <c r="L1066" s="2">
        <f t="shared" si="16"/>
        <v>3592.2989655359538</v>
      </c>
      <c r="M1066">
        <f>IF(ROW()&lt;3, 0, IF(Query1[[#This Row],[Month]]&lt;&gt;H1065, Dashboard!$J$5,0))</f>
        <v>0</v>
      </c>
      <c r="N1066" s="2">
        <f>IF(ROW()&lt;3, Query1[[#This Row],[Shares]], IF(Query1[[#This Row],[Month]]&lt;&gt;H1065, N1065+Query1[[#This Row],[Fix Top Up]]/Query1[[#This Row],[Adj Close]], N1065))</f>
        <v>3427.0331799304022</v>
      </c>
      <c r="O1066">
        <f>IF(AND(Query1[[#This Row],[avg]]&gt;0, Query1[[#This Row],[Month]]&lt;&gt;H1065),
    IF(Query1[[#This Row],[Adj Close]]&gt;Query1[[#This Row],[avg]],
       Dashboard!$L$5-Dashboard!$E$6,
       Dashboard!$L$5+Dashboard!$E$6
    ), 0
)</f>
        <v>0</v>
      </c>
      <c r="P1066" s="2">
        <f>IF(ROW()&lt;3, Query1[[#This Row],[Shares]], IF(Query1[[#This Row],[Month]]&lt;&gt;H1065, P1065+Query1[[#This Row],[Enhanced top up]]/Query1[[#This Row],[Adj Close]], P1065))</f>
        <v>3418.7281857665785</v>
      </c>
      <c r="Q1066" s="2">
        <f>IFERROR(AVERAGE(
  IF(ROW()&gt;20, INDEX(G:G, ROW()-20), 0) :
  INDEX(G:G, ROW())
),0)</f>
        <v>410.77847871326264</v>
      </c>
    </row>
    <row r="1067" spans="1:17" x14ac:dyDescent="0.4">
      <c r="A1067" s="1">
        <v>45378</v>
      </c>
      <c r="B1067">
        <v>424.44000244140625</v>
      </c>
      <c r="C1067">
        <v>424.45001220703125</v>
      </c>
      <c r="D1067">
        <v>419.010009765625</v>
      </c>
      <c r="E1067">
        <v>421.42999267578125</v>
      </c>
      <c r="F1067">
        <v>16705000</v>
      </c>
      <c r="G1067">
        <v>416.78530883789063</v>
      </c>
      <c r="H1067" s="2">
        <f>MONTH(Query1[[#This Row],[Date]])</f>
        <v>3</v>
      </c>
      <c r="I1067" s="3">
        <f>Query1[[#This Row],[Shares]]*Query1[[#This Row],[Adj Close]]</f>
        <v>1497217.4337889375</v>
      </c>
      <c r="J1067" s="3">
        <f>IF(ROW()&lt;3, Dashboard!$E$7, IF(Query1[[#This Row],[Month]]&lt;&gt;H1066,J1066*(1+Dashboard!$E$4)+Dashboard!$E$5,J1066))</f>
        <v>951242.27529071795</v>
      </c>
      <c r="K1067">
        <f>IF(ROW()&lt;3, 0,IF(Query1[[#This Row],[Month]]&lt;&gt;H1066,IF((J1067-I1067&gt;0),J1067-I1067,0),0))</f>
        <v>0</v>
      </c>
      <c r="L1067" s="2">
        <f t="shared" si="16"/>
        <v>3592.2989655359538</v>
      </c>
      <c r="M1067">
        <f>IF(ROW()&lt;3, 0, IF(Query1[[#This Row],[Month]]&lt;&gt;H1066, Dashboard!$J$5,0))</f>
        <v>0</v>
      </c>
      <c r="N1067" s="2">
        <f>IF(ROW()&lt;3, Query1[[#This Row],[Shares]], IF(Query1[[#This Row],[Month]]&lt;&gt;H1066, N1066+Query1[[#This Row],[Fix Top Up]]/Query1[[#This Row],[Adj Close]], N1066))</f>
        <v>3427.0331799304022</v>
      </c>
      <c r="O1067">
        <f>IF(AND(Query1[[#This Row],[avg]]&gt;0, Query1[[#This Row],[Month]]&lt;&gt;H1066),
    IF(Query1[[#This Row],[Adj Close]]&gt;Query1[[#This Row],[avg]],
       Dashboard!$L$5-Dashboard!$E$6,
       Dashboard!$L$5+Dashboard!$E$6
    ), 0
)</f>
        <v>0</v>
      </c>
      <c r="P1067" s="2">
        <f>IF(ROW()&lt;3, Query1[[#This Row],[Shares]], IF(Query1[[#This Row],[Month]]&lt;&gt;H1066, P1066+Query1[[#This Row],[Enhanced top up]]/Query1[[#This Row],[Adj Close]], P1066))</f>
        <v>3418.7281857665785</v>
      </c>
      <c r="Q1067" s="2">
        <f>IFERROR(AVERAGE(
  IF(ROW()&gt;20, INDEX(G:G, ROW()-20), 0) :
  INDEX(G:G, ROW())
),0)</f>
        <v>411.43543933686755</v>
      </c>
    </row>
    <row r="1068" spans="1:17" x14ac:dyDescent="0.4">
      <c r="A1068" s="1">
        <v>45379</v>
      </c>
      <c r="B1068">
        <v>420.95999145507813</v>
      </c>
      <c r="C1068">
        <v>421.8699951171875</v>
      </c>
      <c r="D1068">
        <v>419.1199951171875</v>
      </c>
      <c r="E1068">
        <v>420.72000122070313</v>
      </c>
      <c r="F1068">
        <v>21871200</v>
      </c>
      <c r="G1068">
        <v>416.08316040039063</v>
      </c>
      <c r="H1068" s="2">
        <f>MONTH(Query1[[#This Row],[Date]])</f>
        <v>3</v>
      </c>
      <c r="I1068" s="3">
        <f>Query1[[#This Row],[Shares]]*Query1[[#This Row],[Adj Close]]</f>
        <v>1494695.1066832535</v>
      </c>
      <c r="J1068" s="3">
        <f>IF(ROW()&lt;3, Dashboard!$E$7, IF(Query1[[#This Row],[Month]]&lt;&gt;H1067,J1067*(1+Dashboard!$E$4)+Dashboard!$E$5,J1067))</f>
        <v>951242.27529071795</v>
      </c>
      <c r="K1068">
        <f>IF(ROW()&lt;3, 0,IF(Query1[[#This Row],[Month]]&lt;&gt;H1067,IF((J1068-I1068&gt;0),J1068-I1068,0),0))</f>
        <v>0</v>
      </c>
      <c r="L1068" s="2">
        <f t="shared" si="16"/>
        <v>3592.2989655359538</v>
      </c>
      <c r="M1068">
        <f>IF(ROW()&lt;3, 0, IF(Query1[[#This Row],[Month]]&lt;&gt;H1067, Dashboard!$J$5,0))</f>
        <v>0</v>
      </c>
      <c r="N1068" s="2">
        <f>IF(ROW()&lt;3, Query1[[#This Row],[Shares]], IF(Query1[[#This Row],[Month]]&lt;&gt;H1067, N1067+Query1[[#This Row],[Fix Top Up]]/Query1[[#This Row],[Adj Close]], N1067))</f>
        <v>3427.0331799304022</v>
      </c>
      <c r="O1068">
        <f>IF(AND(Query1[[#This Row],[avg]]&gt;0, Query1[[#This Row],[Month]]&lt;&gt;H1067),
    IF(Query1[[#This Row],[Adj Close]]&gt;Query1[[#This Row],[avg]],
       Dashboard!$L$5-Dashboard!$E$6,
       Dashboard!$L$5+Dashboard!$E$6
    ), 0
)</f>
        <v>0</v>
      </c>
      <c r="P1068" s="2">
        <f>IF(ROW()&lt;3, Query1[[#This Row],[Shares]], IF(Query1[[#This Row],[Month]]&lt;&gt;H1067, P1067+Query1[[#This Row],[Enhanced top up]]/Query1[[#This Row],[Adj Close]], P1067))</f>
        <v>3418.7281857665785</v>
      </c>
      <c r="Q1068" s="2">
        <f>IFERROR(AVERAGE(
  IF(ROW()&gt;20, INDEX(G:G, ROW()-20), 0) :
  INDEX(G:G, ROW())
),0)</f>
        <v>412.04766264415923</v>
      </c>
    </row>
    <row r="1069" spans="1:17" x14ac:dyDescent="0.4">
      <c r="A1069" s="1">
        <v>45383</v>
      </c>
      <c r="B1069">
        <v>423.95001220703125</v>
      </c>
      <c r="C1069">
        <v>427.8900146484375</v>
      </c>
      <c r="D1069">
        <v>422.22000122070313</v>
      </c>
      <c r="E1069">
        <v>424.57000732421875</v>
      </c>
      <c r="F1069">
        <v>16316000</v>
      </c>
      <c r="G1069">
        <v>419.8907470703125</v>
      </c>
      <c r="H1069" s="2">
        <f>MONTH(Query1[[#This Row],[Date]])</f>
        <v>4</v>
      </c>
      <c r="I1069" s="3">
        <f>Query1[[#This Row],[Shares]]*Query1[[#This Row],[Adj Close]]</f>
        <v>1508373.0963388025</v>
      </c>
      <c r="J1069" s="3">
        <f>IF(ROW()&lt;3, Dashboard!$E$7, IF(Query1[[#This Row],[Month]]&lt;&gt;H1068,J1068*(1+Dashboard!$E$4)+Dashboard!$E$5,J1068))</f>
        <v>962754.6980436251</v>
      </c>
      <c r="K1069">
        <f>IF(ROW()&lt;3, 0,IF(Query1[[#This Row],[Month]]&lt;&gt;H1068,IF((J1069-I1069&gt;0),J1069-I1069,0),0))</f>
        <v>0</v>
      </c>
      <c r="L1069" s="2">
        <f t="shared" si="16"/>
        <v>3592.2989655359538</v>
      </c>
      <c r="M1069">
        <f>IF(ROW()&lt;3, 0, IF(Query1[[#This Row],[Month]]&lt;&gt;H1068, Dashboard!$J$5,0))</f>
        <v>773.47399999999971</v>
      </c>
      <c r="N1069" s="2">
        <f>IF(ROW()&lt;3, Query1[[#This Row],[Shares]], IF(Query1[[#This Row],[Month]]&lt;&gt;H1068, N1068+Query1[[#This Row],[Fix Top Up]]/Query1[[#This Row],[Adj Close]], N1068))</f>
        <v>3428.8752638662754</v>
      </c>
      <c r="O1069">
        <f>IF(AND(Query1[[#This Row],[avg]]&gt;0, Query1[[#This Row],[Month]]&lt;&gt;H1068),
    IF(Query1[[#This Row],[Adj Close]]&gt;Query1[[#This Row],[avg]],
       Dashboard!$L$5-Dashboard!$E$6,
       Dashboard!$L$5+Dashboard!$E$6
    ), 0
)</f>
        <v>390.14066666666668</v>
      </c>
      <c r="P1069" s="2">
        <f>IF(ROW()&lt;3, Query1[[#This Row],[Shares]], IF(Query1[[#This Row],[Month]]&lt;&gt;H1068, P1068+Query1[[#This Row],[Enhanced top up]]/Query1[[#This Row],[Adj Close]], P1068))</f>
        <v>3419.6573338113703</v>
      </c>
      <c r="Q1069" s="2">
        <f>IFERROR(AVERAGE(
  IF(ROW()&gt;20, INDEX(G:G, ROW()-20), 0) :
  INDEX(G:G, ROW())
),0)</f>
        <v>412.56240408761158</v>
      </c>
    </row>
    <row r="1070" spans="1:17" x14ac:dyDescent="0.4">
      <c r="A1070" s="1">
        <v>45384</v>
      </c>
      <c r="B1070">
        <v>420.1099853515625</v>
      </c>
      <c r="C1070">
        <v>422.3800048828125</v>
      </c>
      <c r="D1070">
        <v>417.83999633789063</v>
      </c>
      <c r="E1070">
        <v>421.44000244140625</v>
      </c>
      <c r="F1070">
        <v>17912000</v>
      </c>
      <c r="G1070">
        <v>416.79525756835938</v>
      </c>
      <c r="H1070" s="2">
        <f>MONTH(Query1[[#This Row],[Date]])</f>
        <v>4</v>
      </c>
      <c r="I1070" s="3">
        <f>Query1[[#This Row],[Shares]]*Query1[[#This Row],[Adj Close]]</f>
        <v>1497253.1726031089</v>
      </c>
      <c r="J1070" s="3">
        <f>IF(ROW()&lt;3, Dashboard!$E$7, IF(Query1[[#This Row],[Month]]&lt;&gt;H1069,J1069*(1+Dashboard!$E$4)+Dashboard!$E$5,J1069))</f>
        <v>962754.6980436251</v>
      </c>
      <c r="K1070">
        <f>IF(ROW()&lt;3, 0,IF(Query1[[#This Row],[Month]]&lt;&gt;H1069,IF((J1070-I1070&gt;0),J1070-I1070,0),0))</f>
        <v>0</v>
      </c>
      <c r="L1070" s="2">
        <f t="shared" si="16"/>
        <v>3592.2989655359538</v>
      </c>
      <c r="M1070">
        <f>IF(ROW()&lt;3, 0, IF(Query1[[#This Row],[Month]]&lt;&gt;H1069, Dashboard!$J$5,0))</f>
        <v>0</v>
      </c>
      <c r="N1070" s="2">
        <f>IF(ROW()&lt;3, Query1[[#This Row],[Shares]], IF(Query1[[#This Row],[Month]]&lt;&gt;H1069, N1069+Query1[[#This Row],[Fix Top Up]]/Query1[[#This Row],[Adj Close]], N1069))</f>
        <v>3428.8752638662754</v>
      </c>
      <c r="O1070">
        <f>IF(AND(Query1[[#This Row],[avg]]&gt;0, Query1[[#This Row],[Month]]&lt;&gt;H1069),
    IF(Query1[[#This Row],[Adj Close]]&gt;Query1[[#This Row],[avg]],
       Dashboard!$L$5-Dashboard!$E$6,
       Dashboard!$L$5+Dashboard!$E$6
    ), 0
)</f>
        <v>0</v>
      </c>
      <c r="P1070" s="2">
        <f>IF(ROW()&lt;3, Query1[[#This Row],[Shares]], IF(Query1[[#This Row],[Month]]&lt;&gt;H1069, P1069+Query1[[#This Row],[Enhanced top up]]/Query1[[#This Row],[Adj Close]], P1069))</f>
        <v>3419.6573338113703</v>
      </c>
      <c r="Q1070" s="2">
        <f>IFERROR(AVERAGE(
  IF(ROW()&gt;20, INDEX(G:G, ROW()-20), 0) :
  INDEX(G:G, ROW())
),0)</f>
        <v>412.84214419410341</v>
      </c>
    </row>
    <row r="1071" spans="1:17" x14ac:dyDescent="0.4">
      <c r="A1071" s="1">
        <v>45385</v>
      </c>
      <c r="B1071">
        <v>419.73001098632813</v>
      </c>
      <c r="C1071">
        <v>423.260009765625</v>
      </c>
      <c r="D1071">
        <v>419.08999633789063</v>
      </c>
      <c r="E1071">
        <v>420.45001220703125</v>
      </c>
      <c r="F1071">
        <v>16502300</v>
      </c>
      <c r="G1071">
        <v>415.81613159179688</v>
      </c>
      <c r="H1071" s="2">
        <f>MONTH(Query1[[#This Row],[Date]])</f>
        <v>4</v>
      </c>
      <c r="I1071" s="3">
        <f>Query1[[#This Row],[Shares]]*Query1[[#This Row],[Adj Close]]</f>
        <v>1493735.8593703739</v>
      </c>
      <c r="J1071" s="3">
        <f>IF(ROW()&lt;3, Dashboard!$E$7, IF(Query1[[#This Row],[Month]]&lt;&gt;H1070,J1070*(1+Dashboard!$E$4)+Dashboard!$E$5,J1070))</f>
        <v>962754.6980436251</v>
      </c>
      <c r="K1071">
        <f>IF(ROW()&lt;3, 0,IF(Query1[[#This Row],[Month]]&lt;&gt;H1070,IF((J1071-I1071&gt;0),J1071-I1071,0),0))</f>
        <v>0</v>
      </c>
      <c r="L1071" s="2">
        <f t="shared" si="16"/>
        <v>3592.2989655359538</v>
      </c>
      <c r="M1071">
        <f>IF(ROW()&lt;3, 0, IF(Query1[[#This Row],[Month]]&lt;&gt;H1070, Dashboard!$J$5,0))</f>
        <v>0</v>
      </c>
      <c r="N1071" s="2">
        <f>IF(ROW()&lt;3, Query1[[#This Row],[Shares]], IF(Query1[[#This Row],[Month]]&lt;&gt;H1070, N1070+Query1[[#This Row],[Fix Top Up]]/Query1[[#This Row],[Adj Close]], N1070))</f>
        <v>3428.8752638662754</v>
      </c>
      <c r="O1071">
        <f>IF(AND(Query1[[#This Row],[avg]]&gt;0, Query1[[#This Row],[Month]]&lt;&gt;H1070),
    IF(Query1[[#This Row],[Adj Close]]&gt;Query1[[#This Row],[avg]],
       Dashboard!$L$5-Dashboard!$E$6,
       Dashboard!$L$5+Dashboard!$E$6
    ), 0
)</f>
        <v>0</v>
      </c>
      <c r="P1071" s="2">
        <f>IF(ROW()&lt;3, Query1[[#This Row],[Shares]], IF(Query1[[#This Row],[Month]]&lt;&gt;H1070, P1070+Query1[[#This Row],[Enhanced top up]]/Query1[[#This Row],[Adj Close]], P1070))</f>
        <v>3419.6573338113703</v>
      </c>
      <c r="Q1071" s="2">
        <f>IFERROR(AVERAGE(
  IF(ROW()&gt;20, INDEX(G:G, ROW()-20), 0) :
  INDEX(G:G, ROW())
),0)</f>
        <v>413.10257248651413</v>
      </c>
    </row>
    <row r="1072" spans="1:17" x14ac:dyDescent="0.4">
      <c r="A1072" s="1">
        <v>45386</v>
      </c>
      <c r="B1072">
        <v>424.989990234375</v>
      </c>
      <c r="C1072">
        <v>428.67001342773438</v>
      </c>
      <c r="D1072">
        <v>417.57000732421875</v>
      </c>
      <c r="E1072">
        <v>417.8800048828125</v>
      </c>
      <c r="F1072">
        <v>19370900</v>
      </c>
      <c r="G1072">
        <v>413.27450561523438</v>
      </c>
      <c r="H1072" s="2">
        <f>MONTH(Query1[[#This Row],[Date]])</f>
        <v>4</v>
      </c>
      <c r="I1072" s="3">
        <f>Query1[[#This Row],[Shares]]*Query1[[#This Row],[Adj Close]]</f>
        <v>1484605.5790039892</v>
      </c>
      <c r="J1072" s="3">
        <f>IF(ROW()&lt;3, Dashboard!$E$7, IF(Query1[[#This Row],[Month]]&lt;&gt;H1071,J1071*(1+Dashboard!$E$4)+Dashboard!$E$5,J1071))</f>
        <v>962754.6980436251</v>
      </c>
      <c r="K1072">
        <f>IF(ROW()&lt;3, 0,IF(Query1[[#This Row],[Month]]&lt;&gt;H1071,IF((J1072-I1072&gt;0),J1072-I1072,0),0))</f>
        <v>0</v>
      </c>
      <c r="L1072" s="2">
        <f t="shared" si="16"/>
        <v>3592.2989655359538</v>
      </c>
      <c r="M1072">
        <f>IF(ROW()&lt;3, 0, IF(Query1[[#This Row],[Month]]&lt;&gt;H1071, Dashboard!$J$5,0))</f>
        <v>0</v>
      </c>
      <c r="N1072" s="2">
        <f>IF(ROW()&lt;3, Query1[[#This Row],[Shares]], IF(Query1[[#This Row],[Month]]&lt;&gt;H1071, N1071+Query1[[#This Row],[Fix Top Up]]/Query1[[#This Row],[Adj Close]], N1071))</f>
        <v>3428.8752638662754</v>
      </c>
      <c r="O1072">
        <f>IF(AND(Query1[[#This Row],[avg]]&gt;0, Query1[[#This Row],[Month]]&lt;&gt;H1071),
    IF(Query1[[#This Row],[Adj Close]]&gt;Query1[[#This Row],[avg]],
       Dashboard!$L$5-Dashboard!$E$6,
       Dashboard!$L$5+Dashboard!$E$6
    ), 0
)</f>
        <v>0</v>
      </c>
      <c r="P1072" s="2">
        <f>IF(ROW()&lt;3, Query1[[#This Row],[Shares]], IF(Query1[[#This Row],[Month]]&lt;&gt;H1071, P1071+Query1[[#This Row],[Enhanced top up]]/Query1[[#This Row],[Adj Close]], P1071))</f>
        <v>3419.6573338113703</v>
      </c>
      <c r="Q1072" s="2">
        <f>IFERROR(AVERAGE(
  IF(ROW()&gt;20, INDEX(G:G, ROW()-20), 0) :
  INDEX(G:G, ROW())
),0)</f>
        <v>413.81981840587798</v>
      </c>
    </row>
    <row r="1073" spans="1:17" x14ac:dyDescent="0.4">
      <c r="A1073" s="1">
        <v>45387</v>
      </c>
      <c r="B1073">
        <v>420.010009765625</v>
      </c>
      <c r="C1073">
        <v>426.510009765625</v>
      </c>
      <c r="D1073">
        <v>418.32000732421875</v>
      </c>
      <c r="E1073">
        <v>425.51998901367188</v>
      </c>
      <c r="F1073">
        <v>16554800</v>
      </c>
      <c r="G1073">
        <v>420.83023071289063</v>
      </c>
      <c r="H1073" s="2">
        <f>MONTH(Query1[[#This Row],[Date]])</f>
        <v>4</v>
      </c>
      <c r="I1073" s="3">
        <f>Query1[[#This Row],[Shares]]*Query1[[#This Row],[Adj Close]]</f>
        <v>1511748.0024561738</v>
      </c>
      <c r="J1073" s="3">
        <f>IF(ROW()&lt;3, Dashboard!$E$7, IF(Query1[[#This Row],[Month]]&lt;&gt;H1072,J1072*(1+Dashboard!$E$4)+Dashboard!$E$5,J1072))</f>
        <v>962754.6980436251</v>
      </c>
      <c r="K1073">
        <f>IF(ROW()&lt;3, 0,IF(Query1[[#This Row],[Month]]&lt;&gt;H1072,IF((J1073-I1073&gt;0),J1073-I1073,0),0))</f>
        <v>0</v>
      </c>
      <c r="L1073" s="2">
        <f t="shared" si="16"/>
        <v>3592.2989655359538</v>
      </c>
      <c r="M1073">
        <f>IF(ROW()&lt;3, 0, IF(Query1[[#This Row],[Month]]&lt;&gt;H1072, Dashboard!$J$5,0))</f>
        <v>0</v>
      </c>
      <c r="N1073" s="2">
        <f>IF(ROW()&lt;3, Query1[[#This Row],[Shares]], IF(Query1[[#This Row],[Month]]&lt;&gt;H1072, N1072+Query1[[#This Row],[Fix Top Up]]/Query1[[#This Row],[Adj Close]], N1072))</f>
        <v>3428.8752638662754</v>
      </c>
      <c r="O1073">
        <f>IF(AND(Query1[[#This Row],[avg]]&gt;0, Query1[[#This Row],[Month]]&lt;&gt;H1072),
    IF(Query1[[#This Row],[Adj Close]]&gt;Query1[[#This Row],[avg]],
       Dashboard!$L$5-Dashboard!$E$6,
       Dashboard!$L$5+Dashboard!$E$6
    ), 0
)</f>
        <v>0</v>
      </c>
      <c r="P1073" s="2">
        <f>IF(ROW()&lt;3, Query1[[#This Row],[Shares]], IF(Query1[[#This Row],[Month]]&lt;&gt;H1072, P1072+Query1[[#This Row],[Enhanced top up]]/Query1[[#This Row],[Adj Close]], P1072))</f>
        <v>3419.6573338113703</v>
      </c>
      <c r="Q1073" s="2">
        <f>IFERROR(AVERAGE(
  IF(ROW()&gt;20, INDEX(G:G, ROW()-20), 0) :
  INDEX(G:G, ROW())
),0)</f>
        <v>414.92323521205356</v>
      </c>
    </row>
    <row r="1074" spans="1:17" x14ac:dyDescent="0.4">
      <c r="A1074" s="1">
        <v>45390</v>
      </c>
      <c r="B1074">
        <v>425.17001342773438</v>
      </c>
      <c r="C1074">
        <v>427.27999877929688</v>
      </c>
      <c r="D1074">
        <v>423.29998779296875</v>
      </c>
      <c r="E1074">
        <v>424.58999633789063</v>
      </c>
      <c r="F1074">
        <v>14272400</v>
      </c>
      <c r="G1074">
        <v>419.91049194335938</v>
      </c>
      <c r="H1074" s="2">
        <f>MONTH(Query1[[#This Row],[Date]])</f>
        <v>4</v>
      </c>
      <c r="I1074" s="3">
        <f>Query1[[#This Row],[Shares]]*Query1[[#This Row],[Adj Close]]</f>
        <v>1508444.0258258234</v>
      </c>
      <c r="J1074" s="3">
        <f>IF(ROW()&lt;3, Dashboard!$E$7, IF(Query1[[#This Row],[Month]]&lt;&gt;H1073,J1073*(1+Dashboard!$E$4)+Dashboard!$E$5,J1073))</f>
        <v>962754.6980436251</v>
      </c>
      <c r="K1074">
        <f>IF(ROW()&lt;3, 0,IF(Query1[[#This Row],[Month]]&lt;&gt;H1073,IF((J1074-I1074&gt;0),J1074-I1074,0),0))</f>
        <v>0</v>
      </c>
      <c r="L1074" s="2">
        <f t="shared" si="16"/>
        <v>3592.2989655359538</v>
      </c>
      <c r="M1074">
        <f>IF(ROW()&lt;3, 0, IF(Query1[[#This Row],[Month]]&lt;&gt;H1073, Dashboard!$J$5,0))</f>
        <v>0</v>
      </c>
      <c r="N1074" s="2">
        <f>IF(ROW()&lt;3, Query1[[#This Row],[Shares]], IF(Query1[[#This Row],[Month]]&lt;&gt;H1073, N1073+Query1[[#This Row],[Fix Top Up]]/Query1[[#This Row],[Adj Close]], N1073))</f>
        <v>3428.8752638662754</v>
      </c>
      <c r="O1074">
        <f>IF(AND(Query1[[#This Row],[avg]]&gt;0, Query1[[#This Row],[Month]]&lt;&gt;H1073),
    IF(Query1[[#This Row],[Adj Close]]&gt;Query1[[#This Row],[avg]],
       Dashboard!$L$5-Dashboard!$E$6,
       Dashboard!$L$5+Dashboard!$E$6
    ), 0
)</f>
        <v>0</v>
      </c>
      <c r="P1074" s="2">
        <f>IF(ROW()&lt;3, Query1[[#This Row],[Shares]], IF(Query1[[#This Row],[Month]]&lt;&gt;H1073, P1073+Query1[[#This Row],[Enhanced top up]]/Query1[[#This Row],[Adj Close]], P1073))</f>
        <v>3419.6573338113703</v>
      </c>
      <c r="Q1074" s="2">
        <f>IFERROR(AVERAGE(
  IF(ROW()&gt;20, INDEX(G:G, ROW()-20), 0) :
  INDEX(G:G, ROW())
),0)</f>
        <v>415.65083821614581</v>
      </c>
    </row>
    <row r="1075" spans="1:17" x14ac:dyDescent="0.4">
      <c r="A1075" s="1">
        <v>45391</v>
      </c>
      <c r="B1075">
        <v>426.44000244140625</v>
      </c>
      <c r="C1075">
        <v>427.739990234375</v>
      </c>
      <c r="D1075">
        <v>421.6199951171875</v>
      </c>
      <c r="E1075">
        <v>426.27999877929688</v>
      </c>
      <c r="F1075">
        <v>12496900</v>
      </c>
      <c r="G1075">
        <v>421.58187866210938</v>
      </c>
      <c r="H1075" s="2">
        <f>MONTH(Query1[[#This Row],[Date]])</f>
        <v>4</v>
      </c>
      <c r="I1075" s="3">
        <f>Query1[[#This Row],[Shares]]*Query1[[#This Row],[Adj Close]]</f>
        <v>1514448.1466065994</v>
      </c>
      <c r="J1075" s="3">
        <f>IF(ROW()&lt;3, Dashboard!$E$7, IF(Query1[[#This Row],[Month]]&lt;&gt;H1074,J1074*(1+Dashboard!$E$4)+Dashboard!$E$5,J1074))</f>
        <v>962754.6980436251</v>
      </c>
      <c r="K1075">
        <f>IF(ROW()&lt;3, 0,IF(Query1[[#This Row],[Month]]&lt;&gt;H1074,IF((J1075-I1075&gt;0),J1075-I1075,0),0))</f>
        <v>0</v>
      </c>
      <c r="L1075" s="2">
        <f t="shared" si="16"/>
        <v>3592.2989655359538</v>
      </c>
      <c r="M1075">
        <f>IF(ROW()&lt;3, 0, IF(Query1[[#This Row],[Month]]&lt;&gt;H1074, Dashboard!$J$5,0))</f>
        <v>0</v>
      </c>
      <c r="N1075" s="2">
        <f>IF(ROW()&lt;3, Query1[[#This Row],[Shares]], IF(Query1[[#This Row],[Month]]&lt;&gt;H1074, N1074+Query1[[#This Row],[Fix Top Up]]/Query1[[#This Row],[Adj Close]], N1074))</f>
        <v>3428.8752638662754</v>
      </c>
      <c r="O1075">
        <f>IF(AND(Query1[[#This Row],[avg]]&gt;0, Query1[[#This Row],[Month]]&lt;&gt;H1074),
    IF(Query1[[#This Row],[Adj Close]]&gt;Query1[[#This Row],[avg]],
       Dashboard!$L$5-Dashboard!$E$6,
       Dashboard!$L$5+Dashboard!$E$6
    ), 0
)</f>
        <v>0</v>
      </c>
      <c r="P1075" s="2">
        <f>IF(ROW()&lt;3, Query1[[#This Row],[Shares]], IF(Query1[[#This Row],[Month]]&lt;&gt;H1074, P1074+Query1[[#This Row],[Enhanced top up]]/Query1[[#This Row],[Adj Close]], P1074))</f>
        <v>3419.6573338113703</v>
      </c>
      <c r="Q1075" s="2">
        <f>IFERROR(AVERAGE(
  IF(ROW()&gt;20, INDEX(G:G, ROW()-20), 0) :
  INDEX(G:G, ROW())
),0)</f>
        <v>416.59554908389134</v>
      </c>
    </row>
    <row r="1076" spans="1:17" x14ac:dyDescent="0.4">
      <c r="A1076" s="1">
        <v>45392</v>
      </c>
      <c r="B1076">
        <v>422.19000244140625</v>
      </c>
      <c r="C1076">
        <v>424.02999877929688</v>
      </c>
      <c r="D1076">
        <v>419.70001220703125</v>
      </c>
      <c r="E1076">
        <v>423.260009765625</v>
      </c>
      <c r="F1076">
        <v>16216600</v>
      </c>
      <c r="G1076">
        <v>418.59521484375</v>
      </c>
      <c r="H1076" s="2">
        <f>MONTH(Query1[[#This Row],[Date]])</f>
        <v>4</v>
      </c>
      <c r="I1076" s="3">
        <f>Query1[[#This Row],[Shares]]*Query1[[#This Row],[Adj Close]]</f>
        <v>1503719.1572615034</v>
      </c>
      <c r="J1076" s="3">
        <f>IF(ROW()&lt;3, Dashboard!$E$7, IF(Query1[[#This Row],[Month]]&lt;&gt;H1075,J1075*(1+Dashboard!$E$4)+Dashboard!$E$5,J1075))</f>
        <v>962754.6980436251</v>
      </c>
      <c r="K1076">
        <f>IF(ROW()&lt;3, 0,IF(Query1[[#This Row],[Month]]&lt;&gt;H1075,IF((J1076-I1076&gt;0),J1076-I1076,0),0))</f>
        <v>0</v>
      </c>
      <c r="L1076" s="2">
        <f t="shared" si="16"/>
        <v>3592.2989655359538</v>
      </c>
      <c r="M1076">
        <f>IF(ROW()&lt;3, 0, IF(Query1[[#This Row],[Month]]&lt;&gt;H1075, Dashboard!$J$5,0))</f>
        <v>0</v>
      </c>
      <c r="N1076" s="2">
        <f>IF(ROW()&lt;3, Query1[[#This Row],[Shares]], IF(Query1[[#This Row],[Month]]&lt;&gt;H1075, N1075+Query1[[#This Row],[Fix Top Up]]/Query1[[#This Row],[Adj Close]], N1075))</f>
        <v>3428.8752638662754</v>
      </c>
      <c r="O1076">
        <f>IF(AND(Query1[[#This Row],[avg]]&gt;0, Query1[[#This Row],[Month]]&lt;&gt;H1075),
    IF(Query1[[#This Row],[Adj Close]]&gt;Query1[[#This Row],[avg]],
       Dashboard!$L$5-Dashboard!$E$6,
       Dashboard!$L$5+Dashboard!$E$6
    ), 0
)</f>
        <v>0</v>
      </c>
      <c r="P1076" s="2">
        <f>IF(ROW()&lt;3, Query1[[#This Row],[Shares]], IF(Query1[[#This Row],[Month]]&lt;&gt;H1075, P1075+Query1[[#This Row],[Enhanced top up]]/Query1[[#This Row],[Adj Close]], P1075))</f>
        <v>3419.6573338113703</v>
      </c>
      <c r="Q1076" s="2">
        <f>IFERROR(AVERAGE(
  IF(ROW()&gt;20, INDEX(G:G, ROW()-20), 0) :
  INDEX(G:G, ROW())
),0)</f>
        <v>417.47809709821428</v>
      </c>
    </row>
    <row r="1077" spans="1:17" x14ac:dyDescent="0.4">
      <c r="A1077" s="1">
        <v>45393</v>
      </c>
      <c r="B1077">
        <v>425.82000732421875</v>
      </c>
      <c r="C1077">
        <v>429.3699951171875</v>
      </c>
      <c r="D1077">
        <v>422.3599853515625</v>
      </c>
      <c r="E1077">
        <v>427.92999267578125</v>
      </c>
      <c r="F1077">
        <v>17966400</v>
      </c>
      <c r="G1077">
        <v>423.21368408203125</v>
      </c>
      <c r="H1077" s="2">
        <f>MONTH(Query1[[#This Row],[Date]])</f>
        <v>4</v>
      </c>
      <c r="I1077" s="3">
        <f>Query1[[#This Row],[Shares]]*Query1[[#This Row],[Adj Close]]</f>
        <v>1520310.0795285408</v>
      </c>
      <c r="J1077" s="3">
        <f>IF(ROW()&lt;3, Dashboard!$E$7, IF(Query1[[#This Row],[Month]]&lt;&gt;H1076,J1076*(1+Dashboard!$E$4)+Dashboard!$E$5,J1076))</f>
        <v>962754.6980436251</v>
      </c>
      <c r="K1077">
        <f>IF(ROW()&lt;3, 0,IF(Query1[[#This Row],[Month]]&lt;&gt;H1076,IF((J1077-I1077&gt;0),J1077-I1077,0),0))</f>
        <v>0</v>
      </c>
      <c r="L1077" s="2">
        <f t="shared" si="16"/>
        <v>3592.2989655359538</v>
      </c>
      <c r="M1077">
        <f>IF(ROW()&lt;3, 0, IF(Query1[[#This Row],[Month]]&lt;&gt;H1076, Dashboard!$J$5,0))</f>
        <v>0</v>
      </c>
      <c r="N1077" s="2">
        <f>IF(ROW()&lt;3, Query1[[#This Row],[Shares]], IF(Query1[[#This Row],[Month]]&lt;&gt;H1076, N1076+Query1[[#This Row],[Fix Top Up]]/Query1[[#This Row],[Adj Close]], N1076))</f>
        <v>3428.8752638662754</v>
      </c>
      <c r="O1077">
        <f>IF(AND(Query1[[#This Row],[avg]]&gt;0, Query1[[#This Row],[Month]]&lt;&gt;H1076),
    IF(Query1[[#This Row],[Adj Close]]&gt;Query1[[#This Row],[avg]],
       Dashboard!$L$5-Dashboard!$E$6,
       Dashboard!$L$5+Dashboard!$E$6
    ), 0
)</f>
        <v>0</v>
      </c>
      <c r="P1077" s="2">
        <f>IF(ROW()&lt;3, Query1[[#This Row],[Shares]], IF(Query1[[#This Row],[Month]]&lt;&gt;H1076, P1076+Query1[[#This Row],[Enhanced top up]]/Query1[[#This Row],[Adj Close]], P1076))</f>
        <v>3419.6573338113703</v>
      </c>
      <c r="Q1077" s="2">
        <f>IFERROR(AVERAGE(
  IF(ROW()&gt;20, INDEX(G:G, ROW()-20), 0) :
  INDEX(G:G, ROW())
),0)</f>
        <v>418.07383946010043</v>
      </c>
    </row>
    <row r="1078" spans="1:17" x14ac:dyDescent="0.4">
      <c r="A1078" s="1">
        <v>45394</v>
      </c>
      <c r="B1078">
        <v>424.04998779296875</v>
      </c>
      <c r="C1078">
        <v>425.17999267578125</v>
      </c>
      <c r="D1078">
        <v>419.76998901367188</v>
      </c>
      <c r="E1078">
        <v>421.89999389648438</v>
      </c>
      <c r="F1078">
        <v>19253800</v>
      </c>
      <c r="G1078">
        <v>417.25018310546875</v>
      </c>
      <c r="H1078" s="2">
        <f>MONTH(Query1[[#This Row],[Date]])</f>
        <v>4</v>
      </c>
      <c r="I1078" s="3">
        <f>Query1[[#This Row],[Shares]]*Query1[[#This Row],[Adj Close]]</f>
        <v>1498887.4011394626</v>
      </c>
      <c r="J1078" s="3">
        <f>IF(ROW()&lt;3, Dashboard!$E$7, IF(Query1[[#This Row],[Month]]&lt;&gt;H1077,J1077*(1+Dashboard!$E$4)+Dashboard!$E$5,J1077))</f>
        <v>962754.6980436251</v>
      </c>
      <c r="K1078">
        <f>IF(ROW()&lt;3, 0,IF(Query1[[#This Row],[Month]]&lt;&gt;H1077,IF((J1078-I1078&gt;0),J1078-I1078,0),0))</f>
        <v>0</v>
      </c>
      <c r="L1078" s="2">
        <f t="shared" si="16"/>
        <v>3592.2989655359538</v>
      </c>
      <c r="M1078">
        <f>IF(ROW()&lt;3, 0, IF(Query1[[#This Row],[Month]]&lt;&gt;H1077, Dashboard!$J$5,0))</f>
        <v>0</v>
      </c>
      <c r="N1078" s="2">
        <f>IF(ROW()&lt;3, Query1[[#This Row],[Shares]], IF(Query1[[#This Row],[Month]]&lt;&gt;H1077, N1077+Query1[[#This Row],[Fix Top Up]]/Query1[[#This Row],[Adj Close]], N1077))</f>
        <v>3428.8752638662754</v>
      </c>
      <c r="O1078">
        <f>IF(AND(Query1[[#This Row],[avg]]&gt;0, Query1[[#This Row],[Month]]&lt;&gt;H1077),
    IF(Query1[[#This Row],[Adj Close]]&gt;Query1[[#This Row],[avg]],
       Dashboard!$L$5-Dashboard!$E$6,
       Dashboard!$L$5+Dashboard!$E$6
    ), 0
)</f>
        <v>0</v>
      </c>
      <c r="P1078" s="2">
        <f>IF(ROW()&lt;3, Query1[[#This Row],[Shares]], IF(Query1[[#This Row],[Month]]&lt;&gt;H1077, P1077+Query1[[#This Row],[Enhanced top up]]/Query1[[#This Row],[Adj Close]], P1077))</f>
        <v>3419.6573338113703</v>
      </c>
      <c r="Q1078" s="2">
        <f>IFERROR(AVERAGE(
  IF(ROW()&gt;20, INDEX(G:G, ROW()-20), 0) :
  INDEX(G:G, ROW())
),0)</f>
        <v>418.39408075241818</v>
      </c>
    </row>
    <row r="1079" spans="1:17" x14ac:dyDescent="0.4">
      <c r="A1079" s="1">
        <v>45397</v>
      </c>
      <c r="B1079">
        <v>426.60000610351563</v>
      </c>
      <c r="C1079">
        <v>426.82000732421875</v>
      </c>
      <c r="D1079">
        <v>413.42999267578125</v>
      </c>
      <c r="E1079">
        <v>413.6400146484375</v>
      </c>
      <c r="F1079">
        <v>20273500</v>
      </c>
      <c r="G1079">
        <v>409.0811767578125</v>
      </c>
      <c r="H1079" s="2">
        <f>MONTH(Query1[[#This Row],[Date]])</f>
        <v>4</v>
      </c>
      <c r="I1079" s="3">
        <f>Query1[[#This Row],[Shares]]*Query1[[#This Row],[Adj Close]]</f>
        <v>1469541.8880873206</v>
      </c>
      <c r="J1079" s="3">
        <f>IF(ROW()&lt;3, Dashboard!$E$7, IF(Query1[[#This Row],[Month]]&lt;&gt;H1078,J1078*(1+Dashboard!$E$4)+Dashboard!$E$5,J1078))</f>
        <v>962754.6980436251</v>
      </c>
      <c r="K1079">
        <f>IF(ROW()&lt;3, 0,IF(Query1[[#This Row],[Month]]&lt;&gt;H1078,IF((J1079-I1079&gt;0),J1079-I1079,0),0))</f>
        <v>0</v>
      </c>
      <c r="L1079" s="2">
        <f t="shared" si="16"/>
        <v>3592.2989655359538</v>
      </c>
      <c r="M1079">
        <f>IF(ROW()&lt;3, 0, IF(Query1[[#This Row],[Month]]&lt;&gt;H1078, Dashboard!$J$5,0))</f>
        <v>0</v>
      </c>
      <c r="N1079" s="2">
        <f>IF(ROW()&lt;3, Query1[[#This Row],[Shares]], IF(Query1[[#This Row],[Month]]&lt;&gt;H1078, N1078+Query1[[#This Row],[Fix Top Up]]/Query1[[#This Row],[Adj Close]], N1078))</f>
        <v>3428.8752638662754</v>
      </c>
      <c r="O1079">
        <f>IF(AND(Query1[[#This Row],[avg]]&gt;0, Query1[[#This Row],[Month]]&lt;&gt;H1078),
    IF(Query1[[#This Row],[Adj Close]]&gt;Query1[[#This Row],[avg]],
       Dashboard!$L$5-Dashboard!$E$6,
       Dashboard!$L$5+Dashboard!$E$6
    ), 0
)</f>
        <v>0</v>
      </c>
      <c r="P1079" s="2">
        <f>IF(ROW()&lt;3, Query1[[#This Row],[Shares]], IF(Query1[[#This Row],[Month]]&lt;&gt;H1078, P1078+Query1[[#This Row],[Enhanced top up]]/Query1[[#This Row],[Adj Close]], P1078))</f>
        <v>3419.6573338113703</v>
      </c>
      <c r="Q1079" s="2">
        <f>IFERROR(AVERAGE(
  IF(ROW()&gt;20, INDEX(G:G, ROW()-20), 0) :
  INDEX(G:G, ROW())
),0)</f>
        <v>417.84872727167038</v>
      </c>
    </row>
    <row r="1080" spans="1:17" x14ac:dyDescent="0.4">
      <c r="A1080" s="1">
        <v>45398</v>
      </c>
      <c r="B1080">
        <v>414.57000732421875</v>
      </c>
      <c r="C1080">
        <v>418.39999389648438</v>
      </c>
      <c r="D1080">
        <v>413.73001098632813</v>
      </c>
      <c r="E1080">
        <v>414.57998657226563</v>
      </c>
      <c r="F1080">
        <v>16765600</v>
      </c>
      <c r="G1080">
        <v>410.01083374023438</v>
      </c>
      <c r="H1080" s="2">
        <f>MONTH(Query1[[#This Row],[Date]])</f>
        <v>4</v>
      </c>
      <c r="I1080" s="3">
        <f>Query1[[#This Row],[Shares]]*Query1[[#This Row],[Adj Close]]</f>
        <v>1472881.4939035778</v>
      </c>
      <c r="J1080" s="3">
        <f>IF(ROW()&lt;3, Dashboard!$E$7, IF(Query1[[#This Row],[Month]]&lt;&gt;H1079,J1079*(1+Dashboard!$E$4)+Dashboard!$E$5,J1079))</f>
        <v>962754.6980436251</v>
      </c>
      <c r="K1080">
        <f>IF(ROW()&lt;3, 0,IF(Query1[[#This Row],[Month]]&lt;&gt;H1079,IF((J1080-I1080&gt;0),J1080-I1080,0),0))</f>
        <v>0</v>
      </c>
      <c r="L1080" s="2">
        <f t="shared" si="16"/>
        <v>3592.2989655359538</v>
      </c>
      <c r="M1080">
        <f>IF(ROW()&lt;3, 0, IF(Query1[[#This Row],[Month]]&lt;&gt;H1079, Dashboard!$J$5,0))</f>
        <v>0</v>
      </c>
      <c r="N1080" s="2">
        <f>IF(ROW()&lt;3, Query1[[#This Row],[Shares]], IF(Query1[[#This Row],[Month]]&lt;&gt;H1079, N1079+Query1[[#This Row],[Fix Top Up]]/Query1[[#This Row],[Adj Close]], N1079))</f>
        <v>3428.8752638662754</v>
      </c>
      <c r="O1080">
        <f>IF(AND(Query1[[#This Row],[avg]]&gt;0, Query1[[#This Row],[Month]]&lt;&gt;H1079),
    IF(Query1[[#This Row],[Adj Close]]&gt;Query1[[#This Row],[avg]],
       Dashboard!$L$5-Dashboard!$E$6,
       Dashboard!$L$5+Dashboard!$E$6
    ), 0
)</f>
        <v>0</v>
      </c>
      <c r="P1080" s="2">
        <f>IF(ROW()&lt;3, Query1[[#This Row],[Shares]], IF(Query1[[#This Row],[Month]]&lt;&gt;H1079, P1079+Query1[[#This Row],[Enhanced top up]]/Query1[[#This Row],[Adj Close]], P1079))</f>
        <v>3419.6573338113703</v>
      </c>
      <c r="Q1080" s="2">
        <f>IFERROR(AVERAGE(
  IF(ROW()&gt;20, INDEX(G:G, ROW()-20), 0) :
  INDEX(G:G, ROW())
),0)</f>
        <v>417.76207188197543</v>
      </c>
    </row>
    <row r="1081" spans="1:17" x14ac:dyDescent="0.4">
      <c r="A1081" s="1">
        <v>45399</v>
      </c>
      <c r="B1081">
        <v>417.25</v>
      </c>
      <c r="C1081">
        <v>418.8800048828125</v>
      </c>
      <c r="D1081">
        <v>410.32998657226563</v>
      </c>
      <c r="E1081">
        <v>411.83999633789063</v>
      </c>
      <c r="F1081">
        <v>15855500</v>
      </c>
      <c r="G1081">
        <v>407.301025390625</v>
      </c>
      <c r="H1081" s="2">
        <f>MONTH(Query1[[#This Row],[Date]])</f>
        <v>4</v>
      </c>
      <c r="I1081" s="3">
        <f>Query1[[#This Row],[Shares]]*Query1[[#This Row],[Adj Close]]</f>
        <v>1463147.0521724755</v>
      </c>
      <c r="J1081" s="3">
        <f>IF(ROW()&lt;3, Dashboard!$E$7, IF(Query1[[#This Row],[Month]]&lt;&gt;H1080,J1080*(1+Dashboard!$E$4)+Dashboard!$E$5,J1080))</f>
        <v>962754.6980436251</v>
      </c>
      <c r="K1081">
        <f>IF(ROW()&lt;3, 0,IF(Query1[[#This Row],[Month]]&lt;&gt;H1080,IF((J1081-I1081&gt;0),J1081-I1081,0),0))</f>
        <v>0</v>
      </c>
      <c r="L1081" s="2">
        <f t="shared" si="16"/>
        <v>3592.2989655359538</v>
      </c>
      <c r="M1081">
        <f>IF(ROW()&lt;3, 0, IF(Query1[[#This Row],[Month]]&lt;&gt;H1080, Dashboard!$J$5,0))</f>
        <v>0</v>
      </c>
      <c r="N1081" s="2">
        <f>IF(ROW()&lt;3, Query1[[#This Row],[Shares]], IF(Query1[[#This Row],[Month]]&lt;&gt;H1080, N1080+Query1[[#This Row],[Fix Top Up]]/Query1[[#This Row],[Adj Close]], N1080))</f>
        <v>3428.8752638662754</v>
      </c>
      <c r="O1081">
        <f>IF(AND(Query1[[#This Row],[avg]]&gt;0, Query1[[#This Row],[Month]]&lt;&gt;H1080),
    IF(Query1[[#This Row],[Adj Close]]&gt;Query1[[#This Row],[avg]],
       Dashboard!$L$5-Dashboard!$E$6,
       Dashboard!$L$5+Dashboard!$E$6
    ), 0
)</f>
        <v>0</v>
      </c>
      <c r="P1081" s="2">
        <f>IF(ROW()&lt;3, Query1[[#This Row],[Shares]], IF(Query1[[#This Row],[Month]]&lt;&gt;H1080, P1080+Query1[[#This Row],[Enhanced top up]]/Query1[[#This Row],[Adj Close]], P1080))</f>
        <v>3419.6573338113703</v>
      </c>
      <c r="Q1081" s="2">
        <f>IFERROR(AVERAGE(
  IF(ROW()&gt;20, INDEX(G:G, ROW()-20), 0) :
  INDEX(G:G, ROW())
),0)</f>
        <v>417.50399489629837</v>
      </c>
    </row>
    <row r="1082" spans="1:17" x14ac:dyDescent="0.4">
      <c r="A1082" s="1">
        <v>45400</v>
      </c>
      <c r="B1082">
        <v>410.6300048828125</v>
      </c>
      <c r="C1082">
        <v>411.8900146484375</v>
      </c>
      <c r="D1082">
        <v>403.95001220703125</v>
      </c>
      <c r="E1082">
        <v>404.26998901367188</v>
      </c>
      <c r="F1082">
        <v>21029900</v>
      </c>
      <c r="G1082">
        <v>399.814453125</v>
      </c>
      <c r="H1082" s="2">
        <f>MONTH(Query1[[#This Row],[Date]])</f>
        <v>4</v>
      </c>
      <c r="I1082" s="3">
        <f>Query1[[#This Row],[Shares]]*Query1[[#This Row],[Adj Close]]</f>
        <v>1436253.0463672606</v>
      </c>
      <c r="J1082" s="3">
        <f>IF(ROW()&lt;3, Dashboard!$E$7, IF(Query1[[#This Row],[Month]]&lt;&gt;H1081,J1081*(1+Dashboard!$E$4)+Dashboard!$E$5,J1081))</f>
        <v>962754.6980436251</v>
      </c>
      <c r="K1082">
        <f>IF(ROW()&lt;3, 0,IF(Query1[[#This Row],[Month]]&lt;&gt;H1081,IF((J1082-I1082&gt;0),J1082-I1082,0),0))</f>
        <v>0</v>
      </c>
      <c r="L1082" s="2">
        <f t="shared" si="16"/>
        <v>3592.2989655359538</v>
      </c>
      <c r="M1082">
        <f>IF(ROW()&lt;3, 0, IF(Query1[[#This Row],[Month]]&lt;&gt;H1081, Dashboard!$J$5,0))</f>
        <v>0</v>
      </c>
      <c r="N1082" s="2">
        <f>IF(ROW()&lt;3, Query1[[#This Row],[Shares]], IF(Query1[[#This Row],[Month]]&lt;&gt;H1081, N1081+Query1[[#This Row],[Fix Top Up]]/Query1[[#This Row],[Adj Close]], N1081))</f>
        <v>3428.8752638662754</v>
      </c>
      <c r="O1082">
        <f>IF(AND(Query1[[#This Row],[avg]]&gt;0, Query1[[#This Row],[Month]]&lt;&gt;H1081),
    IF(Query1[[#This Row],[Adj Close]]&gt;Query1[[#This Row],[avg]],
       Dashboard!$L$5-Dashboard!$E$6,
       Dashboard!$L$5+Dashboard!$E$6
    ), 0
)</f>
        <v>0</v>
      </c>
      <c r="P1082" s="2">
        <f>IF(ROW()&lt;3, Query1[[#This Row],[Shares]], IF(Query1[[#This Row],[Month]]&lt;&gt;H1081, P1081+Query1[[#This Row],[Enhanced top up]]/Query1[[#This Row],[Adj Close]], P1081))</f>
        <v>3419.6573338113703</v>
      </c>
      <c r="Q1082" s="2">
        <f>IFERROR(AVERAGE(
  IF(ROW()&gt;20, INDEX(G:G, ROW()-20), 0) :
  INDEX(G:G, ROW())
),0)</f>
        <v>416.6967991420201</v>
      </c>
    </row>
    <row r="1083" spans="1:17" x14ac:dyDescent="0.4">
      <c r="A1083" s="1">
        <v>45401</v>
      </c>
      <c r="B1083">
        <v>404.02999877929688</v>
      </c>
      <c r="C1083">
        <v>405.48001098632813</v>
      </c>
      <c r="D1083">
        <v>397.76998901367188</v>
      </c>
      <c r="E1083">
        <v>399.1199951171875</v>
      </c>
      <c r="F1083">
        <v>30565800</v>
      </c>
      <c r="G1083">
        <v>394.72122192382813</v>
      </c>
      <c r="H1083" s="2">
        <f>MONTH(Query1[[#This Row],[Date]])</f>
        <v>4</v>
      </c>
      <c r="I1083" s="3">
        <f>Query1[[#This Row],[Shares]]*Query1[[#This Row],[Adj Close]]</f>
        <v>1417956.6371920554</v>
      </c>
      <c r="J1083" s="3">
        <f>IF(ROW()&lt;3, Dashboard!$E$7, IF(Query1[[#This Row],[Month]]&lt;&gt;H1082,J1082*(1+Dashboard!$E$4)+Dashboard!$E$5,J1082))</f>
        <v>962754.6980436251</v>
      </c>
      <c r="K1083">
        <f>IF(ROW()&lt;3, 0,IF(Query1[[#This Row],[Month]]&lt;&gt;H1082,IF((J1083-I1083&gt;0),J1083-I1083,0),0))</f>
        <v>0</v>
      </c>
      <c r="L1083" s="2">
        <f t="shared" si="16"/>
        <v>3592.2989655359538</v>
      </c>
      <c r="M1083">
        <f>IF(ROW()&lt;3, 0, IF(Query1[[#This Row],[Month]]&lt;&gt;H1082, Dashboard!$J$5,0))</f>
        <v>0</v>
      </c>
      <c r="N1083" s="2">
        <f>IF(ROW()&lt;3, Query1[[#This Row],[Shares]], IF(Query1[[#This Row],[Month]]&lt;&gt;H1082, N1082+Query1[[#This Row],[Fix Top Up]]/Query1[[#This Row],[Adj Close]], N1082))</f>
        <v>3428.8752638662754</v>
      </c>
      <c r="O1083">
        <f>IF(AND(Query1[[#This Row],[avg]]&gt;0, Query1[[#This Row],[Month]]&lt;&gt;H1082),
    IF(Query1[[#This Row],[Adj Close]]&gt;Query1[[#This Row],[avg]],
       Dashboard!$L$5-Dashboard!$E$6,
       Dashboard!$L$5+Dashboard!$E$6
    ), 0
)</f>
        <v>0</v>
      </c>
      <c r="P1083" s="2">
        <f>IF(ROW()&lt;3, Query1[[#This Row],[Shares]], IF(Query1[[#This Row],[Month]]&lt;&gt;H1082, P1082+Query1[[#This Row],[Enhanced top up]]/Query1[[#This Row],[Adj Close]], P1082))</f>
        <v>3419.6573338113703</v>
      </c>
      <c r="Q1083" s="2">
        <f>IFERROR(AVERAGE(
  IF(ROW()&gt;20, INDEX(G:G, ROW()-20), 0) :
  INDEX(G:G, ROW())
),0)</f>
        <v>415.46716889880952</v>
      </c>
    </row>
    <row r="1084" spans="1:17" x14ac:dyDescent="0.4">
      <c r="A1084" s="1">
        <v>45404</v>
      </c>
      <c r="B1084">
        <v>400.07998657226563</v>
      </c>
      <c r="C1084">
        <v>402.85000610351563</v>
      </c>
      <c r="D1084">
        <v>395.75</v>
      </c>
      <c r="E1084">
        <v>400.95999145507813</v>
      </c>
      <c r="F1084">
        <v>20286900</v>
      </c>
      <c r="G1084">
        <v>396.54095458984375</v>
      </c>
      <c r="H1084" s="2">
        <f>MONTH(Query1[[#This Row],[Date]])</f>
        <v>4</v>
      </c>
      <c r="I1084" s="3">
        <f>Query1[[#This Row],[Shares]]*Query1[[#This Row],[Adj Close]]</f>
        <v>1424493.6609657353</v>
      </c>
      <c r="J1084" s="3">
        <f>IF(ROW()&lt;3, Dashboard!$E$7, IF(Query1[[#This Row],[Month]]&lt;&gt;H1083,J1083*(1+Dashboard!$E$4)+Dashboard!$E$5,J1083))</f>
        <v>962754.6980436251</v>
      </c>
      <c r="K1084">
        <f>IF(ROW()&lt;3, 0,IF(Query1[[#This Row],[Month]]&lt;&gt;H1083,IF((J1084-I1084&gt;0),J1084-I1084,0),0))</f>
        <v>0</v>
      </c>
      <c r="L1084" s="2">
        <f t="shared" si="16"/>
        <v>3592.2989655359538</v>
      </c>
      <c r="M1084">
        <f>IF(ROW()&lt;3, 0, IF(Query1[[#This Row],[Month]]&lt;&gt;H1083, Dashboard!$J$5,0))</f>
        <v>0</v>
      </c>
      <c r="N1084" s="2">
        <f>IF(ROW()&lt;3, Query1[[#This Row],[Shares]], IF(Query1[[#This Row],[Month]]&lt;&gt;H1083, N1083+Query1[[#This Row],[Fix Top Up]]/Query1[[#This Row],[Adj Close]], N1083))</f>
        <v>3428.8752638662754</v>
      </c>
      <c r="O1084">
        <f>IF(AND(Query1[[#This Row],[avg]]&gt;0, Query1[[#This Row],[Month]]&lt;&gt;H1083),
    IF(Query1[[#This Row],[Adj Close]]&gt;Query1[[#This Row],[avg]],
       Dashboard!$L$5-Dashboard!$E$6,
       Dashboard!$L$5+Dashboard!$E$6
    ), 0
)</f>
        <v>0</v>
      </c>
      <c r="P1084" s="2">
        <f>IF(ROW()&lt;3, Query1[[#This Row],[Shares]], IF(Query1[[#This Row],[Month]]&lt;&gt;H1083, P1083+Query1[[#This Row],[Enhanced top up]]/Query1[[#This Row],[Adj Close]], P1083))</f>
        <v>3419.6573338113703</v>
      </c>
      <c r="Q1084" s="2">
        <f>IFERROR(AVERAGE(
  IF(ROW()&gt;20, INDEX(G:G, ROW()-20), 0) :
  INDEX(G:G, ROW())
),0)</f>
        <v>414.1292259579613</v>
      </c>
    </row>
    <row r="1085" spans="1:17" x14ac:dyDescent="0.4">
      <c r="A1085" s="1">
        <v>45405</v>
      </c>
      <c r="B1085">
        <v>404.239990234375</v>
      </c>
      <c r="C1085">
        <v>408.20001220703125</v>
      </c>
      <c r="D1085">
        <v>403.05999755859375</v>
      </c>
      <c r="E1085">
        <v>407.57000732421875</v>
      </c>
      <c r="F1085">
        <v>15734500</v>
      </c>
      <c r="G1085">
        <v>403.078125</v>
      </c>
      <c r="H1085" s="2">
        <f>MONTH(Query1[[#This Row],[Date]])</f>
        <v>4</v>
      </c>
      <c r="I1085" s="3">
        <f>Query1[[#This Row],[Shares]]*Query1[[#This Row],[Adj Close]]</f>
        <v>1447977.1314676718</v>
      </c>
      <c r="J1085" s="3">
        <f>IF(ROW()&lt;3, Dashboard!$E$7, IF(Query1[[#This Row],[Month]]&lt;&gt;H1084,J1084*(1+Dashboard!$E$4)+Dashboard!$E$5,J1084))</f>
        <v>962754.6980436251</v>
      </c>
      <c r="K1085">
        <f>IF(ROW()&lt;3, 0,IF(Query1[[#This Row],[Month]]&lt;&gt;H1084,IF((J1085-I1085&gt;0),J1085-I1085,0),0))</f>
        <v>0</v>
      </c>
      <c r="L1085" s="2">
        <f t="shared" si="16"/>
        <v>3592.2989655359538</v>
      </c>
      <c r="M1085">
        <f>IF(ROW()&lt;3, 0, IF(Query1[[#This Row],[Month]]&lt;&gt;H1084, Dashboard!$J$5,0))</f>
        <v>0</v>
      </c>
      <c r="N1085" s="2">
        <f>IF(ROW()&lt;3, Query1[[#This Row],[Shares]], IF(Query1[[#This Row],[Month]]&lt;&gt;H1084, N1084+Query1[[#This Row],[Fix Top Up]]/Query1[[#This Row],[Adj Close]], N1084))</f>
        <v>3428.8752638662754</v>
      </c>
      <c r="O1085">
        <f>IF(AND(Query1[[#This Row],[avg]]&gt;0, Query1[[#This Row],[Month]]&lt;&gt;H1084),
    IF(Query1[[#This Row],[Adj Close]]&gt;Query1[[#This Row],[avg]],
       Dashboard!$L$5-Dashboard!$E$6,
       Dashboard!$L$5+Dashboard!$E$6
    ), 0
)</f>
        <v>0</v>
      </c>
      <c r="P1085" s="2">
        <f>IF(ROW()&lt;3, Query1[[#This Row],[Shares]], IF(Query1[[#This Row],[Month]]&lt;&gt;H1084, P1084+Query1[[#This Row],[Enhanced top up]]/Query1[[#This Row],[Adj Close]], P1084))</f>
        <v>3419.6573338113703</v>
      </c>
      <c r="Q1085" s="2">
        <f>IFERROR(AVERAGE(
  IF(ROW()&gt;20, INDEX(G:G, ROW()-20), 0) :
  INDEX(G:G, ROW())
),0)</f>
        <v>413.13224138532365</v>
      </c>
    </row>
    <row r="1086" spans="1:17" x14ac:dyDescent="0.4">
      <c r="A1086" s="1">
        <v>45406</v>
      </c>
      <c r="B1086">
        <v>409.55999755859375</v>
      </c>
      <c r="C1086">
        <v>412.47000122070313</v>
      </c>
      <c r="D1086">
        <v>406.77999877929688</v>
      </c>
      <c r="E1086">
        <v>409.05999755859375</v>
      </c>
      <c r="F1086">
        <v>15065300</v>
      </c>
      <c r="G1086">
        <v>404.55166625976563</v>
      </c>
      <c r="H1086" s="2">
        <f>MONTH(Query1[[#This Row],[Date]])</f>
        <v>4</v>
      </c>
      <c r="I1086" s="3">
        <f>Query1[[#This Row],[Shares]]*Query1[[#This Row],[Adj Close]]</f>
        <v>1453270.5322108024</v>
      </c>
      <c r="J1086" s="3">
        <f>IF(ROW()&lt;3, Dashboard!$E$7, IF(Query1[[#This Row],[Month]]&lt;&gt;H1085,J1085*(1+Dashboard!$E$4)+Dashboard!$E$5,J1085))</f>
        <v>962754.6980436251</v>
      </c>
      <c r="K1086">
        <f>IF(ROW()&lt;3, 0,IF(Query1[[#This Row],[Month]]&lt;&gt;H1085,IF((J1086-I1086&gt;0),J1086-I1086,0),0))</f>
        <v>0</v>
      </c>
      <c r="L1086" s="2">
        <f t="shared" si="16"/>
        <v>3592.2989655359538</v>
      </c>
      <c r="M1086">
        <f>IF(ROW()&lt;3, 0, IF(Query1[[#This Row],[Month]]&lt;&gt;H1085, Dashboard!$J$5,0))</f>
        <v>0</v>
      </c>
      <c r="N1086" s="2">
        <f>IF(ROW()&lt;3, Query1[[#This Row],[Shares]], IF(Query1[[#This Row],[Month]]&lt;&gt;H1085, N1085+Query1[[#This Row],[Fix Top Up]]/Query1[[#This Row],[Adj Close]], N1085))</f>
        <v>3428.8752638662754</v>
      </c>
      <c r="O1086">
        <f>IF(AND(Query1[[#This Row],[avg]]&gt;0, Query1[[#This Row],[Month]]&lt;&gt;H1085),
    IF(Query1[[#This Row],[Adj Close]]&gt;Query1[[#This Row],[avg]],
       Dashboard!$L$5-Dashboard!$E$6,
       Dashboard!$L$5+Dashboard!$E$6
    ), 0
)</f>
        <v>0</v>
      </c>
      <c r="P1086" s="2">
        <f>IF(ROW()&lt;3, Query1[[#This Row],[Shares]], IF(Query1[[#This Row],[Month]]&lt;&gt;H1085, P1085+Query1[[#This Row],[Enhanced top up]]/Query1[[#This Row],[Adj Close]], P1085))</f>
        <v>3419.6573338113703</v>
      </c>
      <c r="Q1086" s="2">
        <f>IFERROR(AVERAGE(
  IF(ROW()&gt;20, INDEX(G:G, ROW()-20), 0) :
  INDEX(G:G, ROW())
),0)</f>
        <v>412.48234049479169</v>
      </c>
    </row>
    <row r="1087" spans="1:17" x14ac:dyDescent="0.4">
      <c r="A1087" s="1">
        <v>45407</v>
      </c>
      <c r="B1087">
        <v>394.02999877929688</v>
      </c>
      <c r="C1087">
        <v>399.8900146484375</v>
      </c>
      <c r="D1087">
        <v>388.02999877929688</v>
      </c>
      <c r="E1087">
        <v>399.04000854492188</v>
      </c>
      <c r="F1087">
        <v>40586500</v>
      </c>
      <c r="G1087">
        <v>394.64212036132813</v>
      </c>
      <c r="H1087" s="2">
        <f>MONTH(Query1[[#This Row],[Date]])</f>
        <v>4</v>
      </c>
      <c r="I1087" s="3">
        <f>Query1[[#This Row],[Shares]]*Query1[[#This Row],[Adj Close]]</f>
        <v>1417672.4807309145</v>
      </c>
      <c r="J1087" s="3">
        <f>IF(ROW()&lt;3, Dashboard!$E$7, IF(Query1[[#This Row],[Month]]&lt;&gt;H1086,J1086*(1+Dashboard!$E$4)+Dashboard!$E$5,J1086))</f>
        <v>962754.6980436251</v>
      </c>
      <c r="K1087">
        <f>IF(ROW()&lt;3, 0,IF(Query1[[#This Row],[Month]]&lt;&gt;H1086,IF((J1087-I1087&gt;0),J1087-I1087,0),0))</f>
        <v>0</v>
      </c>
      <c r="L1087" s="2">
        <f t="shared" si="16"/>
        <v>3592.2989655359538</v>
      </c>
      <c r="M1087">
        <f>IF(ROW()&lt;3, 0, IF(Query1[[#This Row],[Month]]&lt;&gt;H1086, Dashboard!$J$5,0))</f>
        <v>0</v>
      </c>
      <c r="N1087" s="2">
        <f>IF(ROW()&lt;3, Query1[[#This Row],[Shares]], IF(Query1[[#This Row],[Month]]&lt;&gt;H1086, N1086+Query1[[#This Row],[Fix Top Up]]/Query1[[#This Row],[Adj Close]], N1086))</f>
        <v>3428.8752638662754</v>
      </c>
      <c r="O1087">
        <f>IF(AND(Query1[[#This Row],[avg]]&gt;0, Query1[[#This Row],[Month]]&lt;&gt;H1086),
    IF(Query1[[#This Row],[Adj Close]]&gt;Query1[[#This Row],[avg]],
       Dashboard!$L$5-Dashboard!$E$6,
       Dashboard!$L$5+Dashboard!$E$6
    ), 0
)</f>
        <v>0</v>
      </c>
      <c r="P1087" s="2">
        <f>IF(ROW()&lt;3, Query1[[#This Row],[Shares]], IF(Query1[[#This Row],[Month]]&lt;&gt;H1086, P1086+Query1[[#This Row],[Enhanced top up]]/Query1[[#This Row],[Adj Close]], P1086))</f>
        <v>3419.6573338113703</v>
      </c>
      <c r="Q1087" s="2">
        <f>IFERROR(AVERAGE(
  IF(ROW()&gt;20, INDEX(G:G, ROW()-20), 0) :
  INDEX(G:G, ROW())
),0)</f>
        <v>411.41754150390625</v>
      </c>
    </row>
    <row r="1088" spans="1:17" x14ac:dyDescent="0.4">
      <c r="A1088" s="1">
        <v>45408</v>
      </c>
      <c r="B1088">
        <v>412.17001342773438</v>
      </c>
      <c r="C1088">
        <v>413</v>
      </c>
      <c r="D1088">
        <v>405.760009765625</v>
      </c>
      <c r="E1088">
        <v>406.32000732421875</v>
      </c>
      <c r="F1088">
        <v>29694700</v>
      </c>
      <c r="G1088">
        <v>401.84185791015625</v>
      </c>
      <c r="H1088" s="2">
        <f>MONTH(Query1[[#This Row],[Date]])</f>
        <v>4</v>
      </c>
      <c r="I1088" s="3">
        <f>Query1[[#This Row],[Shares]]*Query1[[#This Row],[Adj Close]]</f>
        <v>1443536.0904797001</v>
      </c>
      <c r="J1088" s="3">
        <f>IF(ROW()&lt;3, Dashboard!$E$7, IF(Query1[[#This Row],[Month]]&lt;&gt;H1087,J1087*(1+Dashboard!$E$4)+Dashboard!$E$5,J1087))</f>
        <v>962754.6980436251</v>
      </c>
      <c r="K1088">
        <f>IF(ROW()&lt;3, 0,IF(Query1[[#This Row],[Month]]&lt;&gt;H1087,IF((J1088-I1088&gt;0),J1088-I1088,0),0))</f>
        <v>0</v>
      </c>
      <c r="L1088" s="2">
        <f t="shared" si="16"/>
        <v>3592.2989655359538</v>
      </c>
      <c r="M1088">
        <f>IF(ROW()&lt;3, 0, IF(Query1[[#This Row],[Month]]&lt;&gt;H1087, Dashboard!$J$5,0))</f>
        <v>0</v>
      </c>
      <c r="N1088" s="2">
        <f>IF(ROW()&lt;3, Query1[[#This Row],[Shares]], IF(Query1[[#This Row],[Month]]&lt;&gt;H1087, N1087+Query1[[#This Row],[Fix Top Up]]/Query1[[#This Row],[Adj Close]], N1087))</f>
        <v>3428.8752638662754</v>
      </c>
      <c r="O1088">
        <f>IF(AND(Query1[[#This Row],[avg]]&gt;0, Query1[[#This Row],[Month]]&lt;&gt;H1087),
    IF(Query1[[#This Row],[Adj Close]]&gt;Query1[[#This Row],[avg]],
       Dashboard!$L$5-Dashboard!$E$6,
       Dashboard!$L$5+Dashboard!$E$6
    ), 0
)</f>
        <v>0</v>
      </c>
      <c r="P1088" s="2">
        <f>IF(ROW()&lt;3, Query1[[#This Row],[Shares]], IF(Query1[[#This Row],[Month]]&lt;&gt;H1087, P1087+Query1[[#This Row],[Enhanced top up]]/Query1[[#This Row],[Adj Close]], P1087))</f>
        <v>3419.6573338113703</v>
      </c>
      <c r="Q1088" s="2">
        <f>IFERROR(AVERAGE(
  IF(ROW()&gt;20, INDEX(G:G, ROW()-20), 0) :
  INDEX(G:G, ROW())
),0)</f>
        <v>410.70594860258558</v>
      </c>
    </row>
    <row r="1089" spans="1:17" x14ac:dyDescent="0.4">
      <c r="A1089" s="1">
        <v>45411</v>
      </c>
      <c r="B1089">
        <v>405.25</v>
      </c>
      <c r="C1089">
        <v>406.32000732421875</v>
      </c>
      <c r="D1089">
        <v>399.19000244140625</v>
      </c>
      <c r="E1089">
        <v>402.25</v>
      </c>
      <c r="F1089">
        <v>19582100</v>
      </c>
      <c r="G1089">
        <v>397.81671142578125</v>
      </c>
      <c r="H1089" s="2">
        <f>MONTH(Query1[[#This Row],[Date]])</f>
        <v>4</v>
      </c>
      <c r="I1089" s="3">
        <f>Query1[[#This Row],[Shares]]*Query1[[#This Row],[Adj Close]]</f>
        <v>1429076.5609277491</v>
      </c>
      <c r="J1089" s="3">
        <f>IF(ROW()&lt;3, Dashboard!$E$7, IF(Query1[[#This Row],[Month]]&lt;&gt;H1088,J1088*(1+Dashboard!$E$4)+Dashboard!$E$5,J1088))</f>
        <v>962754.6980436251</v>
      </c>
      <c r="K1089">
        <f>IF(ROW()&lt;3, 0,IF(Query1[[#This Row],[Month]]&lt;&gt;H1088,IF((J1089-I1089&gt;0),J1089-I1089,0),0))</f>
        <v>0</v>
      </c>
      <c r="L1089" s="2">
        <f t="shared" si="16"/>
        <v>3592.2989655359538</v>
      </c>
      <c r="M1089">
        <f>IF(ROW()&lt;3, 0, IF(Query1[[#This Row],[Month]]&lt;&gt;H1088, Dashboard!$J$5,0))</f>
        <v>0</v>
      </c>
      <c r="N1089" s="2">
        <f>IF(ROW()&lt;3, Query1[[#This Row],[Shares]], IF(Query1[[#This Row],[Month]]&lt;&gt;H1088, N1088+Query1[[#This Row],[Fix Top Up]]/Query1[[#This Row],[Adj Close]], N1088))</f>
        <v>3428.8752638662754</v>
      </c>
      <c r="O1089">
        <f>IF(AND(Query1[[#This Row],[avg]]&gt;0, Query1[[#This Row],[Month]]&lt;&gt;H1088),
    IF(Query1[[#This Row],[Adj Close]]&gt;Query1[[#This Row],[avg]],
       Dashboard!$L$5-Dashboard!$E$6,
       Dashboard!$L$5+Dashboard!$E$6
    ), 0
)</f>
        <v>0</v>
      </c>
      <c r="P1089" s="2">
        <f>IF(ROW()&lt;3, Query1[[#This Row],[Shares]], IF(Query1[[#This Row],[Month]]&lt;&gt;H1088, P1088+Query1[[#This Row],[Enhanced top up]]/Query1[[#This Row],[Adj Close]], P1088))</f>
        <v>3419.6573338113703</v>
      </c>
      <c r="Q1089" s="2">
        <f>IFERROR(AVERAGE(
  IF(ROW()&gt;20, INDEX(G:G, ROW()-20), 0) :
  INDEX(G:G, ROW())
),0)</f>
        <v>409.83611769903274</v>
      </c>
    </row>
    <row r="1090" spans="1:17" x14ac:dyDescent="0.4">
      <c r="A1090" s="1">
        <v>45412</v>
      </c>
      <c r="B1090">
        <v>401.489990234375</v>
      </c>
      <c r="C1090">
        <v>402.16000366210938</v>
      </c>
      <c r="D1090">
        <v>389.17001342773438</v>
      </c>
      <c r="E1090">
        <v>389.32998657226563</v>
      </c>
      <c r="F1090">
        <v>28781400</v>
      </c>
      <c r="G1090">
        <v>385.03909301757813</v>
      </c>
      <c r="H1090" s="2">
        <f>MONTH(Query1[[#This Row],[Date]])</f>
        <v>4</v>
      </c>
      <c r="I1090" s="3">
        <f>Query1[[#This Row],[Shares]]*Query1[[#This Row],[Adj Close]]</f>
        <v>1383175.5355379479</v>
      </c>
      <c r="J1090" s="3">
        <f>IF(ROW()&lt;3, Dashboard!$E$7, IF(Query1[[#This Row],[Month]]&lt;&gt;H1089,J1089*(1+Dashboard!$E$4)+Dashboard!$E$5,J1089))</f>
        <v>962754.6980436251</v>
      </c>
      <c r="K1090">
        <f>IF(ROW()&lt;3, 0,IF(Query1[[#This Row],[Month]]&lt;&gt;H1089,IF((J1090-I1090&gt;0),J1090-I1090,0),0))</f>
        <v>0</v>
      </c>
      <c r="L1090" s="2">
        <f t="shared" ref="L1090:L1153" si="17">IF(ROW()&lt;3, J1090/G1090, L1089+K1089/G1089)</f>
        <v>3592.2989655359538</v>
      </c>
      <c r="M1090">
        <f>IF(ROW()&lt;3, 0, IF(Query1[[#This Row],[Month]]&lt;&gt;H1089, Dashboard!$J$5,0))</f>
        <v>0</v>
      </c>
      <c r="N1090" s="2">
        <f>IF(ROW()&lt;3, Query1[[#This Row],[Shares]], IF(Query1[[#This Row],[Month]]&lt;&gt;H1089, N1089+Query1[[#This Row],[Fix Top Up]]/Query1[[#This Row],[Adj Close]], N1089))</f>
        <v>3428.8752638662754</v>
      </c>
      <c r="O1090">
        <f>IF(AND(Query1[[#This Row],[avg]]&gt;0, Query1[[#This Row],[Month]]&lt;&gt;H1089),
    IF(Query1[[#This Row],[Adj Close]]&gt;Query1[[#This Row],[avg]],
       Dashboard!$L$5-Dashboard!$E$6,
       Dashboard!$L$5+Dashboard!$E$6
    ), 0
)</f>
        <v>0</v>
      </c>
      <c r="P1090" s="2">
        <f>IF(ROW()&lt;3, Query1[[#This Row],[Shares]], IF(Query1[[#This Row],[Month]]&lt;&gt;H1089, P1089+Query1[[#This Row],[Enhanced top up]]/Query1[[#This Row],[Adj Close]], P1089))</f>
        <v>3419.6573338113703</v>
      </c>
      <c r="Q1090" s="2">
        <f>IFERROR(AVERAGE(
  IF(ROW()&gt;20, INDEX(G:G, ROW()-20), 0) :
  INDEX(G:G, ROW())
),0)</f>
        <v>408.17651512509303</v>
      </c>
    </row>
    <row r="1091" spans="1:17" x14ac:dyDescent="0.4">
      <c r="A1091" s="1">
        <v>45413</v>
      </c>
      <c r="B1091">
        <v>392.6099853515625</v>
      </c>
      <c r="C1091">
        <v>401.72000122070313</v>
      </c>
      <c r="D1091">
        <v>390.30999755859375</v>
      </c>
      <c r="E1091">
        <v>394.94000244140625</v>
      </c>
      <c r="F1091">
        <v>23562500</v>
      </c>
      <c r="G1091">
        <v>390.5872802734375</v>
      </c>
      <c r="H1091" s="2">
        <f>MONTH(Query1[[#This Row],[Date]])</f>
        <v>5</v>
      </c>
      <c r="I1091" s="3">
        <f>Query1[[#This Row],[Shares]]*Query1[[#This Row],[Adj Close]]</f>
        <v>1403106.2828777712</v>
      </c>
      <c r="J1091" s="3">
        <f>IF(ROW()&lt;3, Dashboard!$E$7, IF(Query1[[#This Row],[Month]]&lt;&gt;H1090,J1090*(1+Dashboard!$E$4)+Dashboard!$E$5,J1090))</f>
        <v>974382.24502406141</v>
      </c>
      <c r="K1091">
        <f>IF(ROW()&lt;3, 0,IF(Query1[[#This Row],[Month]]&lt;&gt;H1090,IF((J1091-I1091&gt;0),J1091-I1091,0),0))</f>
        <v>0</v>
      </c>
      <c r="L1091" s="2">
        <f t="shared" si="17"/>
        <v>3592.2989655359538</v>
      </c>
      <c r="M1091">
        <f>IF(ROW()&lt;3, 0, IF(Query1[[#This Row],[Month]]&lt;&gt;H1090, Dashboard!$J$5,0))</f>
        <v>773.47399999999971</v>
      </c>
      <c r="N1091" s="2">
        <f>IF(ROW()&lt;3, Query1[[#This Row],[Shares]], IF(Query1[[#This Row],[Month]]&lt;&gt;H1090, N1090+Query1[[#This Row],[Fix Top Up]]/Query1[[#This Row],[Adj Close]], N1090))</f>
        <v>3430.8555485275128</v>
      </c>
      <c r="O1091">
        <f>IF(AND(Query1[[#This Row],[avg]]&gt;0, Query1[[#This Row],[Month]]&lt;&gt;H1090),
    IF(Query1[[#This Row],[Adj Close]]&gt;Query1[[#This Row],[avg]],
       Dashboard!$L$5-Dashboard!$E$6,
       Dashboard!$L$5+Dashboard!$E$6
    ), 0
)</f>
        <v>1390.1406666666667</v>
      </c>
      <c r="P1091" s="2">
        <f>IF(ROW()&lt;3, Query1[[#This Row],[Shares]], IF(Query1[[#This Row],[Month]]&lt;&gt;H1090, P1090+Query1[[#This Row],[Enhanced top up]]/Query1[[#This Row],[Adj Close]], P1090))</f>
        <v>3423.216437593996</v>
      </c>
      <c r="Q1091" s="2">
        <f>IFERROR(AVERAGE(
  IF(ROW()&gt;20, INDEX(G:G, ROW()-20), 0) :
  INDEX(G:G, ROW())
),0)</f>
        <v>406.92851620628721</v>
      </c>
    </row>
    <row r="1092" spans="1:17" x14ac:dyDescent="0.4">
      <c r="A1092" s="1">
        <v>45414</v>
      </c>
      <c r="B1092">
        <v>397.66000366210938</v>
      </c>
      <c r="C1092">
        <v>399.92999267578125</v>
      </c>
      <c r="D1092">
        <v>394.64999389648438</v>
      </c>
      <c r="E1092">
        <v>397.83999633789063</v>
      </c>
      <c r="F1092">
        <v>17709400</v>
      </c>
      <c r="G1092">
        <v>393.455322265625</v>
      </c>
      <c r="H1092" s="2">
        <f>MONTH(Query1[[#This Row],[Date]])</f>
        <v>5</v>
      </c>
      <c r="I1092" s="3">
        <f>Query1[[#This Row],[Shares]]*Query1[[#This Row],[Adj Close]]</f>
        <v>1413409.14715942</v>
      </c>
      <c r="J1092" s="3">
        <f>IF(ROW()&lt;3, Dashboard!$E$7, IF(Query1[[#This Row],[Month]]&lt;&gt;H1091,J1091*(1+Dashboard!$E$4)+Dashboard!$E$5,J1091))</f>
        <v>974382.24502406141</v>
      </c>
      <c r="K1092">
        <f>IF(ROW()&lt;3, 0,IF(Query1[[#This Row],[Month]]&lt;&gt;H1091,IF((J1092-I1092&gt;0),J1092-I1092,0),0))</f>
        <v>0</v>
      </c>
      <c r="L1092" s="2">
        <f t="shared" si="17"/>
        <v>3592.2989655359538</v>
      </c>
      <c r="M1092">
        <f>IF(ROW()&lt;3, 0, IF(Query1[[#This Row],[Month]]&lt;&gt;H1091, Dashboard!$J$5,0))</f>
        <v>0</v>
      </c>
      <c r="N1092" s="2">
        <f>IF(ROW()&lt;3, Query1[[#This Row],[Shares]], IF(Query1[[#This Row],[Month]]&lt;&gt;H1091, N1091+Query1[[#This Row],[Fix Top Up]]/Query1[[#This Row],[Adj Close]], N1091))</f>
        <v>3430.8555485275128</v>
      </c>
      <c r="O1092">
        <f>IF(AND(Query1[[#This Row],[avg]]&gt;0, Query1[[#This Row],[Month]]&lt;&gt;H1091),
    IF(Query1[[#This Row],[Adj Close]]&gt;Query1[[#This Row],[avg]],
       Dashboard!$L$5-Dashboard!$E$6,
       Dashboard!$L$5+Dashboard!$E$6
    ), 0
)</f>
        <v>0</v>
      </c>
      <c r="P1092" s="2">
        <f>IF(ROW()&lt;3, Query1[[#This Row],[Shares]], IF(Query1[[#This Row],[Month]]&lt;&gt;H1091, P1091+Query1[[#This Row],[Enhanced top up]]/Query1[[#This Row],[Adj Close]], P1091))</f>
        <v>3423.216437593996</v>
      </c>
      <c r="Q1092" s="2">
        <f>IFERROR(AVERAGE(
  IF(ROW()&gt;20, INDEX(G:G, ROW()-20), 0) :
  INDEX(G:G, ROW())
),0)</f>
        <v>405.8637157621838</v>
      </c>
    </row>
    <row r="1093" spans="1:17" x14ac:dyDescent="0.4">
      <c r="A1093" s="1">
        <v>45415</v>
      </c>
      <c r="B1093">
        <v>402.27999877929688</v>
      </c>
      <c r="C1093">
        <v>407.14999389648438</v>
      </c>
      <c r="D1093">
        <v>401.8599853515625</v>
      </c>
      <c r="E1093">
        <v>406.66000366210938</v>
      </c>
      <c r="F1093">
        <v>17446700</v>
      </c>
      <c r="G1093">
        <v>402.1781005859375</v>
      </c>
      <c r="H1093" s="2">
        <f>MONTH(Query1[[#This Row],[Date]])</f>
        <v>5</v>
      </c>
      <c r="I1093" s="3">
        <f>Query1[[#This Row],[Shares]]*Query1[[#This Row],[Adj Close]]</f>
        <v>1444743.9746960781</v>
      </c>
      <c r="J1093" s="3">
        <f>IF(ROW()&lt;3, Dashboard!$E$7, IF(Query1[[#This Row],[Month]]&lt;&gt;H1092,J1092*(1+Dashboard!$E$4)+Dashboard!$E$5,J1092))</f>
        <v>974382.24502406141</v>
      </c>
      <c r="K1093">
        <f>IF(ROW()&lt;3, 0,IF(Query1[[#This Row],[Month]]&lt;&gt;H1092,IF((J1093-I1093&gt;0),J1093-I1093,0),0))</f>
        <v>0</v>
      </c>
      <c r="L1093" s="2">
        <f t="shared" si="17"/>
        <v>3592.2989655359538</v>
      </c>
      <c r="M1093">
        <f>IF(ROW()&lt;3, 0, IF(Query1[[#This Row],[Month]]&lt;&gt;H1092, Dashboard!$J$5,0))</f>
        <v>0</v>
      </c>
      <c r="N1093" s="2">
        <f>IF(ROW()&lt;3, Query1[[#This Row],[Shares]], IF(Query1[[#This Row],[Month]]&lt;&gt;H1092, N1092+Query1[[#This Row],[Fix Top Up]]/Query1[[#This Row],[Adj Close]], N1092))</f>
        <v>3430.8555485275128</v>
      </c>
      <c r="O1093">
        <f>IF(AND(Query1[[#This Row],[avg]]&gt;0, Query1[[#This Row],[Month]]&lt;&gt;H1092),
    IF(Query1[[#This Row],[Adj Close]]&gt;Query1[[#This Row],[avg]],
       Dashboard!$L$5-Dashboard!$E$6,
       Dashboard!$L$5+Dashboard!$E$6
    ), 0
)</f>
        <v>0</v>
      </c>
      <c r="P1093" s="2">
        <f>IF(ROW()&lt;3, Query1[[#This Row],[Shares]], IF(Query1[[#This Row],[Month]]&lt;&gt;H1092, P1092+Query1[[#This Row],[Enhanced top up]]/Query1[[#This Row],[Adj Close]], P1092))</f>
        <v>3423.216437593996</v>
      </c>
      <c r="Q1093" s="2">
        <f>IFERROR(AVERAGE(
  IF(ROW()&gt;20, INDEX(G:G, ROW()-20), 0) :
  INDEX(G:G, ROW())
),0)</f>
        <v>405.33531552269346</v>
      </c>
    </row>
    <row r="1094" spans="1:17" x14ac:dyDescent="0.4">
      <c r="A1094" s="1">
        <v>45418</v>
      </c>
      <c r="B1094">
        <v>408.760009765625</v>
      </c>
      <c r="C1094">
        <v>413.92999267578125</v>
      </c>
      <c r="D1094">
        <v>406.3699951171875</v>
      </c>
      <c r="E1094">
        <v>413.54000854492188</v>
      </c>
      <c r="F1094">
        <v>16996600</v>
      </c>
      <c r="G1094">
        <v>408.9822998046875</v>
      </c>
      <c r="H1094" s="2">
        <f>MONTH(Query1[[#This Row],[Date]])</f>
        <v>5</v>
      </c>
      <c r="I1094" s="3">
        <f>Query1[[#This Row],[Shares]]*Query1[[#This Row],[Adj Close]]</f>
        <v>1469186.6925108943</v>
      </c>
      <c r="J1094" s="3">
        <f>IF(ROW()&lt;3, Dashboard!$E$7, IF(Query1[[#This Row],[Month]]&lt;&gt;H1093,J1093*(1+Dashboard!$E$4)+Dashboard!$E$5,J1093))</f>
        <v>974382.24502406141</v>
      </c>
      <c r="K1094">
        <f>IF(ROW()&lt;3, 0,IF(Query1[[#This Row],[Month]]&lt;&gt;H1093,IF((J1094-I1094&gt;0),J1094-I1094,0),0))</f>
        <v>0</v>
      </c>
      <c r="L1094" s="2">
        <f t="shared" si="17"/>
        <v>3592.2989655359538</v>
      </c>
      <c r="M1094">
        <f>IF(ROW()&lt;3, 0, IF(Query1[[#This Row],[Month]]&lt;&gt;H1093, Dashboard!$J$5,0))</f>
        <v>0</v>
      </c>
      <c r="N1094" s="2">
        <f>IF(ROW()&lt;3, Query1[[#This Row],[Shares]], IF(Query1[[#This Row],[Month]]&lt;&gt;H1093, N1093+Query1[[#This Row],[Fix Top Up]]/Query1[[#This Row],[Adj Close]], N1093))</f>
        <v>3430.8555485275128</v>
      </c>
      <c r="O1094">
        <f>IF(AND(Query1[[#This Row],[avg]]&gt;0, Query1[[#This Row],[Month]]&lt;&gt;H1093),
    IF(Query1[[#This Row],[Adj Close]]&gt;Query1[[#This Row],[avg]],
       Dashboard!$L$5-Dashboard!$E$6,
       Dashboard!$L$5+Dashboard!$E$6
    ), 0
)</f>
        <v>0</v>
      </c>
      <c r="P1094" s="2">
        <f>IF(ROW()&lt;3, Query1[[#This Row],[Shares]], IF(Query1[[#This Row],[Month]]&lt;&gt;H1093, P1093+Query1[[#This Row],[Enhanced top up]]/Query1[[#This Row],[Adj Close]], P1093))</f>
        <v>3423.216437593996</v>
      </c>
      <c r="Q1094" s="2">
        <f>IFERROR(AVERAGE(
  IF(ROW()&gt;20, INDEX(G:G, ROW()-20), 0) :
  INDEX(G:G, ROW())
),0)</f>
        <v>404.77112833658856</v>
      </c>
    </row>
    <row r="1095" spans="1:17" x14ac:dyDescent="0.4">
      <c r="A1095" s="1">
        <v>45419</v>
      </c>
      <c r="B1095">
        <v>414.66000366210938</v>
      </c>
      <c r="C1095">
        <v>414.67001342773438</v>
      </c>
      <c r="D1095">
        <v>409.08999633789063</v>
      </c>
      <c r="E1095">
        <v>409.33999633789063</v>
      </c>
      <c r="F1095">
        <v>20018200</v>
      </c>
      <c r="G1095">
        <v>404.82855224609375</v>
      </c>
      <c r="H1095" s="2">
        <f>MONTH(Query1[[#This Row],[Date]])</f>
        <v>5</v>
      </c>
      <c r="I1095" s="3">
        <f>Query1[[#This Row],[Shares]]*Query1[[#This Row],[Adj Close]]</f>
        <v>1454265.1894530605</v>
      </c>
      <c r="J1095" s="3">
        <f>IF(ROW()&lt;3, Dashboard!$E$7, IF(Query1[[#This Row],[Month]]&lt;&gt;H1094,J1094*(1+Dashboard!$E$4)+Dashboard!$E$5,J1094))</f>
        <v>974382.24502406141</v>
      </c>
      <c r="K1095">
        <f>IF(ROW()&lt;3, 0,IF(Query1[[#This Row],[Month]]&lt;&gt;H1094,IF((J1095-I1095&gt;0),J1095-I1095,0),0))</f>
        <v>0</v>
      </c>
      <c r="L1095" s="2">
        <f t="shared" si="17"/>
        <v>3592.2989655359538</v>
      </c>
      <c r="M1095">
        <f>IF(ROW()&lt;3, 0, IF(Query1[[#This Row],[Month]]&lt;&gt;H1094, Dashboard!$J$5,0))</f>
        <v>0</v>
      </c>
      <c r="N1095" s="2">
        <f>IF(ROW()&lt;3, Query1[[#This Row],[Shares]], IF(Query1[[#This Row],[Month]]&lt;&gt;H1094, N1094+Query1[[#This Row],[Fix Top Up]]/Query1[[#This Row],[Adj Close]], N1094))</f>
        <v>3430.8555485275128</v>
      </c>
      <c r="O1095">
        <f>IF(AND(Query1[[#This Row],[avg]]&gt;0, Query1[[#This Row],[Month]]&lt;&gt;H1094),
    IF(Query1[[#This Row],[Adj Close]]&gt;Query1[[#This Row],[avg]],
       Dashboard!$L$5-Dashboard!$E$6,
       Dashboard!$L$5+Dashboard!$E$6
    ), 0
)</f>
        <v>0</v>
      </c>
      <c r="P1095" s="2">
        <f>IF(ROW()&lt;3, Query1[[#This Row],[Shares]], IF(Query1[[#This Row],[Month]]&lt;&gt;H1094, P1094+Query1[[#This Row],[Enhanced top up]]/Query1[[#This Row],[Adj Close]], P1094))</f>
        <v>3423.216437593996</v>
      </c>
      <c r="Q1095" s="2">
        <f>IFERROR(AVERAGE(
  IF(ROW()&gt;20, INDEX(G:G, ROW()-20), 0) :
  INDEX(G:G, ROW())
),0)</f>
        <v>404.05294073195682</v>
      </c>
    </row>
    <row r="1096" spans="1:17" x14ac:dyDescent="0.4">
      <c r="A1096" s="1">
        <v>45420</v>
      </c>
      <c r="B1096">
        <v>408.17001342773438</v>
      </c>
      <c r="C1096">
        <v>412.23001098632813</v>
      </c>
      <c r="D1096">
        <v>406.70999145507813</v>
      </c>
      <c r="E1096">
        <v>410.54000854492188</v>
      </c>
      <c r="F1096">
        <v>11792300</v>
      </c>
      <c r="G1096">
        <v>406.015380859375</v>
      </c>
      <c r="H1096" s="2">
        <f>MONTH(Query1[[#This Row],[Date]])</f>
        <v>5</v>
      </c>
      <c r="I1096" s="3">
        <f>Query1[[#This Row],[Shares]]*Query1[[#This Row],[Adj Close]]</f>
        <v>1458528.6326528192</v>
      </c>
      <c r="J1096" s="3">
        <f>IF(ROW()&lt;3, Dashboard!$E$7, IF(Query1[[#This Row],[Month]]&lt;&gt;H1095,J1095*(1+Dashboard!$E$4)+Dashboard!$E$5,J1095))</f>
        <v>974382.24502406141</v>
      </c>
      <c r="K1096">
        <f>IF(ROW()&lt;3, 0,IF(Query1[[#This Row],[Month]]&lt;&gt;H1095,IF((J1096-I1096&gt;0),J1096-I1096,0),0))</f>
        <v>0</v>
      </c>
      <c r="L1096" s="2">
        <f t="shared" si="17"/>
        <v>3592.2989655359538</v>
      </c>
      <c r="M1096">
        <f>IF(ROW()&lt;3, 0, IF(Query1[[#This Row],[Month]]&lt;&gt;H1095, Dashboard!$J$5,0))</f>
        <v>0</v>
      </c>
      <c r="N1096" s="2">
        <f>IF(ROW()&lt;3, Query1[[#This Row],[Shares]], IF(Query1[[#This Row],[Month]]&lt;&gt;H1095, N1095+Query1[[#This Row],[Fix Top Up]]/Query1[[#This Row],[Adj Close]], N1095))</f>
        <v>3430.8555485275128</v>
      </c>
      <c r="O1096">
        <f>IF(AND(Query1[[#This Row],[avg]]&gt;0, Query1[[#This Row],[Month]]&lt;&gt;H1095),
    IF(Query1[[#This Row],[Adj Close]]&gt;Query1[[#This Row],[avg]],
       Dashboard!$L$5-Dashboard!$E$6,
       Dashboard!$L$5+Dashboard!$E$6
    ), 0
)</f>
        <v>0</v>
      </c>
      <c r="P1096" s="2">
        <f>IF(ROW()&lt;3, Query1[[#This Row],[Shares]], IF(Query1[[#This Row],[Month]]&lt;&gt;H1095, P1095+Query1[[#This Row],[Enhanced top up]]/Query1[[#This Row],[Adj Close]], P1095))</f>
        <v>3423.216437593996</v>
      </c>
      <c r="Q1096" s="2">
        <f>IFERROR(AVERAGE(
  IF(ROW()&gt;20, INDEX(G:G, ROW()-20), 0) :
  INDEX(G:G, ROW())
),0)</f>
        <v>403.31167893182663</v>
      </c>
    </row>
    <row r="1097" spans="1:17" x14ac:dyDescent="0.4">
      <c r="A1097" s="1">
        <v>45421</v>
      </c>
      <c r="B1097">
        <v>410.57000732421875</v>
      </c>
      <c r="C1097">
        <v>412.72000122070313</v>
      </c>
      <c r="D1097">
        <v>409.10000610351563</v>
      </c>
      <c r="E1097">
        <v>412.32000732421875</v>
      </c>
      <c r="F1097">
        <v>14689700</v>
      </c>
      <c r="G1097">
        <v>407.7757568359375</v>
      </c>
      <c r="H1097" s="2">
        <f>MONTH(Query1[[#This Row],[Date]])</f>
        <v>5</v>
      </c>
      <c r="I1097" s="3">
        <f>Query1[[#This Row],[Shares]]*Query1[[#This Row],[Adj Close]]</f>
        <v>1464852.429452379</v>
      </c>
      <c r="J1097" s="3">
        <f>IF(ROW()&lt;3, Dashboard!$E$7, IF(Query1[[#This Row],[Month]]&lt;&gt;H1096,J1096*(1+Dashboard!$E$4)+Dashboard!$E$5,J1096))</f>
        <v>974382.24502406141</v>
      </c>
      <c r="K1097">
        <f>IF(ROW()&lt;3, 0,IF(Query1[[#This Row],[Month]]&lt;&gt;H1096,IF((J1097-I1097&gt;0),J1097-I1097,0),0))</f>
        <v>0</v>
      </c>
      <c r="L1097" s="2">
        <f t="shared" si="17"/>
        <v>3592.2989655359538</v>
      </c>
      <c r="M1097">
        <f>IF(ROW()&lt;3, 0, IF(Query1[[#This Row],[Month]]&lt;&gt;H1096, Dashboard!$J$5,0))</f>
        <v>0</v>
      </c>
      <c r="N1097" s="2">
        <f>IF(ROW()&lt;3, Query1[[#This Row],[Shares]], IF(Query1[[#This Row],[Month]]&lt;&gt;H1096, N1096+Query1[[#This Row],[Fix Top Up]]/Query1[[#This Row],[Adj Close]], N1096))</f>
        <v>3430.8555485275128</v>
      </c>
      <c r="O1097">
        <f>IF(AND(Query1[[#This Row],[avg]]&gt;0, Query1[[#This Row],[Month]]&lt;&gt;H1096),
    IF(Query1[[#This Row],[Adj Close]]&gt;Query1[[#This Row],[avg]],
       Dashboard!$L$5-Dashboard!$E$6,
       Dashboard!$L$5+Dashboard!$E$6
    ), 0
)</f>
        <v>0</v>
      </c>
      <c r="P1097" s="2">
        <f>IF(ROW()&lt;3, Query1[[#This Row],[Shares]], IF(Query1[[#This Row],[Month]]&lt;&gt;H1096, P1096+Query1[[#This Row],[Enhanced top up]]/Query1[[#This Row],[Adj Close]], P1096))</f>
        <v>3423.216437593996</v>
      </c>
      <c r="Q1097" s="2">
        <f>IFERROR(AVERAGE(
  IF(ROW()&gt;20, INDEX(G:G, ROW()-20), 0) :
  INDEX(G:G, ROW())
),0)</f>
        <v>402.79646664574034</v>
      </c>
    </row>
    <row r="1098" spans="1:17" x14ac:dyDescent="0.4">
      <c r="A1098" s="1">
        <v>45422</v>
      </c>
      <c r="B1098">
        <v>412.94000244140625</v>
      </c>
      <c r="C1098">
        <v>415.3800048828125</v>
      </c>
      <c r="D1098">
        <v>411.79998779296875</v>
      </c>
      <c r="E1098">
        <v>414.739990234375</v>
      </c>
      <c r="F1098">
        <v>13402300</v>
      </c>
      <c r="G1098">
        <v>410.16903686523438</v>
      </c>
      <c r="H1098" s="2">
        <f>MONTH(Query1[[#This Row],[Date]])</f>
        <v>5</v>
      </c>
      <c r="I1098" s="3">
        <f>Query1[[#This Row],[Shares]]*Query1[[#This Row],[Adj Close]]</f>
        <v>1473449.8068258599</v>
      </c>
      <c r="J1098" s="3">
        <f>IF(ROW()&lt;3, Dashboard!$E$7, IF(Query1[[#This Row],[Month]]&lt;&gt;H1097,J1097*(1+Dashboard!$E$4)+Dashboard!$E$5,J1097))</f>
        <v>974382.24502406141</v>
      </c>
      <c r="K1098">
        <f>IF(ROW()&lt;3, 0,IF(Query1[[#This Row],[Month]]&lt;&gt;H1097,IF((J1098-I1098&gt;0),J1098-I1098,0),0))</f>
        <v>0</v>
      </c>
      <c r="L1098" s="2">
        <f t="shared" si="17"/>
        <v>3592.2989655359538</v>
      </c>
      <c r="M1098">
        <f>IF(ROW()&lt;3, 0, IF(Query1[[#This Row],[Month]]&lt;&gt;H1097, Dashboard!$J$5,0))</f>
        <v>0</v>
      </c>
      <c r="N1098" s="2">
        <f>IF(ROW()&lt;3, Query1[[#This Row],[Shares]], IF(Query1[[#This Row],[Month]]&lt;&gt;H1097, N1097+Query1[[#This Row],[Fix Top Up]]/Query1[[#This Row],[Adj Close]], N1097))</f>
        <v>3430.8555485275128</v>
      </c>
      <c r="O1098">
        <f>IF(AND(Query1[[#This Row],[avg]]&gt;0, Query1[[#This Row],[Month]]&lt;&gt;H1097),
    IF(Query1[[#This Row],[Adj Close]]&gt;Query1[[#This Row],[avg]],
       Dashboard!$L$5-Dashboard!$E$6,
       Dashboard!$L$5+Dashboard!$E$6
    ), 0
)</f>
        <v>0</v>
      </c>
      <c r="P1098" s="2">
        <f>IF(ROW()&lt;3, Query1[[#This Row],[Shares]], IF(Query1[[#This Row],[Month]]&lt;&gt;H1097, P1097+Query1[[#This Row],[Enhanced top up]]/Query1[[#This Row],[Adj Close]], P1097))</f>
        <v>3423.216437593996</v>
      </c>
      <c r="Q1098" s="2">
        <f>IFERROR(AVERAGE(
  IF(ROW()&gt;20, INDEX(G:G, ROW()-20), 0) :
  INDEX(G:G, ROW())
),0)</f>
        <v>402.17529296875</v>
      </c>
    </row>
    <row r="1099" spans="1:17" x14ac:dyDescent="0.4">
      <c r="A1099" s="1">
        <v>45425</v>
      </c>
      <c r="B1099">
        <v>418.010009765625</v>
      </c>
      <c r="C1099">
        <v>418.35000610351563</v>
      </c>
      <c r="D1099">
        <v>410.82000732421875</v>
      </c>
      <c r="E1099">
        <v>413.72000122070313</v>
      </c>
      <c r="F1099">
        <v>15440200</v>
      </c>
      <c r="G1099">
        <v>409.16033935546875</v>
      </c>
      <c r="H1099" s="2">
        <f>MONTH(Query1[[#This Row],[Date]])</f>
        <v>5</v>
      </c>
      <c r="I1099" s="3">
        <f>Query1[[#This Row],[Shares]]*Query1[[#This Row],[Adj Close]]</f>
        <v>1469826.2638049901</v>
      </c>
      <c r="J1099" s="3">
        <f>IF(ROW()&lt;3, Dashboard!$E$7, IF(Query1[[#This Row],[Month]]&lt;&gt;H1098,J1098*(1+Dashboard!$E$4)+Dashboard!$E$5,J1098))</f>
        <v>974382.24502406141</v>
      </c>
      <c r="K1099">
        <f>IF(ROW()&lt;3, 0,IF(Query1[[#This Row],[Month]]&lt;&gt;H1098,IF((J1099-I1099&gt;0),J1099-I1099,0),0))</f>
        <v>0</v>
      </c>
      <c r="L1099" s="2">
        <f t="shared" si="17"/>
        <v>3592.2989655359538</v>
      </c>
      <c r="M1099">
        <f>IF(ROW()&lt;3, 0, IF(Query1[[#This Row],[Month]]&lt;&gt;H1098, Dashboard!$J$5,0))</f>
        <v>0</v>
      </c>
      <c r="N1099" s="2">
        <f>IF(ROW()&lt;3, Query1[[#This Row],[Shares]], IF(Query1[[#This Row],[Month]]&lt;&gt;H1098, N1098+Query1[[#This Row],[Fix Top Up]]/Query1[[#This Row],[Adj Close]], N1098))</f>
        <v>3430.8555485275128</v>
      </c>
      <c r="O1099">
        <f>IF(AND(Query1[[#This Row],[avg]]&gt;0, Query1[[#This Row],[Month]]&lt;&gt;H1098),
    IF(Query1[[#This Row],[Adj Close]]&gt;Query1[[#This Row],[avg]],
       Dashboard!$L$5-Dashboard!$E$6,
       Dashboard!$L$5+Dashboard!$E$6
    ), 0
)</f>
        <v>0</v>
      </c>
      <c r="P1099" s="2">
        <f>IF(ROW()&lt;3, Query1[[#This Row],[Shares]], IF(Query1[[#This Row],[Month]]&lt;&gt;H1098, P1098+Query1[[#This Row],[Enhanced top up]]/Query1[[#This Row],[Adj Close]], P1098))</f>
        <v>3423.216437593996</v>
      </c>
      <c r="Q1099" s="2">
        <f>IFERROR(AVERAGE(
  IF(ROW()&gt;20, INDEX(G:G, ROW()-20), 0) :
  INDEX(G:G, ROW())
),0)</f>
        <v>401.79006231398807</v>
      </c>
    </row>
    <row r="1100" spans="1:17" x14ac:dyDescent="0.4">
      <c r="A1100" s="1">
        <v>45426</v>
      </c>
      <c r="B1100">
        <v>412.01998901367188</v>
      </c>
      <c r="C1100">
        <v>417.489990234375</v>
      </c>
      <c r="D1100">
        <v>411.54998779296875</v>
      </c>
      <c r="E1100">
        <v>416.55999755859375</v>
      </c>
      <c r="F1100">
        <v>15109300</v>
      </c>
      <c r="G1100">
        <v>411.96902465820313</v>
      </c>
      <c r="H1100" s="2">
        <f>MONTH(Query1[[#This Row],[Date]])</f>
        <v>5</v>
      </c>
      <c r="I1100" s="3">
        <f>Query1[[#This Row],[Shares]]*Query1[[#This Row],[Adj Close]]</f>
        <v>1479915.901112519</v>
      </c>
      <c r="J1100" s="3">
        <f>IF(ROW()&lt;3, Dashboard!$E$7, IF(Query1[[#This Row],[Month]]&lt;&gt;H1099,J1099*(1+Dashboard!$E$4)+Dashboard!$E$5,J1099))</f>
        <v>974382.24502406141</v>
      </c>
      <c r="K1100">
        <f>IF(ROW()&lt;3, 0,IF(Query1[[#This Row],[Month]]&lt;&gt;H1099,IF((J1100-I1100&gt;0),J1100-I1100,0),0))</f>
        <v>0</v>
      </c>
      <c r="L1100" s="2">
        <f t="shared" si="17"/>
        <v>3592.2989655359538</v>
      </c>
      <c r="M1100">
        <f>IF(ROW()&lt;3, 0, IF(Query1[[#This Row],[Month]]&lt;&gt;H1099, Dashboard!$J$5,0))</f>
        <v>0</v>
      </c>
      <c r="N1100" s="2">
        <f>IF(ROW()&lt;3, Query1[[#This Row],[Shares]], IF(Query1[[#This Row],[Month]]&lt;&gt;H1099, N1099+Query1[[#This Row],[Fix Top Up]]/Query1[[#This Row],[Adj Close]], N1099))</f>
        <v>3430.8555485275128</v>
      </c>
      <c r="O1100">
        <f>IF(AND(Query1[[#This Row],[avg]]&gt;0, Query1[[#This Row],[Month]]&lt;&gt;H1099),
    IF(Query1[[#This Row],[Adj Close]]&gt;Query1[[#This Row],[avg]],
       Dashboard!$L$5-Dashboard!$E$6,
       Dashboard!$L$5+Dashboard!$E$6
    ), 0
)</f>
        <v>0</v>
      </c>
      <c r="P1100" s="2">
        <f>IF(ROW()&lt;3, Query1[[#This Row],[Shares]], IF(Query1[[#This Row],[Month]]&lt;&gt;H1099, P1099+Query1[[#This Row],[Enhanced top up]]/Query1[[#This Row],[Adj Close]], P1099))</f>
        <v>3423.216437593996</v>
      </c>
      <c r="Q1100" s="2">
        <f>IFERROR(AVERAGE(
  IF(ROW()&gt;20, INDEX(G:G, ROW()-20), 0) :
  INDEX(G:G, ROW())
),0)</f>
        <v>401.92757888067337</v>
      </c>
    </row>
    <row r="1101" spans="1:17" x14ac:dyDescent="0.4">
      <c r="A1101" s="1">
        <v>45427</v>
      </c>
      <c r="B1101">
        <v>417.89999389648438</v>
      </c>
      <c r="C1101">
        <v>423.80999755859375</v>
      </c>
      <c r="D1101">
        <v>417.26998901367188</v>
      </c>
      <c r="E1101">
        <v>423.07998657226563</v>
      </c>
      <c r="F1101">
        <v>22239500</v>
      </c>
      <c r="G1101">
        <v>419.17184448242188</v>
      </c>
      <c r="H1101" s="2">
        <f>MONTH(Query1[[#This Row],[Date]])</f>
        <v>5</v>
      </c>
      <c r="I1101" s="3">
        <f>Query1[[#This Row],[Shares]]*Query1[[#This Row],[Adj Close]]</f>
        <v>1505790.5833160018</v>
      </c>
      <c r="J1101" s="3">
        <f>IF(ROW()&lt;3, Dashboard!$E$7, IF(Query1[[#This Row],[Month]]&lt;&gt;H1100,J1100*(1+Dashboard!$E$4)+Dashboard!$E$5,J1100))</f>
        <v>974382.24502406141</v>
      </c>
      <c r="K1101">
        <f>IF(ROW()&lt;3, 0,IF(Query1[[#This Row],[Month]]&lt;&gt;H1100,IF((J1101-I1101&gt;0),J1101-I1101,0),0))</f>
        <v>0</v>
      </c>
      <c r="L1101" s="2">
        <f t="shared" si="17"/>
        <v>3592.2989655359538</v>
      </c>
      <c r="M1101">
        <f>IF(ROW()&lt;3, 0, IF(Query1[[#This Row],[Month]]&lt;&gt;H1100, Dashboard!$J$5,0))</f>
        <v>0</v>
      </c>
      <c r="N1101" s="2">
        <f>IF(ROW()&lt;3, Query1[[#This Row],[Shares]], IF(Query1[[#This Row],[Month]]&lt;&gt;H1100, N1100+Query1[[#This Row],[Fix Top Up]]/Query1[[#This Row],[Adj Close]], N1100))</f>
        <v>3430.8555485275128</v>
      </c>
      <c r="O1101">
        <f>IF(AND(Query1[[#This Row],[avg]]&gt;0, Query1[[#This Row],[Month]]&lt;&gt;H1100),
    IF(Query1[[#This Row],[Adj Close]]&gt;Query1[[#This Row],[avg]],
       Dashboard!$L$5-Dashboard!$E$6,
       Dashboard!$L$5+Dashboard!$E$6
    ), 0
)</f>
        <v>0</v>
      </c>
      <c r="P1101" s="2">
        <f>IF(ROW()&lt;3, Query1[[#This Row],[Shares]], IF(Query1[[#This Row],[Month]]&lt;&gt;H1100, P1100+Query1[[#This Row],[Enhanced top up]]/Query1[[#This Row],[Adj Close]], P1100))</f>
        <v>3423.216437593996</v>
      </c>
      <c r="Q1101" s="2">
        <f>IFERROR(AVERAGE(
  IF(ROW()&gt;20, INDEX(G:G, ROW()-20), 0) :
  INDEX(G:G, ROW())
),0)</f>
        <v>402.36381748744418</v>
      </c>
    </row>
    <row r="1102" spans="1:17" x14ac:dyDescent="0.4">
      <c r="A1102" s="1">
        <v>45428</v>
      </c>
      <c r="B1102">
        <v>421.79998779296875</v>
      </c>
      <c r="C1102">
        <v>425.42001342773438</v>
      </c>
      <c r="D1102">
        <v>420.35000610351563</v>
      </c>
      <c r="E1102">
        <v>420.989990234375</v>
      </c>
      <c r="F1102">
        <v>17530100</v>
      </c>
      <c r="G1102">
        <v>417.1011962890625</v>
      </c>
      <c r="H1102" s="2">
        <f>MONTH(Query1[[#This Row],[Date]])</f>
        <v>5</v>
      </c>
      <c r="I1102" s="3">
        <f>Query1[[#This Row],[Shares]]*Query1[[#This Row],[Adj Close]]</f>
        <v>1498352.195953008</v>
      </c>
      <c r="J1102" s="3">
        <f>IF(ROW()&lt;3, Dashboard!$E$7, IF(Query1[[#This Row],[Month]]&lt;&gt;H1101,J1101*(1+Dashboard!$E$4)+Dashboard!$E$5,J1101))</f>
        <v>974382.24502406141</v>
      </c>
      <c r="K1102">
        <f>IF(ROW()&lt;3, 0,IF(Query1[[#This Row],[Month]]&lt;&gt;H1101,IF((J1102-I1102&gt;0),J1102-I1102,0),0))</f>
        <v>0</v>
      </c>
      <c r="L1102" s="2">
        <f t="shared" si="17"/>
        <v>3592.2989655359538</v>
      </c>
      <c r="M1102">
        <f>IF(ROW()&lt;3, 0, IF(Query1[[#This Row],[Month]]&lt;&gt;H1101, Dashboard!$J$5,0))</f>
        <v>0</v>
      </c>
      <c r="N1102" s="2">
        <f>IF(ROW()&lt;3, Query1[[#This Row],[Shares]], IF(Query1[[#This Row],[Month]]&lt;&gt;H1101, N1101+Query1[[#This Row],[Fix Top Up]]/Query1[[#This Row],[Adj Close]], N1101))</f>
        <v>3430.8555485275128</v>
      </c>
      <c r="O1102">
        <f>IF(AND(Query1[[#This Row],[avg]]&gt;0, Query1[[#This Row],[Month]]&lt;&gt;H1101),
    IF(Query1[[#This Row],[Adj Close]]&gt;Query1[[#This Row],[avg]],
       Dashboard!$L$5-Dashboard!$E$6,
       Dashboard!$L$5+Dashboard!$E$6
    ), 0
)</f>
        <v>0</v>
      </c>
      <c r="P1102" s="2">
        <f>IF(ROW()&lt;3, Query1[[#This Row],[Shares]], IF(Query1[[#This Row],[Month]]&lt;&gt;H1101, P1101+Query1[[#This Row],[Enhanced top up]]/Query1[[#This Row],[Adj Close]], P1101))</f>
        <v>3423.216437593996</v>
      </c>
      <c r="Q1102" s="2">
        <f>IFERROR(AVERAGE(
  IF(ROW()&gt;20, INDEX(G:G, ROW()-20), 0) :
  INDEX(G:G, ROW())
),0)</f>
        <v>402.83049229213168</v>
      </c>
    </row>
    <row r="1103" spans="1:17" x14ac:dyDescent="0.4">
      <c r="A1103" s="1">
        <v>45429</v>
      </c>
      <c r="B1103">
        <v>422.54000854492188</v>
      </c>
      <c r="C1103">
        <v>422.92001342773438</v>
      </c>
      <c r="D1103">
        <v>418.02999877929688</v>
      </c>
      <c r="E1103">
        <v>420.20999145507813</v>
      </c>
      <c r="F1103">
        <v>15352200</v>
      </c>
      <c r="G1103">
        <v>416.32833862304688</v>
      </c>
      <c r="H1103" s="2">
        <f>MONTH(Query1[[#This Row],[Date]])</f>
        <v>5</v>
      </c>
      <c r="I1103" s="3">
        <f>Query1[[#This Row],[Shares]]*Query1[[#This Row],[Adj Close]]</f>
        <v>1495575.8601588735</v>
      </c>
      <c r="J1103" s="3">
        <f>IF(ROW()&lt;3, Dashboard!$E$7, IF(Query1[[#This Row],[Month]]&lt;&gt;H1102,J1102*(1+Dashboard!$E$4)+Dashboard!$E$5,J1102))</f>
        <v>974382.24502406141</v>
      </c>
      <c r="K1103">
        <f>IF(ROW()&lt;3, 0,IF(Query1[[#This Row],[Month]]&lt;&gt;H1102,IF((J1103-I1103&gt;0),J1103-I1103,0),0))</f>
        <v>0</v>
      </c>
      <c r="L1103" s="2">
        <f t="shared" si="17"/>
        <v>3592.2989655359538</v>
      </c>
      <c r="M1103">
        <f>IF(ROW()&lt;3, 0, IF(Query1[[#This Row],[Month]]&lt;&gt;H1102, Dashboard!$J$5,0))</f>
        <v>0</v>
      </c>
      <c r="N1103" s="2">
        <f>IF(ROW()&lt;3, Query1[[#This Row],[Shares]], IF(Query1[[#This Row],[Month]]&lt;&gt;H1102, N1102+Query1[[#This Row],[Fix Top Up]]/Query1[[#This Row],[Adj Close]], N1102))</f>
        <v>3430.8555485275128</v>
      </c>
      <c r="O1103">
        <f>IF(AND(Query1[[#This Row],[avg]]&gt;0, Query1[[#This Row],[Month]]&lt;&gt;H1102),
    IF(Query1[[#This Row],[Adj Close]]&gt;Query1[[#This Row],[avg]],
       Dashboard!$L$5-Dashboard!$E$6,
       Dashboard!$L$5+Dashboard!$E$6
    ), 0
)</f>
        <v>0</v>
      </c>
      <c r="P1103" s="2">
        <f>IF(ROW()&lt;3, Query1[[#This Row],[Shares]], IF(Query1[[#This Row],[Month]]&lt;&gt;H1102, P1102+Query1[[#This Row],[Enhanced top up]]/Query1[[#This Row],[Adj Close]], P1102))</f>
        <v>3423.216437593996</v>
      </c>
      <c r="Q1103" s="2">
        <f>IFERROR(AVERAGE(
  IF(ROW()&gt;20, INDEX(G:G, ROW()-20), 0) :
  INDEX(G:G, ROW())
),0)</f>
        <v>403.6168677920387</v>
      </c>
    </row>
    <row r="1104" spans="1:17" x14ac:dyDescent="0.4">
      <c r="A1104" s="1">
        <v>45432</v>
      </c>
      <c r="B1104">
        <v>420.20999145507813</v>
      </c>
      <c r="C1104">
        <v>426.76998901367188</v>
      </c>
      <c r="D1104">
        <v>419.989990234375</v>
      </c>
      <c r="E1104">
        <v>425.33999633789063</v>
      </c>
      <c r="F1104">
        <v>16272100</v>
      </c>
      <c r="G1104">
        <v>421.4110107421875</v>
      </c>
      <c r="H1104" s="2">
        <f>MONTH(Query1[[#This Row],[Date]])</f>
        <v>5</v>
      </c>
      <c r="I1104" s="3">
        <f>Query1[[#This Row],[Shares]]*Query1[[#This Row],[Adj Close]]</f>
        <v>1513834.3379546208</v>
      </c>
      <c r="J1104" s="3">
        <f>IF(ROW()&lt;3, Dashboard!$E$7, IF(Query1[[#This Row],[Month]]&lt;&gt;H1103,J1103*(1+Dashboard!$E$4)+Dashboard!$E$5,J1103))</f>
        <v>974382.24502406141</v>
      </c>
      <c r="K1104">
        <f>IF(ROW()&lt;3, 0,IF(Query1[[#This Row],[Month]]&lt;&gt;H1103,IF((J1104-I1104&gt;0),J1104-I1104,0),0))</f>
        <v>0</v>
      </c>
      <c r="L1104" s="2">
        <f t="shared" si="17"/>
        <v>3592.2989655359538</v>
      </c>
      <c r="M1104">
        <f>IF(ROW()&lt;3, 0, IF(Query1[[#This Row],[Month]]&lt;&gt;H1103, Dashboard!$J$5,0))</f>
        <v>0</v>
      </c>
      <c r="N1104" s="2">
        <f>IF(ROW()&lt;3, Query1[[#This Row],[Shares]], IF(Query1[[#This Row],[Month]]&lt;&gt;H1103, N1103+Query1[[#This Row],[Fix Top Up]]/Query1[[#This Row],[Adj Close]], N1103))</f>
        <v>3430.8555485275128</v>
      </c>
      <c r="O1104">
        <f>IF(AND(Query1[[#This Row],[avg]]&gt;0, Query1[[#This Row],[Month]]&lt;&gt;H1103),
    IF(Query1[[#This Row],[Adj Close]]&gt;Query1[[#This Row],[avg]],
       Dashboard!$L$5-Dashboard!$E$6,
       Dashboard!$L$5+Dashboard!$E$6
    ), 0
)</f>
        <v>0</v>
      </c>
      <c r="P1104" s="2">
        <f>IF(ROW()&lt;3, Query1[[#This Row],[Shares]], IF(Query1[[#This Row],[Month]]&lt;&gt;H1103, P1103+Query1[[#This Row],[Enhanced top up]]/Query1[[#This Row],[Adj Close]], P1103))</f>
        <v>3423.216437593996</v>
      </c>
      <c r="Q1104" s="2">
        <f>IFERROR(AVERAGE(
  IF(ROW()&gt;20, INDEX(G:G, ROW()-20), 0) :
  INDEX(G:G, ROW())
),0)</f>
        <v>404.88781011672245</v>
      </c>
    </row>
    <row r="1105" spans="1:17" x14ac:dyDescent="0.4">
      <c r="A1105" s="1">
        <v>45433</v>
      </c>
      <c r="B1105">
        <v>426.82998657226563</v>
      </c>
      <c r="C1105">
        <v>432.97000122070313</v>
      </c>
      <c r="D1105">
        <v>424.85000610351563</v>
      </c>
      <c r="E1105">
        <v>429.04000854492188</v>
      </c>
      <c r="F1105">
        <v>21453300</v>
      </c>
      <c r="G1105">
        <v>425.07681274414063</v>
      </c>
      <c r="H1105" s="2">
        <f>MONTH(Query1[[#This Row],[Date]])</f>
        <v>5</v>
      </c>
      <c r="I1105" s="3">
        <f>Query1[[#This Row],[Shares]]*Query1[[#This Row],[Adj Close]]</f>
        <v>1527002.9946940967</v>
      </c>
      <c r="J1105" s="3">
        <f>IF(ROW()&lt;3, Dashboard!$E$7, IF(Query1[[#This Row],[Month]]&lt;&gt;H1104,J1104*(1+Dashboard!$E$4)+Dashboard!$E$5,J1104))</f>
        <v>974382.24502406141</v>
      </c>
      <c r="K1105">
        <f>IF(ROW()&lt;3, 0,IF(Query1[[#This Row],[Month]]&lt;&gt;H1104,IF((J1105-I1105&gt;0),J1105-I1105,0),0))</f>
        <v>0</v>
      </c>
      <c r="L1105" s="2">
        <f t="shared" si="17"/>
        <v>3592.2989655359538</v>
      </c>
      <c r="M1105">
        <f>IF(ROW()&lt;3, 0, IF(Query1[[#This Row],[Month]]&lt;&gt;H1104, Dashboard!$J$5,0))</f>
        <v>0</v>
      </c>
      <c r="N1105" s="2">
        <f>IF(ROW()&lt;3, Query1[[#This Row],[Shares]], IF(Query1[[#This Row],[Month]]&lt;&gt;H1104, N1104+Query1[[#This Row],[Fix Top Up]]/Query1[[#This Row],[Adj Close]], N1104))</f>
        <v>3430.8555485275128</v>
      </c>
      <c r="O1105">
        <f>IF(AND(Query1[[#This Row],[avg]]&gt;0, Query1[[#This Row],[Month]]&lt;&gt;H1104),
    IF(Query1[[#This Row],[Adj Close]]&gt;Query1[[#This Row],[avg]],
       Dashboard!$L$5-Dashboard!$E$6,
       Dashboard!$L$5+Dashboard!$E$6
    ), 0
)</f>
        <v>0</v>
      </c>
      <c r="P1105" s="2">
        <f>IF(ROW()&lt;3, Query1[[#This Row],[Shares]], IF(Query1[[#This Row],[Month]]&lt;&gt;H1104, P1104+Query1[[#This Row],[Enhanced top up]]/Query1[[#This Row],[Adj Close]], P1104))</f>
        <v>3423.216437593996</v>
      </c>
      <c r="Q1105" s="2">
        <f>IFERROR(AVERAGE(
  IF(ROW()&gt;20, INDEX(G:G, ROW()-20), 0) :
  INDEX(G:G, ROW())
),0)</f>
        <v>406.24666050502231</v>
      </c>
    </row>
    <row r="1106" spans="1:17" x14ac:dyDescent="0.4">
      <c r="A1106" s="1">
        <v>45434</v>
      </c>
      <c r="B1106">
        <v>430.08999633789063</v>
      </c>
      <c r="C1106">
        <v>432.41000366210938</v>
      </c>
      <c r="D1106">
        <v>427.1300048828125</v>
      </c>
      <c r="E1106">
        <v>430.51998901367188</v>
      </c>
      <c r="F1106">
        <v>18073700</v>
      </c>
      <c r="G1106">
        <v>426.54312133789063</v>
      </c>
      <c r="H1106" s="2">
        <f>MONTH(Query1[[#This Row],[Date]])</f>
        <v>5</v>
      </c>
      <c r="I1106" s="3">
        <f>Query1[[#This Row],[Shares]]*Query1[[#This Row],[Adj Close]]</f>
        <v>1532270.4135385812</v>
      </c>
      <c r="J1106" s="3">
        <f>IF(ROW()&lt;3, Dashboard!$E$7, IF(Query1[[#This Row],[Month]]&lt;&gt;H1105,J1105*(1+Dashboard!$E$4)+Dashboard!$E$5,J1105))</f>
        <v>974382.24502406141</v>
      </c>
      <c r="K1106">
        <f>IF(ROW()&lt;3, 0,IF(Query1[[#This Row],[Month]]&lt;&gt;H1105,IF((J1106-I1106&gt;0),J1106-I1106,0),0))</f>
        <v>0</v>
      </c>
      <c r="L1106" s="2">
        <f t="shared" si="17"/>
        <v>3592.2989655359538</v>
      </c>
      <c r="M1106">
        <f>IF(ROW()&lt;3, 0, IF(Query1[[#This Row],[Month]]&lt;&gt;H1105, Dashboard!$J$5,0))</f>
        <v>0</v>
      </c>
      <c r="N1106" s="2">
        <f>IF(ROW()&lt;3, Query1[[#This Row],[Shares]], IF(Query1[[#This Row],[Month]]&lt;&gt;H1105, N1105+Query1[[#This Row],[Fix Top Up]]/Query1[[#This Row],[Adj Close]], N1105))</f>
        <v>3430.8555485275128</v>
      </c>
      <c r="O1106">
        <f>IF(AND(Query1[[#This Row],[avg]]&gt;0, Query1[[#This Row],[Month]]&lt;&gt;H1105),
    IF(Query1[[#This Row],[Adj Close]]&gt;Query1[[#This Row],[avg]],
       Dashboard!$L$5-Dashboard!$E$6,
       Dashboard!$L$5+Dashboard!$E$6
    ), 0
)</f>
        <v>0</v>
      </c>
      <c r="P1106" s="2">
        <f>IF(ROW()&lt;3, Query1[[#This Row],[Shares]], IF(Query1[[#This Row],[Month]]&lt;&gt;H1105, P1105+Query1[[#This Row],[Enhanced top up]]/Query1[[#This Row],[Adj Close]], P1105))</f>
        <v>3423.216437593996</v>
      </c>
      <c r="Q1106" s="2">
        <f>IFERROR(AVERAGE(
  IF(ROW()&gt;20, INDEX(G:G, ROW()-20), 0) :
  INDEX(G:G, ROW())
),0)</f>
        <v>407.36404128301712</v>
      </c>
    </row>
    <row r="1107" spans="1:17" x14ac:dyDescent="0.4">
      <c r="A1107" s="1">
        <v>45435</v>
      </c>
      <c r="B1107">
        <v>432.97000122070313</v>
      </c>
      <c r="C1107">
        <v>433.60000610351563</v>
      </c>
      <c r="D1107">
        <v>425.42001342773438</v>
      </c>
      <c r="E1107">
        <v>427</v>
      </c>
      <c r="F1107">
        <v>17211700</v>
      </c>
      <c r="G1107">
        <v>423.05563354492188</v>
      </c>
      <c r="H1107" s="2">
        <f>MONTH(Query1[[#This Row],[Date]])</f>
        <v>5</v>
      </c>
      <c r="I1107" s="3">
        <f>Query1[[#This Row],[Shares]]*Query1[[#This Row],[Adj Close]]</f>
        <v>1519742.3147475803</v>
      </c>
      <c r="J1107" s="3">
        <f>IF(ROW()&lt;3, Dashboard!$E$7, IF(Query1[[#This Row],[Month]]&lt;&gt;H1106,J1106*(1+Dashboard!$E$4)+Dashboard!$E$5,J1106))</f>
        <v>974382.24502406141</v>
      </c>
      <c r="K1107">
        <f>IF(ROW()&lt;3, 0,IF(Query1[[#This Row],[Month]]&lt;&gt;H1106,IF((J1107-I1107&gt;0),J1107-I1107,0),0))</f>
        <v>0</v>
      </c>
      <c r="L1107" s="2">
        <f t="shared" si="17"/>
        <v>3592.2989655359538</v>
      </c>
      <c r="M1107">
        <f>IF(ROW()&lt;3, 0, IF(Query1[[#This Row],[Month]]&lt;&gt;H1106, Dashboard!$J$5,0))</f>
        <v>0</v>
      </c>
      <c r="N1107" s="2">
        <f>IF(ROW()&lt;3, Query1[[#This Row],[Shares]], IF(Query1[[#This Row],[Month]]&lt;&gt;H1106, N1106+Query1[[#This Row],[Fix Top Up]]/Query1[[#This Row],[Adj Close]], N1106))</f>
        <v>3430.8555485275128</v>
      </c>
      <c r="O1107">
        <f>IF(AND(Query1[[#This Row],[avg]]&gt;0, Query1[[#This Row],[Month]]&lt;&gt;H1106),
    IF(Query1[[#This Row],[Adj Close]]&gt;Query1[[#This Row],[avg]],
       Dashboard!$L$5-Dashboard!$E$6,
       Dashboard!$L$5+Dashboard!$E$6
    ), 0
)</f>
        <v>0</v>
      </c>
      <c r="P1107" s="2">
        <f>IF(ROW()&lt;3, Query1[[#This Row],[Shares]], IF(Query1[[#This Row],[Month]]&lt;&gt;H1106, P1106+Query1[[#This Row],[Enhanced top up]]/Query1[[#This Row],[Adj Close]], P1106))</f>
        <v>3423.216437593996</v>
      </c>
      <c r="Q1107" s="2">
        <f>IFERROR(AVERAGE(
  IF(ROW()&gt;20, INDEX(G:G, ROW()-20), 0) :
  INDEX(G:G, ROW())
),0)</f>
        <v>408.24518258231029</v>
      </c>
    </row>
    <row r="1108" spans="1:17" x14ac:dyDescent="0.4">
      <c r="A1108" s="1">
        <v>45436</v>
      </c>
      <c r="B1108">
        <v>427.19000244140625</v>
      </c>
      <c r="C1108">
        <v>431.05999755859375</v>
      </c>
      <c r="D1108">
        <v>424.41000366210938</v>
      </c>
      <c r="E1108">
        <v>430.16000366210938</v>
      </c>
      <c r="F1108">
        <v>11855300</v>
      </c>
      <c r="G1108">
        <v>426.18646240234375</v>
      </c>
      <c r="H1108" s="2">
        <f>MONTH(Query1[[#This Row],[Date]])</f>
        <v>5</v>
      </c>
      <c r="I1108" s="3">
        <f>Query1[[#This Row],[Shares]]*Query1[[#This Row],[Adj Close]]</f>
        <v>1530989.1880133671</v>
      </c>
      <c r="J1108" s="3">
        <f>IF(ROW()&lt;3, Dashboard!$E$7, IF(Query1[[#This Row],[Month]]&lt;&gt;H1107,J1107*(1+Dashboard!$E$4)+Dashboard!$E$5,J1107))</f>
        <v>974382.24502406141</v>
      </c>
      <c r="K1108">
        <f>IF(ROW()&lt;3, 0,IF(Query1[[#This Row],[Month]]&lt;&gt;H1107,IF((J1108-I1108&gt;0),J1108-I1108,0),0))</f>
        <v>0</v>
      </c>
      <c r="L1108" s="2">
        <f t="shared" si="17"/>
        <v>3592.2989655359538</v>
      </c>
      <c r="M1108">
        <f>IF(ROW()&lt;3, 0, IF(Query1[[#This Row],[Month]]&lt;&gt;H1107, Dashboard!$J$5,0))</f>
        <v>0</v>
      </c>
      <c r="N1108" s="2">
        <f>IF(ROW()&lt;3, Query1[[#This Row],[Shares]], IF(Query1[[#This Row],[Month]]&lt;&gt;H1107, N1107+Query1[[#This Row],[Fix Top Up]]/Query1[[#This Row],[Adj Close]], N1107))</f>
        <v>3430.8555485275128</v>
      </c>
      <c r="O1108">
        <f>IF(AND(Query1[[#This Row],[avg]]&gt;0, Query1[[#This Row],[Month]]&lt;&gt;H1107),
    IF(Query1[[#This Row],[Adj Close]]&gt;Query1[[#This Row],[avg]],
       Dashboard!$L$5-Dashboard!$E$6,
       Dashboard!$L$5+Dashboard!$E$6
    ), 0
)</f>
        <v>0</v>
      </c>
      <c r="P1108" s="2">
        <f>IF(ROW()&lt;3, Query1[[#This Row],[Shares]], IF(Query1[[#This Row],[Month]]&lt;&gt;H1107, P1107+Query1[[#This Row],[Enhanced top up]]/Query1[[#This Row],[Adj Close]], P1107))</f>
        <v>3423.216437593996</v>
      </c>
      <c r="Q1108" s="2">
        <f>IFERROR(AVERAGE(
  IF(ROW()&gt;20, INDEX(G:G, ROW()-20), 0) :
  INDEX(G:G, ROW())
),0)</f>
        <v>409.74729410807294</v>
      </c>
    </row>
    <row r="1109" spans="1:17" x14ac:dyDescent="0.4">
      <c r="A1109" s="1">
        <v>45440</v>
      </c>
      <c r="B1109">
        <v>429.6300048828125</v>
      </c>
      <c r="C1109">
        <v>430.82000732421875</v>
      </c>
      <c r="D1109">
        <v>426.60000610351563</v>
      </c>
      <c r="E1109">
        <v>430.32000732421875</v>
      </c>
      <c r="F1109">
        <v>15718000</v>
      </c>
      <c r="G1109">
        <v>426.344970703125</v>
      </c>
      <c r="H1109" s="2">
        <f>MONTH(Query1[[#This Row],[Date]])</f>
        <v>5</v>
      </c>
      <c r="I1109" s="3">
        <f>Query1[[#This Row],[Shares]]*Query1[[#This Row],[Adj Close]]</f>
        <v>1531558.5972182925</v>
      </c>
      <c r="J1109" s="3">
        <f>IF(ROW()&lt;3, Dashboard!$E$7, IF(Query1[[#This Row],[Month]]&lt;&gt;H1108,J1108*(1+Dashboard!$E$4)+Dashboard!$E$5,J1108))</f>
        <v>974382.24502406141</v>
      </c>
      <c r="K1109">
        <f>IF(ROW()&lt;3, 0,IF(Query1[[#This Row],[Month]]&lt;&gt;H1108,IF((J1109-I1109&gt;0),J1109-I1109,0),0))</f>
        <v>0</v>
      </c>
      <c r="L1109" s="2">
        <f t="shared" si="17"/>
        <v>3592.2989655359538</v>
      </c>
      <c r="M1109">
        <f>IF(ROW()&lt;3, 0, IF(Query1[[#This Row],[Month]]&lt;&gt;H1108, Dashboard!$J$5,0))</f>
        <v>0</v>
      </c>
      <c r="N1109" s="2">
        <f>IF(ROW()&lt;3, Query1[[#This Row],[Shares]], IF(Query1[[#This Row],[Month]]&lt;&gt;H1108, N1108+Query1[[#This Row],[Fix Top Up]]/Query1[[#This Row],[Adj Close]], N1108))</f>
        <v>3430.8555485275128</v>
      </c>
      <c r="O1109">
        <f>IF(AND(Query1[[#This Row],[avg]]&gt;0, Query1[[#This Row],[Month]]&lt;&gt;H1108),
    IF(Query1[[#This Row],[Adj Close]]&gt;Query1[[#This Row],[avg]],
       Dashboard!$L$5-Dashboard!$E$6,
       Dashboard!$L$5+Dashboard!$E$6
    ), 0
)</f>
        <v>0</v>
      </c>
      <c r="P1109" s="2">
        <f>IF(ROW()&lt;3, Query1[[#This Row],[Shares]], IF(Query1[[#This Row],[Month]]&lt;&gt;H1108, P1108+Query1[[#This Row],[Enhanced top up]]/Query1[[#This Row],[Adj Close]], P1108))</f>
        <v>3423.216437593996</v>
      </c>
      <c r="Q1109" s="2">
        <f>IFERROR(AVERAGE(
  IF(ROW()&gt;20, INDEX(G:G, ROW()-20), 0) :
  INDEX(G:G, ROW())
),0)</f>
        <v>410.9141090029762</v>
      </c>
    </row>
    <row r="1110" spans="1:17" x14ac:dyDescent="0.4">
      <c r="A1110" s="1">
        <v>45441</v>
      </c>
      <c r="B1110">
        <v>425.69000244140625</v>
      </c>
      <c r="C1110">
        <v>430.94000244140625</v>
      </c>
      <c r="D1110">
        <v>425.69000244140625</v>
      </c>
      <c r="E1110">
        <v>429.17001342773438</v>
      </c>
      <c r="F1110">
        <v>15517100</v>
      </c>
      <c r="G1110">
        <v>425.20559692382813</v>
      </c>
      <c r="H1110" s="2">
        <f>MONTH(Query1[[#This Row],[Date]])</f>
        <v>5</v>
      </c>
      <c r="I1110" s="3">
        <f>Query1[[#This Row],[Shares]]*Query1[[#This Row],[Adj Close]]</f>
        <v>1527465.6259695655</v>
      </c>
      <c r="J1110" s="3">
        <f>IF(ROW()&lt;3, Dashboard!$E$7, IF(Query1[[#This Row],[Month]]&lt;&gt;H1109,J1109*(1+Dashboard!$E$4)+Dashboard!$E$5,J1109))</f>
        <v>974382.24502406141</v>
      </c>
      <c r="K1110">
        <f>IF(ROW()&lt;3, 0,IF(Query1[[#This Row],[Month]]&lt;&gt;H1109,IF((J1110-I1110&gt;0),J1110-I1110,0),0))</f>
        <v>0</v>
      </c>
      <c r="L1110" s="2">
        <f t="shared" si="17"/>
        <v>3592.2989655359538</v>
      </c>
      <c r="M1110">
        <f>IF(ROW()&lt;3, 0, IF(Query1[[#This Row],[Month]]&lt;&gt;H1109, Dashboard!$J$5,0))</f>
        <v>0</v>
      </c>
      <c r="N1110" s="2">
        <f>IF(ROW()&lt;3, Query1[[#This Row],[Shares]], IF(Query1[[#This Row],[Month]]&lt;&gt;H1109, N1109+Query1[[#This Row],[Fix Top Up]]/Query1[[#This Row],[Adj Close]], N1109))</f>
        <v>3430.8555485275128</v>
      </c>
      <c r="O1110">
        <f>IF(AND(Query1[[#This Row],[avg]]&gt;0, Query1[[#This Row],[Month]]&lt;&gt;H1109),
    IF(Query1[[#This Row],[Adj Close]]&gt;Query1[[#This Row],[avg]],
       Dashboard!$L$5-Dashboard!$E$6,
       Dashboard!$L$5+Dashboard!$E$6
    ), 0
)</f>
        <v>0</v>
      </c>
      <c r="P1110" s="2">
        <f>IF(ROW()&lt;3, Query1[[#This Row],[Shares]], IF(Query1[[#This Row],[Month]]&lt;&gt;H1109, P1109+Query1[[#This Row],[Enhanced top up]]/Query1[[#This Row],[Adj Close]], P1109))</f>
        <v>3423.216437593996</v>
      </c>
      <c r="Q1110" s="2">
        <f>IFERROR(AVERAGE(
  IF(ROW()&gt;20, INDEX(G:G, ROW()-20), 0) :
  INDEX(G:G, ROW())
),0)</f>
        <v>412.21834164574034</v>
      </c>
    </row>
    <row r="1111" spans="1:17" x14ac:dyDescent="0.4">
      <c r="A1111" s="1">
        <v>45442</v>
      </c>
      <c r="B1111">
        <v>424.29998779296875</v>
      </c>
      <c r="C1111">
        <v>424.29998779296875</v>
      </c>
      <c r="D1111">
        <v>414.239990234375</v>
      </c>
      <c r="E1111">
        <v>414.67001342773438</v>
      </c>
      <c r="F1111">
        <v>28394500</v>
      </c>
      <c r="G1111">
        <v>410.83956909179688</v>
      </c>
      <c r="H1111" s="2">
        <f>MONTH(Query1[[#This Row],[Date]])</f>
        <v>5</v>
      </c>
      <c r="I1111" s="3">
        <f>Query1[[#This Row],[Shares]]*Query1[[#This Row],[Adj Close]]</f>
        <v>1475858.559049699</v>
      </c>
      <c r="J1111" s="3">
        <f>IF(ROW()&lt;3, Dashboard!$E$7, IF(Query1[[#This Row],[Month]]&lt;&gt;H1110,J1110*(1+Dashboard!$E$4)+Dashboard!$E$5,J1110))</f>
        <v>974382.24502406141</v>
      </c>
      <c r="K1111">
        <f>IF(ROW()&lt;3, 0,IF(Query1[[#This Row],[Month]]&lt;&gt;H1110,IF((J1111-I1111&gt;0),J1111-I1111,0),0))</f>
        <v>0</v>
      </c>
      <c r="L1111" s="2">
        <f t="shared" si="17"/>
        <v>3592.2989655359538</v>
      </c>
      <c r="M1111">
        <f>IF(ROW()&lt;3, 0, IF(Query1[[#This Row],[Month]]&lt;&gt;H1110, Dashboard!$J$5,0))</f>
        <v>0</v>
      </c>
      <c r="N1111" s="2">
        <f>IF(ROW()&lt;3, Query1[[#This Row],[Shares]], IF(Query1[[#This Row],[Month]]&lt;&gt;H1110, N1110+Query1[[#This Row],[Fix Top Up]]/Query1[[#This Row],[Adj Close]], N1110))</f>
        <v>3430.8555485275128</v>
      </c>
      <c r="O1111">
        <f>IF(AND(Query1[[#This Row],[avg]]&gt;0, Query1[[#This Row],[Month]]&lt;&gt;H1110),
    IF(Query1[[#This Row],[Adj Close]]&gt;Query1[[#This Row],[avg]],
       Dashboard!$L$5-Dashboard!$E$6,
       Dashboard!$L$5+Dashboard!$E$6
    ), 0
)</f>
        <v>0</v>
      </c>
      <c r="P1111" s="2">
        <f>IF(ROW()&lt;3, Query1[[#This Row],[Shares]], IF(Query1[[#This Row],[Month]]&lt;&gt;H1110, P1110+Query1[[#This Row],[Enhanced top up]]/Query1[[#This Row],[Adj Close]], P1110))</f>
        <v>3423.216437593996</v>
      </c>
      <c r="Q1111" s="2">
        <f>IFERROR(AVERAGE(
  IF(ROW()&gt;20, INDEX(G:G, ROW()-20), 0) :
  INDEX(G:G, ROW())
),0)</f>
        <v>413.44693574451264</v>
      </c>
    </row>
    <row r="1112" spans="1:17" x14ac:dyDescent="0.4">
      <c r="A1112" s="1">
        <v>45443</v>
      </c>
      <c r="B1112">
        <v>416.75</v>
      </c>
      <c r="C1112">
        <v>416.75</v>
      </c>
      <c r="D1112">
        <v>404.510009765625</v>
      </c>
      <c r="E1112">
        <v>415.1300048828125</v>
      </c>
      <c r="F1112">
        <v>47995300</v>
      </c>
      <c r="G1112">
        <v>411.2952880859375</v>
      </c>
      <c r="H1112" s="2">
        <f>MONTH(Query1[[#This Row],[Date]])</f>
        <v>5</v>
      </c>
      <c r="I1112" s="3">
        <f>Query1[[#This Row],[Shares]]*Query1[[#This Row],[Adj Close]]</f>
        <v>1477495.6379209254</v>
      </c>
      <c r="J1112" s="3">
        <f>IF(ROW()&lt;3, Dashboard!$E$7, IF(Query1[[#This Row],[Month]]&lt;&gt;H1111,J1111*(1+Dashboard!$E$4)+Dashboard!$E$5,J1111))</f>
        <v>974382.24502406141</v>
      </c>
      <c r="K1112">
        <f>IF(ROW()&lt;3, 0,IF(Query1[[#This Row],[Month]]&lt;&gt;H1111,IF((J1112-I1112&gt;0),J1112-I1112,0),0))</f>
        <v>0</v>
      </c>
      <c r="L1112" s="2">
        <f t="shared" si="17"/>
        <v>3592.2989655359538</v>
      </c>
      <c r="M1112">
        <f>IF(ROW()&lt;3, 0, IF(Query1[[#This Row],[Month]]&lt;&gt;H1111, Dashboard!$J$5,0))</f>
        <v>0</v>
      </c>
      <c r="N1112" s="2">
        <f>IF(ROW()&lt;3, Query1[[#This Row],[Shares]], IF(Query1[[#This Row],[Month]]&lt;&gt;H1111, N1111+Query1[[#This Row],[Fix Top Up]]/Query1[[#This Row],[Adj Close]], N1111))</f>
        <v>3430.8555485275128</v>
      </c>
      <c r="O1112">
        <f>IF(AND(Query1[[#This Row],[avg]]&gt;0, Query1[[#This Row],[Month]]&lt;&gt;H1111),
    IF(Query1[[#This Row],[Adj Close]]&gt;Query1[[#This Row],[avg]],
       Dashboard!$L$5-Dashboard!$E$6,
       Dashboard!$L$5+Dashboard!$E$6
    ), 0
)</f>
        <v>0</v>
      </c>
      <c r="P1112" s="2">
        <f>IF(ROW()&lt;3, Query1[[#This Row],[Shares]], IF(Query1[[#This Row],[Month]]&lt;&gt;H1111, P1111+Query1[[#This Row],[Enhanced top up]]/Query1[[#This Row],[Adj Close]], P1111))</f>
        <v>3423.216437593996</v>
      </c>
      <c r="Q1112" s="2">
        <f>IFERROR(AVERAGE(
  IF(ROW()&gt;20, INDEX(G:G, ROW()-20), 0) :
  INDEX(G:G, ROW())
),0)</f>
        <v>414.43303135463168</v>
      </c>
    </row>
    <row r="1113" spans="1:17" x14ac:dyDescent="0.4">
      <c r="A1113" s="1">
        <v>45446</v>
      </c>
      <c r="B1113">
        <v>415.52999877929688</v>
      </c>
      <c r="C1113">
        <v>416.42999267578125</v>
      </c>
      <c r="D1113">
        <v>408.92001342773438</v>
      </c>
      <c r="E1113">
        <v>413.51998901367188</v>
      </c>
      <c r="F1113">
        <v>17484700</v>
      </c>
      <c r="G1113">
        <v>409.70016479492188</v>
      </c>
      <c r="H1113" s="2">
        <f>MONTH(Query1[[#This Row],[Date]])</f>
        <v>6</v>
      </c>
      <c r="I1113" s="3">
        <f>Query1[[#This Row],[Shares]]*Query1[[#This Row],[Adj Close]]</f>
        <v>1471765.4781727076</v>
      </c>
      <c r="J1113" s="3">
        <f>IF(ROW()&lt;3, Dashboard!$E$7, IF(Query1[[#This Row],[Month]]&lt;&gt;H1112,J1112*(1+Dashboard!$E$4)+Dashboard!$E$5,J1112))</f>
        <v>986126.06747430202</v>
      </c>
      <c r="K1113">
        <f>IF(ROW()&lt;3, 0,IF(Query1[[#This Row],[Month]]&lt;&gt;H1112,IF((J1113-I1113&gt;0),J1113-I1113,0),0))</f>
        <v>0</v>
      </c>
      <c r="L1113" s="2">
        <f t="shared" si="17"/>
        <v>3592.2989655359538</v>
      </c>
      <c r="M1113">
        <f>IF(ROW()&lt;3, 0, IF(Query1[[#This Row],[Month]]&lt;&gt;H1112, Dashboard!$J$5,0))</f>
        <v>773.47399999999971</v>
      </c>
      <c r="N1113" s="2">
        <f>IF(ROW()&lt;3, Query1[[#This Row],[Shares]], IF(Query1[[#This Row],[Month]]&lt;&gt;H1112, N1112+Query1[[#This Row],[Fix Top Up]]/Query1[[#This Row],[Adj Close]], N1112))</f>
        <v>3432.7434511120459</v>
      </c>
      <c r="O1113">
        <f>IF(AND(Query1[[#This Row],[avg]]&gt;0, Query1[[#This Row],[Month]]&lt;&gt;H1112),
    IF(Query1[[#This Row],[Adj Close]]&gt;Query1[[#This Row],[avg]],
       Dashboard!$L$5-Dashboard!$E$6,
       Dashboard!$L$5+Dashboard!$E$6
    ), 0
)</f>
        <v>1390.1406666666667</v>
      </c>
      <c r="P1113" s="2">
        <f>IF(ROW()&lt;3, Query1[[#This Row],[Shares]], IF(Query1[[#This Row],[Month]]&lt;&gt;H1112, P1112+Query1[[#This Row],[Enhanced top up]]/Query1[[#This Row],[Adj Close]], P1112))</f>
        <v>3426.6095059550071</v>
      </c>
      <c r="Q1113" s="2">
        <f>IFERROR(AVERAGE(
  IF(ROW()&gt;20, INDEX(G:G, ROW()-20), 0) :
  INDEX(G:G, ROW())
),0)</f>
        <v>415.20659528459822</v>
      </c>
    </row>
    <row r="1114" spans="1:17" x14ac:dyDescent="0.4">
      <c r="A1114" s="1">
        <v>45447</v>
      </c>
      <c r="B1114">
        <v>412.42999267578125</v>
      </c>
      <c r="C1114">
        <v>416.44000244140625</v>
      </c>
      <c r="D1114">
        <v>409.67999267578125</v>
      </c>
      <c r="E1114">
        <v>416.07000732421875</v>
      </c>
      <c r="F1114">
        <v>14348900</v>
      </c>
      <c r="G1114">
        <v>412.22662353515625</v>
      </c>
      <c r="H1114" s="2">
        <f>MONTH(Query1[[#This Row],[Date]])</f>
        <v>6</v>
      </c>
      <c r="I1114" s="3">
        <f>Query1[[#This Row],[Shares]]*Query1[[#This Row],[Adj Close]]</f>
        <v>1480841.2732917208</v>
      </c>
      <c r="J1114" s="3">
        <f>IF(ROW()&lt;3, Dashboard!$E$7, IF(Query1[[#This Row],[Month]]&lt;&gt;H1113,J1113*(1+Dashboard!$E$4)+Dashboard!$E$5,J1113))</f>
        <v>986126.06747430202</v>
      </c>
      <c r="K1114">
        <f>IF(ROW()&lt;3, 0,IF(Query1[[#This Row],[Month]]&lt;&gt;H1113,IF((J1114-I1114&gt;0),J1114-I1114,0),0))</f>
        <v>0</v>
      </c>
      <c r="L1114" s="2">
        <f t="shared" si="17"/>
        <v>3592.2989655359538</v>
      </c>
      <c r="M1114">
        <f>IF(ROW()&lt;3, 0, IF(Query1[[#This Row],[Month]]&lt;&gt;H1113, Dashboard!$J$5,0))</f>
        <v>0</v>
      </c>
      <c r="N1114" s="2">
        <f>IF(ROW()&lt;3, Query1[[#This Row],[Shares]], IF(Query1[[#This Row],[Month]]&lt;&gt;H1113, N1113+Query1[[#This Row],[Fix Top Up]]/Query1[[#This Row],[Adj Close]], N1113))</f>
        <v>3432.7434511120459</v>
      </c>
      <c r="O1114">
        <f>IF(AND(Query1[[#This Row],[avg]]&gt;0, Query1[[#This Row],[Month]]&lt;&gt;H1113),
    IF(Query1[[#This Row],[Adj Close]]&gt;Query1[[#This Row],[avg]],
       Dashboard!$L$5-Dashboard!$E$6,
       Dashboard!$L$5+Dashboard!$E$6
    ), 0
)</f>
        <v>0</v>
      </c>
      <c r="P1114" s="2">
        <f>IF(ROW()&lt;3, Query1[[#This Row],[Shares]], IF(Query1[[#This Row],[Month]]&lt;&gt;H1113, P1113+Query1[[#This Row],[Enhanced top up]]/Query1[[#This Row],[Adj Close]], P1113))</f>
        <v>3426.6095059550071</v>
      </c>
      <c r="Q1114" s="2">
        <f>IFERROR(AVERAGE(
  IF(ROW()&gt;20, INDEX(G:G, ROW()-20), 0) :
  INDEX(G:G, ROW())
),0)</f>
        <v>415.68509637741818</v>
      </c>
    </row>
    <row r="1115" spans="1:17" x14ac:dyDescent="0.4">
      <c r="A1115" s="1">
        <v>45448</v>
      </c>
      <c r="B1115">
        <v>417.80999755859375</v>
      </c>
      <c r="C1115">
        <v>424.07998657226563</v>
      </c>
      <c r="D1115">
        <v>416.29998779296875</v>
      </c>
      <c r="E1115">
        <v>424.010009765625</v>
      </c>
      <c r="F1115">
        <v>16988000</v>
      </c>
      <c r="G1115">
        <v>420.09329223632813</v>
      </c>
      <c r="H1115" s="2">
        <f>MONTH(Query1[[#This Row],[Date]])</f>
        <v>6</v>
      </c>
      <c r="I1115" s="3">
        <f>Query1[[#This Row],[Shares]]*Query1[[#This Row],[Adj Close]]</f>
        <v>1509100.6991291547</v>
      </c>
      <c r="J1115" s="3">
        <f>IF(ROW()&lt;3, Dashboard!$E$7, IF(Query1[[#This Row],[Month]]&lt;&gt;H1114,J1114*(1+Dashboard!$E$4)+Dashboard!$E$5,J1114))</f>
        <v>986126.06747430202</v>
      </c>
      <c r="K1115">
        <f>IF(ROW()&lt;3, 0,IF(Query1[[#This Row],[Month]]&lt;&gt;H1114,IF((J1115-I1115&gt;0),J1115-I1115,0),0))</f>
        <v>0</v>
      </c>
      <c r="L1115" s="2">
        <f t="shared" si="17"/>
        <v>3592.2989655359538</v>
      </c>
      <c r="M1115">
        <f>IF(ROW()&lt;3, 0, IF(Query1[[#This Row],[Month]]&lt;&gt;H1114, Dashboard!$J$5,0))</f>
        <v>0</v>
      </c>
      <c r="N1115" s="2">
        <f>IF(ROW()&lt;3, Query1[[#This Row],[Shares]], IF(Query1[[#This Row],[Month]]&lt;&gt;H1114, N1114+Query1[[#This Row],[Fix Top Up]]/Query1[[#This Row],[Adj Close]], N1114))</f>
        <v>3432.7434511120459</v>
      </c>
      <c r="O1115">
        <f>IF(AND(Query1[[#This Row],[avg]]&gt;0, Query1[[#This Row],[Month]]&lt;&gt;H1114),
    IF(Query1[[#This Row],[Adj Close]]&gt;Query1[[#This Row],[avg]],
       Dashboard!$L$5-Dashboard!$E$6,
       Dashboard!$L$5+Dashboard!$E$6
    ), 0
)</f>
        <v>0</v>
      </c>
      <c r="P1115" s="2">
        <f>IF(ROW()&lt;3, Query1[[#This Row],[Shares]], IF(Query1[[#This Row],[Month]]&lt;&gt;H1114, P1114+Query1[[#This Row],[Enhanced top up]]/Query1[[#This Row],[Adj Close]], P1114))</f>
        <v>3426.6095059550071</v>
      </c>
      <c r="Q1115" s="2">
        <f>IFERROR(AVERAGE(
  IF(ROW()&gt;20, INDEX(G:G, ROW()-20), 0) :
  INDEX(G:G, ROW())
),0)</f>
        <v>416.21419125511534</v>
      </c>
    </row>
    <row r="1116" spans="1:17" x14ac:dyDescent="0.4">
      <c r="A1116" s="1">
        <v>45449</v>
      </c>
      <c r="B1116">
        <v>424.010009765625</v>
      </c>
      <c r="C1116">
        <v>425.30999755859375</v>
      </c>
      <c r="D1116">
        <v>420.57998657226563</v>
      </c>
      <c r="E1116">
        <v>424.51998901367188</v>
      </c>
      <c r="F1116">
        <v>14861300</v>
      </c>
      <c r="G1116">
        <v>420.59854125976563</v>
      </c>
      <c r="H1116" s="2">
        <f>MONTH(Query1[[#This Row],[Date]])</f>
        <v>6</v>
      </c>
      <c r="I1116" s="3">
        <f>Query1[[#This Row],[Shares]]*Query1[[#This Row],[Adj Close]]</f>
        <v>1510915.7046733873</v>
      </c>
      <c r="J1116" s="3">
        <f>IF(ROW()&lt;3, Dashboard!$E$7, IF(Query1[[#This Row],[Month]]&lt;&gt;H1115,J1115*(1+Dashboard!$E$4)+Dashboard!$E$5,J1115))</f>
        <v>986126.06747430202</v>
      </c>
      <c r="K1116">
        <f>IF(ROW()&lt;3, 0,IF(Query1[[#This Row],[Month]]&lt;&gt;H1115,IF((J1116-I1116&gt;0),J1116-I1116,0),0))</f>
        <v>0</v>
      </c>
      <c r="L1116" s="2">
        <f t="shared" si="17"/>
        <v>3592.2989655359538</v>
      </c>
      <c r="M1116">
        <f>IF(ROW()&lt;3, 0, IF(Query1[[#This Row],[Month]]&lt;&gt;H1115, Dashboard!$J$5,0))</f>
        <v>0</v>
      </c>
      <c r="N1116" s="2">
        <f>IF(ROW()&lt;3, Query1[[#This Row],[Shares]], IF(Query1[[#This Row],[Month]]&lt;&gt;H1115, N1115+Query1[[#This Row],[Fix Top Up]]/Query1[[#This Row],[Adj Close]], N1115))</f>
        <v>3432.7434511120459</v>
      </c>
      <c r="O1116">
        <f>IF(AND(Query1[[#This Row],[avg]]&gt;0, Query1[[#This Row],[Month]]&lt;&gt;H1115),
    IF(Query1[[#This Row],[Adj Close]]&gt;Query1[[#This Row],[avg]],
       Dashboard!$L$5-Dashboard!$E$6,
       Dashboard!$L$5+Dashboard!$E$6
    ), 0
)</f>
        <v>0</v>
      </c>
      <c r="P1116" s="2">
        <f>IF(ROW()&lt;3, Query1[[#This Row],[Shares]], IF(Query1[[#This Row],[Month]]&lt;&gt;H1115, P1115+Query1[[#This Row],[Enhanced top up]]/Query1[[#This Row],[Adj Close]], P1115))</f>
        <v>3426.6095059550071</v>
      </c>
      <c r="Q1116" s="2">
        <f>IFERROR(AVERAGE(
  IF(ROW()&gt;20, INDEX(G:G, ROW()-20), 0) :
  INDEX(G:G, ROW())
),0)</f>
        <v>416.96514311290923</v>
      </c>
    </row>
    <row r="1117" spans="1:17" x14ac:dyDescent="0.4">
      <c r="A1117" s="1">
        <v>45450</v>
      </c>
      <c r="B1117">
        <v>426.20001220703125</v>
      </c>
      <c r="C1117">
        <v>426.27999877929688</v>
      </c>
      <c r="D1117">
        <v>423</v>
      </c>
      <c r="E1117">
        <v>423.85000610351563</v>
      </c>
      <c r="F1117">
        <v>13621700</v>
      </c>
      <c r="G1117">
        <v>419.93475341796875</v>
      </c>
      <c r="H1117" s="2">
        <f>MONTH(Query1[[#This Row],[Date]])</f>
        <v>6</v>
      </c>
      <c r="I1117" s="3">
        <f>Query1[[#This Row],[Shares]]*Query1[[#This Row],[Adj Close]]</f>
        <v>1508531.1802959649</v>
      </c>
      <c r="J1117" s="3">
        <f>IF(ROW()&lt;3, Dashboard!$E$7, IF(Query1[[#This Row],[Month]]&lt;&gt;H1116,J1116*(1+Dashboard!$E$4)+Dashboard!$E$5,J1116))</f>
        <v>986126.06747430202</v>
      </c>
      <c r="K1117">
        <f>IF(ROW()&lt;3, 0,IF(Query1[[#This Row],[Month]]&lt;&gt;H1116,IF((J1117-I1117&gt;0),J1117-I1117,0),0))</f>
        <v>0</v>
      </c>
      <c r="L1117" s="2">
        <f t="shared" si="17"/>
        <v>3592.2989655359538</v>
      </c>
      <c r="M1117">
        <f>IF(ROW()&lt;3, 0, IF(Query1[[#This Row],[Month]]&lt;&gt;H1116, Dashboard!$J$5,0))</f>
        <v>0</v>
      </c>
      <c r="N1117" s="2">
        <f>IF(ROW()&lt;3, Query1[[#This Row],[Shares]], IF(Query1[[#This Row],[Month]]&lt;&gt;H1116, N1116+Query1[[#This Row],[Fix Top Up]]/Query1[[#This Row],[Adj Close]], N1116))</f>
        <v>3432.7434511120459</v>
      </c>
      <c r="O1117">
        <f>IF(AND(Query1[[#This Row],[avg]]&gt;0, Query1[[#This Row],[Month]]&lt;&gt;H1116),
    IF(Query1[[#This Row],[Adj Close]]&gt;Query1[[#This Row],[avg]],
       Dashboard!$L$5-Dashboard!$E$6,
       Dashboard!$L$5+Dashboard!$E$6
    ), 0
)</f>
        <v>0</v>
      </c>
      <c r="P1117" s="2">
        <f>IF(ROW()&lt;3, Query1[[#This Row],[Shares]], IF(Query1[[#This Row],[Month]]&lt;&gt;H1116, P1116+Query1[[#This Row],[Enhanced top up]]/Query1[[#This Row],[Adj Close]], P1116))</f>
        <v>3426.6095059550071</v>
      </c>
      <c r="Q1117" s="2">
        <f>IFERROR(AVERAGE(
  IF(ROW()&gt;20, INDEX(G:G, ROW()-20), 0) :
  INDEX(G:G, ROW())
),0)</f>
        <v>417.62797037760419</v>
      </c>
    </row>
    <row r="1118" spans="1:17" x14ac:dyDescent="0.4">
      <c r="A1118" s="1">
        <v>45453</v>
      </c>
      <c r="B1118">
        <v>424.70001220703125</v>
      </c>
      <c r="C1118">
        <v>428.07998657226563</v>
      </c>
      <c r="D1118">
        <v>423.8900146484375</v>
      </c>
      <c r="E1118">
        <v>427.8699951171875</v>
      </c>
      <c r="F1118">
        <v>13982900</v>
      </c>
      <c r="G1118">
        <v>423.9176025390625</v>
      </c>
      <c r="H1118" s="2">
        <f>MONTH(Query1[[#This Row],[Date]])</f>
        <v>6</v>
      </c>
      <c r="I1118" s="3">
        <f>Query1[[#This Row],[Shares]]*Query1[[#This Row],[Adj Close]]</f>
        <v>1522838.7650735558</v>
      </c>
      <c r="J1118" s="3">
        <f>IF(ROW()&lt;3, Dashboard!$E$7, IF(Query1[[#This Row],[Month]]&lt;&gt;H1117,J1117*(1+Dashboard!$E$4)+Dashboard!$E$5,J1117))</f>
        <v>986126.06747430202</v>
      </c>
      <c r="K1118">
        <f>IF(ROW()&lt;3, 0,IF(Query1[[#This Row],[Month]]&lt;&gt;H1117,IF((J1118-I1118&gt;0),J1118-I1118,0),0))</f>
        <v>0</v>
      </c>
      <c r="L1118" s="2">
        <f t="shared" si="17"/>
        <v>3592.2989655359538</v>
      </c>
      <c r="M1118">
        <f>IF(ROW()&lt;3, 0, IF(Query1[[#This Row],[Month]]&lt;&gt;H1117, Dashboard!$J$5,0))</f>
        <v>0</v>
      </c>
      <c r="N1118" s="2">
        <f>IF(ROW()&lt;3, Query1[[#This Row],[Shares]], IF(Query1[[#This Row],[Month]]&lt;&gt;H1117, N1117+Query1[[#This Row],[Fix Top Up]]/Query1[[#This Row],[Adj Close]], N1117))</f>
        <v>3432.7434511120459</v>
      </c>
      <c r="O1118">
        <f>IF(AND(Query1[[#This Row],[avg]]&gt;0, Query1[[#This Row],[Month]]&lt;&gt;H1117),
    IF(Query1[[#This Row],[Adj Close]]&gt;Query1[[#This Row],[avg]],
       Dashboard!$L$5-Dashboard!$E$6,
       Dashboard!$L$5+Dashboard!$E$6
    ), 0
)</f>
        <v>0</v>
      </c>
      <c r="P1118" s="2">
        <f>IF(ROW()&lt;3, Query1[[#This Row],[Shares]], IF(Query1[[#This Row],[Month]]&lt;&gt;H1117, P1117+Query1[[#This Row],[Enhanced top up]]/Query1[[#This Row],[Adj Close]], P1117))</f>
        <v>3426.6095059550071</v>
      </c>
      <c r="Q1118" s="2">
        <f>IFERROR(AVERAGE(
  IF(ROW()&gt;20, INDEX(G:G, ROW()-20), 0) :
  INDEX(G:G, ROW())
),0)</f>
        <v>418.39662969680057</v>
      </c>
    </row>
    <row r="1119" spans="1:17" x14ac:dyDescent="0.4">
      <c r="A1119" s="1">
        <v>45454</v>
      </c>
      <c r="B1119">
        <v>425.48001098632813</v>
      </c>
      <c r="C1119">
        <v>432.82000732421875</v>
      </c>
      <c r="D1119">
        <v>425.25</v>
      </c>
      <c r="E1119">
        <v>432.67999267578125</v>
      </c>
      <c r="F1119">
        <v>14551100</v>
      </c>
      <c r="G1119">
        <v>428.68316650390625</v>
      </c>
      <c r="H1119" s="2">
        <f>MONTH(Query1[[#This Row],[Date]])</f>
        <v>6</v>
      </c>
      <c r="I1119" s="3">
        <f>Query1[[#This Row],[Shares]]*Query1[[#This Row],[Adj Close]]</f>
        <v>1539958.0955746595</v>
      </c>
      <c r="J1119" s="3">
        <f>IF(ROW()&lt;3, Dashboard!$E$7, IF(Query1[[#This Row],[Month]]&lt;&gt;H1118,J1118*(1+Dashboard!$E$4)+Dashboard!$E$5,J1118))</f>
        <v>986126.06747430202</v>
      </c>
      <c r="K1119">
        <f>IF(ROW()&lt;3, 0,IF(Query1[[#This Row],[Month]]&lt;&gt;H1118,IF((J1119-I1119&gt;0),J1119-I1119,0),0))</f>
        <v>0</v>
      </c>
      <c r="L1119" s="2">
        <f t="shared" si="17"/>
        <v>3592.2989655359538</v>
      </c>
      <c r="M1119">
        <f>IF(ROW()&lt;3, 0, IF(Query1[[#This Row],[Month]]&lt;&gt;H1118, Dashboard!$J$5,0))</f>
        <v>0</v>
      </c>
      <c r="N1119" s="2">
        <f>IF(ROW()&lt;3, Query1[[#This Row],[Shares]], IF(Query1[[#This Row],[Month]]&lt;&gt;H1118, N1118+Query1[[#This Row],[Fix Top Up]]/Query1[[#This Row],[Adj Close]], N1118))</f>
        <v>3432.7434511120459</v>
      </c>
      <c r="O1119">
        <f>IF(AND(Query1[[#This Row],[avg]]&gt;0, Query1[[#This Row],[Month]]&lt;&gt;H1118),
    IF(Query1[[#This Row],[Adj Close]]&gt;Query1[[#This Row],[avg]],
       Dashboard!$L$5-Dashboard!$E$6,
       Dashboard!$L$5+Dashboard!$E$6
    ), 0
)</f>
        <v>0</v>
      </c>
      <c r="P1119" s="2">
        <f>IF(ROW()&lt;3, Query1[[#This Row],[Shares]], IF(Query1[[#This Row],[Month]]&lt;&gt;H1118, P1118+Query1[[#This Row],[Enhanced top up]]/Query1[[#This Row],[Adj Close]], P1118))</f>
        <v>3426.6095059550071</v>
      </c>
      <c r="Q1119" s="2">
        <f>IFERROR(AVERAGE(
  IF(ROW()&gt;20, INDEX(G:G, ROW()-20), 0) :
  INDEX(G:G, ROW())
),0)</f>
        <v>419.27825491768971</v>
      </c>
    </row>
    <row r="1120" spans="1:17" x14ac:dyDescent="0.4">
      <c r="A1120" s="1">
        <v>45455</v>
      </c>
      <c r="B1120">
        <v>435.32000732421875</v>
      </c>
      <c r="C1120">
        <v>443.39999389648438</v>
      </c>
      <c r="D1120">
        <v>433.25</v>
      </c>
      <c r="E1120">
        <v>441.05999755859375</v>
      </c>
      <c r="F1120">
        <v>22366200</v>
      </c>
      <c r="G1120">
        <v>436.98577880859375</v>
      </c>
      <c r="H1120" s="2">
        <f>MONTH(Query1[[#This Row],[Date]])</f>
        <v>6</v>
      </c>
      <c r="I1120" s="3">
        <f>Query1[[#This Row],[Shares]]*Query1[[#This Row],[Adj Close]]</f>
        <v>1569783.5611680346</v>
      </c>
      <c r="J1120" s="3">
        <f>IF(ROW()&lt;3, Dashboard!$E$7, IF(Query1[[#This Row],[Month]]&lt;&gt;H1119,J1119*(1+Dashboard!$E$4)+Dashboard!$E$5,J1119))</f>
        <v>986126.06747430202</v>
      </c>
      <c r="K1120">
        <f>IF(ROW()&lt;3, 0,IF(Query1[[#This Row],[Month]]&lt;&gt;H1119,IF((J1120-I1120&gt;0),J1120-I1120,0),0))</f>
        <v>0</v>
      </c>
      <c r="L1120" s="2">
        <f t="shared" si="17"/>
        <v>3592.2989655359538</v>
      </c>
      <c r="M1120">
        <f>IF(ROW()&lt;3, 0, IF(Query1[[#This Row],[Month]]&lt;&gt;H1119, Dashboard!$J$5,0))</f>
        <v>0</v>
      </c>
      <c r="N1120" s="2">
        <f>IF(ROW()&lt;3, Query1[[#This Row],[Shares]], IF(Query1[[#This Row],[Month]]&lt;&gt;H1119, N1119+Query1[[#This Row],[Fix Top Up]]/Query1[[#This Row],[Adj Close]], N1119))</f>
        <v>3432.7434511120459</v>
      </c>
      <c r="O1120">
        <f>IF(AND(Query1[[#This Row],[avg]]&gt;0, Query1[[#This Row],[Month]]&lt;&gt;H1119),
    IF(Query1[[#This Row],[Adj Close]]&gt;Query1[[#This Row],[avg]],
       Dashboard!$L$5-Dashboard!$E$6,
       Dashboard!$L$5+Dashboard!$E$6
    ), 0
)</f>
        <v>0</v>
      </c>
      <c r="P1120" s="2">
        <f>IF(ROW()&lt;3, Query1[[#This Row],[Shares]], IF(Query1[[#This Row],[Month]]&lt;&gt;H1119, P1119+Query1[[#This Row],[Enhanced top up]]/Query1[[#This Row],[Adj Close]], P1119))</f>
        <v>3426.6095059550071</v>
      </c>
      <c r="Q1120" s="2">
        <f>IFERROR(AVERAGE(
  IF(ROW()&gt;20, INDEX(G:G, ROW()-20), 0) :
  INDEX(G:G, ROW())
),0)</f>
        <v>420.60327584402904</v>
      </c>
    </row>
    <row r="1121" spans="1:17" x14ac:dyDescent="0.4">
      <c r="A1121" s="1">
        <v>45456</v>
      </c>
      <c r="B1121">
        <v>440.85000610351563</v>
      </c>
      <c r="C1121">
        <v>443.3900146484375</v>
      </c>
      <c r="D1121">
        <v>439.3699951171875</v>
      </c>
      <c r="E1121">
        <v>441.57998657226563</v>
      </c>
      <c r="F1121">
        <v>15960600</v>
      </c>
      <c r="G1121">
        <v>437.5009765625</v>
      </c>
      <c r="H1121" s="2">
        <f>MONTH(Query1[[#This Row],[Date]])</f>
        <v>6</v>
      </c>
      <c r="I1121" s="3">
        <f>Query1[[#This Row],[Shares]]*Query1[[#This Row],[Adj Close]]</f>
        <v>1571634.3055264384</v>
      </c>
      <c r="J1121" s="3">
        <f>IF(ROW()&lt;3, Dashboard!$E$7, IF(Query1[[#This Row],[Month]]&lt;&gt;H1120,J1120*(1+Dashboard!$E$4)+Dashboard!$E$5,J1120))</f>
        <v>986126.06747430202</v>
      </c>
      <c r="K1121">
        <f>IF(ROW()&lt;3, 0,IF(Query1[[#This Row],[Month]]&lt;&gt;H1120,IF((J1121-I1121&gt;0),J1121-I1121,0),0))</f>
        <v>0</v>
      </c>
      <c r="L1121" s="2">
        <f t="shared" si="17"/>
        <v>3592.2989655359538</v>
      </c>
      <c r="M1121">
        <f>IF(ROW()&lt;3, 0, IF(Query1[[#This Row],[Month]]&lt;&gt;H1120, Dashboard!$J$5,0))</f>
        <v>0</v>
      </c>
      <c r="N1121" s="2">
        <f>IF(ROW()&lt;3, Query1[[#This Row],[Shares]], IF(Query1[[#This Row],[Month]]&lt;&gt;H1120, N1120+Query1[[#This Row],[Fix Top Up]]/Query1[[#This Row],[Adj Close]], N1120))</f>
        <v>3432.7434511120459</v>
      </c>
      <c r="O1121">
        <f>IF(AND(Query1[[#This Row],[avg]]&gt;0, Query1[[#This Row],[Month]]&lt;&gt;H1120),
    IF(Query1[[#This Row],[Adj Close]]&gt;Query1[[#This Row],[avg]],
       Dashboard!$L$5-Dashboard!$E$6,
       Dashboard!$L$5+Dashboard!$E$6
    ), 0
)</f>
        <v>0</v>
      </c>
      <c r="P1121" s="2">
        <f>IF(ROW()&lt;3, Query1[[#This Row],[Shares]], IF(Query1[[#This Row],[Month]]&lt;&gt;H1120, P1120+Query1[[#This Row],[Enhanced top up]]/Query1[[#This Row],[Adj Close]], P1120))</f>
        <v>3426.6095059550071</v>
      </c>
      <c r="Q1121" s="2">
        <f>IFERROR(AVERAGE(
  IF(ROW()&gt;20, INDEX(G:G, ROW()-20), 0) :
  INDEX(G:G, ROW())
),0)</f>
        <v>421.81908307756697</v>
      </c>
    </row>
    <row r="1122" spans="1:17" x14ac:dyDescent="0.4">
      <c r="A1122" s="1">
        <v>45457</v>
      </c>
      <c r="B1122">
        <v>438.27999877929688</v>
      </c>
      <c r="C1122">
        <v>443.1400146484375</v>
      </c>
      <c r="D1122">
        <v>436.72000122070313</v>
      </c>
      <c r="E1122">
        <v>442.57000732421875</v>
      </c>
      <c r="F1122">
        <v>13582000</v>
      </c>
      <c r="G1122">
        <v>438.48184204101563</v>
      </c>
      <c r="H1122" s="2">
        <f>MONTH(Query1[[#This Row],[Date]])</f>
        <v>6</v>
      </c>
      <c r="I1122" s="3">
        <f>Query1[[#This Row],[Shares]]*Query1[[#This Row],[Adj Close]]</f>
        <v>1575157.8675702398</v>
      </c>
      <c r="J1122" s="3">
        <f>IF(ROW()&lt;3, Dashboard!$E$7, IF(Query1[[#This Row],[Month]]&lt;&gt;H1121,J1121*(1+Dashboard!$E$4)+Dashboard!$E$5,J1121))</f>
        <v>986126.06747430202</v>
      </c>
      <c r="K1122">
        <f>IF(ROW()&lt;3, 0,IF(Query1[[#This Row],[Month]]&lt;&gt;H1121,IF((J1122-I1122&gt;0),J1122-I1122,0),0))</f>
        <v>0</v>
      </c>
      <c r="L1122" s="2">
        <f t="shared" si="17"/>
        <v>3592.2989655359538</v>
      </c>
      <c r="M1122">
        <f>IF(ROW()&lt;3, 0, IF(Query1[[#This Row],[Month]]&lt;&gt;H1121, Dashboard!$J$5,0))</f>
        <v>0</v>
      </c>
      <c r="N1122" s="2">
        <f>IF(ROW()&lt;3, Query1[[#This Row],[Shares]], IF(Query1[[#This Row],[Month]]&lt;&gt;H1121, N1121+Query1[[#This Row],[Fix Top Up]]/Query1[[#This Row],[Adj Close]], N1121))</f>
        <v>3432.7434511120459</v>
      </c>
      <c r="O1122">
        <f>IF(AND(Query1[[#This Row],[avg]]&gt;0, Query1[[#This Row],[Month]]&lt;&gt;H1121),
    IF(Query1[[#This Row],[Adj Close]]&gt;Query1[[#This Row],[avg]],
       Dashboard!$L$5-Dashboard!$E$6,
       Dashboard!$L$5+Dashboard!$E$6
    ), 0
)</f>
        <v>0</v>
      </c>
      <c r="P1122" s="2">
        <f>IF(ROW()&lt;3, Query1[[#This Row],[Shares]], IF(Query1[[#This Row],[Month]]&lt;&gt;H1121, P1121+Query1[[#This Row],[Enhanced top up]]/Query1[[#This Row],[Adj Close]], P1121))</f>
        <v>3426.6095059550071</v>
      </c>
      <c r="Q1122" s="2">
        <f>IFERROR(AVERAGE(
  IF(ROW()&gt;20, INDEX(G:G, ROW()-20), 0) :
  INDEX(G:G, ROW())
),0)</f>
        <v>422.73860677083331</v>
      </c>
    </row>
    <row r="1123" spans="1:17" x14ac:dyDescent="0.4">
      <c r="A1123" s="1">
        <v>45460</v>
      </c>
      <c r="B1123">
        <v>442.58999633789063</v>
      </c>
      <c r="C1123">
        <v>450.94000244140625</v>
      </c>
      <c r="D1123">
        <v>440.72000122070313</v>
      </c>
      <c r="E1123">
        <v>448.3699951171875</v>
      </c>
      <c r="F1123">
        <v>20790000</v>
      </c>
      <c r="G1123">
        <v>444.22824096679688</v>
      </c>
      <c r="H1123" s="2">
        <f>MONTH(Query1[[#This Row],[Date]])</f>
        <v>6</v>
      </c>
      <c r="I1123" s="3">
        <f>Query1[[#This Row],[Shares]]*Query1[[#This Row],[Adj Close]]</f>
        <v>1595800.6504868809</v>
      </c>
      <c r="J1123" s="3">
        <f>IF(ROW()&lt;3, Dashboard!$E$7, IF(Query1[[#This Row],[Month]]&lt;&gt;H1122,J1122*(1+Dashboard!$E$4)+Dashboard!$E$5,J1122))</f>
        <v>986126.06747430202</v>
      </c>
      <c r="K1123">
        <f>IF(ROW()&lt;3, 0,IF(Query1[[#This Row],[Month]]&lt;&gt;H1122,IF((J1123-I1123&gt;0),J1123-I1123,0),0))</f>
        <v>0</v>
      </c>
      <c r="L1123" s="2">
        <f t="shared" si="17"/>
        <v>3592.2989655359538</v>
      </c>
      <c r="M1123">
        <f>IF(ROW()&lt;3, 0, IF(Query1[[#This Row],[Month]]&lt;&gt;H1122, Dashboard!$J$5,0))</f>
        <v>0</v>
      </c>
      <c r="N1123" s="2">
        <f>IF(ROW()&lt;3, Query1[[#This Row],[Shares]], IF(Query1[[#This Row],[Month]]&lt;&gt;H1122, N1122+Query1[[#This Row],[Fix Top Up]]/Query1[[#This Row],[Adj Close]], N1122))</f>
        <v>3432.7434511120459</v>
      </c>
      <c r="O1123">
        <f>IF(AND(Query1[[#This Row],[avg]]&gt;0, Query1[[#This Row],[Month]]&lt;&gt;H1122),
    IF(Query1[[#This Row],[Adj Close]]&gt;Query1[[#This Row],[avg]],
       Dashboard!$L$5-Dashboard!$E$6,
       Dashboard!$L$5+Dashboard!$E$6
    ), 0
)</f>
        <v>0</v>
      </c>
      <c r="P1123" s="2">
        <f>IF(ROW()&lt;3, Query1[[#This Row],[Shares]], IF(Query1[[#This Row],[Month]]&lt;&gt;H1122, P1122+Query1[[#This Row],[Enhanced top up]]/Query1[[#This Row],[Adj Close]], P1122))</f>
        <v>3426.6095059550071</v>
      </c>
      <c r="Q1123" s="2">
        <f>IFERROR(AVERAGE(
  IF(ROW()&gt;20, INDEX(G:G, ROW()-20), 0) :
  INDEX(G:G, ROW())
),0)</f>
        <v>424.03037080310639</v>
      </c>
    </row>
    <row r="1124" spans="1:17" x14ac:dyDescent="0.4">
      <c r="A1124" s="1">
        <v>45461</v>
      </c>
      <c r="B1124">
        <v>449.70999145507813</v>
      </c>
      <c r="C1124">
        <v>450.1400146484375</v>
      </c>
      <c r="D1124">
        <v>444.8900146484375</v>
      </c>
      <c r="E1124">
        <v>446.33999633789063</v>
      </c>
      <c r="F1124">
        <v>17112500</v>
      </c>
      <c r="G1124">
        <v>442.21701049804688</v>
      </c>
      <c r="H1124" s="2">
        <f>MONTH(Query1[[#This Row],[Date]])</f>
        <v>6</v>
      </c>
      <c r="I1124" s="3">
        <f>Query1[[#This Row],[Shares]]*Query1[[#This Row],[Adj Close]]</f>
        <v>1588575.7093545359</v>
      </c>
      <c r="J1124" s="3">
        <f>IF(ROW()&lt;3, Dashboard!$E$7, IF(Query1[[#This Row],[Month]]&lt;&gt;H1123,J1123*(1+Dashboard!$E$4)+Dashboard!$E$5,J1123))</f>
        <v>986126.06747430202</v>
      </c>
      <c r="K1124">
        <f>IF(ROW()&lt;3, 0,IF(Query1[[#This Row],[Month]]&lt;&gt;H1123,IF((J1124-I1124&gt;0),J1124-I1124,0),0))</f>
        <v>0</v>
      </c>
      <c r="L1124" s="2">
        <f t="shared" si="17"/>
        <v>3592.2989655359538</v>
      </c>
      <c r="M1124">
        <f>IF(ROW()&lt;3, 0, IF(Query1[[#This Row],[Month]]&lt;&gt;H1123, Dashboard!$J$5,0))</f>
        <v>0</v>
      </c>
      <c r="N1124" s="2">
        <f>IF(ROW()&lt;3, Query1[[#This Row],[Shares]], IF(Query1[[#This Row],[Month]]&lt;&gt;H1123, N1123+Query1[[#This Row],[Fix Top Up]]/Query1[[#This Row],[Adj Close]], N1123))</f>
        <v>3432.7434511120459</v>
      </c>
      <c r="O1124">
        <f>IF(AND(Query1[[#This Row],[avg]]&gt;0, Query1[[#This Row],[Month]]&lt;&gt;H1123),
    IF(Query1[[#This Row],[Adj Close]]&gt;Query1[[#This Row],[avg]],
       Dashboard!$L$5-Dashboard!$E$6,
       Dashboard!$L$5+Dashboard!$E$6
    ), 0
)</f>
        <v>0</v>
      </c>
      <c r="P1124" s="2">
        <f>IF(ROW()&lt;3, Query1[[#This Row],[Shares]], IF(Query1[[#This Row],[Month]]&lt;&gt;H1123, P1123+Query1[[#This Row],[Enhanced top up]]/Query1[[#This Row],[Adj Close]], P1123))</f>
        <v>3426.6095059550071</v>
      </c>
      <c r="Q1124" s="2">
        <f>IFERROR(AVERAGE(
  IF(ROW()&gt;20, INDEX(G:G, ROW()-20), 0) :
  INDEX(G:G, ROW())
),0)</f>
        <v>425.26316470191591</v>
      </c>
    </row>
    <row r="1125" spans="1:17" x14ac:dyDescent="0.4">
      <c r="A1125" s="1">
        <v>45463</v>
      </c>
      <c r="B1125">
        <v>446.29998779296875</v>
      </c>
      <c r="C1125">
        <v>446.52999877929688</v>
      </c>
      <c r="D1125">
        <v>441.26998901367188</v>
      </c>
      <c r="E1125">
        <v>445.70001220703125</v>
      </c>
      <c r="F1125">
        <v>19877400</v>
      </c>
      <c r="G1125">
        <v>441.58294677734375</v>
      </c>
      <c r="H1125" s="2">
        <f>MONTH(Query1[[#This Row],[Date]])</f>
        <v>6</v>
      </c>
      <c r="I1125" s="3">
        <f>Query1[[#This Row],[Shares]]*Query1[[#This Row],[Adj Close]]</f>
        <v>1586297.9629065702</v>
      </c>
      <c r="J1125" s="3">
        <f>IF(ROW()&lt;3, Dashboard!$E$7, IF(Query1[[#This Row],[Month]]&lt;&gt;H1124,J1124*(1+Dashboard!$E$4)+Dashboard!$E$5,J1124))</f>
        <v>986126.06747430202</v>
      </c>
      <c r="K1125">
        <f>IF(ROW()&lt;3, 0,IF(Query1[[#This Row],[Month]]&lt;&gt;H1124,IF((J1125-I1125&gt;0),J1125-I1125,0),0))</f>
        <v>0</v>
      </c>
      <c r="L1125" s="2">
        <f t="shared" si="17"/>
        <v>3592.2989655359538</v>
      </c>
      <c r="M1125">
        <f>IF(ROW()&lt;3, 0, IF(Query1[[#This Row],[Month]]&lt;&gt;H1124, Dashboard!$J$5,0))</f>
        <v>0</v>
      </c>
      <c r="N1125" s="2">
        <f>IF(ROW()&lt;3, Query1[[#This Row],[Shares]], IF(Query1[[#This Row],[Month]]&lt;&gt;H1124, N1124+Query1[[#This Row],[Fix Top Up]]/Query1[[#This Row],[Adj Close]], N1124))</f>
        <v>3432.7434511120459</v>
      </c>
      <c r="O1125">
        <f>IF(AND(Query1[[#This Row],[avg]]&gt;0, Query1[[#This Row],[Month]]&lt;&gt;H1124),
    IF(Query1[[#This Row],[Adj Close]]&gt;Query1[[#This Row],[avg]],
       Dashboard!$L$5-Dashboard!$E$6,
       Dashboard!$L$5+Dashboard!$E$6
    ), 0
)</f>
        <v>0</v>
      </c>
      <c r="P1125" s="2">
        <f>IF(ROW()&lt;3, Query1[[#This Row],[Shares]], IF(Query1[[#This Row],[Month]]&lt;&gt;H1124, P1124+Query1[[#This Row],[Enhanced top up]]/Query1[[#This Row],[Adj Close]], P1124))</f>
        <v>3426.6095059550071</v>
      </c>
      <c r="Q1125" s="2">
        <f>IFERROR(AVERAGE(
  IF(ROW()&gt;20, INDEX(G:G, ROW()-20), 0) :
  INDEX(G:G, ROW())
),0)</f>
        <v>426.2237330845424</v>
      </c>
    </row>
    <row r="1126" spans="1:17" x14ac:dyDescent="0.4">
      <c r="A1126" s="1">
        <v>45464</v>
      </c>
      <c r="B1126">
        <v>447.3800048828125</v>
      </c>
      <c r="C1126">
        <v>450.57998657226563</v>
      </c>
      <c r="D1126">
        <v>446.510009765625</v>
      </c>
      <c r="E1126">
        <v>449.77999877929688</v>
      </c>
      <c r="F1126">
        <v>34187100</v>
      </c>
      <c r="G1126">
        <v>445.625244140625</v>
      </c>
      <c r="H1126" s="2">
        <f>MONTH(Query1[[#This Row],[Date]])</f>
        <v>6</v>
      </c>
      <c r="I1126" s="3">
        <f>Query1[[#This Row],[Shares]]*Query1[[#This Row],[Adj Close]]</f>
        <v>1600819.1035430741</v>
      </c>
      <c r="J1126" s="3">
        <f>IF(ROW()&lt;3, Dashboard!$E$7, IF(Query1[[#This Row],[Month]]&lt;&gt;H1125,J1125*(1+Dashboard!$E$4)+Dashboard!$E$5,J1125))</f>
        <v>986126.06747430202</v>
      </c>
      <c r="K1126">
        <f>IF(ROW()&lt;3, 0,IF(Query1[[#This Row],[Month]]&lt;&gt;H1125,IF((J1126-I1126&gt;0),J1126-I1126,0),0))</f>
        <v>0</v>
      </c>
      <c r="L1126" s="2">
        <f t="shared" si="17"/>
        <v>3592.2989655359538</v>
      </c>
      <c r="M1126">
        <f>IF(ROW()&lt;3, 0, IF(Query1[[#This Row],[Month]]&lt;&gt;H1125, Dashboard!$J$5,0))</f>
        <v>0</v>
      </c>
      <c r="N1126" s="2">
        <f>IF(ROW()&lt;3, Query1[[#This Row],[Shares]], IF(Query1[[#This Row],[Month]]&lt;&gt;H1125, N1125+Query1[[#This Row],[Fix Top Up]]/Query1[[#This Row],[Adj Close]], N1125))</f>
        <v>3432.7434511120459</v>
      </c>
      <c r="O1126">
        <f>IF(AND(Query1[[#This Row],[avg]]&gt;0, Query1[[#This Row],[Month]]&lt;&gt;H1125),
    IF(Query1[[#This Row],[Adj Close]]&gt;Query1[[#This Row],[avg]],
       Dashboard!$L$5-Dashboard!$E$6,
       Dashboard!$L$5+Dashboard!$E$6
    ), 0
)</f>
        <v>0</v>
      </c>
      <c r="P1126" s="2">
        <f>IF(ROW()&lt;3, Query1[[#This Row],[Shares]], IF(Query1[[#This Row],[Month]]&lt;&gt;H1125, P1125+Query1[[#This Row],[Enhanced top up]]/Query1[[#This Row],[Adj Close]], P1125))</f>
        <v>3426.6095059550071</v>
      </c>
      <c r="Q1126" s="2">
        <f>IFERROR(AVERAGE(
  IF(ROW()&gt;20, INDEX(G:G, ROW()-20), 0) :
  INDEX(G:G, ROW())
),0)</f>
        <v>427.20222981770831</v>
      </c>
    </row>
    <row r="1127" spans="1:17" x14ac:dyDescent="0.4">
      <c r="A1127" s="1">
        <v>45467</v>
      </c>
      <c r="B1127">
        <v>449.79998779296875</v>
      </c>
      <c r="C1127">
        <v>452.75</v>
      </c>
      <c r="D1127">
        <v>446.41000366210938</v>
      </c>
      <c r="E1127">
        <v>447.67001342773438</v>
      </c>
      <c r="F1127">
        <v>15913700</v>
      </c>
      <c r="G1127">
        <v>443.53475952148438</v>
      </c>
      <c r="H1127" s="2">
        <f>MONTH(Query1[[#This Row],[Date]])</f>
        <v>6</v>
      </c>
      <c r="I1127" s="3">
        <f>Query1[[#This Row],[Shares]]*Query1[[#This Row],[Adj Close]]</f>
        <v>1593309.4578082664</v>
      </c>
      <c r="J1127" s="3">
        <f>IF(ROW()&lt;3, Dashboard!$E$7, IF(Query1[[#This Row],[Month]]&lt;&gt;H1126,J1126*(1+Dashboard!$E$4)+Dashboard!$E$5,J1126))</f>
        <v>986126.06747430202</v>
      </c>
      <c r="K1127">
        <f>IF(ROW()&lt;3, 0,IF(Query1[[#This Row],[Month]]&lt;&gt;H1126,IF((J1127-I1127&gt;0),J1127-I1127,0),0))</f>
        <v>0</v>
      </c>
      <c r="L1127" s="2">
        <f t="shared" si="17"/>
        <v>3592.2989655359538</v>
      </c>
      <c r="M1127">
        <f>IF(ROW()&lt;3, 0, IF(Query1[[#This Row],[Month]]&lt;&gt;H1126, Dashboard!$J$5,0))</f>
        <v>0</v>
      </c>
      <c r="N1127" s="2">
        <f>IF(ROW()&lt;3, Query1[[#This Row],[Shares]], IF(Query1[[#This Row],[Month]]&lt;&gt;H1126, N1126+Query1[[#This Row],[Fix Top Up]]/Query1[[#This Row],[Adj Close]], N1126))</f>
        <v>3432.7434511120459</v>
      </c>
      <c r="O1127">
        <f>IF(AND(Query1[[#This Row],[avg]]&gt;0, Query1[[#This Row],[Month]]&lt;&gt;H1126),
    IF(Query1[[#This Row],[Adj Close]]&gt;Query1[[#This Row],[avg]],
       Dashboard!$L$5-Dashboard!$E$6,
       Dashboard!$L$5+Dashboard!$E$6
    ), 0
)</f>
        <v>0</v>
      </c>
      <c r="P1127" s="2">
        <f>IF(ROW()&lt;3, Query1[[#This Row],[Shares]], IF(Query1[[#This Row],[Month]]&lt;&gt;H1126, P1126+Query1[[#This Row],[Enhanced top up]]/Query1[[#This Row],[Adj Close]], P1126))</f>
        <v>3426.6095059550071</v>
      </c>
      <c r="Q1127" s="2">
        <f>IFERROR(AVERAGE(
  IF(ROW()&gt;20, INDEX(G:G, ROW()-20), 0) :
  INDEX(G:G, ROW())
),0)</f>
        <v>428.01135544549851</v>
      </c>
    </row>
    <row r="1128" spans="1:17" x14ac:dyDescent="0.4">
      <c r="A1128" s="1">
        <v>45468</v>
      </c>
      <c r="B1128">
        <v>448.25</v>
      </c>
      <c r="C1128">
        <v>451.42001342773438</v>
      </c>
      <c r="D1128">
        <v>446.75</v>
      </c>
      <c r="E1128">
        <v>450.95001220703125</v>
      </c>
      <c r="F1128">
        <v>16413400</v>
      </c>
      <c r="G1128">
        <v>446.784423828125</v>
      </c>
      <c r="H1128" s="2">
        <f>MONTH(Query1[[#This Row],[Date]])</f>
        <v>6</v>
      </c>
      <c r="I1128" s="3">
        <f>Query1[[#This Row],[Shares]]*Query1[[#This Row],[Adj Close]]</f>
        <v>1604983.2235353505</v>
      </c>
      <c r="J1128" s="3">
        <f>IF(ROW()&lt;3, Dashboard!$E$7, IF(Query1[[#This Row],[Month]]&lt;&gt;H1127,J1127*(1+Dashboard!$E$4)+Dashboard!$E$5,J1127))</f>
        <v>986126.06747430202</v>
      </c>
      <c r="K1128">
        <f>IF(ROW()&lt;3, 0,IF(Query1[[#This Row],[Month]]&lt;&gt;H1127,IF((J1128-I1128&gt;0),J1128-I1128,0),0))</f>
        <v>0</v>
      </c>
      <c r="L1128" s="2">
        <f t="shared" si="17"/>
        <v>3592.2989655359538</v>
      </c>
      <c r="M1128">
        <f>IF(ROW()&lt;3, 0, IF(Query1[[#This Row],[Month]]&lt;&gt;H1127, Dashboard!$J$5,0))</f>
        <v>0</v>
      </c>
      <c r="N1128" s="2">
        <f>IF(ROW()&lt;3, Query1[[#This Row],[Shares]], IF(Query1[[#This Row],[Month]]&lt;&gt;H1127, N1127+Query1[[#This Row],[Fix Top Up]]/Query1[[#This Row],[Adj Close]], N1127))</f>
        <v>3432.7434511120459</v>
      </c>
      <c r="O1128">
        <f>IF(AND(Query1[[#This Row],[avg]]&gt;0, Query1[[#This Row],[Month]]&lt;&gt;H1127),
    IF(Query1[[#This Row],[Adj Close]]&gt;Query1[[#This Row],[avg]],
       Dashboard!$L$5-Dashboard!$E$6,
       Dashboard!$L$5+Dashboard!$E$6
    ), 0
)</f>
        <v>0</v>
      </c>
      <c r="P1128" s="2">
        <f>IF(ROW()&lt;3, Query1[[#This Row],[Shares]], IF(Query1[[#This Row],[Month]]&lt;&gt;H1127, P1127+Query1[[#This Row],[Enhanced top up]]/Query1[[#This Row],[Adj Close]], P1127))</f>
        <v>3426.6095059550071</v>
      </c>
      <c r="Q1128" s="2">
        <f>IFERROR(AVERAGE(
  IF(ROW()&gt;20, INDEX(G:G, ROW()-20), 0) :
  INDEX(G:G, ROW())
),0)</f>
        <v>429.14129783993678</v>
      </c>
    </row>
    <row r="1129" spans="1:17" x14ac:dyDescent="0.4">
      <c r="A1129" s="1">
        <v>45469</v>
      </c>
      <c r="B1129">
        <v>449</v>
      </c>
      <c r="C1129">
        <v>453.60000610351563</v>
      </c>
      <c r="D1129">
        <v>448.19000244140625</v>
      </c>
      <c r="E1129">
        <v>452.16000366210938</v>
      </c>
      <c r="F1129">
        <v>16507000</v>
      </c>
      <c r="G1129">
        <v>447.98321533203125</v>
      </c>
      <c r="H1129" s="2">
        <f>MONTH(Query1[[#This Row],[Date]])</f>
        <v>6</v>
      </c>
      <c r="I1129" s="3">
        <f>Query1[[#This Row],[Shares]]*Query1[[#This Row],[Adj Close]]</f>
        <v>1609289.6410147264</v>
      </c>
      <c r="J1129" s="3">
        <f>IF(ROW()&lt;3, Dashboard!$E$7, IF(Query1[[#This Row],[Month]]&lt;&gt;H1128,J1128*(1+Dashboard!$E$4)+Dashboard!$E$5,J1128))</f>
        <v>986126.06747430202</v>
      </c>
      <c r="K1129">
        <f>IF(ROW()&lt;3, 0,IF(Query1[[#This Row],[Month]]&lt;&gt;H1128,IF((J1129-I1129&gt;0),J1129-I1129,0),0))</f>
        <v>0</v>
      </c>
      <c r="L1129" s="2">
        <f t="shared" si="17"/>
        <v>3592.2989655359538</v>
      </c>
      <c r="M1129">
        <f>IF(ROW()&lt;3, 0, IF(Query1[[#This Row],[Month]]&lt;&gt;H1128, Dashboard!$J$5,0))</f>
        <v>0</v>
      </c>
      <c r="N1129" s="2">
        <f>IF(ROW()&lt;3, Query1[[#This Row],[Shares]], IF(Query1[[#This Row],[Month]]&lt;&gt;H1128, N1128+Query1[[#This Row],[Fix Top Up]]/Query1[[#This Row],[Adj Close]], N1128))</f>
        <v>3432.7434511120459</v>
      </c>
      <c r="O1129">
        <f>IF(AND(Query1[[#This Row],[avg]]&gt;0, Query1[[#This Row],[Month]]&lt;&gt;H1128),
    IF(Query1[[#This Row],[Adj Close]]&gt;Query1[[#This Row],[avg]],
       Dashboard!$L$5-Dashboard!$E$6,
       Dashboard!$L$5+Dashboard!$E$6
    ), 0
)</f>
        <v>0</v>
      </c>
      <c r="P1129" s="2">
        <f>IF(ROW()&lt;3, Query1[[#This Row],[Shares]], IF(Query1[[#This Row],[Month]]&lt;&gt;H1128, P1128+Query1[[#This Row],[Enhanced top up]]/Query1[[#This Row],[Adj Close]], P1128))</f>
        <v>3426.6095059550071</v>
      </c>
      <c r="Q1129" s="2">
        <f>IFERROR(AVERAGE(
  IF(ROW()&gt;20, INDEX(G:G, ROW()-20), 0) :
  INDEX(G:G, ROW())
),0)</f>
        <v>430.17923845563615</v>
      </c>
    </row>
    <row r="1130" spans="1:17" x14ac:dyDescent="0.4">
      <c r="A1130" s="1">
        <v>45470</v>
      </c>
      <c r="B1130">
        <v>452.17999267578125</v>
      </c>
      <c r="C1130">
        <v>456.17001342773438</v>
      </c>
      <c r="D1130">
        <v>451.76998901367188</v>
      </c>
      <c r="E1130">
        <v>452.85000610351563</v>
      </c>
      <c r="F1130">
        <v>14806300</v>
      </c>
      <c r="G1130">
        <v>448.66683959960938</v>
      </c>
      <c r="H1130" s="2">
        <f>MONTH(Query1[[#This Row],[Date]])</f>
        <v>6</v>
      </c>
      <c r="I1130" s="3">
        <f>Query1[[#This Row],[Shares]]*Query1[[#This Row],[Adj Close]]</f>
        <v>1611745.4237639625</v>
      </c>
      <c r="J1130" s="3">
        <f>IF(ROW()&lt;3, Dashboard!$E$7, IF(Query1[[#This Row],[Month]]&lt;&gt;H1129,J1129*(1+Dashboard!$E$4)+Dashboard!$E$5,J1129))</f>
        <v>986126.06747430202</v>
      </c>
      <c r="K1130">
        <f>IF(ROW()&lt;3, 0,IF(Query1[[#This Row],[Month]]&lt;&gt;H1129,IF((J1130-I1130&gt;0),J1130-I1130,0),0))</f>
        <v>0</v>
      </c>
      <c r="L1130" s="2">
        <f t="shared" si="17"/>
        <v>3592.2989655359538</v>
      </c>
      <c r="M1130">
        <f>IF(ROW()&lt;3, 0, IF(Query1[[#This Row],[Month]]&lt;&gt;H1129, Dashboard!$J$5,0))</f>
        <v>0</v>
      </c>
      <c r="N1130" s="2">
        <f>IF(ROW()&lt;3, Query1[[#This Row],[Shares]], IF(Query1[[#This Row],[Month]]&lt;&gt;H1129, N1129+Query1[[#This Row],[Fix Top Up]]/Query1[[#This Row],[Adj Close]], N1129))</f>
        <v>3432.7434511120459</v>
      </c>
      <c r="O1130">
        <f>IF(AND(Query1[[#This Row],[avg]]&gt;0, Query1[[#This Row],[Month]]&lt;&gt;H1129),
    IF(Query1[[#This Row],[Adj Close]]&gt;Query1[[#This Row],[avg]],
       Dashboard!$L$5-Dashboard!$E$6,
       Dashboard!$L$5+Dashboard!$E$6
    ), 0
)</f>
        <v>0</v>
      </c>
      <c r="P1130" s="2">
        <f>IF(ROW()&lt;3, Query1[[#This Row],[Shares]], IF(Query1[[#This Row],[Month]]&lt;&gt;H1129, P1129+Query1[[#This Row],[Enhanced top up]]/Query1[[#This Row],[Adj Close]], P1129))</f>
        <v>3426.6095059550071</v>
      </c>
      <c r="Q1130" s="2">
        <f>IFERROR(AVERAGE(
  IF(ROW()&gt;20, INDEX(G:G, ROW()-20), 0) :
  INDEX(G:G, ROW())
),0)</f>
        <v>431.24218459356399</v>
      </c>
    </row>
    <row r="1131" spans="1:17" x14ac:dyDescent="0.4">
      <c r="A1131" s="1">
        <v>45471</v>
      </c>
      <c r="B1131">
        <v>453.07000732421875</v>
      </c>
      <c r="C1131">
        <v>455.3800048828125</v>
      </c>
      <c r="D1131">
        <v>446.41000366210938</v>
      </c>
      <c r="E1131">
        <v>446.95001220703125</v>
      </c>
      <c r="F1131">
        <v>28362300</v>
      </c>
      <c r="G1131">
        <v>442.82138061523438</v>
      </c>
      <c r="H1131" s="2">
        <f>MONTH(Query1[[#This Row],[Date]])</f>
        <v>6</v>
      </c>
      <c r="I1131" s="3">
        <f>Query1[[#This Row],[Shares]]*Query1[[#This Row],[Adj Close]]</f>
        <v>1590746.7875013093</v>
      </c>
      <c r="J1131" s="3">
        <f>IF(ROW()&lt;3, Dashboard!$E$7, IF(Query1[[#This Row],[Month]]&lt;&gt;H1130,J1130*(1+Dashboard!$E$4)+Dashboard!$E$5,J1130))</f>
        <v>986126.06747430202</v>
      </c>
      <c r="K1131">
        <f>IF(ROW()&lt;3, 0,IF(Query1[[#This Row],[Month]]&lt;&gt;H1130,IF((J1131-I1131&gt;0),J1131-I1131,0),0))</f>
        <v>0</v>
      </c>
      <c r="L1131" s="2">
        <f t="shared" si="17"/>
        <v>3592.2989655359538</v>
      </c>
      <c r="M1131">
        <f>IF(ROW()&lt;3, 0, IF(Query1[[#This Row],[Month]]&lt;&gt;H1130, Dashboard!$J$5,0))</f>
        <v>0</v>
      </c>
      <c r="N1131" s="2">
        <f>IF(ROW()&lt;3, Query1[[#This Row],[Shares]], IF(Query1[[#This Row],[Month]]&lt;&gt;H1130, N1130+Query1[[#This Row],[Fix Top Up]]/Query1[[#This Row],[Adj Close]], N1130))</f>
        <v>3432.7434511120459</v>
      </c>
      <c r="O1131">
        <f>IF(AND(Query1[[#This Row],[avg]]&gt;0, Query1[[#This Row],[Month]]&lt;&gt;H1130),
    IF(Query1[[#This Row],[Adj Close]]&gt;Query1[[#This Row],[avg]],
       Dashboard!$L$5-Dashboard!$E$6,
       Dashboard!$L$5+Dashboard!$E$6
    ), 0
)</f>
        <v>0</v>
      </c>
      <c r="P1131" s="2">
        <f>IF(ROW()&lt;3, Query1[[#This Row],[Shares]], IF(Query1[[#This Row],[Month]]&lt;&gt;H1130, P1130+Query1[[#This Row],[Enhanced top up]]/Query1[[#This Row],[Adj Close]], P1130))</f>
        <v>3426.6095059550071</v>
      </c>
      <c r="Q1131" s="2">
        <f>IFERROR(AVERAGE(
  IF(ROW()&gt;20, INDEX(G:G, ROW()-20), 0) :
  INDEX(G:G, ROW())
),0)</f>
        <v>432.08103143601193</v>
      </c>
    </row>
    <row r="1132" spans="1:17" x14ac:dyDescent="0.4">
      <c r="A1132" s="1">
        <v>45474</v>
      </c>
      <c r="B1132">
        <v>448.66000366210938</v>
      </c>
      <c r="C1132">
        <v>457.3699951171875</v>
      </c>
      <c r="D1132">
        <v>445.66000366210938</v>
      </c>
      <c r="E1132">
        <v>456.73001098632813</v>
      </c>
      <c r="F1132">
        <v>17662800</v>
      </c>
      <c r="G1132">
        <v>452.51101684570313</v>
      </c>
      <c r="H1132" s="2">
        <f>MONTH(Query1[[#This Row],[Date]])</f>
        <v>7</v>
      </c>
      <c r="I1132" s="3">
        <f>Query1[[#This Row],[Shares]]*Query1[[#This Row],[Adj Close]]</f>
        <v>1625554.8577084418</v>
      </c>
      <c r="J1132" s="3">
        <f>IF(ROW()&lt;3, Dashboard!$E$7, IF(Query1[[#This Row],[Month]]&lt;&gt;H1131,J1131*(1+Dashboard!$E$4)+Dashboard!$E$5,J1131))</f>
        <v>997987.328149045</v>
      </c>
      <c r="K1132">
        <f>IF(ROW()&lt;3, 0,IF(Query1[[#This Row],[Month]]&lt;&gt;H1131,IF((J1132-I1132&gt;0),J1132-I1132,0),0))</f>
        <v>0</v>
      </c>
      <c r="L1132" s="2">
        <f t="shared" si="17"/>
        <v>3592.2989655359538</v>
      </c>
      <c r="M1132">
        <f>IF(ROW()&lt;3, 0, IF(Query1[[#This Row],[Month]]&lt;&gt;H1131, Dashboard!$J$5,0))</f>
        <v>773.47399999999971</v>
      </c>
      <c r="N1132" s="2">
        <f>IF(ROW()&lt;3, Query1[[#This Row],[Shares]], IF(Query1[[#This Row],[Month]]&lt;&gt;H1131, N1131+Query1[[#This Row],[Fix Top Up]]/Query1[[#This Row],[Adj Close]], N1131))</f>
        <v>3434.4527443031634</v>
      </c>
      <c r="O1132">
        <f>IF(AND(Query1[[#This Row],[avg]]&gt;0, Query1[[#This Row],[Month]]&lt;&gt;H1131),
    IF(Query1[[#This Row],[Adj Close]]&gt;Query1[[#This Row],[avg]],
       Dashboard!$L$5-Dashboard!$E$6,
       Dashboard!$L$5+Dashboard!$E$6
    ), 0
)</f>
        <v>390.14066666666668</v>
      </c>
      <c r="P1132" s="2">
        <f>IF(ROW()&lt;3, Query1[[#This Row],[Shares]], IF(Query1[[#This Row],[Month]]&lt;&gt;H1131, P1131+Query1[[#This Row],[Enhanced top up]]/Query1[[#This Row],[Adj Close]], P1131))</f>
        <v>3427.4716742827227</v>
      </c>
      <c r="Q1132" s="2">
        <f>IFERROR(AVERAGE(
  IF(ROW()&gt;20, INDEX(G:G, ROW()-20), 0) :
  INDEX(G:G, ROW())
),0)</f>
        <v>434.06538609095981</v>
      </c>
    </row>
    <row r="1133" spans="1:17" x14ac:dyDescent="0.4">
      <c r="A1133" s="1">
        <v>45475</v>
      </c>
      <c r="B1133">
        <v>453.20001220703125</v>
      </c>
      <c r="C1133">
        <v>459.58999633789063</v>
      </c>
      <c r="D1133">
        <v>453.1099853515625</v>
      </c>
      <c r="E1133">
        <v>459.27999877929688</v>
      </c>
      <c r="F1133">
        <v>13979800</v>
      </c>
      <c r="G1133">
        <v>455.03744506835938</v>
      </c>
      <c r="H1133" s="2">
        <f>MONTH(Query1[[#This Row],[Date]])</f>
        <v>7</v>
      </c>
      <c r="I1133" s="3">
        <f>Query1[[#This Row],[Shares]]*Query1[[#This Row],[Adj Close]]</f>
        <v>1634630.5431991909</v>
      </c>
      <c r="J1133" s="3">
        <f>IF(ROW()&lt;3, Dashboard!$E$7, IF(Query1[[#This Row],[Month]]&lt;&gt;H1132,J1132*(1+Dashboard!$E$4)+Dashboard!$E$5,J1132))</f>
        <v>997987.328149045</v>
      </c>
      <c r="K1133">
        <f>IF(ROW()&lt;3, 0,IF(Query1[[#This Row],[Month]]&lt;&gt;H1132,IF((J1133-I1133&gt;0),J1133-I1133,0),0))</f>
        <v>0</v>
      </c>
      <c r="L1133" s="2">
        <f t="shared" si="17"/>
        <v>3592.2989655359538</v>
      </c>
      <c r="M1133">
        <f>IF(ROW()&lt;3, 0, IF(Query1[[#This Row],[Month]]&lt;&gt;H1132, Dashboard!$J$5,0))</f>
        <v>0</v>
      </c>
      <c r="N1133" s="2">
        <f>IF(ROW()&lt;3, Query1[[#This Row],[Shares]], IF(Query1[[#This Row],[Month]]&lt;&gt;H1132, N1132+Query1[[#This Row],[Fix Top Up]]/Query1[[#This Row],[Adj Close]], N1132))</f>
        <v>3434.4527443031634</v>
      </c>
      <c r="O1133">
        <f>IF(AND(Query1[[#This Row],[avg]]&gt;0, Query1[[#This Row],[Month]]&lt;&gt;H1132),
    IF(Query1[[#This Row],[Adj Close]]&gt;Query1[[#This Row],[avg]],
       Dashboard!$L$5-Dashboard!$E$6,
       Dashboard!$L$5+Dashboard!$E$6
    ), 0
)</f>
        <v>0</v>
      </c>
      <c r="P1133" s="2">
        <f>IF(ROW()&lt;3, Query1[[#This Row],[Shares]], IF(Query1[[#This Row],[Month]]&lt;&gt;H1132, P1132+Query1[[#This Row],[Enhanced top up]]/Query1[[#This Row],[Adj Close]], P1132))</f>
        <v>3427.4716742827227</v>
      </c>
      <c r="Q1133" s="2">
        <f>IFERROR(AVERAGE(
  IF(ROW()&gt;20, INDEX(G:G, ROW()-20), 0) :
  INDEX(G:G, ROW())
),0)</f>
        <v>436.14834594726563</v>
      </c>
    </row>
    <row r="1134" spans="1:17" x14ac:dyDescent="0.4">
      <c r="A1134" s="1">
        <v>45476</v>
      </c>
      <c r="B1134">
        <v>458.19000244140625</v>
      </c>
      <c r="C1134">
        <v>461.01998901367188</v>
      </c>
      <c r="D1134">
        <v>457.8800048828125</v>
      </c>
      <c r="E1134">
        <v>460.76998901367188</v>
      </c>
      <c r="F1134">
        <v>9932800</v>
      </c>
      <c r="G1134">
        <v>456.51370239257813</v>
      </c>
      <c r="H1134" s="2">
        <f>MONTH(Query1[[#This Row],[Date]])</f>
        <v>7</v>
      </c>
      <c r="I1134" s="3">
        <f>Query1[[#This Row],[Shares]]*Query1[[#This Row],[Adj Close]]</f>
        <v>1639933.7008578468</v>
      </c>
      <c r="J1134" s="3">
        <f>IF(ROW()&lt;3, Dashboard!$E$7, IF(Query1[[#This Row],[Month]]&lt;&gt;H1133,J1133*(1+Dashboard!$E$4)+Dashboard!$E$5,J1133))</f>
        <v>997987.328149045</v>
      </c>
      <c r="K1134">
        <f>IF(ROW()&lt;3, 0,IF(Query1[[#This Row],[Month]]&lt;&gt;H1133,IF((J1134-I1134&gt;0),J1134-I1134,0),0))</f>
        <v>0</v>
      </c>
      <c r="L1134" s="2">
        <f t="shared" si="17"/>
        <v>3592.2989655359538</v>
      </c>
      <c r="M1134">
        <f>IF(ROW()&lt;3, 0, IF(Query1[[#This Row],[Month]]&lt;&gt;H1133, Dashboard!$J$5,0))</f>
        <v>0</v>
      </c>
      <c r="N1134" s="2">
        <f>IF(ROW()&lt;3, Query1[[#This Row],[Shares]], IF(Query1[[#This Row],[Month]]&lt;&gt;H1133, N1133+Query1[[#This Row],[Fix Top Up]]/Query1[[#This Row],[Adj Close]], N1133))</f>
        <v>3434.4527443031634</v>
      </c>
      <c r="O1134">
        <f>IF(AND(Query1[[#This Row],[avg]]&gt;0, Query1[[#This Row],[Month]]&lt;&gt;H1133),
    IF(Query1[[#This Row],[Adj Close]]&gt;Query1[[#This Row],[avg]],
       Dashboard!$L$5-Dashboard!$E$6,
       Dashboard!$L$5+Dashboard!$E$6
    ), 0
)</f>
        <v>0</v>
      </c>
      <c r="P1134" s="2">
        <f>IF(ROW()&lt;3, Query1[[#This Row],[Shares]], IF(Query1[[#This Row],[Month]]&lt;&gt;H1133, P1133+Query1[[#This Row],[Enhanced top up]]/Query1[[#This Row],[Adj Close]], P1133))</f>
        <v>3427.4716742827227</v>
      </c>
      <c r="Q1134" s="2">
        <f>IFERROR(AVERAGE(
  IF(ROW()&gt;20, INDEX(G:G, ROW()-20), 0) :
  INDEX(G:G, ROW())
),0)</f>
        <v>438.37756202334447</v>
      </c>
    </row>
    <row r="1135" spans="1:17" x14ac:dyDescent="0.4">
      <c r="A1135" s="1">
        <v>45478</v>
      </c>
      <c r="B1135">
        <v>459.6099853515625</v>
      </c>
      <c r="C1135">
        <v>468.35000610351563</v>
      </c>
      <c r="D1135">
        <v>458.97000122070313</v>
      </c>
      <c r="E1135">
        <v>467.55999755859375</v>
      </c>
      <c r="F1135">
        <v>16000300</v>
      </c>
      <c r="G1135">
        <v>463.240966796875</v>
      </c>
      <c r="H1135" s="2">
        <f>MONTH(Query1[[#This Row],[Date]])</f>
        <v>7</v>
      </c>
      <c r="I1135" s="3">
        <f>Query1[[#This Row],[Shares]]*Query1[[#This Row],[Adj Close]]</f>
        <v>1664100.0458182893</v>
      </c>
      <c r="J1135" s="3">
        <f>IF(ROW()&lt;3, Dashboard!$E$7, IF(Query1[[#This Row],[Month]]&lt;&gt;H1134,J1134*(1+Dashboard!$E$4)+Dashboard!$E$5,J1134))</f>
        <v>997987.328149045</v>
      </c>
      <c r="K1135">
        <f>IF(ROW()&lt;3, 0,IF(Query1[[#This Row],[Month]]&lt;&gt;H1134,IF((J1135-I1135&gt;0),J1135-I1135,0),0))</f>
        <v>0</v>
      </c>
      <c r="L1135" s="2">
        <f t="shared" si="17"/>
        <v>3592.2989655359538</v>
      </c>
      <c r="M1135">
        <f>IF(ROW()&lt;3, 0, IF(Query1[[#This Row],[Month]]&lt;&gt;H1134, Dashboard!$J$5,0))</f>
        <v>0</v>
      </c>
      <c r="N1135" s="2">
        <f>IF(ROW()&lt;3, Query1[[#This Row],[Shares]], IF(Query1[[#This Row],[Month]]&lt;&gt;H1134, N1134+Query1[[#This Row],[Fix Top Up]]/Query1[[#This Row],[Adj Close]], N1134))</f>
        <v>3434.4527443031634</v>
      </c>
      <c r="O1135">
        <f>IF(AND(Query1[[#This Row],[avg]]&gt;0, Query1[[#This Row],[Month]]&lt;&gt;H1134),
    IF(Query1[[#This Row],[Adj Close]]&gt;Query1[[#This Row],[avg]],
       Dashboard!$L$5-Dashboard!$E$6,
       Dashboard!$L$5+Dashboard!$E$6
    ), 0
)</f>
        <v>0</v>
      </c>
      <c r="P1135" s="2">
        <f>IF(ROW()&lt;3, Query1[[#This Row],[Shares]], IF(Query1[[#This Row],[Month]]&lt;&gt;H1134, P1134+Query1[[#This Row],[Enhanced top up]]/Query1[[#This Row],[Adj Close]], P1134))</f>
        <v>3427.4716742827227</v>
      </c>
      <c r="Q1135" s="2">
        <f>IFERROR(AVERAGE(
  IF(ROW()&gt;20, INDEX(G:G, ROW()-20), 0) :
  INDEX(G:G, ROW())
),0)</f>
        <v>440.8068164643787</v>
      </c>
    </row>
    <row r="1136" spans="1:17" x14ac:dyDescent="0.4">
      <c r="A1136" s="1">
        <v>45481</v>
      </c>
      <c r="B1136">
        <v>466.54998779296875</v>
      </c>
      <c r="C1136">
        <v>467.70001220703125</v>
      </c>
      <c r="D1136">
        <v>464.45999145507813</v>
      </c>
      <c r="E1136">
        <v>466.239990234375</v>
      </c>
      <c r="F1136">
        <v>12962300</v>
      </c>
      <c r="G1136">
        <v>461.93316650390625</v>
      </c>
      <c r="H1136" s="2">
        <f>MONTH(Query1[[#This Row],[Date]])</f>
        <v>7</v>
      </c>
      <c r="I1136" s="3">
        <f>Query1[[#This Row],[Shares]]*Query1[[#This Row],[Adj Close]]</f>
        <v>1659402.03617873</v>
      </c>
      <c r="J1136" s="3">
        <f>IF(ROW()&lt;3, Dashboard!$E$7, IF(Query1[[#This Row],[Month]]&lt;&gt;H1135,J1135*(1+Dashboard!$E$4)+Dashboard!$E$5,J1135))</f>
        <v>997987.328149045</v>
      </c>
      <c r="K1136">
        <f>IF(ROW()&lt;3, 0,IF(Query1[[#This Row],[Month]]&lt;&gt;H1135,IF((J1136-I1136&gt;0),J1136-I1136,0),0))</f>
        <v>0</v>
      </c>
      <c r="L1136" s="2">
        <f t="shared" si="17"/>
        <v>3592.2989655359538</v>
      </c>
      <c r="M1136">
        <f>IF(ROW()&lt;3, 0, IF(Query1[[#This Row],[Month]]&lt;&gt;H1135, Dashboard!$J$5,0))</f>
        <v>0</v>
      </c>
      <c r="N1136" s="2">
        <f>IF(ROW()&lt;3, Query1[[#This Row],[Shares]], IF(Query1[[#This Row],[Month]]&lt;&gt;H1135, N1135+Query1[[#This Row],[Fix Top Up]]/Query1[[#This Row],[Adj Close]], N1135))</f>
        <v>3434.4527443031634</v>
      </c>
      <c r="O1136">
        <f>IF(AND(Query1[[#This Row],[avg]]&gt;0, Query1[[#This Row],[Month]]&lt;&gt;H1135),
    IF(Query1[[#This Row],[Adj Close]]&gt;Query1[[#This Row],[avg]],
       Dashboard!$L$5-Dashboard!$E$6,
       Dashboard!$L$5+Dashboard!$E$6
    ), 0
)</f>
        <v>0</v>
      </c>
      <c r="P1136" s="2">
        <f>IF(ROW()&lt;3, Query1[[#This Row],[Shares]], IF(Query1[[#This Row],[Month]]&lt;&gt;H1135, P1135+Query1[[#This Row],[Enhanced top up]]/Query1[[#This Row],[Adj Close]], P1135))</f>
        <v>3427.4716742827227</v>
      </c>
      <c r="Q1136" s="2">
        <f>IFERROR(AVERAGE(
  IF(ROW()&gt;20, INDEX(G:G, ROW()-20), 0) :
  INDEX(G:G, ROW())
),0)</f>
        <v>442.79919142950149</v>
      </c>
    </row>
    <row r="1137" spans="1:17" x14ac:dyDescent="0.4">
      <c r="A1137" s="1">
        <v>45482</v>
      </c>
      <c r="B1137">
        <v>467</v>
      </c>
      <c r="C1137">
        <v>467.32998657226563</v>
      </c>
      <c r="D1137">
        <v>458</v>
      </c>
      <c r="E1137">
        <v>459.54000854492188</v>
      </c>
      <c r="F1137">
        <v>17207200</v>
      </c>
      <c r="G1137">
        <v>455.29507446289063</v>
      </c>
      <c r="H1137" s="2">
        <f>MONTH(Query1[[#This Row],[Date]])</f>
        <v>7</v>
      </c>
      <c r="I1137" s="3">
        <f>Query1[[#This Row],[Shares]]*Query1[[#This Row],[Adj Close]]</f>
        <v>1635556.025006657</v>
      </c>
      <c r="J1137" s="3">
        <f>IF(ROW()&lt;3, Dashboard!$E$7, IF(Query1[[#This Row],[Month]]&lt;&gt;H1136,J1136*(1+Dashboard!$E$4)+Dashboard!$E$5,J1136))</f>
        <v>997987.328149045</v>
      </c>
      <c r="K1137">
        <f>IF(ROW()&lt;3, 0,IF(Query1[[#This Row],[Month]]&lt;&gt;H1136,IF((J1137-I1137&gt;0),J1137-I1137,0),0))</f>
        <v>0</v>
      </c>
      <c r="L1137" s="2">
        <f t="shared" si="17"/>
        <v>3592.2989655359538</v>
      </c>
      <c r="M1137">
        <f>IF(ROW()&lt;3, 0, IF(Query1[[#This Row],[Month]]&lt;&gt;H1136, Dashboard!$J$5,0))</f>
        <v>0</v>
      </c>
      <c r="N1137" s="2">
        <f>IF(ROW()&lt;3, Query1[[#This Row],[Shares]], IF(Query1[[#This Row],[Month]]&lt;&gt;H1136, N1136+Query1[[#This Row],[Fix Top Up]]/Query1[[#This Row],[Adj Close]], N1136))</f>
        <v>3434.4527443031634</v>
      </c>
      <c r="O1137">
        <f>IF(AND(Query1[[#This Row],[avg]]&gt;0, Query1[[#This Row],[Month]]&lt;&gt;H1136),
    IF(Query1[[#This Row],[Adj Close]]&gt;Query1[[#This Row],[avg]],
       Dashboard!$L$5-Dashboard!$E$6,
       Dashboard!$L$5+Dashboard!$E$6
    ), 0
)</f>
        <v>0</v>
      </c>
      <c r="P1137" s="2">
        <f>IF(ROW()&lt;3, Query1[[#This Row],[Shares]], IF(Query1[[#This Row],[Month]]&lt;&gt;H1136, P1136+Query1[[#This Row],[Enhanced top up]]/Query1[[#This Row],[Adj Close]], P1136))</f>
        <v>3427.4716742827227</v>
      </c>
      <c r="Q1137" s="2">
        <f>IFERROR(AVERAGE(
  IF(ROW()&gt;20, INDEX(G:G, ROW()-20), 0) :
  INDEX(G:G, ROW())
),0)</f>
        <v>444.45140729631697</v>
      </c>
    </row>
    <row r="1138" spans="1:17" x14ac:dyDescent="0.4">
      <c r="A1138" s="1">
        <v>45483</v>
      </c>
      <c r="B1138">
        <v>461.22000122070313</v>
      </c>
      <c r="C1138">
        <v>466.45999145507813</v>
      </c>
      <c r="D1138">
        <v>458.8599853515625</v>
      </c>
      <c r="E1138">
        <v>466.25</v>
      </c>
      <c r="F1138">
        <v>18196100</v>
      </c>
      <c r="G1138">
        <v>461.94308471679688</v>
      </c>
      <c r="H1138" s="2">
        <f>MONTH(Query1[[#This Row],[Date]])</f>
        <v>7</v>
      </c>
      <c r="I1138" s="3">
        <f>Query1[[#This Row],[Shares]]*Query1[[#This Row],[Adj Close]]</f>
        <v>1659437.6653646368</v>
      </c>
      <c r="J1138" s="3">
        <f>IF(ROW()&lt;3, Dashboard!$E$7, IF(Query1[[#This Row],[Month]]&lt;&gt;H1137,J1137*(1+Dashboard!$E$4)+Dashboard!$E$5,J1137))</f>
        <v>997987.328149045</v>
      </c>
      <c r="K1138">
        <f>IF(ROW()&lt;3, 0,IF(Query1[[#This Row],[Month]]&lt;&gt;H1137,IF((J1138-I1138&gt;0),J1138-I1138,0),0))</f>
        <v>0</v>
      </c>
      <c r="L1138" s="2">
        <f t="shared" si="17"/>
        <v>3592.2989655359538</v>
      </c>
      <c r="M1138">
        <f>IF(ROW()&lt;3, 0, IF(Query1[[#This Row],[Month]]&lt;&gt;H1137, Dashboard!$J$5,0))</f>
        <v>0</v>
      </c>
      <c r="N1138" s="2">
        <f>IF(ROW()&lt;3, Query1[[#This Row],[Shares]], IF(Query1[[#This Row],[Month]]&lt;&gt;H1137, N1137+Query1[[#This Row],[Fix Top Up]]/Query1[[#This Row],[Adj Close]], N1137))</f>
        <v>3434.4527443031634</v>
      </c>
      <c r="O1138">
        <f>IF(AND(Query1[[#This Row],[avg]]&gt;0, Query1[[#This Row],[Month]]&lt;&gt;H1137),
    IF(Query1[[#This Row],[Adj Close]]&gt;Query1[[#This Row],[avg]],
       Dashboard!$L$5-Dashboard!$E$6,
       Dashboard!$L$5+Dashboard!$E$6
    ), 0
)</f>
        <v>0</v>
      </c>
      <c r="P1138" s="2">
        <f>IF(ROW()&lt;3, Query1[[#This Row],[Shares]], IF(Query1[[#This Row],[Month]]&lt;&gt;H1137, P1137+Query1[[#This Row],[Enhanced top up]]/Query1[[#This Row],[Adj Close]], P1137))</f>
        <v>3427.4716742827227</v>
      </c>
      <c r="Q1138" s="2">
        <f>IFERROR(AVERAGE(
  IF(ROW()&gt;20, INDEX(G:G, ROW()-20), 0) :
  INDEX(G:G, ROW())
),0)</f>
        <v>446.4518040248326</v>
      </c>
    </row>
    <row r="1139" spans="1:17" x14ac:dyDescent="0.4">
      <c r="A1139" s="1">
        <v>45484</v>
      </c>
      <c r="B1139">
        <v>462.98001098632813</v>
      </c>
      <c r="C1139">
        <v>464.77999877929688</v>
      </c>
      <c r="D1139">
        <v>451.54998779296875</v>
      </c>
      <c r="E1139">
        <v>454.70001220703125</v>
      </c>
      <c r="F1139">
        <v>23111200</v>
      </c>
      <c r="G1139">
        <v>450.49978637695313</v>
      </c>
      <c r="H1139" s="2">
        <f>MONTH(Query1[[#This Row],[Date]])</f>
        <v>7</v>
      </c>
      <c r="I1139" s="3">
        <f>Query1[[#This Row],[Shares]]*Query1[[#This Row],[Adj Close]]</f>
        <v>1618329.9165760968</v>
      </c>
      <c r="J1139" s="3">
        <f>IF(ROW()&lt;3, Dashboard!$E$7, IF(Query1[[#This Row],[Month]]&lt;&gt;H1138,J1138*(1+Dashboard!$E$4)+Dashboard!$E$5,J1138))</f>
        <v>997987.328149045</v>
      </c>
      <c r="K1139">
        <f>IF(ROW()&lt;3, 0,IF(Query1[[#This Row],[Month]]&lt;&gt;H1138,IF((J1139-I1139&gt;0),J1139-I1139,0),0))</f>
        <v>0</v>
      </c>
      <c r="L1139" s="2">
        <f t="shared" si="17"/>
        <v>3592.2989655359538</v>
      </c>
      <c r="M1139">
        <f>IF(ROW()&lt;3, 0, IF(Query1[[#This Row],[Month]]&lt;&gt;H1138, Dashboard!$J$5,0))</f>
        <v>0</v>
      </c>
      <c r="N1139" s="2">
        <f>IF(ROW()&lt;3, Query1[[#This Row],[Shares]], IF(Query1[[#This Row],[Month]]&lt;&gt;H1138, N1138+Query1[[#This Row],[Fix Top Up]]/Query1[[#This Row],[Adj Close]], N1138))</f>
        <v>3434.4527443031634</v>
      </c>
      <c r="O1139">
        <f>IF(AND(Query1[[#This Row],[avg]]&gt;0, Query1[[#This Row],[Month]]&lt;&gt;H1138),
    IF(Query1[[#This Row],[Adj Close]]&gt;Query1[[#This Row],[avg]],
       Dashboard!$L$5-Dashboard!$E$6,
       Dashboard!$L$5+Dashboard!$E$6
    ), 0
)</f>
        <v>0</v>
      </c>
      <c r="P1139" s="2">
        <f>IF(ROW()&lt;3, Query1[[#This Row],[Shares]], IF(Query1[[#This Row],[Month]]&lt;&gt;H1138, P1138+Query1[[#This Row],[Enhanced top up]]/Query1[[#This Row],[Adj Close]], P1138))</f>
        <v>3427.4716742827227</v>
      </c>
      <c r="Q1139" s="2">
        <f>IFERROR(AVERAGE(
  IF(ROW()&gt;20, INDEX(G:G, ROW()-20), 0) :
  INDEX(G:G, ROW())
),0)</f>
        <v>447.71762230282741</v>
      </c>
    </row>
    <row r="1140" spans="1:17" x14ac:dyDescent="0.4">
      <c r="A1140" s="1">
        <v>45485</v>
      </c>
      <c r="B1140">
        <v>454.32998657226563</v>
      </c>
      <c r="C1140">
        <v>456.3599853515625</v>
      </c>
      <c r="D1140">
        <v>450.64999389648438</v>
      </c>
      <c r="E1140">
        <v>453.54998779296875</v>
      </c>
      <c r="F1140">
        <v>16324300</v>
      </c>
      <c r="G1140">
        <v>449.36038208007813</v>
      </c>
      <c r="H1140" s="2">
        <f>MONTH(Query1[[#This Row],[Date]])</f>
        <v>7</v>
      </c>
      <c r="I1140" s="3">
        <f>Query1[[#This Row],[Shares]]*Query1[[#This Row],[Adj Close]]</f>
        <v>1614236.8356991056</v>
      </c>
      <c r="J1140" s="3">
        <f>IF(ROW()&lt;3, Dashboard!$E$7, IF(Query1[[#This Row],[Month]]&lt;&gt;H1139,J1139*(1+Dashboard!$E$4)+Dashboard!$E$5,J1139))</f>
        <v>997987.328149045</v>
      </c>
      <c r="K1140">
        <f>IF(ROW()&lt;3, 0,IF(Query1[[#This Row],[Month]]&lt;&gt;H1139,IF((J1140-I1140&gt;0),J1140-I1140,0),0))</f>
        <v>0</v>
      </c>
      <c r="L1140" s="2">
        <f t="shared" si="17"/>
        <v>3592.2989655359538</v>
      </c>
      <c r="M1140">
        <f>IF(ROW()&lt;3, 0, IF(Query1[[#This Row],[Month]]&lt;&gt;H1139, Dashboard!$J$5,0))</f>
        <v>0</v>
      </c>
      <c r="N1140" s="2">
        <f>IF(ROW()&lt;3, Query1[[#This Row],[Shares]], IF(Query1[[#This Row],[Month]]&lt;&gt;H1139, N1139+Query1[[#This Row],[Fix Top Up]]/Query1[[#This Row],[Adj Close]], N1139))</f>
        <v>3434.4527443031634</v>
      </c>
      <c r="O1140">
        <f>IF(AND(Query1[[#This Row],[avg]]&gt;0, Query1[[#This Row],[Month]]&lt;&gt;H1139),
    IF(Query1[[#This Row],[Adj Close]]&gt;Query1[[#This Row],[avg]],
       Dashboard!$L$5-Dashboard!$E$6,
       Dashboard!$L$5+Dashboard!$E$6
    ), 0
)</f>
        <v>0</v>
      </c>
      <c r="P1140" s="2">
        <f>IF(ROW()&lt;3, Query1[[#This Row],[Shares]], IF(Query1[[#This Row],[Month]]&lt;&gt;H1139, P1139+Query1[[#This Row],[Enhanced top up]]/Query1[[#This Row],[Adj Close]], P1139))</f>
        <v>3427.4716742827227</v>
      </c>
      <c r="Q1140" s="2">
        <f>IFERROR(AVERAGE(
  IF(ROW()&gt;20, INDEX(G:G, ROW()-20), 0) :
  INDEX(G:G, ROW())
),0)</f>
        <v>448.70225161597841</v>
      </c>
    </row>
    <row r="1141" spans="1:17" x14ac:dyDescent="0.4">
      <c r="A1141" s="1">
        <v>45488</v>
      </c>
      <c r="B1141">
        <v>453.29998779296875</v>
      </c>
      <c r="C1141">
        <v>457.260009765625</v>
      </c>
      <c r="D1141">
        <v>451.42999267578125</v>
      </c>
      <c r="E1141">
        <v>453.95999145507813</v>
      </c>
      <c r="F1141">
        <v>14429400</v>
      </c>
      <c r="G1141">
        <v>449.76663208007813</v>
      </c>
      <c r="H1141" s="2">
        <f>MONTH(Query1[[#This Row],[Date]])</f>
        <v>7</v>
      </c>
      <c r="I1141" s="3">
        <f>Query1[[#This Row],[Shares]]*Query1[[#This Row],[Adj Close]]</f>
        <v>1615696.2071538547</v>
      </c>
      <c r="J1141" s="3">
        <f>IF(ROW()&lt;3, Dashboard!$E$7, IF(Query1[[#This Row],[Month]]&lt;&gt;H1140,J1140*(1+Dashboard!$E$4)+Dashboard!$E$5,J1140))</f>
        <v>997987.328149045</v>
      </c>
      <c r="K1141">
        <f>IF(ROW()&lt;3, 0,IF(Query1[[#This Row],[Month]]&lt;&gt;H1140,IF((J1141-I1141&gt;0),J1141-I1141,0),0))</f>
        <v>0</v>
      </c>
      <c r="L1141" s="2">
        <f t="shared" si="17"/>
        <v>3592.2989655359538</v>
      </c>
      <c r="M1141">
        <f>IF(ROW()&lt;3, 0, IF(Query1[[#This Row],[Month]]&lt;&gt;H1140, Dashboard!$J$5,0))</f>
        <v>0</v>
      </c>
      <c r="N1141" s="2">
        <f>IF(ROW()&lt;3, Query1[[#This Row],[Shares]], IF(Query1[[#This Row],[Month]]&lt;&gt;H1140, N1140+Query1[[#This Row],[Fix Top Up]]/Query1[[#This Row],[Adj Close]], N1140))</f>
        <v>3434.4527443031634</v>
      </c>
      <c r="O1141">
        <f>IF(AND(Query1[[#This Row],[avg]]&gt;0, Query1[[#This Row],[Month]]&lt;&gt;H1140),
    IF(Query1[[#This Row],[Adj Close]]&gt;Query1[[#This Row],[avg]],
       Dashboard!$L$5-Dashboard!$E$6,
       Dashboard!$L$5+Dashboard!$E$6
    ), 0
)</f>
        <v>0</v>
      </c>
      <c r="P1141" s="2">
        <f>IF(ROW()&lt;3, Query1[[#This Row],[Shares]], IF(Query1[[#This Row],[Month]]&lt;&gt;H1140, P1140+Query1[[#This Row],[Enhanced top up]]/Query1[[#This Row],[Adj Close]], P1140))</f>
        <v>3427.4716742827227</v>
      </c>
      <c r="Q1141" s="2">
        <f>IFERROR(AVERAGE(
  IF(ROW()&gt;20, INDEX(G:G, ROW()-20), 0) :
  INDEX(G:G, ROW())
),0)</f>
        <v>449.31086367652529</v>
      </c>
    </row>
    <row r="1142" spans="1:17" x14ac:dyDescent="0.4">
      <c r="A1142" s="1">
        <v>45489</v>
      </c>
      <c r="B1142">
        <v>454.22000122070313</v>
      </c>
      <c r="C1142">
        <v>454.29998779296875</v>
      </c>
      <c r="D1142">
        <v>446.66000366210938</v>
      </c>
      <c r="E1142">
        <v>449.51998901367188</v>
      </c>
      <c r="F1142">
        <v>17175700</v>
      </c>
      <c r="G1142">
        <v>445.36764526367188</v>
      </c>
      <c r="H1142" s="2">
        <f>MONTH(Query1[[#This Row],[Date]])</f>
        <v>7</v>
      </c>
      <c r="I1142" s="3">
        <f>Query1[[#This Row],[Shares]]*Query1[[#This Row],[Adj Close]]</f>
        <v>1599893.7313638721</v>
      </c>
      <c r="J1142" s="3">
        <f>IF(ROW()&lt;3, Dashboard!$E$7, IF(Query1[[#This Row],[Month]]&lt;&gt;H1141,J1141*(1+Dashboard!$E$4)+Dashboard!$E$5,J1141))</f>
        <v>997987.328149045</v>
      </c>
      <c r="K1142">
        <f>IF(ROW()&lt;3, 0,IF(Query1[[#This Row],[Month]]&lt;&gt;H1141,IF((J1142-I1142&gt;0),J1142-I1142,0),0))</f>
        <v>0</v>
      </c>
      <c r="L1142" s="2">
        <f t="shared" si="17"/>
        <v>3592.2989655359538</v>
      </c>
      <c r="M1142">
        <f>IF(ROW()&lt;3, 0, IF(Query1[[#This Row],[Month]]&lt;&gt;H1141, Dashboard!$J$5,0))</f>
        <v>0</v>
      </c>
      <c r="N1142" s="2">
        <f>IF(ROW()&lt;3, Query1[[#This Row],[Shares]], IF(Query1[[#This Row],[Month]]&lt;&gt;H1141, N1141+Query1[[#This Row],[Fix Top Up]]/Query1[[#This Row],[Adj Close]], N1141))</f>
        <v>3434.4527443031634</v>
      </c>
      <c r="O1142">
        <f>IF(AND(Query1[[#This Row],[avg]]&gt;0, Query1[[#This Row],[Month]]&lt;&gt;H1141),
    IF(Query1[[#This Row],[Adj Close]]&gt;Query1[[#This Row],[avg]],
       Dashboard!$L$5-Dashboard!$E$6,
       Dashboard!$L$5+Dashboard!$E$6
    ), 0
)</f>
        <v>0</v>
      </c>
      <c r="P1142" s="2">
        <f>IF(ROW()&lt;3, Query1[[#This Row],[Shares]], IF(Query1[[#This Row],[Month]]&lt;&gt;H1141, P1141+Query1[[#This Row],[Enhanced top up]]/Query1[[#This Row],[Adj Close]], P1141))</f>
        <v>3427.4716742827227</v>
      </c>
      <c r="Q1142" s="2">
        <f>IFERROR(AVERAGE(
  IF(ROW()&gt;20, INDEX(G:G, ROW()-20), 0) :
  INDEX(G:G, ROW())
),0)</f>
        <v>449.68546694800966</v>
      </c>
    </row>
    <row r="1143" spans="1:17" x14ac:dyDescent="0.4">
      <c r="A1143" s="1">
        <v>45490</v>
      </c>
      <c r="B1143">
        <v>442.58999633789063</v>
      </c>
      <c r="C1143">
        <v>444.85000610351563</v>
      </c>
      <c r="D1143">
        <v>439.17999267578125</v>
      </c>
      <c r="E1143">
        <v>443.51998901367188</v>
      </c>
      <c r="F1143">
        <v>21778000</v>
      </c>
      <c r="G1143">
        <v>439.42303466796875</v>
      </c>
      <c r="H1143" s="2">
        <f>MONTH(Query1[[#This Row],[Date]])</f>
        <v>7</v>
      </c>
      <c r="I1143" s="3">
        <f>Query1[[#This Row],[Shares]]*Query1[[#This Row],[Adj Close]]</f>
        <v>1578538.9128704136</v>
      </c>
      <c r="J1143" s="3">
        <f>IF(ROW()&lt;3, Dashboard!$E$7, IF(Query1[[#This Row],[Month]]&lt;&gt;H1142,J1142*(1+Dashboard!$E$4)+Dashboard!$E$5,J1142))</f>
        <v>997987.328149045</v>
      </c>
      <c r="K1143">
        <f>IF(ROW()&lt;3, 0,IF(Query1[[#This Row],[Month]]&lt;&gt;H1142,IF((J1143-I1143&gt;0),J1143-I1143,0),0))</f>
        <v>0</v>
      </c>
      <c r="L1143" s="2">
        <f t="shared" si="17"/>
        <v>3592.2989655359538</v>
      </c>
      <c r="M1143">
        <f>IF(ROW()&lt;3, 0, IF(Query1[[#This Row],[Month]]&lt;&gt;H1142, Dashboard!$J$5,0))</f>
        <v>0</v>
      </c>
      <c r="N1143" s="2">
        <f>IF(ROW()&lt;3, Query1[[#This Row],[Shares]], IF(Query1[[#This Row],[Month]]&lt;&gt;H1142, N1142+Query1[[#This Row],[Fix Top Up]]/Query1[[#This Row],[Adj Close]], N1142))</f>
        <v>3434.4527443031634</v>
      </c>
      <c r="O1143">
        <f>IF(AND(Query1[[#This Row],[avg]]&gt;0, Query1[[#This Row],[Month]]&lt;&gt;H1142),
    IF(Query1[[#This Row],[Adj Close]]&gt;Query1[[#This Row],[avg]],
       Dashboard!$L$5-Dashboard!$E$6,
       Dashboard!$L$5+Dashboard!$E$6
    ), 0
)</f>
        <v>0</v>
      </c>
      <c r="P1143" s="2">
        <f>IF(ROW()&lt;3, Query1[[#This Row],[Shares]], IF(Query1[[#This Row],[Month]]&lt;&gt;H1142, P1142+Query1[[#This Row],[Enhanced top up]]/Query1[[#This Row],[Adj Close]], P1142))</f>
        <v>3427.4716742827227</v>
      </c>
      <c r="Q1143" s="2">
        <f>IFERROR(AVERAGE(
  IF(ROW()&gt;20, INDEX(G:G, ROW()-20), 0) :
  INDEX(G:G, ROW())
),0)</f>
        <v>449.73028564453125</v>
      </c>
    </row>
    <row r="1144" spans="1:17" x14ac:dyDescent="0.4">
      <c r="A1144" s="1">
        <v>45491</v>
      </c>
      <c r="B1144">
        <v>444.33999633789063</v>
      </c>
      <c r="C1144">
        <v>444.64999389648438</v>
      </c>
      <c r="D1144">
        <v>434.39999389648438</v>
      </c>
      <c r="E1144">
        <v>440.3699951171875</v>
      </c>
      <c r="F1144">
        <v>20794800</v>
      </c>
      <c r="G1144">
        <v>436.3021240234375</v>
      </c>
      <c r="H1144" s="2">
        <f>MONTH(Query1[[#This Row],[Date]])</f>
        <v>7</v>
      </c>
      <c r="I1144" s="3">
        <f>Query1[[#This Row],[Shares]]*Query1[[#This Row],[Adj Close]]</f>
        <v>1567327.6687905339</v>
      </c>
      <c r="J1144" s="3">
        <f>IF(ROW()&lt;3, Dashboard!$E$7, IF(Query1[[#This Row],[Month]]&lt;&gt;H1143,J1143*(1+Dashboard!$E$4)+Dashboard!$E$5,J1143))</f>
        <v>997987.328149045</v>
      </c>
      <c r="K1144">
        <f>IF(ROW()&lt;3, 0,IF(Query1[[#This Row],[Month]]&lt;&gt;H1143,IF((J1144-I1144&gt;0),J1144-I1144,0),0))</f>
        <v>0</v>
      </c>
      <c r="L1144" s="2">
        <f t="shared" si="17"/>
        <v>3592.2989655359538</v>
      </c>
      <c r="M1144">
        <f>IF(ROW()&lt;3, 0, IF(Query1[[#This Row],[Month]]&lt;&gt;H1143, Dashboard!$J$5,0))</f>
        <v>0</v>
      </c>
      <c r="N1144" s="2">
        <f>IF(ROW()&lt;3, Query1[[#This Row],[Shares]], IF(Query1[[#This Row],[Month]]&lt;&gt;H1143, N1143+Query1[[#This Row],[Fix Top Up]]/Query1[[#This Row],[Adj Close]], N1143))</f>
        <v>3434.4527443031634</v>
      </c>
      <c r="O1144">
        <f>IF(AND(Query1[[#This Row],[avg]]&gt;0, Query1[[#This Row],[Month]]&lt;&gt;H1143),
    IF(Query1[[#This Row],[Adj Close]]&gt;Query1[[#This Row],[avg]],
       Dashboard!$L$5-Dashboard!$E$6,
       Dashboard!$L$5+Dashboard!$E$6
    ), 0
)</f>
        <v>0</v>
      </c>
      <c r="P1144" s="2">
        <f>IF(ROW()&lt;3, Query1[[#This Row],[Shares]], IF(Query1[[#This Row],[Month]]&lt;&gt;H1143, P1143+Query1[[#This Row],[Enhanced top up]]/Query1[[#This Row],[Adj Close]], P1143))</f>
        <v>3427.4716742827227</v>
      </c>
      <c r="Q1144" s="2">
        <f>IFERROR(AVERAGE(
  IF(ROW()&gt;20, INDEX(G:G, ROW()-20), 0) :
  INDEX(G:G, ROW())
),0)</f>
        <v>449.3528515043713</v>
      </c>
    </row>
    <row r="1145" spans="1:17" x14ac:dyDescent="0.4">
      <c r="A1145" s="1">
        <v>45492</v>
      </c>
      <c r="B1145">
        <v>433.10000610351563</v>
      </c>
      <c r="C1145">
        <v>441.1400146484375</v>
      </c>
      <c r="D1145">
        <v>432</v>
      </c>
      <c r="E1145">
        <v>437.1099853515625</v>
      </c>
      <c r="F1145">
        <v>20940400</v>
      </c>
      <c r="G1145">
        <v>433.07223510742188</v>
      </c>
      <c r="H1145" s="2">
        <f>MONTH(Query1[[#This Row],[Date]])</f>
        <v>7</v>
      </c>
      <c r="I1145" s="3">
        <f>Query1[[#This Row],[Shares]]*Query1[[#This Row],[Adj Close]]</f>
        <v>1555724.942178735</v>
      </c>
      <c r="J1145" s="3">
        <f>IF(ROW()&lt;3, Dashboard!$E$7, IF(Query1[[#This Row],[Month]]&lt;&gt;H1144,J1144*(1+Dashboard!$E$4)+Dashboard!$E$5,J1144))</f>
        <v>997987.328149045</v>
      </c>
      <c r="K1145">
        <f>IF(ROW()&lt;3, 0,IF(Query1[[#This Row],[Month]]&lt;&gt;H1144,IF((J1145-I1145&gt;0),J1145-I1145,0),0))</f>
        <v>0</v>
      </c>
      <c r="L1145" s="2">
        <f t="shared" si="17"/>
        <v>3592.2989655359538</v>
      </c>
      <c r="M1145">
        <f>IF(ROW()&lt;3, 0, IF(Query1[[#This Row],[Month]]&lt;&gt;H1144, Dashboard!$J$5,0))</f>
        <v>0</v>
      </c>
      <c r="N1145" s="2">
        <f>IF(ROW()&lt;3, Query1[[#This Row],[Shares]], IF(Query1[[#This Row],[Month]]&lt;&gt;H1144, N1144+Query1[[#This Row],[Fix Top Up]]/Query1[[#This Row],[Adj Close]], N1144))</f>
        <v>3434.4527443031634</v>
      </c>
      <c r="O1145">
        <f>IF(AND(Query1[[#This Row],[avg]]&gt;0, Query1[[#This Row],[Month]]&lt;&gt;H1144),
    IF(Query1[[#This Row],[Adj Close]]&gt;Query1[[#This Row],[avg]],
       Dashboard!$L$5-Dashboard!$E$6,
       Dashboard!$L$5+Dashboard!$E$6
    ), 0
)</f>
        <v>0</v>
      </c>
      <c r="P1145" s="2">
        <f>IF(ROW()&lt;3, Query1[[#This Row],[Shares]], IF(Query1[[#This Row],[Month]]&lt;&gt;H1144, P1144+Query1[[#This Row],[Enhanced top up]]/Query1[[#This Row],[Adj Close]], P1144))</f>
        <v>3427.4716742827227</v>
      </c>
      <c r="Q1145" s="2">
        <f>IFERROR(AVERAGE(
  IF(ROW()&gt;20, INDEX(G:G, ROW()-20), 0) :
  INDEX(G:G, ROW())
),0)</f>
        <v>448.91738600957962</v>
      </c>
    </row>
    <row r="1146" spans="1:17" x14ac:dyDescent="0.4">
      <c r="A1146" s="1">
        <v>45495</v>
      </c>
      <c r="B1146">
        <v>441.79000854492188</v>
      </c>
      <c r="C1146">
        <v>444.60000610351563</v>
      </c>
      <c r="D1146">
        <v>438.91000366210938</v>
      </c>
      <c r="E1146">
        <v>442.94000244140625</v>
      </c>
      <c r="F1146">
        <v>15808800</v>
      </c>
      <c r="G1146">
        <v>438.84841918945313</v>
      </c>
      <c r="H1146" s="2">
        <f>MONTH(Query1[[#This Row],[Date]])</f>
        <v>7</v>
      </c>
      <c r="I1146" s="3">
        <f>Query1[[#This Row],[Shares]]*Query1[[#This Row],[Adj Close]]</f>
        <v>1576474.722281361</v>
      </c>
      <c r="J1146" s="3">
        <f>IF(ROW()&lt;3, Dashboard!$E$7, IF(Query1[[#This Row],[Month]]&lt;&gt;H1145,J1145*(1+Dashboard!$E$4)+Dashboard!$E$5,J1145))</f>
        <v>997987.328149045</v>
      </c>
      <c r="K1146">
        <f>IF(ROW()&lt;3, 0,IF(Query1[[#This Row],[Month]]&lt;&gt;H1145,IF((J1146-I1146&gt;0),J1146-I1146,0),0))</f>
        <v>0</v>
      </c>
      <c r="L1146" s="2">
        <f t="shared" si="17"/>
        <v>3592.2989655359538</v>
      </c>
      <c r="M1146">
        <f>IF(ROW()&lt;3, 0, IF(Query1[[#This Row],[Month]]&lt;&gt;H1145, Dashboard!$J$5,0))</f>
        <v>0</v>
      </c>
      <c r="N1146" s="2">
        <f>IF(ROW()&lt;3, Query1[[#This Row],[Shares]], IF(Query1[[#This Row],[Month]]&lt;&gt;H1145, N1145+Query1[[#This Row],[Fix Top Up]]/Query1[[#This Row],[Adj Close]], N1145))</f>
        <v>3434.4527443031634</v>
      </c>
      <c r="O1146">
        <f>IF(AND(Query1[[#This Row],[avg]]&gt;0, Query1[[#This Row],[Month]]&lt;&gt;H1145),
    IF(Query1[[#This Row],[Adj Close]]&gt;Query1[[#This Row],[avg]],
       Dashboard!$L$5-Dashboard!$E$6,
       Dashboard!$L$5+Dashboard!$E$6
    ), 0
)</f>
        <v>0</v>
      </c>
      <c r="P1146" s="2">
        <f>IF(ROW()&lt;3, Query1[[#This Row],[Shares]], IF(Query1[[#This Row],[Month]]&lt;&gt;H1145, P1145+Query1[[#This Row],[Enhanced top up]]/Query1[[#This Row],[Adj Close]], P1145))</f>
        <v>3427.4716742827227</v>
      </c>
      <c r="Q1146" s="2">
        <f>IFERROR(AVERAGE(
  IF(ROW()&gt;20, INDEX(G:G, ROW()-20), 0) :
  INDEX(G:G, ROW())
),0)</f>
        <v>448.78717041015625</v>
      </c>
    </row>
    <row r="1147" spans="1:17" x14ac:dyDescent="0.4">
      <c r="A1147" s="1">
        <v>45496</v>
      </c>
      <c r="B1147">
        <v>443.89999389648438</v>
      </c>
      <c r="C1147">
        <v>448.3900146484375</v>
      </c>
      <c r="D1147">
        <v>443.10000610351563</v>
      </c>
      <c r="E1147">
        <v>444.85000610351563</v>
      </c>
      <c r="F1147">
        <v>13107100</v>
      </c>
      <c r="G1147">
        <v>440.74075317382813</v>
      </c>
      <c r="H1147" s="2">
        <f>MONTH(Query1[[#This Row],[Date]])</f>
        <v>7</v>
      </c>
      <c r="I1147" s="3">
        <f>Query1[[#This Row],[Shares]]*Query1[[#This Row],[Adj Close]]</f>
        <v>1583272.55169588</v>
      </c>
      <c r="J1147" s="3">
        <f>IF(ROW()&lt;3, Dashboard!$E$7, IF(Query1[[#This Row],[Month]]&lt;&gt;H1146,J1146*(1+Dashboard!$E$4)+Dashboard!$E$5,J1146))</f>
        <v>997987.328149045</v>
      </c>
      <c r="K1147">
        <f>IF(ROW()&lt;3, 0,IF(Query1[[#This Row],[Month]]&lt;&gt;H1146,IF((J1147-I1147&gt;0),J1147-I1147,0),0))</f>
        <v>0</v>
      </c>
      <c r="L1147" s="2">
        <f t="shared" si="17"/>
        <v>3592.2989655359538</v>
      </c>
      <c r="M1147">
        <f>IF(ROW()&lt;3, 0, IF(Query1[[#This Row],[Month]]&lt;&gt;H1146, Dashboard!$J$5,0))</f>
        <v>0</v>
      </c>
      <c r="N1147" s="2">
        <f>IF(ROW()&lt;3, Query1[[#This Row],[Shares]], IF(Query1[[#This Row],[Month]]&lt;&gt;H1146, N1146+Query1[[#This Row],[Fix Top Up]]/Query1[[#This Row],[Adj Close]], N1146))</f>
        <v>3434.4527443031634</v>
      </c>
      <c r="O1147">
        <f>IF(AND(Query1[[#This Row],[avg]]&gt;0, Query1[[#This Row],[Month]]&lt;&gt;H1146),
    IF(Query1[[#This Row],[Adj Close]]&gt;Query1[[#This Row],[avg]],
       Dashboard!$L$5-Dashboard!$E$6,
       Dashboard!$L$5+Dashboard!$E$6
    ), 0
)</f>
        <v>0</v>
      </c>
      <c r="P1147" s="2">
        <f>IF(ROW()&lt;3, Query1[[#This Row],[Shares]], IF(Query1[[#This Row],[Month]]&lt;&gt;H1146, P1146+Query1[[#This Row],[Enhanced top up]]/Query1[[#This Row],[Adj Close]], P1146))</f>
        <v>3427.4716742827227</v>
      </c>
      <c r="Q1147" s="2">
        <f>IFERROR(AVERAGE(
  IF(ROW()&gt;20, INDEX(G:G, ROW()-20), 0) :
  INDEX(G:G, ROW())
),0)</f>
        <v>448.55457560221356</v>
      </c>
    </row>
    <row r="1148" spans="1:17" x14ac:dyDescent="0.4">
      <c r="A1148" s="1">
        <v>45497</v>
      </c>
      <c r="B1148">
        <v>440.45001220703125</v>
      </c>
      <c r="C1148">
        <v>441.48001098632813</v>
      </c>
      <c r="D1148">
        <v>427.58999633789063</v>
      </c>
      <c r="E1148">
        <v>428.89999389648438</v>
      </c>
      <c r="F1148">
        <v>26805800</v>
      </c>
      <c r="G1148">
        <v>424.9381103515625</v>
      </c>
      <c r="H1148" s="2">
        <f>MONTH(Query1[[#This Row],[Date]])</f>
        <v>7</v>
      </c>
      <c r="I1148" s="3">
        <f>Query1[[#This Row],[Shares]]*Query1[[#This Row],[Adj Close]]</f>
        <v>1526504.7342327209</v>
      </c>
      <c r="J1148" s="3">
        <f>IF(ROW()&lt;3, Dashboard!$E$7, IF(Query1[[#This Row],[Month]]&lt;&gt;H1147,J1147*(1+Dashboard!$E$4)+Dashboard!$E$5,J1147))</f>
        <v>997987.328149045</v>
      </c>
      <c r="K1148">
        <f>IF(ROW()&lt;3, 0,IF(Query1[[#This Row],[Month]]&lt;&gt;H1147,IF((J1148-I1148&gt;0),J1148-I1148,0),0))</f>
        <v>0</v>
      </c>
      <c r="L1148" s="2">
        <f t="shared" si="17"/>
        <v>3592.2989655359538</v>
      </c>
      <c r="M1148">
        <f>IF(ROW()&lt;3, 0, IF(Query1[[#This Row],[Month]]&lt;&gt;H1147, Dashboard!$J$5,0))</f>
        <v>0</v>
      </c>
      <c r="N1148" s="2">
        <f>IF(ROW()&lt;3, Query1[[#This Row],[Shares]], IF(Query1[[#This Row],[Month]]&lt;&gt;H1147, N1147+Query1[[#This Row],[Fix Top Up]]/Query1[[#This Row],[Adj Close]], N1147))</f>
        <v>3434.4527443031634</v>
      </c>
      <c r="O1148">
        <f>IF(AND(Query1[[#This Row],[avg]]&gt;0, Query1[[#This Row],[Month]]&lt;&gt;H1147),
    IF(Query1[[#This Row],[Adj Close]]&gt;Query1[[#This Row],[avg]],
       Dashboard!$L$5-Dashboard!$E$6,
       Dashboard!$L$5+Dashboard!$E$6
    ), 0
)</f>
        <v>0</v>
      </c>
      <c r="P1148" s="2">
        <f>IF(ROW()&lt;3, Query1[[#This Row],[Shares]], IF(Query1[[#This Row],[Month]]&lt;&gt;H1147, P1147+Query1[[#This Row],[Enhanced top up]]/Query1[[#This Row],[Adj Close]], P1147))</f>
        <v>3427.4716742827227</v>
      </c>
      <c r="Q1148" s="2">
        <f>IFERROR(AVERAGE(
  IF(ROW()&gt;20, INDEX(G:G, ROW()-20), 0) :
  INDEX(G:G, ROW())
),0)</f>
        <v>447.6690208798363</v>
      </c>
    </row>
    <row r="1149" spans="1:17" x14ac:dyDescent="0.4">
      <c r="A1149" s="1">
        <v>45498</v>
      </c>
      <c r="B1149">
        <v>428.79998779296875</v>
      </c>
      <c r="C1149">
        <v>429.79998779296875</v>
      </c>
      <c r="D1149">
        <v>417.510009765625</v>
      </c>
      <c r="E1149">
        <v>418.39999389648438</v>
      </c>
      <c r="F1149">
        <v>29943800</v>
      </c>
      <c r="G1149">
        <v>414.53509521484375</v>
      </c>
      <c r="H1149" s="2">
        <f>MONTH(Query1[[#This Row],[Date]])</f>
        <v>7</v>
      </c>
      <c r="I1149" s="3">
        <f>Query1[[#This Row],[Shares]]*Query1[[#This Row],[Adj Close]]</f>
        <v>1489133.9937186313</v>
      </c>
      <c r="J1149" s="3">
        <f>IF(ROW()&lt;3, Dashboard!$E$7, IF(Query1[[#This Row],[Month]]&lt;&gt;H1148,J1148*(1+Dashboard!$E$4)+Dashboard!$E$5,J1148))</f>
        <v>997987.328149045</v>
      </c>
      <c r="K1149">
        <f>IF(ROW()&lt;3, 0,IF(Query1[[#This Row],[Month]]&lt;&gt;H1148,IF((J1149-I1149&gt;0),J1149-I1149,0),0))</f>
        <v>0</v>
      </c>
      <c r="L1149" s="2">
        <f t="shared" si="17"/>
        <v>3592.2989655359538</v>
      </c>
      <c r="M1149">
        <f>IF(ROW()&lt;3, 0, IF(Query1[[#This Row],[Month]]&lt;&gt;H1148, Dashboard!$J$5,0))</f>
        <v>0</v>
      </c>
      <c r="N1149" s="2">
        <f>IF(ROW()&lt;3, Query1[[#This Row],[Shares]], IF(Query1[[#This Row],[Month]]&lt;&gt;H1148, N1148+Query1[[#This Row],[Fix Top Up]]/Query1[[#This Row],[Adj Close]], N1148))</f>
        <v>3434.4527443031634</v>
      </c>
      <c r="O1149">
        <f>IF(AND(Query1[[#This Row],[avg]]&gt;0, Query1[[#This Row],[Month]]&lt;&gt;H1148),
    IF(Query1[[#This Row],[Adj Close]]&gt;Query1[[#This Row],[avg]],
       Dashboard!$L$5-Dashboard!$E$6,
       Dashboard!$L$5+Dashboard!$E$6
    ), 0
)</f>
        <v>0</v>
      </c>
      <c r="P1149" s="2">
        <f>IF(ROW()&lt;3, Query1[[#This Row],[Shares]], IF(Query1[[#This Row],[Month]]&lt;&gt;H1148, P1148+Query1[[#This Row],[Enhanced top up]]/Query1[[#This Row],[Adj Close]], P1148))</f>
        <v>3427.4716742827227</v>
      </c>
      <c r="Q1149" s="2">
        <f>IFERROR(AVERAGE(
  IF(ROW()&gt;20, INDEX(G:G, ROW()-20), 0) :
  INDEX(G:G, ROW())
),0)</f>
        <v>446.13333856491818</v>
      </c>
    </row>
    <row r="1150" spans="1:17" x14ac:dyDescent="0.4">
      <c r="A1150" s="1">
        <v>45499</v>
      </c>
      <c r="B1150">
        <v>418.20001220703125</v>
      </c>
      <c r="C1150">
        <v>428.92001342773438</v>
      </c>
      <c r="D1150">
        <v>417.26998901367188</v>
      </c>
      <c r="E1150">
        <v>425.26998901367188</v>
      </c>
      <c r="F1150">
        <v>23583800</v>
      </c>
      <c r="G1150">
        <v>421.34161376953125</v>
      </c>
      <c r="H1150" s="2">
        <f>MONTH(Query1[[#This Row],[Date]])</f>
        <v>7</v>
      </c>
      <c r="I1150" s="3">
        <f>Query1[[#This Row],[Shares]]*Query1[[#This Row],[Adj Close]]</f>
        <v>1513585.0432815365</v>
      </c>
      <c r="J1150" s="3">
        <f>IF(ROW()&lt;3, Dashboard!$E$7, IF(Query1[[#This Row],[Month]]&lt;&gt;H1149,J1149*(1+Dashboard!$E$4)+Dashboard!$E$5,J1149))</f>
        <v>997987.328149045</v>
      </c>
      <c r="K1150">
        <f>IF(ROW()&lt;3, 0,IF(Query1[[#This Row],[Month]]&lt;&gt;H1149,IF((J1150-I1150&gt;0),J1150-I1150,0),0))</f>
        <v>0</v>
      </c>
      <c r="L1150" s="2">
        <f t="shared" si="17"/>
        <v>3592.2989655359538</v>
      </c>
      <c r="M1150">
        <f>IF(ROW()&lt;3, 0, IF(Query1[[#This Row],[Month]]&lt;&gt;H1149, Dashboard!$J$5,0))</f>
        <v>0</v>
      </c>
      <c r="N1150" s="2">
        <f>IF(ROW()&lt;3, Query1[[#This Row],[Shares]], IF(Query1[[#This Row],[Month]]&lt;&gt;H1149, N1149+Query1[[#This Row],[Fix Top Up]]/Query1[[#This Row],[Adj Close]], N1149))</f>
        <v>3434.4527443031634</v>
      </c>
      <c r="O1150">
        <f>IF(AND(Query1[[#This Row],[avg]]&gt;0, Query1[[#This Row],[Month]]&lt;&gt;H1149),
    IF(Query1[[#This Row],[Adj Close]]&gt;Query1[[#This Row],[avg]],
       Dashboard!$L$5-Dashboard!$E$6,
       Dashboard!$L$5+Dashboard!$E$6
    ), 0
)</f>
        <v>0</v>
      </c>
      <c r="P1150" s="2">
        <f>IF(ROW()&lt;3, Query1[[#This Row],[Shares]], IF(Query1[[#This Row],[Month]]&lt;&gt;H1149, P1149+Query1[[#This Row],[Enhanced top up]]/Query1[[#This Row],[Adj Close]], P1149))</f>
        <v>3427.4716742827227</v>
      </c>
      <c r="Q1150" s="2">
        <f>IFERROR(AVERAGE(
  IF(ROW()&gt;20, INDEX(G:G, ROW()-20), 0) :
  INDEX(G:G, ROW())
),0)</f>
        <v>444.86469087146577</v>
      </c>
    </row>
    <row r="1151" spans="1:17" x14ac:dyDescent="0.4">
      <c r="A1151" s="1">
        <v>45502</v>
      </c>
      <c r="B1151">
        <v>431.57998657226563</v>
      </c>
      <c r="C1151">
        <v>432.14999389648438</v>
      </c>
      <c r="D1151">
        <v>424.70001220703125</v>
      </c>
      <c r="E1151">
        <v>426.73001098632813</v>
      </c>
      <c r="F1151">
        <v>15125800</v>
      </c>
      <c r="G1151">
        <v>422.78814697265625</v>
      </c>
      <c r="H1151" s="2">
        <f>MONTH(Query1[[#This Row],[Date]])</f>
        <v>7</v>
      </c>
      <c r="I1151" s="3">
        <f>Query1[[#This Row],[Shares]]*Query1[[#This Row],[Adj Close]]</f>
        <v>1518781.4230107358</v>
      </c>
      <c r="J1151" s="3">
        <f>IF(ROW()&lt;3, Dashboard!$E$7, IF(Query1[[#This Row],[Month]]&lt;&gt;H1150,J1150*(1+Dashboard!$E$4)+Dashboard!$E$5,J1150))</f>
        <v>997987.328149045</v>
      </c>
      <c r="K1151">
        <f>IF(ROW()&lt;3, 0,IF(Query1[[#This Row],[Month]]&lt;&gt;H1150,IF((J1151-I1151&gt;0),J1151-I1151,0),0))</f>
        <v>0</v>
      </c>
      <c r="L1151" s="2">
        <f t="shared" si="17"/>
        <v>3592.2989655359538</v>
      </c>
      <c r="M1151">
        <f>IF(ROW()&lt;3, 0, IF(Query1[[#This Row],[Month]]&lt;&gt;H1150, Dashboard!$J$5,0))</f>
        <v>0</v>
      </c>
      <c r="N1151" s="2">
        <f>IF(ROW()&lt;3, Query1[[#This Row],[Shares]], IF(Query1[[#This Row],[Month]]&lt;&gt;H1150, N1150+Query1[[#This Row],[Fix Top Up]]/Query1[[#This Row],[Adj Close]], N1150))</f>
        <v>3434.4527443031634</v>
      </c>
      <c r="O1151">
        <f>IF(AND(Query1[[#This Row],[avg]]&gt;0, Query1[[#This Row],[Month]]&lt;&gt;H1150),
    IF(Query1[[#This Row],[Adj Close]]&gt;Query1[[#This Row],[avg]],
       Dashboard!$L$5-Dashboard!$E$6,
       Dashboard!$L$5+Dashboard!$E$6
    ), 0
)</f>
        <v>0</v>
      </c>
      <c r="P1151" s="2">
        <f>IF(ROW()&lt;3, Query1[[#This Row],[Shares]], IF(Query1[[#This Row],[Month]]&lt;&gt;H1150, P1150+Query1[[#This Row],[Enhanced top up]]/Query1[[#This Row],[Adj Close]], P1150))</f>
        <v>3427.4716742827227</v>
      </c>
      <c r="Q1151" s="2">
        <f>IFERROR(AVERAGE(
  IF(ROW()&gt;20, INDEX(G:G, ROW()-20), 0) :
  INDEX(G:G, ROW())
),0)</f>
        <v>443.63237217494418</v>
      </c>
    </row>
    <row r="1152" spans="1:17" x14ac:dyDescent="0.4">
      <c r="A1152" s="1">
        <v>45503</v>
      </c>
      <c r="B1152">
        <v>427.72000122070313</v>
      </c>
      <c r="C1152">
        <v>429.04998779296875</v>
      </c>
      <c r="D1152">
        <v>417.3599853515625</v>
      </c>
      <c r="E1152">
        <v>422.92001342773438</v>
      </c>
      <c r="F1152">
        <v>32687600</v>
      </c>
      <c r="G1152">
        <v>419.01336669921875</v>
      </c>
      <c r="H1152" s="2">
        <f>MONTH(Query1[[#This Row],[Date]])</f>
        <v>7</v>
      </c>
      <c r="I1152" s="3">
        <f>Query1[[#This Row],[Shares]]*Query1[[#This Row],[Adj Close]]</f>
        <v>1505221.2837393407</v>
      </c>
      <c r="J1152" s="3">
        <f>IF(ROW()&lt;3, Dashboard!$E$7, IF(Query1[[#This Row],[Month]]&lt;&gt;H1151,J1151*(1+Dashboard!$E$4)+Dashboard!$E$5,J1151))</f>
        <v>997987.328149045</v>
      </c>
      <c r="K1152">
        <f>IF(ROW()&lt;3, 0,IF(Query1[[#This Row],[Month]]&lt;&gt;H1151,IF((J1152-I1152&gt;0),J1152-I1152,0),0))</f>
        <v>0</v>
      </c>
      <c r="L1152" s="2">
        <f t="shared" si="17"/>
        <v>3592.2989655359538</v>
      </c>
      <c r="M1152">
        <f>IF(ROW()&lt;3, 0, IF(Query1[[#This Row],[Month]]&lt;&gt;H1151, Dashboard!$J$5,0))</f>
        <v>0</v>
      </c>
      <c r="N1152" s="2">
        <f>IF(ROW()&lt;3, Query1[[#This Row],[Shares]], IF(Query1[[#This Row],[Month]]&lt;&gt;H1151, N1151+Query1[[#This Row],[Fix Top Up]]/Query1[[#This Row],[Adj Close]], N1151))</f>
        <v>3434.4527443031634</v>
      </c>
      <c r="O1152">
        <f>IF(AND(Query1[[#This Row],[avg]]&gt;0, Query1[[#This Row],[Month]]&lt;&gt;H1151),
    IF(Query1[[#This Row],[Adj Close]]&gt;Query1[[#This Row],[avg]],
       Dashboard!$L$5-Dashboard!$E$6,
       Dashboard!$L$5+Dashboard!$E$6
    ), 0
)</f>
        <v>0</v>
      </c>
      <c r="P1152" s="2">
        <f>IF(ROW()&lt;3, Query1[[#This Row],[Shares]], IF(Query1[[#This Row],[Month]]&lt;&gt;H1151, P1151+Query1[[#This Row],[Enhanced top up]]/Query1[[#This Row],[Adj Close]], P1151))</f>
        <v>3427.4716742827227</v>
      </c>
      <c r="Q1152" s="2">
        <f>IFERROR(AVERAGE(
  IF(ROW()&gt;20, INDEX(G:G, ROW()-20), 0) :
  INDEX(G:G, ROW())
),0)</f>
        <v>442.4986572265625</v>
      </c>
    </row>
    <row r="1153" spans="1:17" x14ac:dyDescent="0.4">
      <c r="A1153" s="1">
        <v>45504</v>
      </c>
      <c r="B1153">
        <v>420.5</v>
      </c>
      <c r="C1153">
        <v>421.77999877929688</v>
      </c>
      <c r="D1153">
        <v>412.20999145507813</v>
      </c>
      <c r="E1153">
        <v>418.35000610351563</v>
      </c>
      <c r="F1153">
        <v>42891400</v>
      </c>
      <c r="G1153">
        <v>414.485595703125</v>
      </c>
      <c r="H1153" s="2">
        <f>MONTH(Query1[[#This Row],[Date]])</f>
        <v>7</v>
      </c>
      <c r="I1153" s="3">
        <f>Query1[[#This Row],[Shares]]*Query1[[#This Row],[Adj Close]]</f>
        <v>1488956.1766738896</v>
      </c>
      <c r="J1153" s="3">
        <f>IF(ROW()&lt;3, Dashboard!$E$7, IF(Query1[[#This Row],[Month]]&lt;&gt;H1152,J1152*(1+Dashboard!$E$4)+Dashboard!$E$5,J1152))</f>
        <v>997987.328149045</v>
      </c>
      <c r="K1153">
        <f>IF(ROW()&lt;3, 0,IF(Query1[[#This Row],[Month]]&lt;&gt;H1152,IF((J1153-I1153&gt;0),J1153-I1153,0),0))</f>
        <v>0</v>
      </c>
      <c r="L1153" s="2">
        <f t="shared" si="17"/>
        <v>3592.2989655359538</v>
      </c>
      <c r="M1153">
        <f>IF(ROW()&lt;3, 0, IF(Query1[[#This Row],[Month]]&lt;&gt;H1152, Dashboard!$J$5,0))</f>
        <v>0</v>
      </c>
      <c r="N1153" s="2">
        <f>IF(ROW()&lt;3, Query1[[#This Row],[Shares]], IF(Query1[[#This Row],[Month]]&lt;&gt;H1152, N1152+Query1[[#This Row],[Fix Top Up]]/Query1[[#This Row],[Adj Close]], N1152))</f>
        <v>3434.4527443031634</v>
      </c>
      <c r="O1153">
        <f>IF(AND(Query1[[#This Row],[avg]]&gt;0, Query1[[#This Row],[Month]]&lt;&gt;H1152),
    IF(Query1[[#This Row],[Adj Close]]&gt;Query1[[#This Row],[avg]],
       Dashboard!$L$5-Dashboard!$E$6,
       Dashboard!$L$5+Dashboard!$E$6
    ), 0
)</f>
        <v>0</v>
      </c>
      <c r="P1153" s="2">
        <f>IF(ROW()&lt;3, Query1[[#This Row],[Shares]], IF(Query1[[#This Row],[Month]]&lt;&gt;H1152, P1152+Query1[[#This Row],[Enhanced top up]]/Query1[[#This Row],[Adj Close]], P1152))</f>
        <v>3427.4716742827227</v>
      </c>
      <c r="Q1153" s="2">
        <f>IFERROR(AVERAGE(
  IF(ROW()&gt;20, INDEX(G:G, ROW()-20), 0) :
  INDEX(G:G, ROW())
),0)</f>
        <v>440.68792288643971</v>
      </c>
    </row>
    <row r="1154" spans="1:17" x14ac:dyDescent="0.4">
      <c r="A1154" s="1">
        <v>45505</v>
      </c>
      <c r="B1154">
        <v>420.79000854492188</v>
      </c>
      <c r="C1154">
        <v>427.45999145507813</v>
      </c>
      <c r="D1154">
        <v>413.08999633789063</v>
      </c>
      <c r="E1154">
        <v>417.1099853515625</v>
      </c>
      <c r="F1154">
        <v>30296400</v>
      </c>
      <c r="G1154">
        <v>413.25701904296875</v>
      </c>
      <c r="H1154" s="2">
        <f>MONTH(Query1[[#This Row],[Date]])</f>
        <v>8</v>
      </c>
      <c r="I1154" s="3">
        <f>Query1[[#This Row],[Shares]]*Query1[[#This Row],[Adj Close]]</f>
        <v>1484542.7620085287</v>
      </c>
      <c r="J1154" s="3">
        <f>IF(ROW()&lt;3, Dashboard!$E$7, IF(Query1[[#This Row],[Month]]&lt;&gt;H1153,J1153*(1+Dashboard!$E$4)+Dashboard!$E$5,J1153))</f>
        <v>1009967.2014305354</v>
      </c>
      <c r="K1154">
        <f>IF(ROW()&lt;3, 0,IF(Query1[[#This Row],[Month]]&lt;&gt;H1153,IF((J1154-I1154&gt;0),J1154-I1154,0),0))</f>
        <v>0</v>
      </c>
      <c r="L1154" s="2">
        <f t="shared" ref="L1154:L1217" si="18">IF(ROW()&lt;3, J1154/G1154, L1153+K1153/G1153)</f>
        <v>3592.2989655359538</v>
      </c>
      <c r="M1154">
        <f>IF(ROW()&lt;3, 0, IF(Query1[[#This Row],[Month]]&lt;&gt;H1153, Dashboard!$J$5,0))</f>
        <v>773.47399999999971</v>
      </c>
      <c r="N1154" s="2">
        <f>IF(ROW()&lt;3, Query1[[#This Row],[Shares]], IF(Query1[[#This Row],[Month]]&lt;&gt;H1153, N1153+Query1[[#This Row],[Fix Top Up]]/Query1[[#This Row],[Adj Close]], N1153))</f>
        <v>3436.3243979336116</v>
      </c>
      <c r="O1154">
        <f>IF(AND(Query1[[#This Row],[avg]]&gt;0, Query1[[#This Row],[Month]]&lt;&gt;H1153),
    IF(Query1[[#This Row],[Adj Close]]&gt;Query1[[#This Row],[avg]],
       Dashboard!$L$5-Dashboard!$E$6,
       Dashboard!$L$5+Dashboard!$E$6
    ), 0
)</f>
        <v>1390.1406666666667</v>
      </c>
      <c r="P1154" s="2">
        <f>IF(ROW()&lt;3, Query1[[#This Row],[Shares]], IF(Query1[[#This Row],[Month]]&lt;&gt;H1153, P1153+Query1[[#This Row],[Enhanced top up]]/Query1[[#This Row],[Adj Close]], P1153))</f>
        <v>3430.8355389059684</v>
      </c>
      <c r="Q1154" s="2">
        <f>IFERROR(AVERAGE(
  IF(ROW()&gt;20, INDEX(G:G, ROW()-20), 0) :
  INDEX(G:G, ROW())
),0)</f>
        <v>438.69837878999255</v>
      </c>
    </row>
    <row r="1155" spans="1:17" x14ac:dyDescent="0.4">
      <c r="A1155" s="1">
        <v>45506</v>
      </c>
      <c r="B1155">
        <v>412.489990234375</v>
      </c>
      <c r="C1155">
        <v>415</v>
      </c>
      <c r="D1155">
        <v>404.33999633789063</v>
      </c>
      <c r="E1155">
        <v>408.489990234375</v>
      </c>
      <c r="F1155">
        <v>29437900</v>
      </c>
      <c r="G1155">
        <v>404.71661376953125</v>
      </c>
      <c r="H1155" s="2">
        <f>MONTH(Query1[[#This Row],[Date]])</f>
        <v>8</v>
      </c>
      <c r="I1155" s="3">
        <f>Query1[[#This Row],[Shares]]*Query1[[#This Row],[Adj Close]]</f>
        <v>1453863.0729795012</v>
      </c>
      <c r="J1155" s="3">
        <f>IF(ROW()&lt;3, Dashboard!$E$7, IF(Query1[[#This Row],[Month]]&lt;&gt;H1154,J1154*(1+Dashboard!$E$4)+Dashboard!$E$5,J1154))</f>
        <v>1009967.2014305354</v>
      </c>
      <c r="K1155">
        <f>IF(ROW()&lt;3, 0,IF(Query1[[#This Row],[Month]]&lt;&gt;H1154,IF((J1155-I1155&gt;0),J1155-I1155,0),0))</f>
        <v>0</v>
      </c>
      <c r="L1155" s="2">
        <f t="shared" si="18"/>
        <v>3592.2989655359538</v>
      </c>
      <c r="M1155">
        <f>IF(ROW()&lt;3, 0, IF(Query1[[#This Row],[Month]]&lt;&gt;H1154, Dashboard!$J$5,0))</f>
        <v>0</v>
      </c>
      <c r="N1155" s="2">
        <f>IF(ROW()&lt;3, Query1[[#This Row],[Shares]], IF(Query1[[#This Row],[Month]]&lt;&gt;H1154, N1154+Query1[[#This Row],[Fix Top Up]]/Query1[[#This Row],[Adj Close]], N1154))</f>
        <v>3436.3243979336116</v>
      </c>
      <c r="O1155">
        <f>IF(AND(Query1[[#This Row],[avg]]&gt;0, Query1[[#This Row],[Month]]&lt;&gt;H1154),
    IF(Query1[[#This Row],[Adj Close]]&gt;Query1[[#This Row],[avg]],
       Dashboard!$L$5-Dashboard!$E$6,
       Dashboard!$L$5+Dashboard!$E$6
    ), 0
)</f>
        <v>0</v>
      </c>
      <c r="P1155" s="2">
        <f>IF(ROW()&lt;3, Query1[[#This Row],[Shares]], IF(Query1[[#This Row],[Month]]&lt;&gt;H1154, P1154+Query1[[#This Row],[Enhanced top up]]/Query1[[#This Row],[Adj Close]], P1154))</f>
        <v>3430.8355389059684</v>
      </c>
      <c r="Q1155" s="2">
        <f>IFERROR(AVERAGE(
  IF(ROW()&gt;20, INDEX(G:G, ROW()-20), 0) :
  INDEX(G:G, ROW())
),0)</f>
        <v>436.23185076032365</v>
      </c>
    </row>
    <row r="1156" spans="1:17" x14ac:dyDescent="0.4">
      <c r="A1156" s="1">
        <v>45509</v>
      </c>
      <c r="B1156">
        <v>389.17001342773438</v>
      </c>
      <c r="C1156">
        <v>401.04000854492188</v>
      </c>
      <c r="D1156">
        <v>385.57998657226563</v>
      </c>
      <c r="E1156">
        <v>395.14999389648438</v>
      </c>
      <c r="F1156">
        <v>40709200</v>
      </c>
      <c r="G1156">
        <v>391.49984741210938</v>
      </c>
      <c r="H1156" s="2">
        <f>MONTH(Query1[[#This Row],[Date]])</f>
        <v>8</v>
      </c>
      <c r="I1156" s="3">
        <f>Query1[[#This Row],[Shares]]*Query1[[#This Row],[Adj Close]]</f>
        <v>1406384.4968660043</v>
      </c>
      <c r="J1156" s="3">
        <f>IF(ROW()&lt;3, Dashboard!$E$7, IF(Query1[[#This Row],[Month]]&lt;&gt;H1155,J1155*(1+Dashboard!$E$4)+Dashboard!$E$5,J1155))</f>
        <v>1009967.2014305354</v>
      </c>
      <c r="K1156">
        <f>IF(ROW()&lt;3, 0,IF(Query1[[#This Row],[Month]]&lt;&gt;H1155,IF((J1156-I1156&gt;0),J1156-I1156,0),0))</f>
        <v>0</v>
      </c>
      <c r="L1156" s="2">
        <f t="shared" si="18"/>
        <v>3592.2989655359538</v>
      </c>
      <c r="M1156">
        <f>IF(ROW()&lt;3, 0, IF(Query1[[#This Row],[Month]]&lt;&gt;H1155, Dashboard!$J$5,0))</f>
        <v>0</v>
      </c>
      <c r="N1156" s="2">
        <f>IF(ROW()&lt;3, Query1[[#This Row],[Shares]], IF(Query1[[#This Row],[Month]]&lt;&gt;H1155, N1155+Query1[[#This Row],[Fix Top Up]]/Query1[[#This Row],[Adj Close]], N1155))</f>
        <v>3436.3243979336116</v>
      </c>
      <c r="O1156">
        <f>IF(AND(Query1[[#This Row],[avg]]&gt;0, Query1[[#This Row],[Month]]&lt;&gt;H1155),
    IF(Query1[[#This Row],[Adj Close]]&gt;Query1[[#This Row],[avg]],
       Dashboard!$L$5-Dashboard!$E$6,
       Dashboard!$L$5+Dashboard!$E$6
    ), 0
)</f>
        <v>0</v>
      </c>
      <c r="P1156" s="2">
        <f>IF(ROW()&lt;3, Query1[[#This Row],[Shares]], IF(Query1[[#This Row],[Month]]&lt;&gt;H1155, P1155+Query1[[#This Row],[Enhanced top up]]/Query1[[#This Row],[Adj Close]], P1155))</f>
        <v>3430.8355389059684</v>
      </c>
      <c r="Q1156" s="2">
        <f>IFERROR(AVERAGE(
  IF(ROW()&gt;20, INDEX(G:G, ROW()-20), 0) :
  INDEX(G:G, ROW())
),0)</f>
        <v>432.81560698009673</v>
      </c>
    </row>
    <row r="1157" spans="1:17" x14ac:dyDescent="0.4">
      <c r="A1157" s="1">
        <v>45510</v>
      </c>
      <c r="B1157">
        <v>400</v>
      </c>
      <c r="C1157">
        <v>405.67001342773438</v>
      </c>
      <c r="D1157">
        <v>398.5</v>
      </c>
      <c r="E1157">
        <v>399.6099853515625</v>
      </c>
      <c r="F1157">
        <v>24946500</v>
      </c>
      <c r="G1157">
        <v>395.91867065429688</v>
      </c>
      <c r="H1157" s="2">
        <f>MONTH(Query1[[#This Row],[Date]])</f>
        <v>8</v>
      </c>
      <c r="I1157" s="3">
        <f>Query1[[#This Row],[Shares]]*Query1[[#This Row],[Adj Close]]</f>
        <v>1422258.2310278006</v>
      </c>
      <c r="J1157" s="3">
        <f>IF(ROW()&lt;3, Dashboard!$E$7, IF(Query1[[#This Row],[Month]]&lt;&gt;H1156,J1156*(1+Dashboard!$E$4)+Dashboard!$E$5,J1156))</f>
        <v>1009967.2014305354</v>
      </c>
      <c r="K1157">
        <f>IF(ROW()&lt;3, 0,IF(Query1[[#This Row],[Month]]&lt;&gt;H1156,IF((J1157-I1157&gt;0),J1157-I1157,0),0))</f>
        <v>0</v>
      </c>
      <c r="L1157" s="2">
        <f t="shared" si="18"/>
        <v>3592.2989655359538</v>
      </c>
      <c r="M1157">
        <f>IF(ROW()&lt;3, 0, IF(Query1[[#This Row],[Month]]&lt;&gt;H1156, Dashboard!$J$5,0))</f>
        <v>0</v>
      </c>
      <c r="N1157" s="2">
        <f>IF(ROW()&lt;3, Query1[[#This Row],[Shares]], IF(Query1[[#This Row],[Month]]&lt;&gt;H1156, N1156+Query1[[#This Row],[Fix Top Up]]/Query1[[#This Row],[Adj Close]], N1156))</f>
        <v>3436.3243979336116</v>
      </c>
      <c r="O1157">
        <f>IF(AND(Query1[[#This Row],[avg]]&gt;0, Query1[[#This Row],[Month]]&lt;&gt;H1156),
    IF(Query1[[#This Row],[Adj Close]]&gt;Query1[[#This Row],[avg]],
       Dashboard!$L$5-Dashboard!$E$6,
       Dashboard!$L$5+Dashboard!$E$6
    ), 0
)</f>
        <v>0</v>
      </c>
      <c r="P1157" s="2">
        <f>IF(ROW()&lt;3, Query1[[#This Row],[Shares]], IF(Query1[[#This Row],[Month]]&lt;&gt;H1156, P1156+Query1[[#This Row],[Enhanced top up]]/Query1[[#This Row],[Adj Close]], P1156))</f>
        <v>3430.8355389059684</v>
      </c>
      <c r="Q1157" s="2">
        <f>IFERROR(AVERAGE(
  IF(ROW()&gt;20, INDEX(G:G, ROW()-20), 0) :
  INDEX(G:G, ROW())
),0)</f>
        <v>429.67205955868678</v>
      </c>
    </row>
    <row r="1158" spans="1:17" x14ac:dyDescent="0.4">
      <c r="A1158" s="1">
        <v>45511</v>
      </c>
      <c r="B1158">
        <v>408.6400146484375</v>
      </c>
      <c r="C1158">
        <v>410.07998657226563</v>
      </c>
      <c r="D1158">
        <v>397.47000122070313</v>
      </c>
      <c r="E1158">
        <v>398.42999267578125</v>
      </c>
      <c r="F1158">
        <v>20650900</v>
      </c>
      <c r="G1158">
        <v>394.74957275390625</v>
      </c>
      <c r="H1158" s="2">
        <f>MONTH(Query1[[#This Row],[Date]])</f>
        <v>8</v>
      </c>
      <c r="I1158" s="3">
        <f>Query1[[#This Row],[Shares]]*Query1[[#This Row],[Adj Close]]</f>
        <v>1418058.4818496171</v>
      </c>
      <c r="J1158" s="3">
        <f>IF(ROW()&lt;3, Dashboard!$E$7, IF(Query1[[#This Row],[Month]]&lt;&gt;H1157,J1157*(1+Dashboard!$E$4)+Dashboard!$E$5,J1157))</f>
        <v>1009967.2014305354</v>
      </c>
      <c r="K1158">
        <f>IF(ROW()&lt;3, 0,IF(Query1[[#This Row],[Month]]&lt;&gt;H1157,IF((J1158-I1158&gt;0),J1158-I1158,0),0))</f>
        <v>0</v>
      </c>
      <c r="L1158" s="2">
        <f t="shared" si="18"/>
        <v>3592.2989655359538</v>
      </c>
      <c r="M1158">
        <f>IF(ROW()&lt;3, 0, IF(Query1[[#This Row],[Month]]&lt;&gt;H1157, Dashboard!$J$5,0))</f>
        <v>0</v>
      </c>
      <c r="N1158" s="2">
        <f>IF(ROW()&lt;3, Query1[[#This Row],[Shares]], IF(Query1[[#This Row],[Month]]&lt;&gt;H1157, N1157+Query1[[#This Row],[Fix Top Up]]/Query1[[#This Row],[Adj Close]], N1157))</f>
        <v>3436.3243979336116</v>
      </c>
      <c r="O1158">
        <f>IF(AND(Query1[[#This Row],[avg]]&gt;0, Query1[[#This Row],[Month]]&lt;&gt;H1157),
    IF(Query1[[#This Row],[Adj Close]]&gt;Query1[[#This Row],[avg]],
       Dashboard!$L$5-Dashboard!$E$6,
       Dashboard!$L$5+Dashboard!$E$6
    ), 0
)</f>
        <v>0</v>
      </c>
      <c r="P1158" s="2">
        <f>IF(ROW()&lt;3, Query1[[#This Row],[Shares]], IF(Query1[[#This Row],[Month]]&lt;&gt;H1157, P1157+Query1[[#This Row],[Enhanced top up]]/Query1[[#This Row],[Adj Close]], P1157))</f>
        <v>3430.8355389059684</v>
      </c>
      <c r="Q1158" s="2">
        <f>IFERROR(AVERAGE(
  IF(ROW()&gt;20, INDEX(G:G, ROW()-20), 0) :
  INDEX(G:G, ROW())
),0)</f>
        <v>426.7889404296875</v>
      </c>
    </row>
    <row r="1159" spans="1:17" x14ac:dyDescent="0.4">
      <c r="A1159" s="1">
        <v>45512</v>
      </c>
      <c r="B1159">
        <v>402.44000244140625</v>
      </c>
      <c r="C1159">
        <v>405.8599853515625</v>
      </c>
      <c r="D1159">
        <v>399.94000244140625</v>
      </c>
      <c r="E1159">
        <v>402.69000244140625</v>
      </c>
      <c r="F1159">
        <v>20203000</v>
      </c>
      <c r="G1159">
        <v>398.97018432617188</v>
      </c>
      <c r="H1159" s="2">
        <f>MONTH(Query1[[#This Row],[Date]])</f>
        <v>8</v>
      </c>
      <c r="I1159" s="3">
        <f>Query1[[#This Row],[Shares]]*Query1[[#This Row],[Adj Close]]</f>
        <v>1433220.180434596</v>
      </c>
      <c r="J1159" s="3">
        <f>IF(ROW()&lt;3, Dashboard!$E$7, IF(Query1[[#This Row],[Month]]&lt;&gt;H1158,J1158*(1+Dashboard!$E$4)+Dashboard!$E$5,J1158))</f>
        <v>1009967.2014305354</v>
      </c>
      <c r="K1159">
        <f>IF(ROW()&lt;3, 0,IF(Query1[[#This Row],[Month]]&lt;&gt;H1158,IF((J1159-I1159&gt;0),J1159-I1159,0),0))</f>
        <v>0</v>
      </c>
      <c r="L1159" s="2">
        <f t="shared" si="18"/>
        <v>3592.2989655359538</v>
      </c>
      <c r="M1159">
        <f>IF(ROW()&lt;3, 0, IF(Query1[[#This Row],[Month]]&lt;&gt;H1158, Dashboard!$J$5,0))</f>
        <v>0</v>
      </c>
      <c r="N1159" s="2">
        <f>IF(ROW()&lt;3, Query1[[#This Row],[Shares]], IF(Query1[[#This Row],[Month]]&lt;&gt;H1158, N1158+Query1[[#This Row],[Fix Top Up]]/Query1[[#This Row],[Adj Close]], N1158))</f>
        <v>3436.3243979336116</v>
      </c>
      <c r="O1159">
        <f>IF(AND(Query1[[#This Row],[avg]]&gt;0, Query1[[#This Row],[Month]]&lt;&gt;H1158),
    IF(Query1[[#This Row],[Adj Close]]&gt;Query1[[#This Row],[avg]],
       Dashboard!$L$5-Dashboard!$E$6,
       Dashboard!$L$5+Dashboard!$E$6
    ), 0
)</f>
        <v>0</v>
      </c>
      <c r="P1159" s="2">
        <f>IF(ROW()&lt;3, Query1[[#This Row],[Shares]], IF(Query1[[#This Row],[Month]]&lt;&gt;H1158, P1158+Query1[[#This Row],[Enhanced top up]]/Query1[[#This Row],[Adj Close]], P1158))</f>
        <v>3430.8355389059684</v>
      </c>
      <c r="Q1159" s="2">
        <f>IFERROR(AVERAGE(
  IF(ROW()&gt;20, INDEX(G:G, ROW()-20), 0) :
  INDEX(G:G, ROW())
),0)</f>
        <v>423.79023088727678</v>
      </c>
    </row>
    <row r="1160" spans="1:17" x14ac:dyDescent="0.4">
      <c r="A1160" s="1">
        <v>45513</v>
      </c>
      <c r="B1160">
        <v>404.02999877929688</v>
      </c>
      <c r="C1160">
        <v>408.04998779296875</v>
      </c>
      <c r="D1160">
        <v>402.260009765625</v>
      </c>
      <c r="E1160">
        <v>406.01998901367188</v>
      </c>
      <c r="F1160">
        <v>19276700</v>
      </c>
      <c r="G1160">
        <v>402.26943969726563</v>
      </c>
      <c r="H1160" s="2">
        <f>MONTH(Query1[[#This Row],[Date]])</f>
        <v>8</v>
      </c>
      <c r="I1160" s="3">
        <f>Query1[[#This Row],[Shares]]*Query1[[#This Row],[Adj Close]]</f>
        <v>1445072.0920912151</v>
      </c>
      <c r="J1160" s="3">
        <f>IF(ROW()&lt;3, Dashboard!$E$7, IF(Query1[[#This Row],[Month]]&lt;&gt;H1159,J1159*(1+Dashboard!$E$4)+Dashboard!$E$5,J1159))</f>
        <v>1009967.2014305354</v>
      </c>
      <c r="K1160">
        <f>IF(ROW()&lt;3, 0,IF(Query1[[#This Row],[Month]]&lt;&gt;H1159,IF((J1160-I1160&gt;0),J1160-I1160,0),0))</f>
        <v>0</v>
      </c>
      <c r="L1160" s="2">
        <f t="shared" si="18"/>
        <v>3592.2989655359538</v>
      </c>
      <c r="M1160">
        <f>IF(ROW()&lt;3, 0, IF(Query1[[#This Row],[Month]]&lt;&gt;H1159, Dashboard!$J$5,0))</f>
        <v>0</v>
      </c>
      <c r="N1160" s="2">
        <f>IF(ROW()&lt;3, Query1[[#This Row],[Shares]], IF(Query1[[#This Row],[Month]]&lt;&gt;H1159, N1159+Query1[[#This Row],[Fix Top Up]]/Query1[[#This Row],[Adj Close]], N1159))</f>
        <v>3436.3243979336116</v>
      </c>
      <c r="O1160">
        <f>IF(AND(Query1[[#This Row],[avg]]&gt;0, Query1[[#This Row],[Month]]&lt;&gt;H1159),
    IF(Query1[[#This Row],[Adj Close]]&gt;Query1[[#This Row],[avg]],
       Dashboard!$L$5-Dashboard!$E$6,
       Dashboard!$L$5+Dashboard!$E$6
    ), 0
)</f>
        <v>0</v>
      </c>
      <c r="P1160" s="2">
        <f>IF(ROW()&lt;3, Query1[[#This Row],[Shares]], IF(Query1[[#This Row],[Month]]&lt;&gt;H1159, P1159+Query1[[#This Row],[Enhanced top up]]/Query1[[#This Row],[Adj Close]], P1159))</f>
        <v>3430.8355389059684</v>
      </c>
      <c r="Q1160" s="2">
        <f>IFERROR(AVERAGE(
  IF(ROW()&gt;20, INDEX(G:G, ROW()-20), 0) :
  INDEX(G:G, ROW())
),0)</f>
        <v>421.49354771205356</v>
      </c>
    </row>
    <row r="1161" spans="1:17" x14ac:dyDescent="0.4">
      <c r="A1161" s="1">
        <v>45516</v>
      </c>
      <c r="B1161">
        <v>407.05999755859375</v>
      </c>
      <c r="C1161">
        <v>408.760009765625</v>
      </c>
      <c r="D1161">
        <v>404.239990234375</v>
      </c>
      <c r="E1161">
        <v>406.80999755859375</v>
      </c>
      <c r="F1161">
        <v>16762900</v>
      </c>
      <c r="G1161">
        <v>403.05215454101563</v>
      </c>
      <c r="H1161" s="2">
        <f>MONTH(Query1[[#This Row],[Date]])</f>
        <v>8</v>
      </c>
      <c r="I1161" s="3">
        <f>Query1[[#This Row],[Shares]]*Query1[[#This Row],[Adj Close]]</f>
        <v>1447883.8378147278</v>
      </c>
      <c r="J1161" s="3">
        <f>IF(ROW()&lt;3, Dashboard!$E$7, IF(Query1[[#This Row],[Month]]&lt;&gt;H1160,J1160*(1+Dashboard!$E$4)+Dashboard!$E$5,J1160))</f>
        <v>1009967.2014305354</v>
      </c>
      <c r="K1161">
        <f>IF(ROW()&lt;3, 0,IF(Query1[[#This Row],[Month]]&lt;&gt;H1160,IF((J1161-I1161&gt;0),J1161-I1161,0),0))</f>
        <v>0</v>
      </c>
      <c r="L1161" s="2">
        <f t="shared" si="18"/>
        <v>3592.2989655359538</v>
      </c>
      <c r="M1161">
        <f>IF(ROW()&lt;3, 0, IF(Query1[[#This Row],[Month]]&lt;&gt;H1160, Dashboard!$J$5,0))</f>
        <v>0</v>
      </c>
      <c r="N1161" s="2">
        <f>IF(ROW()&lt;3, Query1[[#This Row],[Shares]], IF(Query1[[#This Row],[Month]]&lt;&gt;H1160, N1160+Query1[[#This Row],[Fix Top Up]]/Query1[[#This Row],[Adj Close]], N1160))</f>
        <v>3436.3243979336116</v>
      </c>
      <c r="O1161">
        <f>IF(AND(Query1[[#This Row],[avg]]&gt;0, Query1[[#This Row],[Month]]&lt;&gt;H1160),
    IF(Query1[[#This Row],[Adj Close]]&gt;Query1[[#This Row],[avg]],
       Dashboard!$L$5-Dashboard!$E$6,
       Dashboard!$L$5+Dashboard!$E$6
    ), 0
)</f>
        <v>0</v>
      </c>
      <c r="P1161" s="2">
        <f>IF(ROW()&lt;3, Query1[[#This Row],[Shares]], IF(Query1[[#This Row],[Month]]&lt;&gt;H1160, P1160+Query1[[#This Row],[Enhanced top up]]/Query1[[#This Row],[Adj Close]], P1160))</f>
        <v>3430.8355389059684</v>
      </c>
      <c r="Q1161" s="2">
        <f>IFERROR(AVERAGE(
  IF(ROW()&gt;20, INDEX(G:G, ROW()-20), 0) :
  INDEX(G:G, ROW())
),0)</f>
        <v>419.28839401971726</v>
      </c>
    </row>
    <row r="1162" spans="1:17" x14ac:dyDescent="0.4">
      <c r="A1162" s="1">
        <v>45517</v>
      </c>
      <c r="B1162">
        <v>409.58999633789063</v>
      </c>
      <c r="C1162">
        <v>414.95001220703125</v>
      </c>
      <c r="D1162">
        <v>409.57000732421875</v>
      </c>
      <c r="E1162">
        <v>414.010009765625</v>
      </c>
      <c r="F1162">
        <v>19414300</v>
      </c>
      <c r="G1162">
        <v>410.18563842773438</v>
      </c>
      <c r="H1162" s="2">
        <f>MONTH(Query1[[#This Row],[Date]])</f>
        <v>8</v>
      </c>
      <c r="I1162" s="3">
        <f>Query1[[#This Row],[Shares]]*Query1[[#This Row],[Adj Close]]</f>
        <v>1473509.444601655</v>
      </c>
      <c r="J1162" s="3">
        <f>IF(ROW()&lt;3, Dashboard!$E$7, IF(Query1[[#This Row],[Month]]&lt;&gt;H1161,J1161*(1+Dashboard!$E$4)+Dashboard!$E$5,J1161))</f>
        <v>1009967.2014305354</v>
      </c>
      <c r="K1162">
        <f>IF(ROW()&lt;3, 0,IF(Query1[[#This Row],[Month]]&lt;&gt;H1161,IF((J1162-I1162&gt;0),J1162-I1162,0),0))</f>
        <v>0</v>
      </c>
      <c r="L1162" s="2">
        <f t="shared" si="18"/>
        <v>3592.2989655359538</v>
      </c>
      <c r="M1162">
        <f>IF(ROW()&lt;3, 0, IF(Query1[[#This Row],[Month]]&lt;&gt;H1161, Dashboard!$J$5,0))</f>
        <v>0</v>
      </c>
      <c r="N1162" s="2">
        <f>IF(ROW()&lt;3, Query1[[#This Row],[Shares]], IF(Query1[[#This Row],[Month]]&lt;&gt;H1161, N1161+Query1[[#This Row],[Fix Top Up]]/Query1[[#This Row],[Adj Close]], N1161))</f>
        <v>3436.3243979336116</v>
      </c>
      <c r="O1162">
        <f>IF(AND(Query1[[#This Row],[avg]]&gt;0, Query1[[#This Row],[Month]]&lt;&gt;H1161),
    IF(Query1[[#This Row],[Adj Close]]&gt;Query1[[#This Row],[avg]],
       Dashboard!$L$5-Dashboard!$E$6,
       Dashboard!$L$5+Dashboard!$E$6
    ), 0
)</f>
        <v>0</v>
      </c>
      <c r="P1162" s="2">
        <f>IF(ROW()&lt;3, Query1[[#This Row],[Shares]], IF(Query1[[#This Row],[Month]]&lt;&gt;H1161, P1161+Query1[[#This Row],[Enhanced top up]]/Query1[[#This Row],[Adj Close]], P1161))</f>
        <v>3430.8355389059684</v>
      </c>
      <c r="Q1162" s="2">
        <f>IFERROR(AVERAGE(
  IF(ROW()&gt;20, INDEX(G:G, ROW()-20), 0) :
  INDEX(G:G, ROW())
),0)</f>
        <v>417.40358479817706</v>
      </c>
    </row>
    <row r="1163" spans="1:17" x14ac:dyDescent="0.4">
      <c r="A1163" s="1">
        <v>45518</v>
      </c>
      <c r="B1163">
        <v>414.79998779296875</v>
      </c>
      <c r="C1163">
        <v>417.72000122070313</v>
      </c>
      <c r="D1163">
        <v>412.45001220703125</v>
      </c>
      <c r="E1163">
        <v>416.8599853515625</v>
      </c>
      <c r="F1163">
        <v>18267000</v>
      </c>
      <c r="G1163">
        <v>413.00930786132813</v>
      </c>
      <c r="H1163" s="2">
        <f>MONTH(Query1[[#This Row],[Date]])</f>
        <v>8</v>
      </c>
      <c r="I1163" s="3">
        <f>Query1[[#This Row],[Shares]]*Query1[[#This Row],[Adj Close]]</f>
        <v>1483652.9093869694</v>
      </c>
      <c r="J1163" s="3">
        <f>IF(ROW()&lt;3, Dashboard!$E$7, IF(Query1[[#This Row],[Month]]&lt;&gt;H1162,J1162*(1+Dashboard!$E$4)+Dashboard!$E$5,J1162))</f>
        <v>1009967.2014305354</v>
      </c>
      <c r="K1163">
        <f>IF(ROW()&lt;3, 0,IF(Query1[[#This Row],[Month]]&lt;&gt;H1162,IF((J1163-I1163&gt;0),J1163-I1163,0),0))</f>
        <v>0</v>
      </c>
      <c r="L1163" s="2">
        <f t="shared" si="18"/>
        <v>3592.2989655359538</v>
      </c>
      <c r="M1163">
        <f>IF(ROW()&lt;3, 0, IF(Query1[[#This Row],[Month]]&lt;&gt;H1162, Dashboard!$J$5,0))</f>
        <v>0</v>
      </c>
      <c r="N1163" s="2">
        <f>IF(ROW()&lt;3, Query1[[#This Row],[Shares]], IF(Query1[[#This Row],[Month]]&lt;&gt;H1162, N1162+Query1[[#This Row],[Fix Top Up]]/Query1[[#This Row],[Adj Close]], N1162))</f>
        <v>3436.3243979336116</v>
      </c>
      <c r="O1163">
        <f>IF(AND(Query1[[#This Row],[avg]]&gt;0, Query1[[#This Row],[Month]]&lt;&gt;H1162),
    IF(Query1[[#This Row],[Adj Close]]&gt;Query1[[#This Row],[avg]],
       Dashboard!$L$5-Dashboard!$E$6,
       Dashboard!$L$5+Dashboard!$E$6
    ), 0
)</f>
        <v>0</v>
      </c>
      <c r="P1163" s="2">
        <f>IF(ROW()&lt;3, Query1[[#This Row],[Shares]], IF(Query1[[#This Row],[Month]]&lt;&gt;H1162, P1162+Query1[[#This Row],[Enhanced top up]]/Query1[[#This Row],[Adj Close]], P1162))</f>
        <v>3430.8355389059684</v>
      </c>
      <c r="Q1163" s="2">
        <f>IFERROR(AVERAGE(
  IF(ROW()&gt;20, INDEX(G:G, ROW()-20), 0) :
  INDEX(G:G, ROW())
),0)</f>
        <v>415.86271158854169</v>
      </c>
    </row>
    <row r="1164" spans="1:17" x14ac:dyDescent="0.4">
      <c r="A1164" s="1">
        <v>45519</v>
      </c>
      <c r="B1164">
        <v>419.79998779296875</v>
      </c>
      <c r="C1164">
        <v>421.1099853515625</v>
      </c>
      <c r="D1164">
        <v>417.66000366210938</v>
      </c>
      <c r="E1164">
        <v>421.02999877929688</v>
      </c>
      <c r="F1164">
        <v>20752100</v>
      </c>
      <c r="G1164">
        <v>417.89266967773438</v>
      </c>
      <c r="H1164" s="2">
        <f>MONTH(Query1[[#This Row],[Date]])</f>
        <v>8</v>
      </c>
      <c r="I1164" s="3">
        <f>Query1[[#This Row],[Shares]]*Query1[[#This Row],[Adj Close]]</f>
        <v>1501195.4049883832</v>
      </c>
      <c r="J1164" s="3">
        <f>IF(ROW()&lt;3, Dashboard!$E$7, IF(Query1[[#This Row],[Month]]&lt;&gt;H1163,J1163*(1+Dashboard!$E$4)+Dashboard!$E$5,J1163))</f>
        <v>1009967.2014305354</v>
      </c>
      <c r="K1164">
        <f>IF(ROW()&lt;3, 0,IF(Query1[[#This Row],[Month]]&lt;&gt;H1163,IF((J1164-I1164&gt;0),J1164-I1164,0),0))</f>
        <v>0</v>
      </c>
      <c r="L1164" s="2">
        <f t="shared" si="18"/>
        <v>3592.2989655359538</v>
      </c>
      <c r="M1164">
        <f>IF(ROW()&lt;3, 0, IF(Query1[[#This Row],[Month]]&lt;&gt;H1163, Dashboard!$J$5,0))</f>
        <v>0</v>
      </c>
      <c r="N1164" s="2">
        <f>IF(ROW()&lt;3, Query1[[#This Row],[Shares]], IF(Query1[[#This Row],[Month]]&lt;&gt;H1163, N1163+Query1[[#This Row],[Fix Top Up]]/Query1[[#This Row],[Adj Close]], N1163))</f>
        <v>3436.3243979336116</v>
      </c>
      <c r="O1164">
        <f>IF(AND(Query1[[#This Row],[avg]]&gt;0, Query1[[#This Row],[Month]]&lt;&gt;H1163),
    IF(Query1[[#This Row],[Adj Close]]&gt;Query1[[#This Row],[avg]],
       Dashboard!$L$5-Dashboard!$E$6,
       Dashboard!$L$5+Dashboard!$E$6
    ), 0
)</f>
        <v>0</v>
      </c>
      <c r="P1164" s="2">
        <f>IF(ROW()&lt;3, Query1[[#This Row],[Shares]], IF(Query1[[#This Row],[Month]]&lt;&gt;H1163, P1163+Query1[[#This Row],[Enhanced top up]]/Query1[[#This Row],[Adj Close]], P1163))</f>
        <v>3430.8355389059684</v>
      </c>
      <c r="Q1164" s="2">
        <f>IFERROR(AVERAGE(
  IF(ROW()&gt;20, INDEX(G:G, ROW()-20), 0) :
  INDEX(G:G, ROW())
),0)</f>
        <v>414.8374561128162</v>
      </c>
    </row>
    <row r="1165" spans="1:17" x14ac:dyDescent="0.4">
      <c r="A1165" s="1">
        <v>45520</v>
      </c>
      <c r="B1165">
        <v>420.60000610351563</v>
      </c>
      <c r="C1165">
        <v>421.33999633789063</v>
      </c>
      <c r="D1165">
        <v>417.29998779296875</v>
      </c>
      <c r="E1165">
        <v>418.47000122070313</v>
      </c>
      <c r="F1165">
        <v>22775600</v>
      </c>
      <c r="G1165">
        <v>415.35171508789063</v>
      </c>
      <c r="H1165" s="2">
        <f>MONTH(Query1[[#This Row],[Date]])</f>
        <v>8</v>
      </c>
      <c r="I1165" s="3">
        <f>Query1[[#This Row],[Shares]]*Query1[[#This Row],[Adj Close]]</f>
        <v>1492067.5364438137</v>
      </c>
      <c r="J1165" s="3">
        <f>IF(ROW()&lt;3, Dashboard!$E$7, IF(Query1[[#This Row],[Month]]&lt;&gt;H1164,J1164*(1+Dashboard!$E$4)+Dashboard!$E$5,J1164))</f>
        <v>1009967.2014305354</v>
      </c>
      <c r="K1165">
        <f>IF(ROW()&lt;3, 0,IF(Query1[[#This Row],[Month]]&lt;&gt;H1164,IF((J1165-I1165&gt;0),J1165-I1165,0),0))</f>
        <v>0</v>
      </c>
      <c r="L1165" s="2">
        <f t="shared" si="18"/>
        <v>3592.2989655359538</v>
      </c>
      <c r="M1165">
        <f>IF(ROW()&lt;3, 0, IF(Query1[[#This Row],[Month]]&lt;&gt;H1164, Dashboard!$J$5,0))</f>
        <v>0</v>
      </c>
      <c r="N1165" s="2">
        <f>IF(ROW()&lt;3, Query1[[#This Row],[Shares]], IF(Query1[[#This Row],[Month]]&lt;&gt;H1164, N1164+Query1[[#This Row],[Fix Top Up]]/Query1[[#This Row],[Adj Close]], N1164))</f>
        <v>3436.3243979336116</v>
      </c>
      <c r="O1165">
        <f>IF(AND(Query1[[#This Row],[avg]]&gt;0, Query1[[#This Row],[Month]]&lt;&gt;H1164),
    IF(Query1[[#This Row],[Adj Close]]&gt;Query1[[#This Row],[avg]],
       Dashboard!$L$5-Dashboard!$E$6,
       Dashboard!$L$5+Dashboard!$E$6
    ), 0
)</f>
        <v>0</v>
      </c>
      <c r="P1165" s="2">
        <f>IF(ROW()&lt;3, Query1[[#This Row],[Shares]], IF(Query1[[#This Row],[Month]]&lt;&gt;H1164, P1164+Query1[[#This Row],[Enhanced top up]]/Query1[[#This Row],[Adj Close]], P1164))</f>
        <v>3430.8355389059684</v>
      </c>
      <c r="Q1165" s="2">
        <f>IFERROR(AVERAGE(
  IF(ROW()&gt;20, INDEX(G:G, ROW()-20), 0) :
  INDEX(G:G, ROW())
),0)</f>
        <v>413.83981759207592</v>
      </c>
    </row>
    <row r="1166" spans="1:17" x14ac:dyDescent="0.4">
      <c r="A1166" s="1">
        <v>45523</v>
      </c>
      <c r="B1166">
        <v>418.95999145507813</v>
      </c>
      <c r="C1166">
        <v>421.75</v>
      </c>
      <c r="D1166">
        <v>416.45999145507813</v>
      </c>
      <c r="E1166">
        <v>421.52999877929688</v>
      </c>
      <c r="F1166">
        <v>15234000</v>
      </c>
      <c r="G1166">
        <v>418.388916015625</v>
      </c>
      <c r="H1166" s="2">
        <f>MONTH(Query1[[#This Row],[Date]])</f>
        <v>8</v>
      </c>
      <c r="I1166" s="3">
        <f>Query1[[#This Row],[Shares]]*Query1[[#This Row],[Adj Close]]</f>
        <v>1502978.0701946388</v>
      </c>
      <c r="J1166" s="3">
        <f>IF(ROW()&lt;3, Dashboard!$E$7, IF(Query1[[#This Row],[Month]]&lt;&gt;H1165,J1165*(1+Dashboard!$E$4)+Dashboard!$E$5,J1165))</f>
        <v>1009967.2014305354</v>
      </c>
      <c r="K1166">
        <f>IF(ROW()&lt;3, 0,IF(Query1[[#This Row],[Month]]&lt;&gt;H1165,IF((J1166-I1166&gt;0),J1166-I1166,0),0))</f>
        <v>0</v>
      </c>
      <c r="L1166" s="2">
        <f t="shared" si="18"/>
        <v>3592.2989655359538</v>
      </c>
      <c r="M1166">
        <f>IF(ROW()&lt;3, 0, IF(Query1[[#This Row],[Month]]&lt;&gt;H1165, Dashboard!$J$5,0))</f>
        <v>0</v>
      </c>
      <c r="N1166" s="2">
        <f>IF(ROW()&lt;3, Query1[[#This Row],[Shares]], IF(Query1[[#This Row],[Month]]&lt;&gt;H1165, N1165+Query1[[#This Row],[Fix Top Up]]/Query1[[#This Row],[Adj Close]], N1165))</f>
        <v>3436.3243979336116</v>
      </c>
      <c r="O1166">
        <f>IF(AND(Query1[[#This Row],[avg]]&gt;0, Query1[[#This Row],[Month]]&lt;&gt;H1165),
    IF(Query1[[#This Row],[Adj Close]]&gt;Query1[[#This Row],[avg]],
       Dashboard!$L$5-Dashboard!$E$6,
       Dashboard!$L$5+Dashboard!$E$6
    ), 0
)</f>
        <v>0</v>
      </c>
      <c r="P1166" s="2">
        <f>IF(ROW()&lt;3, Query1[[#This Row],[Shares]], IF(Query1[[#This Row],[Month]]&lt;&gt;H1165, P1165+Query1[[#This Row],[Enhanced top up]]/Query1[[#This Row],[Adj Close]], P1165))</f>
        <v>3430.8355389059684</v>
      </c>
      <c r="Q1166" s="2">
        <f>IFERROR(AVERAGE(
  IF(ROW()&gt;20, INDEX(G:G, ROW()-20), 0) :
  INDEX(G:G, ROW())
),0)</f>
        <v>413.14061192103793</v>
      </c>
    </row>
    <row r="1167" spans="1:17" x14ac:dyDescent="0.4">
      <c r="A1167" s="1">
        <v>45524</v>
      </c>
      <c r="B1167">
        <v>421.70001220703125</v>
      </c>
      <c r="C1167">
        <v>425.8599853515625</v>
      </c>
      <c r="D1167">
        <v>421.6400146484375</v>
      </c>
      <c r="E1167">
        <v>424.79998779296875</v>
      </c>
      <c r="F1167">
        <v>16387600</v>
      </c>
      <c r="G1167">
        <v>421.63455200195313</v>
      </c>
      <c r="H1167" s="2">
        <f>MONTH(Query1[[#This Row],[Date]])</f>
        <v>8</v>
      </c>
      <c r="I1167" s="3">
        <f>Query1[[#This Row],[Shares]]*Query1[[#This Row],[Adj Close]]</f>
        <v>1514637.3649908316</v>
      </c>
      <c r="J1167" s="3">
        <f>IF(ROW()&lt;3, Dashboard!$E$7, IF(Query1[[#This Row],[Month]]&lt;&gt;H1166,J1166*(1+Dashboard!$E$4)+Dashboard!$E$5,J1166))</f>
        <v>1009967.2014305354</v>
      </c>
      <c r="K1167">
        <f>IF(ROW()&lt;3, 0,IF(Query1[[#This Row],[Month]]&lt;&gt;H1166,IF((J1167-I1167&gt;0),J1167-I1167,0),0))</f>
        <v>0</v>
      </c>
      <c r="L1167" s="2">
        <f t="shared" si="18"/>
        <v>3592.2989655359538</v>
      </c>
      <c r="M1167">
        <f>IF(ROW()&lt;3, 0, IF(Query1[[#This Row],[Month]]&lt;&gt;H1166, Dashboard!$J$5,0))</f>
        <v>0</v>
      </c>
      <c r="N1167" s="2">
        <f>IF(ROW()&lt;3, Query1[[#This Row],[Shares]], IF(Query1[[#This Row],[Month]]&lt;&gt;H1166, N1166+Query1[[#This Row],[Fix Top Up]]/Query1[[#This Row],[Adj Close]], N1166))</f>
        <v>3436.3243979336116</v>
      </c>
      <c r="O1167">
        <f>IF(AND(Query1[[#This Row],[avg]]&gt;0, Query1[[#This Row],[Month]]&lt;&gt;H1166),
    IF(Query1[[#This Row],[Adj Close]]&gt;Query1[[#This Row],[avg]],
       Dashboard!$L$5-Dashboard!$E$6,
       Dashboard!$L$5+Dashboard!$E$6
    ), 0
)</f>
        <v>0</v>
      </c>
      <c r="P1167" s="2">
        <f>IF(ROW()&lt;3, Query1[[#This Row],[Shares]], IF(Query1[[#This Row],[Month]]&lt;&gt;H1166, P1166+Query1[[#This Row],[Enhanced top up]]/Query1[[#This Row],[Adj Close]], P1166))</f>
        <v>3430.8355389059684</v>
      </c>
      <c r="Q1167" s="2">
        <f>IFERROR(AVERAGE(
  IF(ROW()&gt;20, INDEX(G:G, ROW()-20), 0) :
  INDEX(G:G, ROW())
),0)</f>
        <v>412.32090395972841</v>
      </c>
    </row>
    <row r="1168" spans="1:17" x14ac:dyDescent="0.4">
      <c r="A1168" s="1">
        <v>45525</v>
      </c>
      <c r="B1168">
        <v>424.07998657226563</v>
      </c>
      <c r="C1168">
        <v>426.39999389648438</v>
      </c>
      <c r="D1168">
        <v>421.72000122070313</v>
      </c>
      <c r="E1168">
        <v>424.1400146484375</v>
      </c>
      <c r="F1168">
        <v>16067300</v>
      </c>
      <c r="G1168">
        <v>420.97952270507813</v>
      </c>
      <c r="H1168" s="2">
        <f>MONTH(Query1[[#This Row],[Date]])</f>
        <v>8</v>
      </c>
      <c r="I1168" s="3">
        <f>Query1[[#This Row],[Shares]]*Query1[[#This Row],[Adj Close]]</f>
        <v>1512284.3039252718</v>
      </c>
      <c r="J1168" s="3">
        <f>IF(ROW()&lt;3, Dashboard!$E$7, IF(Query1[[#This Row],[Month]]&lt;&gt;H1167,J1167*(1+Dashboard!$E$4)+Dashboard!$E$5,J1167))</f>
        <v>1009967.2014305354</v>
      </c>
      <c r="K1168">
        <f>IF(ROW()&lt;3, 0,IF(Query1[[#This Row],[Month]]&lt;&gt;H1167,IF((J1168-I1168&gt;0),J1168-I1168,0),0))</f>
        <v>0</v>
      </c>
      <c r="L1168" s="2">
        <f t="shared" si="18"/>
        <v>3592.2989655359538</v>
      </c>
      <c r="M1168">
        <f>IF(ROW()&lt;3, 0, IF(Query1[[#This Row],[Month]]&lt;&gt;H1167, Dashboard!$J$5,0))</f>
        <v>0</v>
      </c>
      <c r="N1168" s="2">
        <f>IF(ROW()&lt;3, Query1[[#This Row],[Shares]], IF(Query1[[#This Row],[Month]]&lt;&gt;H1167, N1167+Query1[[#This Row],[Fix Top Up]]/Query1[[#This Row],[Adj Close]], N1167))</f>
        <v>3436.3243979336116</v>
      </c>
      <c r="O1168">
        <f>IF(AND(Query1[[#This Row],[avg]]&gt;0, Query1[[#This Row],[Month]]&lt;&gt;H1167),
    IF(Query1[[#This Row],[Adj Close]]&gt;Query1[[#This Row],[avg]],
       Dashboard!$L$5-Dashboard!$E$6,
       Dashboard!$L$5+Dashboard!$E$6
    ), 0
)</f>
        <v>0</v>
      </c>
      <c r="P1168" s="2">
        <f>IF(ROW()&lt;3, Query1[[#This Row],[Shares]], IF(Query1[[#This Row],[Month]]&lt;&gt;H1167, P1167+Query1[[#This Row],[Enhanced top up]]/Query1[[#This Row],[Adj Close]], P1167))</f>
        <v>3430.8355389059684</v>
      </c>
      <c r="Q1168" s="2">
        <f>IFERROR(AVERAGE(
  IF(ROW()&gt;20, INDEX(G:G, ROW()-20), 0) :
  INDEX(G:G, ROW())
),0)</f>
        <v>411.37989298502606</v>
      </c>
    </row>
    <row r="1169" spans="1:17" x14ac:dyDescent="0.4">
      <c r="A1169" s="1">
        <v>45526</v>
      </c>
      <c r="B1169">
        <v>424.3599853515625</v>
      </c>
      <c r="C1169">
        <v>426.79000854492188</v>
      </c>
      <c r="D1169">
        <v>414.6099853515625</v>
      </c>
      <c r="E1169">
        <v>415.54998779296875</v>
      </c>
      <c r="F1169">
        <v>19361900</v>
      </c>
      <c r="G1169">
        <v>412.4534912109375</v>
      </c>
      <c r="H1169" s="2">
        <f>MONTH(Query1[[#This Row],[Date]])</f>
        <v>8</v>
      </c>
      <c r="I1169" s="3">
        <f>Query1[[#This Row],[Shares]]*Query1[[#This Row],[Adj Close]]</f>
        <v>1481656.2498087434</v>
      </c>
      <c r="J1169" s="3">
        <f>IF(ROW()&lt;3, Dashboard!$E$7, IF(Query1[[#This Row],[Month]]&lt;&gt;H1168,J1168*(1+Dashboard!$E$4)+Dashboard!$E$5,J1168))</f>
        <v>1009967.2014305354</v>
      </c>
      <c r="K1169">
        <f>IF(ROW()&lt;3, 0,IF(Query1[[#This Row],[Month]]&lt;&gt;H1168,IF((J1169-I1169&gt;0),J1169-I1169,0),0))</f>
        <v>0</v>
      </c>
      <c r="L1169" s="2">
        <f t="shared" si="18"/>
        <v>3592.2989655359538</v>
      </c>
      <c r="M1169">
        <f>IF(ROW()&lt;3, 0, IF(Query1[[#This Row],[Month]]&lt;&gt;H1168, Dashboard!$J$5,0))</f>
        <v>0</v>
      </c>
      <c r="N1169" s="2">
        <f>IF(ROW()&lt;3, Query1[[#This Row],[Shares]], IF(Query1[[#This Row],[Month]]&lt;&gt;H1168, N1168+Query1[[#This Row],[Fix Top Up]]/Query1[[#This Row],[Adj Close]], N1168))</f>
        <v>3436.3243979336116</v>
      </c>
      <c r="O1169">
        <f>IF(AND(Query1[[#This Row],[avg]]&gt;0, Query1[[#This Row],[Month]]&lt;&gt;H1168),
    IF(Query1[[#This Row],[Adj Close]]&gt;Query1[[#This Row],[avg]],
       Dashboard!$L$5-Dashboard!$E$6,
       Dashboard!$L$5+Dashboard!$E$6
    ), 0
)</f>
        <v>0</v>
      </c>
      <c r="P1169" s="2">
        <f>IF(ROW()&lt;3, Query1[[#This Row],[Shares]], IF(Query1[[#This Row],[Month]]&lt;&gt;H1168, P1168+Query1[[#This Row],[Enhanced top up]]/Query1[[#This Row],[Adj Close]], P1168))</f>
        <v>3430.8355389059684</v>
      </c>
      <c r="Q1169" s="2">
        <f>IFERROR(AVERAGE(
  IF(ROW()&gt;20, INDEX(G:G, ROW()-20), 0) :
  INDEX(G:G, ROW())
),0)</f>
        <v>410.78538731166293</v>
      </c>
    </row>
    <row r="1170" spans="1:17" x14ac:dyDescent="0.4">
      <c r="A1170" s="1">
        <v>45527</v>
      </c>
      <c r="B1170">
        <v>416.98001098632813</v>
      </c>
      <c r="C1170">
        <v>419.260009765625</v>
      </c>
      <c r="D1170">
        <v>412.08999633789063</v>
      </c>
      <c r="E1170">
        <v>416.79000854492188</v>
      </c>
      <c r="F1170">
        <v>18493800</v>
      </c>
      <c r="G1170">
        <v>413.68426513671875</v>
      </c>
      <c r="H1170" s="2">
        <f>MONTH(Query1[[#This Row],[Date]])</f>
        <v>8</v>
      </c>
      <c r="I1170" s="3">
        <f>Query1[[#This Row],[Shares]]*Query1[[#This Row],[Adj Close]]</f>
        <v>1486077.557709136</v>
      </c>
      <c r="J1170" s="3">
        <f>IF(ROW()&lt;3, Dashboard!$E$7, IF(Query1[[#This Row],[Month]]&lt;&gt;H1169,J1169*(1+Dashboard!$E$4)+Dashboard!$E$5,J1169))</f>
        <v>1009967.2014305354</v>
      </c>
      <c r="K1170">
        <f>IF(ROW()&lt;3, 0,IF(Query1[[#This Row],[Month]]&lt;&gt;H1169,IF((J1170-I1170&gt;0),J1170-I1170,0),0))</f>
        <v>0</v>
      </c>
      <c r="L1170" s="2">
        <f t="shared" si="18"/>
        <v>3592.2989655359538</v>
      </c>
      <c r="M1170">
        <f>IF(ROW()&lt;3, 0, IF(Query1[[#This Row],[Month]]&lt;&gt;H1169, Dashboard!$J$5,0))</f>
        <v>0</v>
      </c>
      <c r="N1170" s="2">
        <f>IF(ROW()&lt;3, Query1[[#This Row],[Shares]], IF(Query1[[#This Row],[Month]]&lt;&gt;H1169, N1169+Query1[[#This Row],[Fix Top Up]]/Query1[[#This Row],[Adj Close]], N1169))</f>
        <v>3436.3243979336116</v>
      </c>
      <c r="O1170">
        <f>IF(AND(Query1[[#This Row],[avg]]&gt;0, Query1[[#This Row],[Month]]&lt;&gt;H1169),
    IF(Query1[[#This Row],[Adj Close]]&gt;Query1[[#This Row],[avg]],
       Dashboard!$L$5-Dashboard!$E$6,
       Dashboard!$L$5+Dashboard!$E$6
    ), 0
)</f>
        <v>0</v>
      </c>
      <c r="P1170" s="2">
        <f>IF(ROW()&lt;3, Query1[[#This Row],[Shares]], IF(Query1[[#This Row],[Month]]&lt;&gt;H1169, P1169+Query1[[#This Row],[Enhanced top up]]/Query1[[#This Row],[Adj Close]], P1169))</f>
        <v>3430.8355389059684</v>
      </c>
      <c r="Q1170" s="2">
        <f>IFERROR(AVERAGE(
  IF(ROW()&gt;20, INDEX(G:G, ROW()-20), 0) :
  INDEX(G:G, ROW())
),0)</f>
        <v>410.74487159365697</v>
      </c>
    </row>
    <row r="1171" spans="1:17" x14ac:dyDescent="0.4">
      <c r="A1171" s="1">
        <v>45530</v>
      </c>
      <c r="B1171">
        <v>416.3699951171875</v>
      </c>
      <c r="C1171">
        <v>417.27999877929688</v>
      </c>
      <c r="D1171">
        <v>411.33999633789063</v>
      </c>
      <c r="E1171">
        <v>413.489990234375</v>
      </c>
      <c r="F1171">
        <v>13152800</v>
      </c>
      <c r="G1171">
        <v>410.4088134765625</v>
      </c>
      <c r="H1171" s="2">
        <f>MONTH(Query1[[#This Row],[Date]])</f>
        <v>8</v>
      </c>
      <c r="I1171" s="3">
        <f>Query1[[#This Row],[Shares]]*Query1[[#This Row],[Adj Close]]</f>
        <v>1474311.1560986936</v>
      </c>
      <c r="J1171" s="3">
        <f>IF(ROW()&lt;3, Dashboard!$E$7, IF(Query1[[#This Row],[Month]]&lt;&gt;H1170,J1170*(1+Dashboard!$E$4)+Dashboard!$E$5,J1170))</f>
        <v>1009967.2014305354</v>
      </c>
      <c r="K1171">
        <f>IF(ROW()&lt;3, 0,IF(Query1[[#This Row],[Month]]&lt;&gt;H1170,IF((J1171-I1171&gt;0),J1171-I1171,0),0))</f>
        <v>0</v>
      </c>
      <c r="L1171" s="2">
        <f t="shared" si="18"/>
        <v>3592.2989655359538</v>
      </c>
      <c r="M1171">
        <f>IF(ROW()&lt;3, 0, IF(Query1[[#This Row],[Month]]&lt;&gt;H1170, Dashboard!$J$5,0))</f>
        <v>0</v>
      </c>
      <c r="N1171" s="2">
        <f>IF(ROW()&lt;3, Query1[[#This Row],[Shares]], IF(Query1[[#This Row],[Month]]&lt;&gt;H1170, N1170+Query1[[#This Row],[Fix Top Up]]/Query1[[#This Row],[Adj Close]], N1170))</f>
        <v>3436.3243979336116</v>
      </c>
      <c r="O1171">
        <f>IF(AND(Query1[[#This Row],[avg]]&gt;0, Query1[[#This Row],[Month]]&lt;&gt;H1170),
    IF(Query1[[#This Row],[Adj Close]]&gt;Query1[[#This Row],[avg]],
       Dashboard!$L$5-Dashboard!$E$6,
       Dashboard!$L$5+Dashboard!$E$6
    ), 0
)</f>
        <v>0</v>
      </c>
      <c r="P1171" s="2">
        <f>IF(ROW()&lt;3, Query1[[#This Row],[Shares]], IF(Query1[[#This Row],[Month]]&lt;&gt;H1170, P1170+Query1[[#This Row],[Enhanced top up]]/Query1[[#This Row],[Adj Close]], P1170))</f>
        <v>3430.8355389059684</v>
      </c>
      <c r="Q1171" s="2">
        <f>IFERROR(AVERAGE(
  IF(ROW()&gt;20, INDEX(G:G, ROW()-20), 0) :
  INDEX(G:G, ROW())
),0)</f>
        <v>410.22426205589659</v>
      </c>
    </row>
    <row r="1172" spans="1:17" x14ac:dyDescent="0.4">
      <c r="A1172" s="1">
        <v>45531</v>
      </c>
      <c r="B1172">
        <v>412.8599853515625</v>
      </c>
      <c r="C1172">
        <v>414.3599853515625</v>
      </c>
      <c r="D1172">
        <v>410.25</v>
      </c>
      <c r="E1172">
        <v>413.83999633789063</v>
      </c>
      <c r="F1172">
        <v>13492900</v>
      </c>
      <c r="G1172">
        <v>410.7562255859375</v>
      </c>
      <c r="H1172" s="2">
        <f>MONTH(Query1[[#This Row],[Date]])</f>
        <v>8</v>
      </c>
      <c r="I1172" s="3">
        <f>Query1[[#This Row],[Shares]]*Query1[[#This Row],[Adj Close]]</f>
        <v>1475559.1642598161</v>
      </c>
      <c r="J1172" s="3">
        <f>IF(ROW()&lt;3, Dashboard!$E$7, IF(Query1[[#This Row],[Month]]&lt;&gt;H1171,J1171*(1+Dashboard!$E$4)+Dashboard!$E$5,J1171))</f>
        <v>1009967.2014305354</v>
      </c>
      <c r="K1172">
        <f>IF(ROW()&lt;3, 0,IF(Query1[[#This Row],[Month]]&lt;&gt;H1171,IF((J1172-I1172&gt;0),J1172-I1172,0),0))</f>
        <v>0</v>
      </c>
      <c r="L1172" s="2">
        <f t="shared" si="18"/>
        <v>3592.2989655359538</v>
      </c>
      <c r="M1172">
        <f>IF(ROW()&lt;3, 0, IF(Query1[[#This Row],[Month]]&lt;&gt;H1171, Dashboard!$J$5,0))</f>
        <v>0</v>
      </c>
      <c r="N1172" s="2">
        <f>IF(ROW()&lt;3, Query1[[#This Row],[Shares]], IF(Query1[[#This Row],[Month]]&lt;&gt;H1171, N1171+Query1[[#This Row],[Fix Top Up]]/Query1[[#This Row],[Adj Close]], N1171))</f>
        <v>3436.3243979336116</v>
      </c>
      <c r="O1172">
        <f>IF(AND(Query1[[#This Row],[avg]]&gt;0, Query1[[#This Row],[Month]]&lt;&gt;H1171),
    IF(Query1[[#This Row],[Adj Close]]&gt;Query1[[#This Row],[avg]],
       Dashboard!$L$5-Dashboard!$E$6,
       Dashboard!$L$5+Dashboard!$E$6
    ), 0
)</f>
        <v>0</v>
      </c>
      <c r="P1172" s="2">
        <f>IF(ROW()&lt;3, Query1[[#This Row],[Shares]], IF(Query1[[#This Row],[Month]]&lt;&gt;H1171, P1171+Query1[[#This Row],[Enhanced top up]]/Query1[[#This Row],[Adj Close]], P1171))</f>
        <v>3430.8355389059684</v>
      </c>
      <c r="Q1172" s="2">
        <f>IFERROR(AVERAGE(
  IF(ROW()&gt;20, INDEX(G:G, ROW()-20), 0) :
  INDEX(G:G, ROW())
),0)</f>
        <v>409.6513134184338</v>
      </c>
    </row>
    <row r="1173" spans="1:17" x14ac:dyDescent="0.4">
      <c r="A1173" s="1">
        <v>45532</v>
      </c>
      <c r="B1173">
        <v>414.8800048828125</v>
      </c>
      <c r="C1173">
        <v>415</v>
      </c>
      <c r="D1173">
        <v>407.30999755859375</v>
      </c>
      <c r="E1173">
        <v>410.60000610351563</v>
      </c>
      <c r="F1173">
        <v>14882700</v>
      </c>
      <c r="G1173">
        <v>407.5404052734375</v>
      </c>
      <c r="H1173" s="2">
        <f>MONTH(Query1[[#This Row],[Date]])</f>
        <v>8</v>
      </c>
      <c r="I1173" s="3">
        <f>Query1[[#This Row],[Shares]]*Query1[[#This Row],[Adj Close]]</f>
        <v>1464006.9762778729</v>
      </c>
      <c r="J1173" s="3">
        <f>IF(ROW()&lt;3, Dashboard!$E$7, IF(Query1[[#This Row],[Month]]&lt;&gt;H1172,J1172*(1+Dashboard!$E$4)+Dashboard!$E$5,J1172))</f>
        <v>1009967.2014305354</v>
      </c>
      <c r="K1173">
        <f>IF(ROW()&lt;3, 0,IF(Query1[[#This Row],[Month]]&lt;&gt;H1172,IF((J1173-I1173&gt;0),J1173-I1173,0),0))</f>
        <v>0</v>
      </c>
      <c r="L1173" s="2">
        <f t="shared" si="18"/>
        <v>3592.2989655359538</v>
      </c>
      <c r="M1173">
        <f>IF(ROW()&lt;3, 0, IF(Query1[[#This Row],[Month]]&lt;&gt;H1172, Dashboard!$J$5,0))</f>
        <v>0</v>
      </c>
      <c r="N1173" s="2">
        <f>IF(ROW()&lt;3, Query1[[#This Row],[Shares]], IF(Query1[[#This Row],[Month]]&lt;&gt;H1172, N1172+Query1[[#This Row],[Fix Top Up]]/Query1[[#This Row],[Adj Close]], N1172))</f>
        <v>3436.3243979336116</v>
      </c>
      <c r="O1173">
        <f>IF(AND(Query1[[#This Row],[avg]]&gt;0, Query1[[#This Row],[Month]]&lt;&gt;H1172),
    IF(Query1[[#This Row],[Adj Close]]&gt;Query1[[#This Row],[avg]],
       Dashboard!$L$5-Dashboard!$E$6,
       Dashboard!$L$5+Dashboard!$E$6
    ), 0
)</f>
        <v>0</v>
      </c>
      <c r="P1173" s="2">
        <f>IF(ROW()&lt;3, Query1[[#This Row],[Shares]], IF(Query1[[#This Row],[Month]]&lt;&gt;H1172, P1172+Query1[[#This Row],[Enhanced top up]]/Query1[[#This Row],[Adj Close]], P1172))</f>
        <v>3430.8355389059684</v>
      </c>
      <c r="Q1173" s="2">
        <f>IFERROR(AVERAGE(
  IF(ROW()&gt;20, INDEX(G:G, ROW()-20), 0) :
  INDEX(G:G, ROW())
),0)</f>
        <v>409.10498192196803</v>
      </c>
    </row>
    <row r="1174" spans="1:17" x14ac:dyDescent="0.4">
      <c r="A1174" s="1">
        <v>45533</v>
      </c>
      <c r="B1174">
        <v>414.94000244140625</v>
      </c>
      <c r="C1174">
        <v>422.04998779296875</v>
      </c>
      <c r="D1174">
        <v>410.60000610351563</v>
      </c>
      <c r="E1174">
        <v>413.1199951171875</v>
      </c>
      <c r="F1174">
        <v>17045200</v>
      </c>
      <c r="G1174">
        <v>410.04159545898438</v>
      </c>
      <c r="H1174" s="2">
        <f>MONTH(Query1[[#This Row],[Date]])</f>
        <v>8</v>
      </c>
      <c r="I1174" s="3">
        <f>Query1[[#This Row],[Shares]]*Query1[[#This Row],[Adj Close]]</f>
        <v>1472991.9991940216</v>
      </c>
      <c r="J1174" s="3">
        <f>IF(ROW()&lt;3, Dashboard!$E$7, IF(Query1[[#This Row],[Month]]&lt;&gt;H1173,J1173*(1+Dashboard!$E$4)+Dashboard!$E$5,J1173))</f>
        <v>1009967.2014305354</v>
      </c>
      <c r="K1174">
        <f>IF(ROW()&lt;3, 0,IF(Query1[[#This Row],[Month]]&lt;&gt;H1173,IF((J1174-I1174&gt;0),J1174-I1174,0),0))</f>
        <v>0</v>
      </c>
      <c r="L1174" s="2">
        <f t="shared" si="18"/>
        <v>3592.2989655359538</v>
      </c>
      <c r="M1174">
        <f>IF(ROW()&lt;3, 0, IF(Query1[[#This Row],[Month]]&lt;&gt;H1173, Dashboard!$J$5,0))</f>
        <v>0</v>
      </c>
      <c r="N1174" s="2">
        <f>IF(ROW()&lt;3, Query1[[#This Row],[Shares]], IF(Query1[[#This Row],[Month]]&lt;&gt;H1173, N1173+Query1[[#This Row],[Fix Top Up]]/Query1[[#This Row],[Adj Close]], N1173))</f>
        <v>3436.3243979336116</v>
      </c>
      <c r="O1174">
        <f>IF(AND(Query1[[#This Row],[avg]]&gt;0, Query1[[#This Row],[Month]]&lt;&gt;H1173),
    IF(Query1[[#This Row],[Adj Close]]&gt;Query1[[#This Row],[avg]],
       Dashboard!$L$5-Dashboard!$E$6,
       Dashboard!$L$5+Dashboard!$E$6
    ), 0
)</f>
        <v>0</v>
      </c>
      <c r="P1174" s="2">
        <f>IF(ROW()&lt;3, Query1[[#This Row],[Shares]], IF(Query1[[#This Row],[Month]]&lt;&gt;H1173, P1173+Query1[[#This Row],[Enhanced top up]]/Query1[[#This Row],[Adj Close]], P1173))</f>
        <v>3430.8355389059684</v>
      </c>
      <c r="Q1174" s="2">
        <f>IFERROR(AVERAGE(
  IF(ROW()&gt;20, INDEX(G:G, ROW()-20), 0) :
  INDEX(G:G, ROW())
),0)</f>
        <v>408.89336286272322</v>
      </c>
    </row>
    <row r="1175" spans="1:17" x14ac:dyDescent="0.4">
      <c r="A1175" s="1">
        <v>45534</v>
      </c>
      <c r="B1175">
        <v>415.60000610351563</v>
      </c>
      <c r="C1175">
        <v>417.489990234375</v>
      </c>
      <c r="D1175">
        <v>412.1300048828125</v>
      </c>
      <c r="E1175">
        <v>417.1400146484375</v>
      </c>
      <c r="F1175">
        <v>24308300</v>
      </c>
      <c r="G1175">
        <v>414.03164672851563</v>
      </c>
      <c r="H1175" s="2">
        <f>MONTH(Query1[[#This Row],[Date]])</f>
        <v>8</v>
      </c>
      <c r="I1175" s="3">
        <f>Query1[[#This Row],[Shares]]*Query1[[#This Row],[Adj Close]]</f>
        <v>1487325.4562419942</v>
      </c>
      <c r="J1175" s="3">
        <f>IF(ROW()&lt;3, Dashboard!$E$7, IF(Query1[[#This Row],[Month]]&lt;&gt;H1174,J1174*(1+Dashboard!$E$4)+Dashboard!$E$5,J1174))</f>
        <v>1009967.2014305354</v>
      </c>
      <c r="K1175">
        <f>IF(ROW()&lt;3, 0,IF(Query1[[#This Row],[Month]]&lt;&gt;H1174,IF((J1175-I1175&gt;0),J1175-I1175,0),0))</f>
        <v>0</v>
      </c>
      <c r="L1175" s="2">
        <f t="shared" si="18"/>
        <v>3592.2989655359538</v>
      </c>
      <c r="M1175">
        <f>IF(ROW()&lt;3, 0, IF(Query1[[#This Row],[Month]]&lt;&gt;H1174, Dashboard!$J$5,0))</f>
        <v>0</v>
      </c>
      <c r="N1175" s="2">
        <f>IF(ROW()&lt;3, Query1[[#This Row],[Shares]], IF(Query1[[#This Row],[Month]]&lt;&gt;H1174, N1174+Query1[[#This Row],[Fix Top Up]]/Query1[[#This Row],[Adj Close]], N1174))</f>
        <v>3436.3243979336116</v>
      </c>
      <c r="O1175">
        <f>IF(AND(Query1[[#This Row],[avg]]&gt;0, Query1[[#This Row],[Month]]&lt;&gt;H1174),
    IF(Query1[[#This Row],[Adj Close]]&gt;Query1[[#This Row],[avg]],
       Dashboard!$L$5-Dashboard!$E$6,
       Dashboard!$L$5+Dashboard!$E$6
    ), 0
)</f>
        <v>0</v>
      </c>
      <c r="P1175" s="2">
        <f>IF(ROW()&lt;3, Query1[[#This Row],[Shares]], IF(Query1[[#This Row],[Month]]&lt;&gt;H1174, P1174+Query1[[#This Row],[Enhanced top up]]/Query1[[#This Row],[Adj Close]], P1174))</f>
        <v>3430.8355389059684</v>
      </c>
      <c r="Q1175" s="2">
        <f>IFERROR(AVERAGE(
  IF(ROW()&gt;20, INDEX(G:G, ROW()-20), 0) :
  INDEX(G:G, ROW())
),0)</f>
        <v>408.93024989536832</v>
      </c>
    </row>
    <row r="1176" spans="1:17" x14ac:dyDescent="0.4">
      <c r="A1176" s="1">
        <v>45538</v>
      </c>
      <c r="B1176">
        <v>417.91000366210938</v>
      </c>
      <c r="C1176">
        <v>419.8800048828125</v>
      </c>
      <c r="D1176">
        <v>407.02999877929688</v>
      </c>
      <c r="E1176">
        <v>409.44000244140625</v>
      </c>
      <c r="F1176">
        <v>20313600</v>
      </c>
      <c r="G1176">
        <v>406.3890380859375</v>
      </c>
      <c r="H1176" s="2">
        <f>MONTH(Query1[[#This Row],[Date]])</f>
        <v>9</v>
      </c>
      <c r="I1176" s="3">
        <f>Query1[[#This Row],[Shares]]*Query1[[#This Row],[Adj Close]]</f>
        <v>1459870.9211212646</v>
      </c>
      <c r="J1176" s="3">
        <f>IF(ROW()&lt;3, Dashboard!$E$7, IF(Query1[[#This Row],[Month]]&lt;&gt;H1175,J1175*(1+Dashboard!$E$4)+Dashboard!$E$5,J1175))</f>
        <v>1022066.8734448408</v>
      </c>
      <c r="K1176">
        <f>IF(ROW()&lt;3, 0,IF(Query1[[#This Row],[Month]]&lt;&gt;H1175,IF((J1176-I1176&gt;0),J1176-I1176,0),0))</f>
        <v>0</v>
      </c>
      <c r="L1176" s="2">
        <f t="shared" si="18"/>
        <v>3592.2989655359538</v>
      </c>
      <c r="M1176">
        <f>IF(ROW()&lt;3, 0, IF(Query1[[#This Row],[Month]]&lt;&gt;H1175, Dashboard!$J$5,0))</f>
        <v>773.47399999999971</v>
      </c>
      <c r="N1176" s="2">
        <f>IF(ROW()&lt;3, Query1[[#This Row],[Shares]], IF(Query1[[#This Row],[Month]]&lt;&gt;H1175, N1175+Query1[[#This Row],[Fix Top Up]]/Query1[[#This Row],[Adj Close]], N1175))</f>
        <v>3438.2276825390304</v>
      </c>
      <c r="O1176">
        <f>IF(AND(Query1[[#This Row],[avg]]&gt;0, Query1[[#This Row],[Month]]&lt;&gt;H1175),
    IF(Query1[[#This Row],[Adj Close]]&gt;Query1[[#This Row],[avg]],
       Dashboard!$L$5-Dashboard!$E$6,
       Dashboard!$L$5+Dashboard!$E$6
    ), 0
)</f>
        <v>1390.1406666666667</v>
      </c>
      <c r="P1176" s="2">
        <f>IF(ROW()&lt;3, Query1[[#This Row],[Shares]], IF(Query1[[#This Row],[Month]]&lt;&gt;H1175, P1175+Query1[[#This Row],[Enhanced top up]]/Query1[[#This Row],[Adj Close]], P1175))</f>
        <v>3434.2562528927779</v>
      </c>
      <c r="Q1176" s="2">
        <f>IFERROR(AVERAGE(
  IF(ROW()&gt;20, INDEX(G:G, ROW()-20), 0) :
  INDEX(G:G, ROW())
),0)</f>
        <v>409.00988914853053</v>
      </c>
    </row>
    <row r="1177" spans="1:17" x14ac:dyDescent="0.4">
      <c r="A1177" s="1">
        <v>45539</v>
      </c>
      <c r="B1177">
        <v>405.91000366210938</v>
      </c>
      <c r="C1177">
        <v>411.239990234375</v>
      </c>
      <c r="D1177">
        <v>404.3699951171875</v>
      </c>
      <c r="E1177">
        <v>408.89999389648438</v>
      </c>
      <c r="F1177">
        <v>15135800</v>
      </c>
      <c r="G1177">
        <v>405.85305786132813</v>
      </c>
      <c r="H1177" s="2">
        <f>MONTH(Query1[[#This Row],[Date]])</f>
        <v>9</v>
      </c>
      <c r="I1177" s="3">
        <f>Query1[[#This Row],[Shares]]*Query1[[#This Row],[Adj Close]]</f>
        <v>1457945.5199148527</v>
      </c>
      <c r="J1177" s="3">
        <f>IF(ROW()&lt;3, Dashboard!$E$7, IF(Query1[[#This Row],[Month]]&lt;&gt;H1176,J1176*(1+Dashboard!$E$4)+Dashboard!$E$5,J1176))</f>
        <v>1022066.8734448408</v>
      </c>
      <c r="K1177">
        <f>IF(ROW()&lt;3, 0,IF(Query1[[#This Row],[Month]]&lt;&gt;H1176,IF((J1177-I1177&gt;0),J1177-I1177,0),0))</f>
        <v>0</v>
      </c>
      <c r="L1177" s="2">
        <f t="shared" si="18"/>
        <v>3592.2989655359538</v>
      </c>
      <c r="M1177">
        <f>IF(ROW()&lt;3, 0, IF(Query1[[#This Row],[Month]]&lt;&gt;H1176, Dashboard!$J$5,0))</f>
        <v>0</v>
      </c>
      <c r="N1177" s="2">
        <f>IF(ROW()&lt;3, Query1[[#This Row],[Shares]], IF(Query1[[#This Row],[Month]]&lt;&gt;H1176, N1176+Query1[[#This Row],[Fix Top Up]]/Query1[[#This Row],[Adj Close]], N1176))</f>
        <v>3438.2276825390304</v>
      </c>
      <c r="O1177">
        <f>IF(AND(Query1[[#This Row],[avg]]&gt;0, Query1[[#This Row],[Month]]&lt;&gt;H1176),
    IF(Query1[[#This Row],[Adj Close]]&gt;Query1[[#This Row],[avg]],
       Dashboard!$L$5-Dashboard!$E$6,
       Dashboard!$L$5+Dashboard!$E$6
    ), 0
)</f>
        <v>0</v>
      </c>
      <c r="P1177" s="2">
        <f>IF(ROW()&lt;3, Query1[[#This Row],[Shares]], IF(Query1[[#This Row],[Month]]&lt;&gt;H1176, P1176+Query1[[#This Row],[Enhanced top up]]/Query1[[#This Row],[Adj Close]], P1176))</f>
        <v>3434.2562528927779</v>
      </c>
      <c r="Q1177" s="2">
        <f>IFERROR(AVERAGE(
  IF(ROW()&gt;20, INDEX(G:G, ROW()-20), 0) :
  INDEX(G:G, ROW())
),0)</f>
        <v>409.69337536039808</v>
      </c>
    </row>
    <row r="1178" spans="1:17" x14ac:dyDescent="0.4">
      <c r="A1178" s="1">
        <v>45540</v>
      </c>
      <c r="B1178">
        <v>407.6199951171875</v>
      </c>
      <c r="C1178">
        <v>413.10000610351563</v>
      </c>
      <c r="D1178">
        <v>406.1300048828125</v>
      </c>
      <c r="E1178">
        <v>408.3900146484375</v>
      </c>
      <c r="F1178">
        <v>14195500</v>
      </c>
      <c r="G1178">
        <v>405.34683227539063</v>
      </c>
      <c r="H1178" s="2">
        <f>MONTH(Query1[[#This Row],[Date]])</f>
        <v>9</v>
      </c>
      <c r="I1178" s="3">
        <f>Query1[[#This Row],[Shares]]*Query1[[#This Row],[Adj Close]]</f>
        <v>1456127.0062661616</v>
      </c>
      <c r="J1178" s="3">
        <f>IF(ROW()&lt;3, Dashboard!$E$7, IF(Query1[[#This Row],[Month]]&lt;&gt;H1177,J1177*(1+Dashboard!$E$4)+Dashboard!$E$5,J1177))</f>
        <v>1022066.8734448408</v>
      </c>
      <c r="K1178">
        <f>IF(ROW()&lt;3, 0,IF(Query1[[#This Row],[Month]]&lt;&gt;H1177,IF((J1178-I1178&gt;0),J1178-I1178,0),0))</f>
        <v>0</v>
      </c>
      <c r="L1178" s="2">
        <f t="shared" si="18"/>
        <v>3592.2989655359538</v>
      </c>
      <c r="M1178">
        <f>IF(ROW()&lt;3, 0, IF(Query1[[#This Row],[Month]]&lt;&gt;H1177, Dashboard!$J$5,0))</f>
        <v>0</v>
      </c>
      <c r="N1178" s="2">
        <f>IF(ROW()&lt;3, Query1[[#This Row],[Shares]], IF(Query1[[#This Row],[Month]]&lt;&gt;H1177, N1177+Query1[[#This Row],[Fix Top Up]]/Query1[[#This Row],[Adj Close]], N1177))</f>
        <v>3438.2276825390304</v>
      </c>
      <c r="O1178">
        <f>IF(AND(Query1[[#This Row],[avg]]&gt;0, Query1[[#This Row],[Month]]&lt;&gt;H1177),
    IF(Query1[[#This Row],[Adj Close]]&gt;Query1[[#This Row],[avg]],
       Dashboard!$L$5-Dashboard!$E$6,
       Dashboard!$L$5+Dashboard!$E$6
    ), 0
)</f>
        <v>0</v>
      </c>
      <c r="P1178" s="2">
        <f>IF(ROW()&lt;3, Query1[[#This Row],[Shares]], IF(Query1[[#This Row],[Month]]&lt;&gt;H1177, P1177+Query1[[#This Row],[Enhanced top up]]/Query1[[#This Row],[Adj Close]], P1177))</f>
        <v>3434.2562528927779</v>
      </c>
      <c r="Q1178" s="2">
        <f>IFERROR(AVERAGE(
  IF(ROW()&gt;20, INDEX(G:G, ROW()-20), 0) :
  INDEX(G:G, ROW())
),0)</f>
        <v>410.14233543759303</v>
      </c>
    </row>
    <row r="1179" spans="1:17" x14ac:dyDescent="0.4">
      <c r="A1179" s="1">
        <v>45541</v>
      </c>
      <c r="B1179">
        <v>409.05999755859375</v>
      </c>
      <c r="C1179">
        <v>410.64999389648438</v>
      </c>
      <c r="D1179">
        <v>400.79998779296875</v>
      </c>
      <c r="E1179">
        <v>401.70001220703125</v>
      </c>
      <c r="F1179">
        <v>19609500</v>
      </c>
      <c r="G1179">
        <v>398.70669555664063</v>
      </c>
      <c r="H1179" s="2">
        <f>MONTH(Query1[[#This Row],[Date]])</f>
        <v>9</v>
      </c>
      <c r="I1179" s="3">
        <f>Query1[[#This Row],[Shares]]*Query1[[#This Row],[Adj Close]]</f>
        <v>1432273.6500003785</v>
      </c>
      <c r="J1179" s="3">
        <f>IF(ROW()&lt;3, Dashboard!$E$7, IF(Query1[[#This Row],[Month]]&lt;&gt;H1178,J1178*(1+Dashboard!$E$4)+Dashboard!$E$5,J1178))</f>
        <v>1022066.8734448408</v>
      </c>
      <c r="K1179">
        <f>IF(ROW()&lt;3, 0,IF(Query1[[#This Row],[Month]]&lt;&gt;H1178,IF((J1179-I1179&gt;0),J1179-I1179,0),0))</f>
        <v>0</v>
      </c>
      <c r="L1179" s="2">
        <f t="shared" si="18"/>
        <v>3592.2989655359538</v>
      </c>
      <c r="M1179">
        <f>IF(ROW()&lt;3, 0, IF(Query1[[#This Row],[Month]]&lt;&gt;H1178, Dashboard!$J$5,0))</f>
        <v>0</v>
      </c>
      <c r="N1179" s="2">
        <f>IF(ROW()&lt;3, Query1[[#This Row],[Shares]], IF(Query1[[#This Row],[Month]]&lt;&gt;H1178, N1178+Query1[[#This Row],[Fix Top Up]]/Query1[[#This Row],[Adj Close]], N1178))</f>
        <v>3438.2276825390304</v>
      </c>
      <c r="O1179">
        <f>IF(AND(Query1[[#This Row],[avg]]&gt;0, Query1[[#This Row],[Month]]&lt;&gt;H1178),
    IF(Query1[[#This Row],[Adj Close]]&gt;Query1[[#This Row],[avg]],
       Dashboard!$L$5-Dashboard!$E$6,
       Dashboard!$L$5+Dashboard!$E$6
    ), 0
)</f>
        <v>0</v>
      </c>
      <c r="P1179" s="2">
        <f>IF(ROW()&lt;3, Query1[[#This Row],[Shares]], IF(Query1[[#This Row],[Month]]&lt;&gt;H1178, P1178+Query1[[#This Row],[Enhanced top up]]/Query1[[#This Row],[Adj Close]], P1178))</f>
        <v>3434.2562528927779</v>
      </c>
      <c r="Q1179" s="2">
        <f>IFERROR(AVERAGE(
  IF(ROW()&gt;20, INDEX(G:G, ROW()-20), 0) :
  INDEX(G:G, ROW())
),0)</f>
        <v>410.33076985677081</v>
      </c>
    </row>
    <row r="1180" spans="1:17" x14ac:dyDescent="0.4">
      <c r="A1180" s="1">
        <v>45544</v>
      </c>
      <c r="B1180">
        <v>407.239990234375</v>
      </c>
      <c r="C1180">
        <v>408.64999389648438</v>
      </c>
      <c r="D1180">
        <v>402.14999389648438</v>
      </c>
      <c r="E1180">
        <v>405.72000122070313</v>
      </c>
      <c r="F1180">
        <v>15295100</v>
      </c>
      <c r="G1180">
        <v>402.69674682617188</v>
      </c>
      <c r="H1180" s="2">
        <f>MONTH(Query1[[#This Row],[Date]])</f>
        <v>9</v>
      </c>
      <c r="I1180" s="3">
        <f>Query1[[#This Row],[Shares]]*Query1[[#This Row],[Adj Close]]</f>
        <v>1446607.1070483511</v>
      </c>
      <c r="J1180" s="3">
        <f>IF(ROW()&lt;3, Dashboard!$E$7, IF(Query1[[#This Row],[Month]]&lt;&gt;H1179,J1179*(1+Dashboard!$E$4)+Dashboard!$E$5,J1179))</f>
        <v>1022066.8734448408</v>
      </c>
      <c r="K1180">
        <f>IF(ROW()&lt;3, 0,IF(Query1[[#This Row],[Month]]&lt;&gt;H1179,IF((J1180-I1180&gt;0),J1180-I1180,0),0))</f>
        <v>0</v>
      </c>
      <c r="L1180" s="2">
        <f t="shared" si="18"/>
        <v>3592.2989655359538</v>
      </c>
      <c r="M1180">
        <f>IF(ROW()&lt;3, 0, IF(Query1[[#This Row],[Month]]&lt;&gt;H1179, Dashboard!$J$5,0))</f>
        <v>0</v>
      </c>
      <c r="N1180" s="2">
        <f>IF(ROW()&lt;3, Query1[[#This Row],[Shares]], IF(Query1[[#This Row],[Month]]&lt;&gt;H1179, N1179+Query1[[#This Row],[Fix Top Up]]/Query1[[#This Row],[Adj Close]], N1179))</f>
        <v>3438.2276825390304</v>
      </c>
      <c r="O1180">
        <f>IF(AND(Query1[[#This Row],[avg]]&gt;0, Query1[[#This Row],[Month]]&lt;&gt;H1179),
    IF(Query1[[#This Row],[Adj Close]]&gt;Query1[[#This Row],[avg]],
       Dashboard!$L$5-Dashboard!$E$6,
       Dashboard!$L$5+Dashboard!$E$6
    ), 0
)</f>
        <v>0</v>
      </c>
      <c r="P1180" s="2">
        <f>IF(ROW()&lt;3, Query1[[#This Row],[Shares]], IF(Query1[[#This Row],[Month]]&lt;&gt;H1179, P1179+Query1[[#This Row],[Enhanced top up]]/Query1[[#This Row],[Adj Close]], P1179))</f>
        <v>3434.2562528927779</v>
      </c>
      <c r="Q1180" s="2">
        <f>IFERROR(AVERAGE(
  IF(ROW()&gt;20, INDEX(G:G, ROW()-20), 0) :
  INDEX(G:G, ROW())
),0)</f>
        <v>410.5082252139137</v>
      </c>
    </row>
    <row r="1181" spans="1:17" x14ac:dyDescent="0.4">
      <c r="A1181" s="1">
        <v>45545</v>
      </c>
      <c r="B1181">
        <v>408.20001220703125</v>
      </c>
      <c r="C1181">
        <v>416.32998657226563</v>
      </c>
      <c r="D1181">
        <v>407.70001220703125</v>
      </c>
      <c r="E1181">
        <v>414.20001220703125</v>
      </c>
      <c r="F1181">
        <v>19594300</v>
      </c>
      <c r="G1181">
        <v>411.11355590820313</v>
      </c>
      <c r="H1181" s="2">
        <f>MONTH(Query1[[#This Row],[Date]])</f>
        <v>9</v>
      </c>
      <c r="I1181" s="3">
        <f>Query1[[#This Row],[Shares]]*Query1[[#This Row],[Adj Close]]</f>
        <v>1476842.8016068456</v>
      </c>
      <c r="J1181" s="3">
        <f>IF(ROW()&lt;3, Dashboard!$E$7, IF(Query1[[#This Row],[Month]]&lt;&gt;H1180,J1180*(1+Dashboard!$E$4)+Dashboard!$E$5,J1180))</f>
        <v>1022066.8734448408</v>
      </c>
      <c r="K1181">
        <f>IF(ROW()&lt;3, 0,IF(Query1[[#This Row],[Month]]&lt;&gt;H1180,IF((J1181-I1181&gt;0),J1181-I1181,0),0))</f>
        <v>0</v>
      </c>
      <c r="L1181" s="2">
        <f t="shared" si="18"/>
        <v>3592.2989655359538</v>
      </c>
      <c r="M1181">
        <f>IF(ROW()&lt;3, 0, IF(Query1[[#This Row],[Month]]&lt;&gt;H1180, Dashboard!$J$5,0))</f>
        <v>0</v>
      </c>
      <c r="N1181" s="2">
        <f>IF(ROW()&lt;3, Query1[[#This Row],[Shares]], IF(Query1[[#This Row],[Month]]&lt;&gt;H1180, N1180+Query1[[#This Row],[Fix Top Up]]/Query1[[#This Row],[Adj Close]], N1180))</f>
        <v>3438.2276825390304</v>
      </c>
      <c r="O1181">
        <f>IF(AND(Query1[[#This Row],[avg]]&gt;0, Query1[[#This Row],[Month]]&lt;&gt;H1180),
    IF(Query1[[#This Row],[Adj Close]]&gt;Query1[[#This Row],[avg]],
       Dashboard!$L$5-Dashboard!$E$6,
       Dashboard!$L$5+Dashboard!$E$6
    ), 0
)</f>
        <v>0</v>
      </c>
      <c r="P1181" s="2">
        <f>IF(ROW()&lt;3, Query1[[#This Row],[Shares]], IF(Query1[[#This Row],[Month]]&lt;&gt;H1180, P1180+Query1[[#This Row],[Enhanced top up]]/Query1[[#This Row],[Adj Close]], P1180))</f>
        <v>3434.2562528927779</v>
      </c>
      <c r="Q1181" s="2">
        <f>IFERROR(AVERAGE(
  IF(ROW()&gt;20, INDEX(G:G, ROW()-20), 0) :
  INDEX(G:G, ROW())
),0)</f>
        <v>410.92937360491072</v>
      </c>
    </row>
    <row r="1182" spans="1:17" x14ac:dyDescent="0.4">
      <c r="A1182" s="1">
        <v>45546</v>
      </c>
      <c r="B1182">
        <v>415.5</v>
      </c>
      <c r="C1182">
        <v>423.989990234375</v>
      </c>
      <c r="D1182">
        <v>409.57998657226563</v>
      </c>
      <c r="E1182">
        <v>423.04000854492188</v>
      </c>
      <c r="F1182">
        <v>19266900</v>
      </c>
      <c r="G1182">
        <v>419.8876953125</v>
      </c>
      <c r="H1182" s="2">
        <f>MONTH(Query1[[#This Row],[Date]])</f>
        <v>9</v>
      </c>
      <c r="I1182" s="3">
        <f>Query1[[#This Row],[Shares]]*Query1[[#This Row],[Adj Close]]</f>
        <v>1508362.1335123696</v>
      </c>
      <c r="J1182" s="3">
        <f>IF(ROW()&lt;3, Dashboard!$E$7, IF(Query1[[#This Row],[Month]]&lt;&gt;H1181,J1181*(1+Dashboard!$E$4)+Dashboard!$E$5,J1181))</f>
        <v>1022066.8734448408</v>
      </c>
      <c r="K1182">
        <f>IF(ROW()&lt;3, 0,IF(Query1[[#This Row],[Month]]&lt;&gt;H1181,IF((J1182-I1182&gt;0),J1182-I1182,0),0))</f>
        <v>0</v>
      </c>
      <c r="L1182" s="2">
        <f t="shared" si="18"/>
        <v>3592.2989655359538</v>
      </c>
      <c r="M1182">
        <f>IF(ROW()&lt;3, 0, IF(Query1[[#This Row],[Month]]&lt;&gt;H1181, Dashboard!$J$5,0))</f>
        <v>0</v>
      </c>
      <c r="N1182" s="2">
        <f>IF(ROW()&lt;3, Query1[[#This Row],[Shares]], IF(Query1[[#This Row],[Month]]&lt;&gt;H1181, N1181+Query1[[#This Row],[Fix Top Up]]/Query1[[#This Row],[Adj Close]], N1181))</f>
        <v>3438.2276825390304</v>
      </c>
      <c r="O1182">
        <f>IF(AND(Query1[[#This Row],[avg]]&gt;0, Query1[[#This Row],[Month]]&lt;&gt;H1181),
    IF(Query1[[#This Row],[Adj Close]]&gt;Query1[[#This Row],[avg]],
       Dashboard!$L$5-Dashboard!$E$6,
       Dashboard!$L$5+Dashboard!$E$6
    ), 0
)</f>
        <v>0</v>
      </c>
      <c r="P1182" s="2">
        <f>IF(ROW()&lt;3, Query1[[#This Row],[Shares]], IF(Query1[[#This Row],[Month]]&lt;&gt;H1181, P1181+Query1[[#This Row],[Enhanced top up]]/Query1[[#This Row],[Adj Close]], P1181))</f>
        <v>3434.2562528927779</v>
      </c>
      <c r="Q1182" s="2">
        <f>IFERROR(AVERAGE(
  IF(ROW()&gt;20, INDEX(G:G, ROW()-20), 0) :
  INDEX(G:G, ROW())
),0)</f>
        <v>411.73106602260043</v>
      </c>
    </row>
    <row r="1183" spans="1:17" x14ac:dyDescent="0.4">
      <c r="A1183" s="1">
        <v>45547</v>
      </c>
      <c r="B1183">
        <v>423.30999755859375</v>
      </c>
      <c r="C1183">
        <v>427.3699951171875</v>
      </c>
      <c r="D1183">
        <v>419.75</v>
      </c>
      <c r="E1183">
        <v>427</v>
      </c>
      <c r="F1183">
        <v>17395700</v>
      </c>
      <c r="G1183">
        <v>423.81817626953125</v>
      </c>
      <c r="H1183" s="2">
        <f>MONTH(Query1[[#This Row],[Date]])</f>
        <v>9</v>
      </c>
      <c r="I1183" s="3">
        <f>Query1[[#This Row],[Shares]]*Query1[[#This Row],[Adj Close]]</f>
        <v>1522481.5961883715</v>
      </c>
      <c r="J1183" s="3">
        <f>IF(ROW()&lt;3, Dashboard!$E$7, IF(Query1[[#This Row],[Month]]&lt;&gt;H1182,J1182*(1+Dashboard!$E$4)+Dashboard!$E$5,J1182))</f>
        <v>1022066.8734448408</v>
      </c>
      <c r="K1183">
        <f>IF(ROW()&lt;3, 0,IF(Query1[[#This Row],[Month]]&lt;&gt;H1182,IF((J1183-I1183&gt;0),J1183-I1183,0),0))</f>
        <v>0</v>
      </c>
      <c r="L1183" s="2">
        <f t="shared" si="18"/>
        <v>3592.2989655359538</v>
      </c>
      <c r="M1183">
        <f>IF(ROW()&lt;3, 0, IF(Query1[[#This Row],[Month]]&lt;&gt;H1182, Dashboard!$J$5,0))</f>
        <v>0</v>
      </c>
      <c r="N1183" s="2">
        <f>IF(ROW()&lt;3, Query1[[#This Row],[Shares]], IF(Query1[[#This Row],[Month]]&lt;&gt;H1182, N1182+Query1[[#This Row],[Fix Top Up]]/Query1[[#This Row],[Adj Close]], N1182))</f>
        <v>3438.2276825390304</v>
      </c>
      <c r="O1183">
        <f>IF(AND(Query1[[#This Row],[avg]]&gt;0, Query1[[#This Row],[Month]]&lt;&gt;H1182),
    IF(Query1[[#This Row],[Adj Close]]&gt;Query1[[#This Row],[avg]],
       Dashboard!$L$5-Dashboard!$E$6,
       Dashboard!$L$5+Dashboard!$E$6
    ), 0
)</f>
        <v>0</v>
      </c>
      <c r="P1183" s="2">
        <f>IF(ROW()&lt;3, Query1[[#This Row],[Shares]], IF(Query1[[#This Row],[Month]]&lt;&gt;H1182, P1182+Query1[[#This Row],[Enhanced top up]]/Query1[[#This Row],[Adj Close]], P1182))</f>
        <v>3434.2562528927779</v>
      </c>
      <c r="Q1183" s="2">
        <f>IFERROR(AVERAGE(
  IF(ROW()&gt;20, INDEX(G:G, ROW()-20), 0) :
  INDEX(G:G, ROW())
),0)</f>
        <v>412.38023449125745</v>
      </c>
    </row>
    <row r="1184" spans="1:17" x14ac:dyDescent="0.4">
      <c r="A1184" s="1">
        <v>45548</v>
      </c>
      <c r="B1184">
        <v>425.82998657226563</v>
      </c>
      <c r="C1184">
        <v>431.82998657226563</v>
      </c>
      <c r="D1184">
        <v>425.45999145507813</v>
      </c>
      <c r="E1184">
        <v>430.58999633789063</v>
      </c>
      <c r="F1184">
        <v>15874600</v>
      </c>
      <c r="G1184">
        <v>427.38140869140625</v>
      </c>
      <c r="H1184" s="2">
        <f>MONTH(Query1[[#This Row],[Date]])</f>
        <v>9</v>
      </c>
      <c r="I1184" s="3">
        <f>Query1[[#This Row],[Shares]]*Query1[[#This Row],[Adj Close]]</f>
        <v>1535281.7923314373</v>
      </c>
      <c r="J1184" s="3">
        <f>IF(ROW()&lt;3, Dashboard!$E$7, IF(Query1[[#This Row],[Month]]&lt;&gt;H1183,J1183*(1+Dashboard!$E$4)+Dashboard!$E$5,J1183))</f>
        <v>1022066.8734448408</v>
      </c>
      <c r="K1184">
        <f>IF(ROW()&lt;3, 0,IF(Query1[[#This Row],[Month]]&lt;&gt;H1183,IF((J1184-I1184&gt;0),J1184-I1184,0),0))</f>
        <v>0</v>
      </c>
      <c r="L1184" s="2">
        <f t="shared" si="18"/>
        <v>3592.2989655359538</v>
      </c>
      <c r="M1184">
        <f>IF(ROW()&lt;3, 0, IF(Query1[[#This Row],[Month]]&lt;&gt;H1183, Dashboard!$J$5,0))</f>
        <v>0</v>
      </c>
      <c r="N1184" s="2">
        <f>IF(ROW()&lt;3, Query1[[#This Row],[Shares]], IF(Query1[[#This Row],[Month]]&lt;&gt;H1183, N1183+Query1[[#This Row],[Fix Top Up]]/Query1[[#This Row],[Adj Close]], N1183))</f>
        <v>3438.2276825390304</v>
      </c>
      <c r="O1184">
        <f>IF(AND(Query1[[#This Row],[avg]]&gt;0, Query1[[#This Row],[Month]]&lt;&gt;H1183),
    IF(Query1[[#This Row],[Adj Close]]&gt;Query1[[#This Row],[avg]],
       Dashboard!$L$5-Dashboard!$E$6,
       Dashboard!$L$5+Dashboard!$E$6
    ), 0
)</f>
        <v>0</v>
      </c>
      <c r="P1184" s="2">
        <f>IF(ROW()&lt;3, Query1[[#This Row],[Shares]], IF(Query1[[#This Row],[Month]]&lt;&gt;H1183, P1183+Query1[[#This Row],[Enhanced top up]]/Query1[[#This Row],[Adj Close]], P1183))</f>
        <v>3434.2562528927779</v>
      </c>
      <c r="Q1184" s="2">
        <f>IFERROR(AVERAGE(
  IF(ROW()&gt;20, INDEX(G:G, ROW()-20), 0) :
  INDEX(G:G, ROW())
),0)</f>
        <v>413.06462024507067</v>
      </c>
    </row>
    <row r="1185" spans="1:17" x14ac:dyDescent="0.4">
      <c r="A1185" s="1">
        <v>45551</v>
      </c>
      <c r="B1185">
        <v>430.60000610351563</v>
      </c>
      <c r="C1185">
        <v>433.52999877929688</v>
      </c>
      <c r="D1185">
        <v>428.22000122070313</v>
      </c>
      <c r="E1185">
        <v>431.33999633789063</v>
      </c>
      <c r="F1185">
        <v>13834700</v>
      </c>
      <c r="G1185">
        <v>428.12582397460938</v>
      </c>
      <c r="H1185" s="2">
        <f>MONTH(Query1[[#This Row],[Date]])</f>
        <v>9</v>
      </c>
      <c r="I1185" s="3">
        <f>Query1[[#This Row],[Shares]]*Query1[[#This Row],[Adj Close]]</f>
        <v>1537955.9545832172</v>
      </c>
      <c r="J1185" s="3">
        <f>IF(ROW()&lt;3, Dashboard!$E$7, IF(Query1[[#This Row],[Month]]&lt;&gt;H1184,J1184*(1+Dashboard!$E$4)+Dashboard!$E$5,J1184))</f>
        <v>1022066.8734448408</v>
      </c>
      <c r="K1185">
        <f>IF(ROW()&lt;3, 0,IF(Query1[[#This Row],[Month]]&lt;&gt;H1184,IF((J1185-I1185&gt;0),J1185-I1185,0),0))</f>
        <v>0</v>
      </c>
      <c r="L1185" s="2">
        <f t="shared" si="18"/>
        <v>3592.2989655359538</v>
      </c>
      <c r="M1185">
        <f>IF(ROW()&lt;3, 0, IF(Query1[[#This Row],[Month]]&lt;&gt;H1184, Dashboard!$J$5,0))</f>
        <v>0</v>
      </c>
      <c r="N1185" s="2">
        <f>IF(ROW()&lt;3, Query1[[#This Row],[Shares]], IF(Query1[[#This Row],[Month]]&lt;&gt;H1184, N1184+Query1[[#This Row],[Fix Top Up]]/Query1[[#This Row],[Adj Close]], N1184))</f>
        <v>3438.2276825390304</v>
      </c>
      <c r="O1185">
        <f>IF(AND(Query1[[#This Row],[avg]]&gt;0, Query1[[#This Row],[Month]]&lt;&gt;H1184),
    IF(Query1[[#This Row],[Adj Close]]&gt;Query1[[#This Row],[avg]],
       Dashboard!$L$5-Dashboard!$E$6,
       Dashboard!$L$5+Dashboard!$E$6
    ), 0
)</f>
        <v>0</v>
      </c>
      <c r="P1185" s="2">
        <f>IF(ROW()&lt;3, Query1[[#This Row],[Shares]], IF(Query1[[#This Row],[Month]]&lt;&gt;H1184, P1184+Query1[[#This Row],[Enhanced top up]]/Query1[[#This Row],[Adj Close]], P1184))</f>
        <v>3434.2562528927779</v>
      </c>
      <c r="Q1185" s="2">
        <f>IFERROR(AVERAGE(
  IF(ROW()&gt;20, INDEX(G:G, ROW()-20), 0) :
  INDEX(G:G, ROW())
),0)</f>
        <v>413.55191330682663</v>
      </c>
    </row>
    <row r="1186" spans="1:17" x14ac:dyDescent="0.4">
      <c r="A1186" s="1">
        <v>45552</v>
      </c>
      <c r="B1186">
        <v>440.23001098632813</v>
      </c>
      <c r="C1186">
        <v>441.85000610351563</v>
      </c>
      <c r="D1186">
        <v>432.26998901367188</v>
      </c>
      <c r="E1186">
        <v>435.14999389648438</v>
      </c>
      <c r="F1186">
        <v>18874200</v>
      </c>
      <c r="G1186">
        <v>431.90744018554688</v>
      </c>
      <c r="H1186" s="2">
        <f>MONTH(Query1[[#This Row],[Date]])</f>
        <v>9</v>
      </c>
      <c r="I1186" s="3">
        <f>Query1[[#This Row],[Shares]]*Query1[[#This Row],[Adj Close]]</f>
        <v>1551540.6505858218</v>
      </c>
      <c r="J1186" s="3">
        <f>IF(ROW()&lt;3, Dashboard!$E$7, IF(Query1[[#This Row],[Month]]&lt;&gt;H1185,J1185*(1+Dashboard!$E$4)+Dashboard!$E$5,J1185))</f>
        <v>1022066.8734448408</v>
      </c>
      <c r="K1186">
        <f>IF(ROW()&lt;3, 0,IF(Query1[[#This Row],[Month]]&lt;&gt;H1185,IF((J1186-I1186&gt;0),J1186-I1186,0),0))</f>
        <v>0</v>
      </c>
      <c r="L1186" s="2">
        <f t="shared" si="18"/>
        <v>3592.2989655359538</v>
      </c>
      <c r="M1186">
        <f>IF(ROW()&lt;3, 0, IF(Query1[[#This Row],[Month]]&lt;&gt;H1185, Dashboard!$J$5,0))</f>
        <v>0</v>
      </c>
      <c r="N1186" s="2">
        <f>IF(ROW()&lt;3, Query1[[#This Row],[Shares]], IF(Query1[[#This Row],[Month]]&lt;&gt;H1185, N1185+Query1[[#This Row],[Fix Top Up]]/Query1[[#This Row],[Adj Close]], N1185))</f>
        <v>3438.2276825390304</v>
      </c>
      <c r="O1186">
        <f>IF(AND(Query1[[#This Row],[avg]]&gt;0, Query1[[#This Row],[Month]]&lt;&gt;H1185),
    IF(Query1[[#This Row],[Adj Close]]&gt;Query1[[#This Row],[avg]],
       Dashboard!$L$5-Dashboard!$E$6,
       Dashboard!$L$5+Dashboard!$E$6
    ), 0
)</f>
        <v>0</v>
      </c>
      <c r="P1186" s="2">
        <f>IF(ROW()&lt;3, Query1[[#This Row],[Shares]], IF(Query1[[#This Row],[Month]]&lt;&gt;H1185, P1185+Query1[[#This Row],[Enhanced top up]]/Query1[[#This Row],[Adj Close]], P1185))</f>
        <v>3434.2562528927779</v>
      </c>
      <c r="Q1186" s="2">
        <f>IFERROR(AVERAGE(
  IF(ROW()&gt;20, INDEX(G:G, ROW()-20), 0) :
  INDEX(G:G, ROW())
),0)</f>
        <v>414.34028116861981</v>
      </c>
    </row>
    <row r="1187" spans="1:17" x14ac:dyDescent="0.4">
      <c r="A1187" s="1">
        <v>45553</v>
      </c>
      <c r="B1187">
        <v>435</v>
      </c>
      <c r="C1187">
        <v>436.02999877929688</v>
      </c>
      <c r="D1187">
        <v>430.41000366210938</v>
      </c>
      <c r="E1187">
        <v>430.80999755859375</v>
      </c>
      <c r="F1187">
        <v>18898000</v>
      </c>
      <c r="G1187">
        <v>427.59979248046875</v>
      </c>
      <c r="H1187" s="2">
        <f>MONTH(Query1[[#This Row],[Date]])</f>
        <v>9</v>
      </c>
      <c r="I1187" s="3">
        <f>Query1[[#This Row],[Shares]]*Query1[[#This Row],[Adj Close]]</f>
        <v>1536066.2921909764</v>
      </c>
      <c r="J1187" s="3">
        <f>IF(ROW()&lt;3, Dashboard!$E$7, IF(Query1[[#This Row],[Month]]&lt;&gt;H1186,J1186*(1+Dashboard!$E$4)+Dashboard!$E$5,J1186))</f>
        <v>1022066.8734448408</v>
      </c>
      <c r="K1187">
        <f>IF(ROW()&lt;3, 0,IF(Query1[[#This Row],[Month]]&lt;&gt;H1186,IF((J1187-I1187&gt;0),J1187-I1187,0),0))</f>
        <v>0</v>
      </c>
      <c r="L1187" s="2">
        <f t="shared" si="18"/>
        <v>3592.2989655359538</v>
      </c>
      <c r="M1187">
        <f>IF(ROW()&lt;3, 0, IF(Query1[[#This Row],[Month]]&lt;&gt;H1186, Dashboard!$J$5,0))</f>
        <v>0</v>
      </c>
      <c r="N1187" s="2">
        <f>IF(ROW()&lt;3, Query1[[#This Row],[Shares]], IF(Query1[[#This Row],[Month]]&lt;&gt;H1186, N1186+Query1[[#This Row],[Fix Top Up]]/Query1[[#This Row],[Adj Close]], N1186))</f>
        <v>3438.2276825390304</v>
      </c>
      <c r="O1187">
        <f>IF(AND(Query1[[#This Row],[avg]]&gt;0, Query1[[#This Row],[Month]]&lt;&gt;H1186),
    IF(Query1[[#This Row],[Adj Close]]&gt;Query1[[#This Row],[avg]],
       Dashboard!$L$5-Dashboard!$E$6,
       Dashboard!$L$5+Dashboard!$E$6
    ), 0
)</f>
        <v>0</v>
      </c>
      <c r="P1187" s="2">
        <f>IF(ROW()&lt;3, Query1[[#This Row],[Shares]], IF(Query1[[#This Row],[Month]]&lt;&gt;H1186, P1186+Query1[[#This Row],[Enhanced top up]]/Query1[[#This Row],[Adj Close]], P1186))</f>
        <v>3434.2562528927779</v>
      </c>
      <c r="Q1187" s="2">
        <f>IFERROR(AVERAGE(
  IF(ROW()&gt;20, INDEX(G:G, ROW()-20), 0) :
  INDEX(G:G, ROW())
),0)</f>
        <v>414.77889433361236</v>
      </c>
    </row>
    <row r="1188" spans="1:17" x14ac:dyDescent="0.4">
      <c r="A1188" s="1">
        <v>45554</v>
      </c>
      <c r="B1188">
        <v>441.23001098632813</v>
      </c>
      <c r="C1188">
        <v>441.5</v>
      </c>
      <c r="D1188">
        <v>436.89999389648438</v>
      </c>
      <c r="E1188">
        <v>438.69000244140625</v>
      </c>
      <c r="F1188">
        <v>21706600</v>
      </c>
      <c r="G1188">
        <v>435.42108154296875</v>
      </c>
      <c r="H1188" s="2">
        <f>MONTH(Query1[[#This Row],[Date]])</f>
        <v>9</v>
      </c>
      <c r="I1188" s="3">
        <f>Query1[[#This Row],[Shares]]*Query1[[#This Row],[Adj Close]]</f>
        <v>1564162.7007993527</v>
      </c>
      <c r="J1188" s="3">
        <f>IF(ROW()&lt;3, Dashboard!$E$7, IF(Query1[[#This Row],[Month]]&lt;&gt;H1187,J1187*(1+Dashboard!$E$4)+Dashboard!$E$5,J1187))</f>
        <v>1022066.8734448408</v>
      </c>
      <c r="K1188">
        <f>IF(ROW()&lt;3, 0,IF(Query1[[#This Row],[Month]]&lt;&gt;H1187,IF((J1188-I1188&gt;0),J1188-I1188,0),0))</f>
        <v>0</v>
      </c>
      <c r="L1188" s="2">
        <f t="shared" si="18"/>
        <v>3592.2989655359538</v>
      </c>
      <c r="M1188">
        <f>IF(ROW()&lt;3, 0, IF(Query1[[#This Row],[Month]]&lt;&gt;H1187, Dashboard!$J$5,0))</f>
        <v>0</v>
      </c>
      <c r="N1188" s="2">
        <f>IF(ROW()&lt;3, Query1[[#This Row],[Shares]], IF(Query1[[#This Row],[Month]]&lt;&gt;H1187, N1187+Query1[[#This Row],[Fix Top Up]]/Query1[[#This Row],[Adj Close]], N1187))</f>
        <v>3438.2276825390304</v>
      </c>
      <c r="O1188">
        <f>IF(AND(Query1[[#This Row],[avg]]&gt;0, Query1[[#This Row],[Month]]&lt;&gt;H1187),
    IF(Query1[[#This Row],[Adj Close]]&gt;Query1[[#This Row],[avg]],
       Dashboard!$L$5-Dashboard!$E$6,
       Dashboard!$L$5+Dashboard!$E$6
    ), 0
)</f>
        <v>0</v>
      </c>
      <c r="P1188" s="2">
        <f>IF(ROW()&lt;3, Query1[[#This Row],[Shares]], IF(Query1[[#This Row],[Month]]&lt;&gt;H1187, P1187+Query1[[#This Row],[Enhanced top up]]/Query1[[#This Row],[Adj Close]], P1187))</f>
        <v>3434.2562528927779</v>
      </c>
      <c r="Q1188" s="2">
        <f>IFERROR(AVERAGE(
  IF(ROW()&gt;20, INDEX(G:G, ROW()-20), 0) :
  INDEX(G:G, ROW())
),0)</f>
        <v>415.43539574032741</v>
      </c>
    </row>
    <row r="1189" spans="1:17" x14ac:dyDescent="0.4">
      <c r="A1189" s="1">
        <v>45555</v>
      </c>
      <c r="B1189">
        <v>437.22000122070313</v>
      </c>
      <c r="C1189">
        <v>439.239990234375</v>
      </c>
      <c r="D1189">
        <v>434.22000122070313</v>
      </c>
      <c r="E1189">
        <v>435.26998901367188</v>
      </c>
      <c r="F1189">
        <v>55167100</v>
      </c>
      <c r="G1189">
        <v>432.02658081054688</v>
      </c>
      <c r="H1189" s="2">
        <f>MONTH(Query1[[#This Row],[Date]])</f>
        <v>9</v>
      </c>
      <c r="I1189" s="3">
        <f>Query1[[#This Row],[Shares]]*Query1[[#This Row],[Adj Close]]</f>
        <v>1551968.6393297627</v>
      </c>
      <c r="J1189" s="3">
        <f>IF(ROW()&lt;3, Dashboard!$E$7, IF(Query1[[#This Row],[Month]]&lt;&gt;H1188,J1188*(1+Dashboard!$E$4)+Dashboard!$E$5,J1188))</f>
        <v>1022066.8734448408</v>
      </c>
      <c r="K1189">
        <f>IF(ROW()&lt;3, 0,IF(Query1[[#This Row],[Month]]&lt;&gt;H1188,IF((J1189-I1189&gt;0),J1189-I1189,0),0))</f>
        <v>0</v>
      </c>
      <c r="L1189" s="2">
        <f t="shared" si="18"/>
        <v>3592.2989655359538</v>
      </c>
      <c r="M1189">
        <f>IF(ROW()&lt;3, 0, IF(Query1[[#This Row],[Month]]&lt;&gt;H1188, Dashboard!$J$5,0))</f>
        <v>0</v>
      </c>
      <c r="N1189" s="2">
        <f>IF(ROW()&lt;3, Query1[[#This Row],[Shares]], IF(Query1[[#This Row],[Month]]&lt;&gt;H1188, N1188+Query1[[#This Row],[Fix Top Up]]/Query1[[#This Row],[Adj Close]], N1188))</f>
        <v>3438.2276825390304</v>
      </c>
      <c r="O1189">
        <f>IF(AND(Query1[[#This Row],[avg]]&gt;0, Query1[[#This Row],[Month]]&lt;&gt;H1188),
    IF(Query1[[#This Row],[Adj Close]]&gt;Query1[[#This Row],[avg]],
       Dashboard!$L$5-Dashboard!$E$6,
       Dashboard!$L$5+Dashboard!$E$6
    ), 0
)</f>
        <v>0</v>
      </c>
      <c r="P1189" s="2">
        <f>IF(ROW()&lt;3, Query1[[#This Row],[Shares]], IF(Query1[[#This Row],[Month]]&lt;&gt;H1188, P1188+Query1[[#This Row],[Enhanced top up]]/Query1[[#This Row],[Adj Close]], P1188))</f>
        <v>3434.2562528927779</v>
      </c>
      <c r="Q1189" s="2">
        <f>IFERROR(AVERAGE(
  IF(ROW()&gt;20, INDEX(G:G, ROW()-20), 0) :
  INDEX(G:G, ROW())
),0)</f>
        <v>415.96144612630206</v>
      </c>
    </row>
    <row r="1190" spans="1:17" x14ac:dyDescent="0.4">
      <c r="A1190" s="1">
        <v>45558</v>
      </c>
      <c r="B1190">
        <v>434.27999877929688</v>
      </c>
      <c r="C1190">
        <v>436.45999145507813</v>
      </c>
      <c r="D1190">
        <v>430.3900146484375</v>
      </c>
      <c r="E1190">
        <v>433.510009765625</v>
      </c>
      <c r="F1190">
        <v>15128900</v>
      </c>
      <c r="G1190">
        <v>430.27969360351563</v>
      </c>
      <c r="H1190" s="2">
        <f>MONTH(Query1[[#This Row],[Date]])</f>
        <v>9</v>
      </c>
      <c r="I1190" s="3">
        <f>Query1[[#This Row],[Shares]]*Query1[[#This Row],[Adj Close]]</f>
        <v>1545693.2982230363</v>
      </c>
      <c r="J1190" s="3">
        <f>IF(ROW()&lt;3, Dashboard!$E$7, IF(Query1[[#This Row],[Month]]&lt;&gt;H1189,J1189*(1+Dashboard!$E$4)+Dashboard!$E$5,J1189))</f>
        <v>1022066.8734448408</v>
      </c>
      <c r="K1190">
        <f>IF(ROW()&lt;3, 0,IF(Query1[[#This Row],[Month]]&lt;&gt;H1189,IF((J1190-I1190&gt;0),J1190-I1190,0),0))</f>
        <v>0</v>
      </c>
      <c r="L1190" s="2">
        <f t="shared" si="18"/>
        <v>3592.2989655359538</v>
      </c>
      <c r="M1190">
        <f>IF(ROW()&lt;3, 0, IF(Query1[[#This Row],[Month]]&lt;&gt;H1189, Dashboard!$J$5,0))</f>
        <v>0</v>
      </c>
      <c r="N1190" s="2">
        <f>IF(ROW()&lt;3, Query1[[#This Row],[Shares]], IF(Query1[[#This Row],[Month]]&lt;&gt;H1189, N1189+Query1[[#This Row],[Fix Top Up]]/Query1[[#This Row],[Adj Close]], N1189))</f>
        <v>3438.2276825390304</v>
      </c>
      <c r="O1190">
        <f>IF(AND(Query1[[#This Row],[avg]]&gt;0, Query1[[#This Row],[Month]]&lt;&gt;H1189),
    IF(Query1[[#This Row],[Adj Close]]&gt;Query1[[#This Row],[avg]],
       Dashboard!$L$5-Dashboard!$E$6,
       Dashboard!$L$5+Dashboard!$E$6
    ), 0
)</f>
        <v>0</v>
      </c>
      <c r="P1190" s="2">
        <f>IF(ROW()&lt;3, Query1[[#This Row],[Shares]], IF(Query1[[#This Row],[Month]]&lt;&gt;H1189, P1189+Query1[[#This Row],[Enhanced top up]]/Query1[[#This Row],[Adj Close]], P1189))</f>
        <v>3434.2562528927779</v>
      </c>
      <c r="Q1190" s="2">
        <f>IFERROR(AVERAGE(
  IF(ROW()&gt;20, INDEX(G:G, ROW()-20), 0) :
  INDEX(G:G, ROW())
),0)</f>
        <v>416.81031290690106</v>
      </c>
    </row>
    <row r="1191" spans="1:17" x14ac:dyDescent="0.4">
      <c r="A1191" s="1">
        <v>45559</v>
      </c>
      <c r="B1191">
        <v>433</v>
      </c>
      <c r="C1191">
        <v>433.35000610351563</v>
      </c>
      <c r="D1191">
        <v>426.10000610351563</v>
      </c>
      <c r="E1191">
        <v>429.17001342773438</v>
      </c>
      <c r="F1191">
        <v>17015800</v>
      </c>
      <c r="G1191">
        <v>425.97201538085938</v>
      </c>
      <c r="H1191" s="2">
        <f>MONTH(Query1[[#This Row],[Date]])</f>
        <v>9</v>
      </c>
      <c r="I1191" s="3">
        <f>Query1[[#This Row],[Shares]]*Query1[[#This Row],[Adj Close]]</f>
        <v>1530218.8301999266</v>
      </c>
      <c r="J1191" s="3">
        <f>IF(ROW()&lt;3, Dashboard!$E$7, IF(Query1[[#This Row],[Month]]&lt;&gt;H1190,J1190*(1+Dashboard!$E$4)+Dashboard!$E$5,J1190))</f>
        <v>1022066.8734448408</v>
      </c>
      <c r="K1191">
        <f>IF(ROW()&lt;3, 0,IF(Query1[[#This Row],[Month]]&lt;&gt;H1190,IF((J1191-I1191&gt;0),J1191-I1191,0),0))</f>
        <v>0</v>
      </c>
      <c r="L1191" s="2">
        <f t="shared" si="18"/>
        <v>3592.2989655359538</v>
      </c>
      <c r="M1191">
        <f>IF(ROW()&lt;3, 0, IF(Query1[[#This Row],[Month]]&lt;&gt;H1190, Dashboard!$J$5,0))</f>
        <v>0</v>
      </c>
      <c r="N1191" s="2">
        <f>IF(ROW()&lt;3, Query1[[#This Row],[Shares]], IF(Query1[[#This Row],[Month]]&lt;&gt;H1190, N1190+Query1[[#This Row],[Fix Top Up]]/Query1[[#This Row],[Adj Close]], N1190))</f>
        <v>3438.2276825390304</v>
      </c>
      <c r="O1191">
        <f>IF(AND(Query1[[#This Row],[avg]]&gt;0, Query1[[#This Row],[Month]]&lt;&gt;H1190),
    IF(Query1[[#This Row],[Adj Close]]&gt;Query1[[#This Row],[avg]],
       Dashboard!$L$5-Dashboard!$E$6,
       Dashboard!$L$5+Dashboard!$E$6
    ), 0
)</f>
        <v>0</v>
      </c>
      <c r="P1191" s="2">
        <f>IF(ROW()&lt;3, Query1[[#This Row],[Shares]], IF(Query1[[#This Row],[Month]]&lt;&gt;H1190, P1190+Query1[[#This Row],[Enhanced top up]]/Query1[[#This Row],[Adj Close]], P1190))</f>
        <v>3434.2562528927779</v>
      </c>
      <c r="Q1191" s="2">
        <f>IFERROR(AVERAGE(
  IF(ROW()&gt;20, INDEX(G:G, ROW()-20), 0) :
  INDEX(G:G, ROW())
),0)</f>
        <v>417.39544387090774</v>
      </c>
    </row>
    <row r="1192" spans="1:17" x14ac:dyDescent="0.4">
      <c r="A1192" s="1">
        <v>45560</v>
      </c>
      <c r="B1192">
        <v>429.82998657226563</v>
      </c>
      <c r="C1192">
        <v>433.1199951171875</v>
      </c>
      <c r="D1192">
        <v>428.57000732421875</v>
      </c>
      <c r="E1192">
        <v>432.1099853515625</v>
      </c>
      <c r="F1192">
        <v>13396400</v>
      </c>
      <c r="G1192">
        <v>428.89010620117188</v>
      </c>
      <c r="H1192" s="2">
        <f>MONTH(Query1[[#This Row],[Date]])</f>
        <v>9</v>
      </c>
      <c r="I1192" s="3">
        <f>Query1[[#This Row],[Shares]]*Query1[[#This Row],[Adj Close]]</f>
        <v>1540701.484835075</v>
      </c>
      <c r="J1192" s="3">
        <f>IF(ROW()&lt;3, Dashboard!$E$7, IF(Query1[[#This Row],[Month]]&lt;&gt;H1191,J1191*(1+Dashboard!$E$4)+Dashboard!$E$5,J1191))</f>
        <v>1022066.8734448408</v>
      </c>
      <c r="K1192">
        <f>IF(ROW()&lt;3, 0,IF(Query1[[#This Row],[Month]]&lt;&gt;H1191,IF((J1192-I1192&gt;0),J1192-I1192,0),0))</f>
        <v>0</v>
      </c>
      <c r="L1192" s="2">
        <f t="shared" si="18"/>
        <v>3592.2989655359538</v>
      </c>
      <c r="M1192">
        <f>IF(ROW()&lt;3, 0, IF(Query1[[#This Row],[Month]]&lt;&gt;H1191, Dashboard!$J$5,0))</f>
        <v>0</v>
      </c>
      <c r="N1192" s="2">
        <f>IF(ROW()&lt;3, Query1[[#This Row],[Shares]], IF(Query1[[#This Row],[Month]]&lt;&gt;H1191, N1191+Query1[[#This Row],[Fix Top Up]]/Query1[[#This Row],[Adj Close]], N1191))</f>
        <v>3438.2276825390304</v>
      </c>
      <c r="O1192">
        <f>IF(AND(Query1[[#This Row],[avg]]&gt;0, Query1[[#This Row],[Month]]&lt;&gt;H1191),
    IF(Query1[[#This Row],[Adj Close]]&gt;Query1[[#This Row],[avg]],
       Dashboard!$L$5-Dashboard!$E$6,
       Dashboard!$L$5+Dashboard!$E$6
    ), 0
)</f>
        <v>0</v>
      </c>
      <c r="P1192" s="2">
        <f>IF(ROW()&lt;3, Query1[[#This Row],[Shares]], IF(Query1[[#This Row],[Month]]&lt;&gt;H1191, P1191+Query1[[#This Row],[Enhanced top up]]/Query1[[#This Row],[Adj Close]], P1191))</f>
        <v>3434.2562528927779</v>
      </c>
      <c r="Q1192" s="2">
        <f>IFERROR(AVERAGE(
  IF(ROW()&gt;20, INDEX(G:G, ROW()-20), 0) :
  INDEX(G:G, ROW())
),0)</f>
        <v>418.27550542922245</v>
      </c>
    </row>
    <row r="1193" spans="1:17" x14ac:dyDescent="0.4">
      <c r="A1193" s="1">
        <v>45561</v>
      </c>
      <c r="B1193">
        <v>435.08999633789063</v>
      </c>
      <c r="C1193">
        <v>435.29998779296875</v>
      </c>
      <c r="D1193">
        <v>429.1300048828125</v>
      </c>
      <c r="E1193">
        <v>431.30999755859375</v>
      </c>
      <c r="F1193">
        <v>14492000</v>
      </c>
      <c r="G1193">
        <v>428.09603881835938</v>
      </c>
      <c r="H1193" s="2">
        <f>MONTH(Query1[[#This Row],[Date]])</f>
        <v>9</v>
      </c>
      <c r="I1193" s="3">
        <f>Query1[[#This Row],[Shares]]*Query1[[#This Row],[Adj Close]]</f>
        <v>1537848.9573972318</v>
      </c>
      <c r="J1193" s="3">
        <f>IF(ROW()&lt;3, Dashboard!$E$7, IF(Query1[[#This Row],[Month]]&lt;&gt;H1192,J1192*(1+Dashboard!$E$4)+Dashboard!$E$5,J1192))</f>
        <v>1022066.8734448408</v>
      </c>
      <c r="K1193">
        <f>IF(ROW()&lt;3, 0,IF(Query1[[#This Row],[Month]]&lt;&gt;H1192,IF((J1193-I1193&gt;0),J1193-I1193,0),0))</f>
        <v>0</v>
      </c>
      <c r="L1193" s="2">
        <f t="shared" si="18"/>
        <v>3592.2989655359538</v>
      </c>
      <c r="M1193">
        <f>IF(ROW()&lt;3, 0, IF(Query1[[#This Row],[Month]]&lt;&gt;H1192, Dashboard!$J$5,0))</f>
        <v>0</v>
      </c>
      <c r="N1193" s="2">
        <f>IF(ROW()&lt;3, Query1[[#This Row],[Shares]], IF(Query1[[#This Row],[Month]]&lt;&gt;H1192, N1192+Query1[[#This Row],[Fix Top Up]]/Query1[[#This Row],[Adj Close]], N1192))</f>
        <v>3438.2276825390304</v>
      </c>
      <c r="O1193">
        <f>IF(AND(Query1[[#This Row],[avg]]&gt;0, Query1[[#This Row],[Month]]&lt;&gt;H1192),
    IF(Query1[[#This Row],[Adj Close]]&gt;Query1[[#This Row],[avg]],
       Dashboard!$L$5-Dashboard!$E$6,
       Dashboard!$L$5+Dashboard!$E$6
    ), 0
)</f>
        <v>0</v>
      </c>
      <c r="P1193" s="2">
        <f>IF(ROW()&lt;3, Query1[[#This Row],[Shares]], IF(Query1[[#This Row],[Month]]&lt;&gt;H1192, P1192+Query1[[#This Row],[Enhanced top up]]/Query1[[#This Row],[Adj Close]], P1192))</f>
        <v>3434.2562528927779</v>
      </c>
      <c r="Q1193" s="2">
        <f>IFERROR(AVERAGE(
  IF(ROW()&gt;20, INDEX(G:G, ROW()-20), 0) :
  INDEX(G:G, ROW())
),0)</f>
        <v>419.10121082124255</v>
      </c>
    </row>
    <row r="1194" spans="1:17" x14ac:dyDescent="0.4">
      <c r="A1194" s="1">
        <v>45562</v>
      </c>
      <c r="B1194">
        <v>431.51998901367188</v>
      </c>
      <c r="C1194">
        <v>431.85000610351563</v>
      </c>
      <c r="D1194">
        <v>427.47000122070313</v>
      </c>
      <c r="E1194">
        <v>428.01998901367188</v>
      </c>
      <c r="F1194">
        <v>14896100</v>
      </c>
      <c r="G1194">
        <v>424.83053588867188</v>
      </c>
      <c r="H1194" s="2">
        <f>MONTH(Query1[[#This Row],[Date]])</f>
        <v>9</v>
      </c>
      <c r="I1194" s="3">
        <f>Query1[[#This Row],[Shares]]*Query1[[#This Row],[Adj Close]]</f>
        <v>1526118.2946009608</v>
      </c>
      <c r="J1194" s="3">
        <f>IF(ROW()&lt;3, Dashboard!$E$7, IF(Query1[[#This Row],[Month]]&lt;&gt;H1193,J1193*(1+Dashboard!$E$4)+Dashboard!$E$5,J1193))</f>
        <v>1022066.8734448408</v>
      </c>
      <c r="K1194">
        <f>IF(ROW()&lt;3, 0,IF(Query1[[#This Row],[Month]]&lt;&gt;H1193,IF((J1194-I1194&gt;0),J1194-I1194,0),0))</f>
        <v>0</v>
      </c>
      <c r="L1194" s="2">
        <f t="shared" si="18"/>
        <v>3592.2989655359538</v>
      </c>
      <c r="M1194">
        <f>IF(ROW()&lt;3, 0, IF(Query1[[#This Row],[Month]]&lt;&gt;H1193, Dashboard!$J$5,0))</f>
        <v>0</v>
      </c>
      <c r="N1194" s="2">
        <f>IF(ROW()&lt;3, Query1[[#This Row],[Shares]], IF(Query1[[#This Row],[Month]]&lt;&gt;H1193, N1193+Query1[[#This Row],[Fix Top Up]]/Query1[[#This Row],[Adj Close]], N1193))</f>
        <v>3438.2276825390304</v>
      </c>
      <c r="O1194">
        <f>IF(AND(Query1[[#This Row],[avg]]&gt;0, Query1[[#This Row],[Month]]&lt;&gt;H1193),
    IF(Query1[[#This Row],[Adj Close]]&gt;Query1[[#This Row],[avg]],
       Dashboard!$L$5-Dashboard!$E$6,
       Dashboard!$L$5+Dashboard!$E$6
    ), 0
)</f>
        <v>0</v>
      </c>
      <c r="P1194" s="2">
        <f>IF(ROW()&lt;3, Query1[[#This Row],[Shares]], IF(Query1[[#This Row],[Month]]&lt;&gt;H1193, P1193+Query1[[#This Row],[Enhanced top up]]/Query1[[#This Row],[Adj Close]], P1193))</f>
        <v>3434.2562528927779</v>
      </c>
      <c r="Q1194" s="2">
        <f>IFERROR(AVERAGE(
  IF(ROW()&gt;20, INDEX(G:G, ROW()-20), 0) :
  INDEX(G:G, ROW())
),0)</f>
        <v>419.92455037434894</v>
      </c>
    </row>
    <row r="1195" spans="1:17" x14ac:dyDescent="0.4">
      <c r="A1195" s="1">
        <v>45565</v>
      </c>
      <c r="B1195">
        <v>428.20999145507813</v>
      </c>
      <c r="C1195">
        <v>430.42001342773438</v>
      </c>
      <c r="D1195">
        <v>425.3699951171875</v>
      </c>
      <c r="E1195">
        <v>430.29998779296875</v>
      </c>
      <c r="F1195">
        <v>16807300</v>
      </c>
      <c r="G1195">
        <v>427.09353637695313</v>
      </c>
      <c r="H1195" s="2">
        <f>MONTH(Query1[[#This Row],[Date]])</f>
        <v>9</v>
      </c>
      <c r="I1195" s="3">
        <f>Query1[[#This Row],[Shares]]*Query1[[#This Row],[Adj Close]]</f>
        <v>1534247.668914021</v>
      </c>
      <c r="J1195" s="3">
        <f>IF(ROW()&lt;3, Dashboard!$E$7, IF(Query1[[#This Row],[Month]]&lt;&gt;H1194,J1194*(1+Dashboard!$E$4)+Dashboard!$E$5,J1194))</f>
        <v>1022066.8734448408</v>
      </c>
      <c r="K1195">
        <f>IF(ROW()&lt;3, 0,IF(Query1[[#This Row],[Month]]&lt;&gt;H1194,IF((J1195-I1195&gt;0),J1195-I1195,0),0))</f>
        <v>0</v>
      </c>
      <c r="L1195" s="2">
        <f t="shared" si="18"/>
        <v>3592.2989655359538</v>
      </c>
      <c r="M1195">
        <f>IF(ROW()&lt;3, 0, IF(Query1[[#This Row],[Month]]&lt;&gt;H1194, Dashboard!$J$5,0))</f>
        <v>0</v>
      </c>
      <c r="N1195" s="2">
        <f>IF(ROW()&lt;3, Query1[[#This Row],[Shares]], IF(Query1[[#This Row],[Month]]&lt;&gt;H1194, N1194+Query1[[#This Row],[Fix Top Up]]/Query1[[#This Row],[Adj Close]], N1194))</f>
        <v>3438.2276825390304</v>
      </c>
      <c r="O1195">
        <f>IF(AND(Query1[[#This Row],[avg]]&gt;0, Query1[[#This Row],[Month]]&lt;&gt;H1194),
    IF(Query1[[#This Row],[Adj Close]]&gt;Query1[[#This Row],[avg]],
       Dashboard!$L$5-Dashboard!$E$6,
       Dashboard!$L$5+Dashboard!$E$6
    ), 0
)</f>
        <v>0</v>
      </c>
      <c r="P1195" s="2">
        <f>IF(ROW()&lt;3, Query1[[#This Row],[Shares]], IF(Query1[[#This Row],[Month]]&lt;&gt;H1194, P1194+Query1[[#This Row],[Enhanced top up]]/Query1[[#This Row],[Adj Close]], P1194))</f>
        <v>3434.2562528927779</v>
      </c>
      <c r="Q1195" s="2">
        <f>IFERROR(AVERAGE(
  IF(ROW()&gt;20, INDEX(G:G, ROW()-20), 0) :
  INDEX(G:G, ROW())
),0)</f>
        <v>420.73654756091889</v>
      </c>
    </row>
    <row r="1196" spans="1:17" x14ac:dyDescent="0.4">
      <c r="A1196" s="1">
        <v>45566</v>
      </c>
      <c r="B1196">
        <v>428.45001220703125</v>
      </c>
      <c r="C1196">
        <v>428.48001098632813</v>
      </c>
      <c r="D1196">
        <v>418.80999755859375</v>
      </c>
      <c r="E1196">
        <v>420.69000244140625</v>
      </c>
      <c r="F1196">
        <v>19092900</v>
      </c>
      <c r="G1196">
        <v>417.55517578125</v>
      </c>
      <c r="H1196" s="2">
        <f>MONTH(Query1[[#This Row],[Date]])</f>
        <v>10</v>
      </c>
      <c r="I1196" s="3">
        <f>Query1[[#This Row],[Shares]]*Query1[[#This Row],[Adj Close]]</f>
        <v>1499983.0260131678</v>
      </c>
      <c r="J1196" s="3">
        <f>IF(ROW()&lt;3, Dashboard!$E$7, IF(Query1[[#This Row],[Month]]&lt;&gt;H1195,J1195*(1+Dashboard!$E$4)+Dashboard!$E$5,J1195))</f>
        <v>1034287.5421792892</v>
      </c>
      <c r="K1196">
        <f>IF(ROW()&lt;3, 0,IF(Query1[[#This Row],[Month]]&lt;&gt;H1195,IF((J1196-I1196&gt;0),J1196-I1196,0),0))</f>
        <v>0</v>
      </c>
      <c r="L1196" s="2">
        <f t="shared" si="18"/>
        <v>3592.2989655359538</v>
      </c>
      <c r="M1196">
        <f>IF(ROW()&lt;3, 0, IF(Query1[[#This Row],[Month]]&lt;&gt;H1195, Dashboard!$J$5,0))</f>
        <v>773.47399999999971</v>
      </c>
      <c r="N1196" s="2">
        <f>IF(ROW()&lt;3, Query1[[#This Row],[Shares]], IF(Query1[[#This Row],[Month]]&lt;&gt;H1195, N1195+Query1[[#This Row],[Fix Top Up]]/Query1[[#This Row],[Adj Close]], N1195))</f>
        <v>3440.080070067344</v>
      </c>
      <c r="O1196">
        <f>IF(AND(Query1[[#This Row],[avg]]&gt;0, Query1[[#This Row],[Month]]&lt;&gt;H1195),
    IF(Query1[[#This Row],[Adj Close]]&gt;Query1[[#This Row],[avg]],
       Dashboard!$L$5-Dashboard!$E$6,
       Dashboard!$L$5+Dashboard!$E$6
    ), 0
)</f>
        <v>1390.1406666666667</v>
      </c>
      <c r="P1196" s="2">
        <f>IF(ROW()&lt;3, Query1[[#This Row],[Shares]], IF(Query1[[#This Row],[Month]]&lt;&gt;H1195, P1195+Query1[[#This Row],[Enhanced top up]]/Query1[[#This Row],[Adj Close]], P1195))</f>
        <v>3437.5854911522861</v>
      </c>
      <c r="Q1196" s="2">
        <f>IFERROR(AVERAGE(
  IF(ROW()&gt;20, INDEX(G:G, ROW()-20), 0) :
  INDEX(G:G, ROW())
),0)</f>
        <v>420.90433465866818</v>
      </c>
    </row>
    <row r="1197" spans="1:17" x14ac:dyDescent="0.4">
      <c r="A1197" s="1">
        <v>45567</v>
      </c>
      <c r="B1197">
        <v>422.57998657226563</v>
      </c>
      <c r="C1197">
        <v>422.82000732421875</v>
      </c>
      <c r="D1197">
        <v>416.70999145507813</v>
      </c>
      <c r="E1197">
        <v>417.1300048828125</v>
      </c>
      <c r="F1197">
        <v>16582300</v>
      </c>
      <c r="G1197">
        <v>414.02175903320313</v>
      </c>
      <c r="H1197" s="2">
        <f>MONTH(Query1[[#This Row],[Date]])</f>
        <v>10</v>
      </c>
      <c r="I1197" s="3">
        <f>Query1[[#This Row],[Shares]]*Query1[[#This Row],[Adj Close]]</f>
        <v>1487289.9366843514</v>
      </c>
      <c r="J1197" s="3">
        <f>IF(ROW()&lt;3, Dashboard!$E$7, IF(Query1[[#This Row],[Month]]&lt;&gt;H1196,J1196*(1+Dashboard!$E$4)+Dashboard!$E$5,J1196))</f>
        <v>1034287.5421792892</v>
      </c>
      <c r="K1197">
        <f>IF(ROW()&lt;3, 0,IF(Query1[[#This Row],[Month]]&lt;&gt;H1196,IF((J1197-I1197&gt;0),J1197-I1197,0),0))</f>
        <v>0</v>
      </c>
      <c r="L1197" s="2">
        <f t="shared" si="18"/>
        <v>3592.2989655359538</v>
      </c>
      <c r="M1197">
        <f>IF(ROW()&lt;3, 0, IF(Query1[[#This Row],[Month]]&lt;&gt;H1196, Dashboard!$J$5,0))</f>
        <v>0</v>
      </c>
      <c r="N1197" s="2">
        <f>IF(ROW()&lt;3, Query1[[#This Row],[Shares]], IF(Query1[[#This Row],[Month]]&lt;&gt;H1196, N1196+Query1[[#This Row],[Fix Top Up]]/Query1[[#This Row],[Adj Close]], N1196))</f>
        <v>3440.080070067344</v>
      </c>
      <c r="O1197">
        <f>IF(AND(Query1[[#This Row],[avg]]&gt;0, Query1[[#This Row],[Month]]&lt;&gt;H1196),
    IF(Query1[[#This Row],[Adj Close]]&gt;Query1[[#This Row],[avg]],
       Dashboard!$L$5-Dashboard!$E$6,
       Dashboard!$L$5+Dashboard!$E$6
    ), 0
)</f>
        <v>0</v>
      </c>
      <c r="P1197" s="2">
        <f>IF(ROW()&lt;3, Query1[[#This Row],[Shares]], IF(Query1[[#This Row],[Month]]&lt;&gt;H1196, P1196+Query1[[#This Row],[Enhanced top up]]/Query1[[#This Row],[Adj Close]], P1196))</f>
        <v>3437.5854911522861</v>
      </c>
      <c r="Q1197" s="2">
        <f>IFERROR(AVERAGE(
  IF(ROW()&gt;20, INDEX(G:G, ROW()-20), 0) :
  INDEX(G:G, ROW())
),0)</f>
        <v>421.26779756091889</v>
      </c>
    </row>
    <row r="1198" spans="1:17" x14ac:dyDescent="0.4">
      <c r="A1198" s="1">
        <v>45568</v>
      </c>
      <c r="B1198">
        <v>417.6300048828125</v>
      </c>
      <c r="C1198">
        <v>419.54998779296875</v>
      </c>
      <c r="D1198">
        <v>414.29000854492188</v>
      </c>
      <c r="E1198">
        <v>416.54000854492188</v>
      </c>
      <c r="F1198">
        <v>13686400</v>
      </c>
      <c r="G1198">
        <v>413.43612670898438</v>
      </c>
      <c r="H1198" s="2">
        <f>MONTH(Query1[[#This Row],[Date]])</f>
        <v>10</v>
      </c>
      <c r="I1198" s="3">
        <f>Query1[[#This Row],[Shares]]*Query1[[#This Row],[Adj Close]]</f>
        <v>1485186.1702918762</v>
      </c>
      <c r="J1198" s="3">
        <f>IF(ROW()&lt;3, Dashboard!$E$7, IF(Query1[[#This Row],[Month]]&lt;&gt;H1197,J1197*(1+Dashboard!$E$4)+Dashboard!$E$5,J1197))</f>
        <v>1034287.5421792892</v>
      </c>
      <c r="K1198">
        <f>IF(ROW()&lt;3, 0,IF(Query1[[#This Row],[Month]]&lt;&gt;H1197,IF((J1198-I1198&gt;0),J1198-I1198,0),0))</f>
        <v>0</v>
      </c>
      <c r="L1198" s="2">
        <f t="shared" si="18"/>
        <v>3592.2989655359538</v>
      </c>
      <c r="M1198">
        <f>IF(ROW()&lt;3, 0, IF(Query1[[#This Row],[Month]]&lt;&gt;H1197, Dashboard!$J$5,0))</f>
        <v>0</v>
      </c>
      <c r="N1198" s="2">
        <f>IF(ROW()&lt;3, Query1[[#This Row],[Shares]], IF(Query1[[#This Row],[Month]]&lt;&gt;H1197, N1197+Query1[[#This Row],[Fix Top Up]]/Query1[[#This Row],[Adj Close]], N1197))</f>
        <v>3440.080070067344</v>
      </c>
      <c r="O1198">
        <f>IF(AND(Query1[[#This Row],[avg]]&gt;0, Query1[[#This Row],[Month]]&lt;&gt;H1197),
    IF(Query1[[#This Row],[Adj Close]]&gt;Query1[[#This Row],[avg]],
       Dashboard!$L$5-Dashboard!$E$6,
       Dashboard!$L$5+Dashboard!$E$6
    ), 0
)</f>
        <v>0</v>
      </c>
      <c r="P1198" s="2">
        <f>IF(ROW()&lt;3, Query1[[#This Row],[Shares]], IF(Query1[[#This Row],[Month]]&lt;&gt;H1197, P1197+Query1[[#This Row],[Enhanced top up]]/Query1[[#This Row],[Adj Close]], P1197))</f>
        <v>3437.5854911522861</v>
      </c>
      <c r="Q1198" s="2">
        <f>IFERROR(AVERAGE(
  IF(ROW()&gt;20, INDEX(G:G, ROW()-20), 0) :
  INDEX(G:G, ROW())
),0)</f>
        <v>421.62889607747394</v>
      </c>
    </row>
    <row r="1199" spans="1:17" x14ac:dyDescent="0.4">
      <c r="A1199" s="1">
        <v>45569</v>
      </c>
      <c r="B1199">
        <v>418.239990234375</v>
      </c>
      <c r="C1199">
        <v>419.75</v>
      </c>
      <c r="D1199">
        <v>414.97000122070313</v>
      </c>
      <c r="E1199">
        <v>416.05999755859375</v>
      </c>
      <c r="F1199">
        <v>19169700</v>
      </c>
      <c r="G1199">
        <v>412.95968627929688</v>
      </c>
      <c r="H1199" s="2">
        <f>MONTH(Query1[[#This Row],[Date]])</f>
        <v>10</v>
      </c>
      <c r="I1199" s="3">
        <f>Query1[[#This Row],[Shares]]*Query1[[#This Row],[Adj Close]]</f>
        <v>1483474.6538291702</v>
      </c>
      <c r="J1199" s="3">
        <f>IF(ROW()&lt;3, Dashboard!$E$7, IF(Query1[[#This Row],[Month]]&lt;&gt;H1198,J1198*(1+Dashboard!$E$4)+Dashboard!$E$5,J1198))</f>
        <v>1034287.5421792892</v>
      </c>
      <c r="K1199">
        <f>IF(ROW()&lt;3, 0,IF(Query1[[#This Row],[Month]]&lt;&gt;H1198,IF((J1199-I1199&gt;0),J1199-I1199,0),0))</f>
        <v>0</v>
      </c>
      <c r="L1199" s="2">
        <f t="shared" si="18"/>
        <v>3592.2989655359538</v>
      </c>
      <c r="M1199">
        <f>IF(ROW()&lt;3, 0, IF(Query1[[#This Row],[Month]]&lt;&gt;H1198, Dashboard!$J$5,0))</f>
        <v>0</v>
      </c>
      <c r="N1199" s="2">
        <f>IF(ROW()&lt;3, Query1[[#This Row],[Shares]], IF(Query1[[#This Row],[Month]]&lt;&gt;H1198, N1198+Query1[[#This Row],[Fix Top Up]]/Query1[[#This Row],[Adj Close]], N1198))</f>
        <v>3440.080070067344</v>
      </c>
      <c r="O1199">
        <f>IF(AND(Query1[[#This Row],[avg]]&gt;0, Query1[[#This Row],[Month]]&lt;&gt;H1198),
    IF(Query1[[#This Row],[Adj Close]]&gt;Query1[[#This Row],[avg]],
       Dashboard!$L$5-Dashboard!$E$6,
       Dashboard!$L$5+Dashboard!$E$6
    ), 0
)</f>
        <v>0</v>
      </c>
      <c r="P1199" s="2">
        <f>IF(ROW()&lt;3, Query1[[#This Row],[Shares]], IF(Query1[[#This Row],[Month]]&lt;&gt;H1198, P1198+Query1[[#This Row],[Enhanced top up]]/Query1[[#This Row],[Adj Close]], P1198))</f>
        <v>3437.5854911522861</v>
      </c>
      <c r="Q1199" s="2">
        <f>IFERROR(AVERAGE(
  IF(ROW()&gt;20, INDEX(G:G, ROW()-20), 0) :
  INDEX(G:G, ROW())
),0)</f>
        <v>421.99141293480284</v>
      </c>
    </row>
    <row r="1200" spans="1:17" x14ac:dyDescent="0.4">
      <c r="A1200" s="1">
        <v>45572</v>
      </c>
      <c r="B1200">
        <v>416</v>
      </c>
      <c r="C1200">
        <v>417.1099853515625</v>
      </c>
      <c r="D1200">
        <v>409</v>
      </c>
      <c r="E1200">
        <v>409.54000854492188</v>
      </c>
      <c r="F1200">
        <v>20919800</v>
      </c>
      <c r="G1200">
        <v>406.48828125</v>
      </c>
      <c r="H1200" s="2">
        <f>MONTH(Query1[[#This Row],[Date]])</f>
        <v>10</v>
      </c>
      <c r="I1200" s="3">
        <f>Query1[[#This Row],[Shares]]*Query1[[#This Row],[Adj Close]]</f>
        <v>1460227.4322368628</v>
      </c>
      <c r="J1200" s="3">
        <f>IF(ROW()&lt;3, Dashboard!$E$7, IF(Query1[[#This Row],[Month]]&lt;&gt;H1199,J1199*(1+Dashboard!$E$4)+Dashboard!$E$5,J1199))</f>
        <v>1034287.5421792892</v>
      </c>
      <c r="K1200">
        <f>IF(ROW()&lt;3, 0,IF(Query1[[#This Row],[Month]]&lt;&gt;H1199,IF((J1200-I1200&gt;0),J1200-I1200,0),0))</f>
        <v>0</v>
      </c>
      <c r="L1200" s="2">
        <f t="shared" si="18"/>
        <v>3592.2989655359538</v>
      </c>
      <c r="M1200">
        <f>IF(ROW()&lt;3, 0, IF(Query1[[#This Row],[Month]]&lt;&gt;H1199, Dashboard!$J$5,0))</f>
        <v>0</v>
      </c>
      <c r="N1200" s="2">
        <f>IF(ROW()&lt;3, Query1[[#This Row],[Shares]], IF(Query1[[#This Row],[Month]]&lt;&gt;H1199, N1199+Query1[[#This Row],[Fix Top Up]]/Query1[[#This Row],[Adj Close]], N1199))</f>
        <v>3440.080070067344</v>
      </c>
      <c r="O1200">
        <f>IF(AND(Query1[[#This Row],[avg]]&gt;0, Query1[[#This Row],[Month]]&lt;&gt;H1199),
    IF(Query1[[#This Row],[Adj Close]]&gt;Query1[[#This Row],[avg]],
       Dashboard!$L$5-Dashboard!$E$6,
       Dashboard!$L$5+Dashboard!$E$6
    ), 0
)</f>
        <v>0</v>
      </c>
      <c r="P1200" s="2">
        <f>IF(ROW()&lt;3, Query1[[#This Row],[Shares]], IF(Query1[[#This Row],[Month]]&lt;&gt;H1199, P1199+Query1[[#This Row],[Enhanced top up]]/Query1[[#This Row],[Adj Close]], P1199))</f>
        <v>3437.5854911522861</v>
      </c>
      <c r="Q1200" s="2">
        <f>IFERROR(AVERAGE(
  IF(ROW()&gt;20, INDEX(G:G, ROW()-20), 0) :
  INDEX(G:G, ROW())
),0)</f>
        <v>422.36196463448658</v>
      </c>
    </row>
    <row r="1201" spans="1:17" x14ac:dyDescent="0.4">
      <c r="A1201" s="1">
        <v>45573</v>
      </c>
      <c r="B1201">
        <v>410.89999389648438</v>
      </c>
      <c r="C1201">
        <v>415.66000366210938</v>
      </c>
      <c r="D1201">
        <v>408.17001342773438</v>
      </c>
      <c r="E1201">
        <v>414.70999145507813</v>
      </c>
      <c r="F1201">
        <v>19229300</v>
      </c>
      <c r="G1201">
        <v>411.61978149414063</v>
      </c>
      <c r="H1201" s="2">
        <f>MONTH(Query1[[#This Row],[Date]])</f>
        <v>10</v>
      </c>
      <c r="I1201" s="3">
        <f>Query1[[#This Row],[Shares]]*Query1[[#This Row],[Adj Close]]</f>
        <v>1478661.3152555367</v>
      </c>
      <c r="J1201" s="3">
        <f>IF(ROW()&lt;3, Dashboard!$E$7, IF(Query1[[#This Row],[Month]]&lt;&gt;H1200,J1200*(1+Dashboard!$E$4)+Dashboard!$E$5,J1200))</f>
        <v>1034287.5421792892</v>
      </c>
      <c r="K1201">
        <f>IF(ROW()&lt;3, 0,IF(Query1[[#This Row],[Month]]&lt;&gt;H1200,IF((J1201-I1201&gt;0),J1201-I1201,0),0))</f>
        <v>0</v>
      </c>
      <c r="L1201" s="2">
        <f t="shared" si="18"/>
        <v>3592.2989655359538</v>
      </c>
      <c r="M1201">
        <f>IF(ROW()&lt;3, 0, IF(Query1[[#This Row],[Month]]&lt;&gt;H1200, Dashboard!$J$5,0))</f>
        <v>0</v>
      </c>
      <c r="N1201" s="2">
        <f>IF(ROW()&lt;3, Query1[[#This Row],[Shares]], IF(Query1[[#This Row],[Month]]&lt;&gt;H1200, N1200+Query1[[#This Row],[Fix Top Up]]/Query1[[#This Row],[Adj Close]], N1200))</f>
        <v>3440.080070067344</v>
      </c>
      <c r="O1201">
        <f>IF(AND(Query1[[#This Row],[avg]]&gt;0, Query1[[#This Row],[Month]]&lt;&gt;H1200),
    IF(Query1[[#This Row],[Adj Close]]&gt;Query1[[#This Row],[avg]],
       Dashboard!$L$5-Dashboard!$E$6,
       Dashboard!$L$5+Dashboard!$E$6
    ), 0
)</f>
        <v>0</v>
      </c>
      <c r="P1201" s="2">
        <f>IF(ROW()&lt;3, Query1[[#This Row],[Shares]], IF(Query1[[#This Row],[Month]]&lt;&gt;H1200, P1200+Query1[[#This Row],[Enhanced top up]]/Query1[[#This Row],[Adj Close]], P1200))</f>
        <v>3437.5854911522861</v>
      </c>
      <c r="Q1201" s="2">
        <f>IFERROR(AVERAGE(
  IF(ROW()&gt;20, INDEX(G:G, ROW()-20), 0) :
  INDEX(G:G, ROW())
),0)</f>
        <v>422.78687104724702</v>
      </c>
    </row>
    <row r="1202" spans="1:17" x14ac:dyDescent="0.4">
      <c r="A1202" s="1">
        <v>45574</v>
      </c>
      <c r="B1202">
        <v>415.8599853515625</v>
      </c>
      <c r="C1202">
        <v>420.3800048828125</v>
      </c>
      <c r="D1202">
        <v>414.29998779296875</v>
      </c>
      <c r="E1202">
        <v>417.45999145507813</v>
      </c>
      <c r="F1202">
        <v>14974300</v>
      </c>
      <c r="G1202">
        <v>414.3492431640625</v>
      </c>
      <c r="H1202" s="2">
        <f>MONTH(Query1[[#This Row],[Date]])</f>
        <v>10</v>
      </c>
      <c r="I1202" s="3">
        <f>Query1[[#This Row],[Shares]]*Query1[[#This Row],[Adj Close]]</f>
        <v>1488466.3575888672</v>
      </c>
      <c r="J1202" s="3">
        <f>IF(ROW()&lt;3, Dashboard!$E$7, IF(Query1[[#This Row],[Month]]&lt;&gt;H1201,J1201*(1+Dashboard!$E$4)+Dashboard!$E$5,J1201))</f>
        <v>1034287.5421792892</v>
      </c>
      <c r="K1202">
        <f>IF(ROW()&lt;3, 0,IF(Query1[[#This Row],[Month]]&lt;&gt;H1201,IF((J1202-I1202&gt;0),J1202-I1202,0),0))</f>
        <v>0</v>
      </c>
      <c r="L1202" s="2">
        <f t="shared" si="18"/>
        <v>3592.2989655359538</v>
      </c>
      <c r="M1202">
        <f>IF(ROW()&lt;3, 0, IF(Query1[[#This Row],[Month]]&lt;&gt;H1201, Dashboard!$J$5,0))</f>
        <v>0</v>
      </c>
      <c r="N1202" s="2">
        <f>IF(ROW()&lt;3, Query1[[#This Row],[Shares]], IF(Query1[[#This Row],[Month]]&lt;&gt;H1201, N1201+Query1[[#This Row],[Fix Top Up]]/Query1[[#This Row],[Adj Close]], N1201))</f>
        <v>3440.080070067344</v>
      </c>
      <c r="O1202">
        <f>IF(AND(Query1[[#This Row],[avg]]&gt;0, Query1[[#This Row],[Month]]&lt;&gt;H1201),
    IF(Query1[[#This Row],[Adj Close]]&gt;Query1[[#This Row],[avg]],
       Dashboard!$L$5-Dashboard!$E$6,
       Dashboard!$L$5+Dashboard!$E$6
    ), 0
)</f>
        <v>0</v>
      </c>
      <c r="P1202" s="2">
        <f>IF(ROW()&lt;3, Query1[[#This Row],[Shares]], IF(Query1[[#This Row],[Month]]&lt;&gt;H1201, P1201+Query1[[#This Row],[Enhanced top up]]/Query1[[#This Row],[Adj Close]], P1201))</f>
        <v>3437.5854911522861</v>
      </c>
      <c r="Q1202" s="2">
        <f>IFERROR(AVERAGE(
  IF(ROW()&gt;20, INDEX(G:G, ROW()-20), 0) :
  INDEX(G:G, ROW())
),0)</f>
        <v>422.94095139276413</v>
      </c>
    </row>
    <row r="1203" spans="1:17" x14ac:dyDescent="0.4">
      <c r="A1203" s="1">
        <v>45575</v>
      </c>
      <c r="B1203">
        <v>415.23001098632813</v>
      </c>
      <c r="C1203">
        <v>417.35000610351563</v>
      </c>
      <c r="D1203">
        <v>413.14999389648438</v>
      </c>
      <c r="E1203">
        <v>415.83999633789063</v>
      </c>
      <c r="F1203">
        <v>13848400</v>
      </c>
      <c r="G1203">
        <v>412.74136352539063</v>
      </c>
      <c r="H1203" s="2">
        <f>MONTH(Query1[[#This Row],[Date]])</f>
        <v>10</v>
      </c>
      <c r="I1203" s="3">
        <f>Query1[[#This Row],[Shares]]*Query1[[#This Row],[Adj Close]]</f>
        <v>1482690.3732261597</v>
      </c>
      <c r="J1203" s="3">
        <f>IF(ROW()&lt;3, Dashboard!$E$7, IF(Query1[[#This Row],[Month]]&lt;&gt;H1202,J1202*(1+Dashboard!$E$4)+Dashboard!$E$5,J1202))</f>
        <v>1034287.5421792892</v>
      </c>
      <c r="K1203">
        <f>IF(ROW()&lt;3, 0,IF(Query1[[#This Row],[Month]]&lt;&gt;H1202,IF((J1203-I1203&gt;0),J1203-I1203,0),0))</f>
        <v>0</v>
      </c>
      <c r="L1203" s="2">
        <f t="shared" si="18"/>
        <v>3592.2989655359538</v>
      </c>
      <c r="M1203">
        <f>IF(ROW()&lt;3, 0, IF(Query1[[#This Row],[Month]]&lt;&gt;H1202, Dashboard!$J$5,0))</f>
        <v>0</v>
      </c>
      <c r="N1203" s="2">
        <f>IF(ROW()&lt;3, Query1[[#This Row],[Shares]], IF(Query1[[#This Row],[Month]]&lt;&gt;H1202, N1202+Query1[[#This Row],[Fix Top Up]]/Query1[[#This Row],[Adj Close]], N1202))</f>
        <v>3440.080070067344</v>
      </c>
      <c r="O1203">
        <f>IF(AND(Query1[[#This Row],[avg]]&gt;0, Query1[[#This Row],[Month]]&lt;&gt;H1202),
    IF(Query1[[#This Row],[Adj Close]]&gt;Query1[[#This Row],[avg]],
       Dashboard!$L$5-Dashboard!$E$6,
       Dashboard!$L$5+Dashboard!$E$6
    ), 0
)</f>
        <v>0</v>
      </c>
      <c r="P1203" s="2">
        <f>IF(ROW()&lt;3, Query1[[#This Row],[Shares]], IF(Query1[[#This Row],[Month]]&lt;&gt;H1202, P1202+Query1[[#This Row],[Enhanced top up]]/Query1[[#This Row],[Adj Close]], P1202))</f>
        <v>3437.5854911522861</v>
      </c>
      <c r="Q1203" s="2">
        <f>IFERROR(AVERAGE(
  IF(ROW()&gt;20, INDEX(G:G, ROW()-20), 0) :
  INDEX(G:G, ROW())
),0)</f>
        <v>422.60064987909226</v>
      </c>
    </row>
    <row r="1204" spans="1:17" x14ac:dyDescent="0.4">
      <c r="A1204" s="1">
        <v>45576</v>
      </c>
      <c r="B1204">
        <v>416.1400146484375</v>
      </c>
      <c r="C1204">
        <v>417.1300048828125</v>
      </c>
      <c r="D1204">
        <v>413.25</v>
      </c>
      <c r="E1204">
        <v>416.32000732421875</v>
      </c>
      <c r="F1204">
        <v>14144900</v>
      </c>
      <c r="G1204">
        <v>413.21774291992188</v>
      </c>
      <c r="H1204" s="2">
        <f>MONTH(Query1[[#This Row],[Date]])</f>
        <v>10</v>
      </c>
      <c r="I1204" s="3">
        <f>Query1[[#This Row],[Shares]]*Query1[[#This Row],[Adj Close]]</f>
        <v>1484401.6704323371</v>
      </c>
      <c r="J1204" s="3">
        <f>IF(ROW()&lt;3, Dashboard!$E$7, IF(Query1[[#This Row],[Month]]&lt;&gt;H1203,J1203*(1+Dashboard!$E$4)+Dashboard!$E$5,J1203))</f>
        <v>1034287.5421792892</v>
      </c>
      <c r="K1204">
        <f>IF(ROW()&lt;3, 0,IF(Query1[[#This Row],[Month]]&lt;&gt;H1203,IF((J1204-I1204&gt;0),J1204-I1204,0),0))</f>
        <v>0</v>
      </c>
      <c r="L1204" s="2">
        <f t="shared" si="18"/>
        <v>3592.2989655359538</v>
      </c>
      <c r="M1204">
        <f>IF(ROW()&lt;3, 0, IF(Query1[[#This Row],[Month]]&lt;&gt;H1203, Dashboard!$J$5,0))</f>
        <v>0</v>
      </c>
      <c r="N1204" s="2">
        <f>IF(ROW()&lt;3, Query1[[#This Row],[Shares]], IF(Query1[[#This Row],[Month]]&lt;&gt;H1203, N1203+Query1[[#This Row],[Fix Top Up]]/Query1[[#This Row],[Adj Close]], N1203))</f>
        <v>3440.080070067344</v>
      </c>
      <c r="O1204">
        <f>IF(AND(Query1[[#This Row],[avg]]&gt;0, Query1[[#This Row],[Month]]&lt;&gt;H1203),
    IF(Query1[[#This Row],[Adj Close]]&gt;Query1[[#This Row],[avg]],
       Dashboard!$L$5-Dashboard!$E$6,
       Dashboard!$L$5+Dashboard!$E$6
    ), 0
)</f>
        <v>0</v>
      </c>
      <c r="P1204" s="2">
        <f>IF(ROW()&lt;3, Query1[[#This Row],[Shares]], IF(Query1[[#This Row],[Month]]&lt;&gt;H1203, P1203+Query1[[#This Row],[Enhanced top up]]/Query1[[#This Row],[Adj Close]], P1203))</f>
        <v>3437.5854911522861</v>
      </c>
      <c r="Q1204" s="2">
        <f>IFERROR(AVERAGE(
  IF(ROW()&gt;20, INDEX(G:G, ROW()-20), 0) :
  INDEX(G:G, ROW())
),0)</f>
        <v>422.09586733863466</v>
      </c>
    </row>
    <row r="1205" spans="1:17" x14ac:dyDescent="0.4">
      <c r="A1205" s="1">
        <v>45579</v>
      </c>
      <c r="B1205">
        <v>417.76998901367188</v>
      </c>
      <c r="C1205">
        <v>424.04000854492188</v>
      </c>
      <c r="D1205">
        <v>417.51998901367188</v>
      </c>
      <c r="E1205">
        <v>419.1400146484375</v>
      </c>
      <c r="F1205">
        <v>16653100</v>
      </c>
      <c r="G1205">
        <v>416.01675415039063</v>
      </c>
      <c r="H1205" s="2">
        <f>MONTH(Query1[[#This Row],[Date]])</f>
        <v>10</v>
      </c>
      <c r="I1205" s="3">
        <f>Query1[[#This Row],[Shares]]*Query1[[#This Row],[Adj Close]]</f>
        <v>1494456.5555800735</v>
      </c>
      <c r="J1205" s="3">
        <f>IF(ROW()&lt;3, Dashboard!$E$7, IF(Query1[[#This Row],[Month]]&lt;&gt;H1204,J1204*(1+Dashboard!$E$4)+Dashboard!$E$5,J1204))</f>
        <v>1034287.5421792892</v>
      </c>
      <c r="K1205">
        <f>IF(ROW()&lt;3, 0,IF(Query1[[#This Row],[Month]]&lt;&gt;H1204,IF((J1205-I1205&gt;0),J1205-I1205,0),0))</f>
        <v>0</v>
      </c>
      <c r="L1205" s="2">
        <f t="shared" si="18"/>
        <v>3592.2989655359538</v>
      </c>
      <c r="M1205">
        <f>IF(ROW()&lt;3, 0, IF(Query1[[#This Row],[Month]]&lt;&gt;H1204, Dashboard!$J$5,0))</f>
        <v>0</v>
      </c>
      <c r="N1205" s="2">
        <f>IF(ROW()&lt;3, Query1[[#This Row],[Shares]], IF(Query1[[#This Row],[Month]]&lt;&gt;H1204, N1204+Query1[[#This Row],[Fix Top Up]]/Query1[[#This Row],[Adj Close]], N1204))</f>
        <v>3440.080070067344</v>
      </c>
      <c r="O1205">
        <f>IF(AND(Query1[[#This Row],[avg]]&gt;0, Query1[[#This Row],[Month]]&lt;&gt;H1204),
    IF(Query1[[#This Row],[Adj Close]]&gt;Query1[[#This Row],[avg]],
       Dashboard!$L$5-Dashboard!$E$6,
       Dashboard!$L$5+Dashboard!$E$6
    ), 0
)</f>
        <v>0</v>
      </c>
      <c r="P1205" s="2">
        <f>IF(ROW()&lt;3, Query1[[#This Row],[Shares]], IF(Query1[[#This Row],[Month]]&lt;&gt;H1204, P1204+Query1[[#This Row],[Enhanced top up]]/Query1[[#This Row],[Adj Close]], P1204))</f>
        <v>3437.5854911522861</v>
      </c>
      <c r="Q1205" s="2">
        <f>IFERROR(AVERAGE(
  IF(ROW()&gt;20, INDEX(G:G, ROW()-20), 0) :
  INDEX(G:G, ROW())
),0)</f>
        <v>421.55469331287202</v>
      </c>
    </row>
    <row r="1206" spans="1:17" x14ac:dyDescent="0.4">
      <c r="A1206" s="1">
        <v>45580</v>
      </c>
      <c r="B1206">
        <v>422.17999267578125</v>
      </c>
      <c r="C1206">
        <v>422.48001098632813</v>
      </c>
      <c r="D1206">
        <v>415.260009765625</v>
      </c>
      <c r="E1206">
        <v>418.739990234375</v>
      </c>
      <c r="F1206">
        <v>18900200</v>
      </c>
      <c r="G1206">
        <v>415.61972045898438</v>
      </c>
      <c r="H1206" s="2">
        <f>MONTH(Query1[[#This Row],[Date]])</f>
        <v>10</v>
      </c>
      <c r="I1206" s="3">
        <f>Query1[[#This Row],[Shares]]*Query1[[#This Row],[Adj Close]]</f>
        <v>1493030.2918611518</v>
      </c>
      <c r="J1206" s="3">
        <f>IF(ROW()&lt;3, Dashboard!$E$7, IF(Query1[[#This Row],[Month]]&lt;&gt;H1205,J1205*(1+Dashboard!$E$4)+Dashboard!$E$5,J1205))</f>
        <v>1034287.5421792892</v>
      </c>
      <c r="K1206">
        <f>IF(ROW()&lt;3, 0,IF(Query1[[#This Row],[Month]]&lt;&gt;H1205,IF((J1206-I1206&gt;0),J1206-I1206,0),0))</f>
        <v>0</v>
      </c>
      <c r="L1206" s="2">
        <f t="shared" si="18"/>
        <v>3592.2989655359538</v>
      </c>
      <c r="M1206">
        <f>IF(ROW()&lt;3, 0, IF(Query1[[#This Row],[Month]]&lt;&gt;H1205, Dashboard!$J$5,0))</f>
        <v>0</v>
      </c>
      <c r="N1206" s="2">
        <f>IF(ROW()&lt;3, Query1[[#This Row],[Shares]], IF(Query1[[#This Row],[Month]]&lt;&gt;H1205, N1205+Query1[[#This Row],[Fix Top Up]]/Query1[[#This Row],[Adj Close]], N1205))</f>
        <v>3440.080070067344</v>
      </c>
      <c r="O1206">
        <f>IF(AND(Query1[[#This Row],[avg]]&gt;0, Query1[[#This Row],[Month]]&lt;&gt;H1205),
    IF(Query1[[#This Row],[Adj Close]]&gt;Query1[[#This Row],[avg]],
       Dashboard!$L$5-Dashboard!$E$6,
       Dashboard!$L$5+Dashboard!$E$6
    ), 0
)</f>
        <v>0</v>
      </c>
      <c r="P1206" s="2">
        <f>IF(ROW()&lt;3, Query1[[#This Row],[Shares]], IF(Query1[[#This Row],[Month]]&lt;&gt;H1205, P1205+Query1[[#This Row],[Enhanced top up]]/Query1[[#This Row],[Adj Close]], P1205))</f>
        <v>3437.5854911522861</v>
      </c>
      <c r="Q1206" s="2">
        <f>IFERROR(AVERAGE(
  IF(ROW()&gt;20, INDEX(G:G, ROW()-20), 0) :
  INDEX(G:G, ROW())
),0)</f>
        <v>420.95916457403274</v>
      </c>
    </row>
    <row r="1207" spans="1:17" x14ac:dyDescent="0.4">
      <c r="A1207" s="1">
        <v>45581</v>
      </c>
      <c r="B1207">
        <v>415.17001342773438</v>
      </c>
      <c r="C1207">
        <v>416.3599853515625</v>
      </c>
      <c r="D1207">
        <v>410.48001098632813</v>
      </c>
      <c r="E1207">
        <v>416.1199951171875</v>
      </c>
      <c r="F1207">
        <v>15508900</v>
      </c>
      <c r="G1207">
        <v>413.01922607421875</v>
      </c>
      <c r="H1207" s="2">
        <f>MONTH(Query1[[#This Row],[Date]])</f>
        <v>10</v>
      </c>
      <c r="I1207" s="3">
        <f>Query1[[#This Row],[Shares]]*Query1[[#This Row],[Adj Close]]</f>
        <v>1483688.5385728762</v>
      </c>
      <c r="J1207" s="3">
        <f>IF(ROW()&lt;3, Dashboard!$E$7, IF(Query1[[#This Row],[Month]]&lt;&gt;H1206,J1206*(1+Dashboard!$E$4)+Dashboard!$E$5,J1206))</f>
        <v>1034287.5421792892</v>
      </c>
      <c r="K1207">
        <f>IF(ROW()&lt;3, 0,IF(Query1[[#This Row],[Month]]&lt;&gt;H1206,IF((J1207-I1207&gt;0),J1207-I1207,0),0))</f>
        <v>0</v>
      </c>
      <c r="L1207" s="2">
        <f t="shared" si="18"/>
        <v>3592.2989655359538</v>
      </c>
      <c r="M1207">
        <f>IF(ROW()&lt;3, 0, IF(Query1[[#This Row],[Month]]&lt;&gt;H1206, Dashboard!$J$5,0))</f>
        <v>0</v>
      </c>
      <c r="N1207" s="2">
        <f>IF(ROW()&lt;3, Query1[[#This Row],[Shares]], IF(Query1[[#This Row],[Month]]&lt;&gt;H1206, N1206+Query1[[#This Row],[Fix Top Up]]/Query1[[#This Row],[Adj Close]], N1206))</f>
        <v>3440.080070067344</v>
      </c>
      <c r="O1207">
        <f>IF(AND(Query1[[#This Row],[avg]]&gt;0, Query1[[#This Row],[Month]]&lt;&gt;H1206),
    IF(Query1[[#This Row],[Adj Close]]&gt;Query1[[#This Row],[avg]],
       Dashboard!$L$5-Dashboard!$E$6,
       Dashboard!$L$5+Dashboard!$E$6
    ), 0
)</f>
        <v>0</v>
      </c>
      <c r="P1207" s="2">
        <f>IF(ROW()&lt;3, Query1[[#This Row],[Shares]], IF(Query1[[#This Row],[Month]]&lt;&gt;H1206, P1206+Query1[[#This Row],[Enhanced top up]]/Query1[[#This Row],[Adj Close]], P1206))</f>
        <v>3437.5854911522861</v>
      </c>
      <c r="Q1207" s="2">
        <f>IFERROR(AVERAGE(
  IF(ROW()&gt;20, INDEX(G:G, ROW()-20), 0) :
  INDEX(G:G, ROW())
),0)</f>
        <v>420.05972580682663</v>
      </c>
    </row>
    <row r="1208" spans="1:17" x14ac:dyDescent="0.4">
      <c r="A1208" s="1">
        <v>45582</v>
      </c>
      <c r="B1208">
        <v>422.3599853515625</v>
      </c>
      <c r="C1208">
        <v>422.5</v>
      </c>
      <c r="D1208">
        <v>415.58999633789063</v>
      </c>
      <c r="E1208">
        <v>416.72000122070313</v>
      </c>
      <c r="F1208">
        <v>14820000</v>
      </c>
      <c r="G1208">
        <v>413.61477661132813</v>
      </c>
      <c r="H1208" s="2">
        <f>MONTH(Query1[[#This Row],[Date]])</f>
        <v>10</v>
      </c>
      <c r="I1208" s="3">
        <f>Query1[[#This Row],[Shares]]*Query1[[#This Row],[Adj Close]]</f>
        <v>1485827.9341512586</v>
      </c>
      <c r="J1208" s="3">
        <f>IF(ROW()&lt;3, Dashboard!$E$7, IF(Query1[[#This Row],[Month]]&lt;&gt;H1207,J1207*(1+Dashboard!$E$4)+Dashboard!$E$5,J1207))</f>
        <v>1034287.5421792892</v>
      </c>
      <c r="K1208">
        <f>IF(ROW()&lt;3, 0,IF(Query1[[#This Row],[Month]]&lt;&gt;H1207,IF((J1208-I1208&gt;0),J1208-I1208,0),0))</f>
        <v>0</v>
      </c>
      <c r="L1208" s="2">
        <f t="shared" si="18"/>
        <v>3592.2989655359538</v>
      </c>
      <c r="M1208">
        <f>IF(ROW()&lt;3, 0, IF(Query1[[#This Row],[Month]]&lt;&gt;H1207, Dashboard!$J$5,0))</f>
        <v>0</v>
      </c>
      <c r="N1208" s="2">
        <f>IF(ROW()&lt;3, Query1[[#This Row],[Shares]], IF(Query1[[#This Row],[Month]]&lt;&gt;H1207, N1207+Query1[[#This Row],[Fix Top Up]]/Query1[[#This Row],[Adj Close]], N1207))</f>
        <v>3440.080070067344</v>
      </c>
      <c r="O1208">
        <f>IF(AND(Query1[[#This Row],[avg]]&gt;0, Query1[[#This Row],[Month]]&lt;&gt;H1207),
    IF(Query1[[#This Row],[Adj Close]]&gt;Query1[[#This Row],[avg]],
       Dashboard!$L$5-Dashboard!$E$6,
       Dashboard!$L$5+Dashboard!$E$6
    ), 0
)</f>
        <v>0</v>
      </c>
      <c r="P1208" s="2">
        <f>IF(ROW()&lt;3, Query1[[#This Row],[Shares]], IF(Query1[[#This Row],[Month]]&lt;&gt;H1207, P1207+Query1[[#This Row],[Enhanced top up]]/Query1[[#This Row],[Adj Close]], P1207))</f>
        <v>3437.5854911522861</v>
      </c>
      <c r="Q1208" s="2">
        <f>IFERROR(AVERAGE(
  IF(ROW()&gt;20, INDEX(G:G, ROW()-20), 0) :
  INDEX(G:G, ROW())
),0)</f>
        <v>419.39377267020092</v>
      </c>
    </row>
    <row r="1209" spans="1:17" x14ac:dyDescent="0.4">
      <c r="A1209" s="1">
        <v>45583</v>
      </c>
      <c r="B1209">
        <v>417.1400146484375</v>
      </c>
      <c r="C1209">
        <v>419.64999389648438</v>
      </c>
      <c r="D1209">
        <v>416.260009765625</v>
      </c>
      <c r="E1209">
        <v>418.16000366210938</v>
      </c>
      <c r="F1209">
        <v>17145300</v>
      </c>
      <c r="G1209">
        <v>415.0440673828125</v>
      </c>
      <c r="H1209" s="2">
        <f>MONTH(Query1[[#This Row],[Date]])</f>
        <v>10</v>
      </c>
      <c r="I1209" s="3">
        <f>Query1[[#This Row],[Shares]]*Query1[[#This Row],[Adj Close]]</f>
        <v>1490962.3739111121</v>
      </c>
      <c r="J1209" s="3">
        <f>IF(ROW()&lt;3, Dashboard!$E$7, IF(Query1[[#This Row],[Month]]&lt;&gt;H1208,J1208*(1+Dashboard!$E$4)+Dashboard!$E$5,J1208))</f>
        <v>1034287.5421792892</v>
      </c>
      <c r="K1209">
        <f>IF(ROW()&lt;3, 0,IF(Query1[[#This Row],[Month]]&lt;&gt;H1208,IF((J1209-I1209&gt;0),J1209-I1209,0),0))</f>
        <v>0</v>
      </c>
      <c r="L1209" s="2">
        <f t="shared" si="18"/>
        <v>3592.2989655359538</v>
      </c>
      <c r="M1209">
        <f>IF(ROW()&lt;3, 0, IF(Query1[[#This Row],[Month]]&lt;&gt;H1208, Dashboard!$J$5,0))</f>
        <v>0</v>
      </c>
      <c r="N1209" s="2">
        <f>IF(ROW()&lt;3, Query1[[#This Row],[Shares]], IF(Query1[[#This Row],[Month]]&lt;&gt;H1208, N1208+Query1[[#This Row],[Fix Top Up]]/Query1[[#This Row],[Adj Close]], N1208))</f>
        <v>3440.080070067344</v>
      </c>
      <c r="O1209">
        <f>IF(AND(Query1[[#This Row],[avg]]&gt;0, Query1[[#This Row],[Month]]&lt;&gt;H1208),
    IF(Query1[[#This Row],[Adj Close]]&gt;Query1[[#This Row],[avg]],
       Dashboard!$L$5-Dashboard!$E$6,
       Dashboard!$L$5+Dashboard!$E$6
    ), 0
)</f>
        <v>0</v>
      </c>
      <c r="P1209" s="2">
        <f>IF(ROW()&lt;3, Query1[[#This Row],[Shares]], IF(Query1[[#This Row],[Month]]&lt;&gt;H1208, P1208+Query1[[#This Row],[Enhanced top up]]/Query1[[#This Row],[Adj Close]], P1208))</f>
        <v>3437.5854911522861</v>
      </c>
      <c r="Q1209" s="2">
        <f>IFERROR(AVERAGE(
  IF(ROW()&gt;20, INDEX(G:G, ROW()-20), 0) :
  INDEX(G:G, ROW())
),0)</f>
        <v>418.42343866257443</v>
      </c>
    </row>
    <row r="1210" spans="1:17" x14ac:dyDescent="0.4">
      <c r="A1210" s="1">
        <v>45586</v>
      </c>
      <c r="B1210">
        <v>416.1199951171875</v>
      </c>
      <c r="C1210">
        <v>418.95999145507813</v>
      </c>
      <c r="D1210">
        <v>413.75</v>
      </c>
      <c r="E1210">
        <v>418.77999877929688</v>
      </c>
      <c r="F1210">
        <v>14206100</v>
      </c>
      <c r="G1210">
        <v>415.659423828125</v>
      </c>
      <c r="H1210" s="2">
        <f>MONTH(Query1[[#This Row],[Date]])</f>
        <v>10</v>
      </c>
      <c r="I1210" s="3">
        <f>Query1[[#This Row],[Shares]]*Query1[[#This Row],[Adj Close]]</f>
        <v>1493172.918233044</v>
      </c>
      <c r="J1210" s="3">
        <f>IF(ROW()&lt;3, Dashboard!$E$7, IF(Query1[[#This Row],[Month]]&lt;&gt;H1209,J1209*(1+Dashboard!$E$4)+Dashboard!$E$5,J1209))</f>
        <v>1034287.5421792892</v>
      </c>
      <c r="K1210">
        <f>IF(ROW()&lt;3, 0,IF(Query1[[#This Row],[Month]]&lt;&gt;H1209,IF((J1210-I1210&gt;0),J1210-I1210,0),0))</f>
        <v>0</v>
      </c>
      <c r="L1210" s="2">
        <f t="shared" si="18"/>
        <v>3592.2989655359538</v>
      </c>
      <c r="M1210">
        <f>IF(ROW()&lt;3, 0, IF(Query1[[#This Row],[Month]]&lt;&gt;H1209, Dashboard!$J$5,0))</f>
        <v>0</v>
      </c>
      <c r="N1210" s="2">
        <f>IF(ROW()&lt;3, Query1[[#This Row],[Shares]], IF(Query1[[#This Row],[Month]]&lt;&gt;H1209, N1209+Query1[[#This Row],[Fix Top Up]]/Query1[[#This Row],[Adj Close]], N1209))</f>
        <v>3440.080070067344</v>
      </c>
      <c r="O1210">
        <f>IF(AND(Query1[[#This Row],[avg]]&gt;0, Query1[[#This Row],[Month]]&lt;&gt;H1209),
    IF(Query1[[#This Row],[Adj Close]]&gt;Query1[[#This Row],[avg]],
       Dashboard!$L$5-Dashboard!$E$6,
       Dashboard!$L$5+Dashboard!$E$6
    ), 0
)</f>
        <v>0</v>
      </c>
      <c r="P1210" s="2">
        <f>IF(ROW()&lt;3, Query1[[#This Row],[Shares]], IF(Query1[[#This Row],[Month]]&lt;&gt;H1209, P1209+Query1[[#This Row],[Enhanced top up]]/Query1[[#This Row],[Adj Close]], P1209))</f>
        <v>3437.5854911522861</v>
      </c>
      <c r="Q1210" s="2">
        <f>IFERROR(AVERAGE(
  IF(ROW()&gt;20, INDEX(G:G, ROW()-20), 0) :
  INDEX(G:G, ROW())
),0)</f>
        <v>417.64405023484005</v>
      </c>
    </row>
    <row r="1211" spans="1:17" x14ac:dyDescent="0.4">
      <c r="A1211" s="1">
        <v>45587</v>
      </c>
      <c r="B1211">
        <v>418.489990234375</v>
      </c>
      <c r="C1211">
        <v>430.57998657226563</v>
      </c>
      <c r="D1211">
        <v>418.04000854492188</v>
      </c>
      <c r="E1211">
        <v>427.510009765625</v>
      </c>
      <c r="F1211">
        <v>25482200</v>
      </c>
      <c r="G1211">
        <v>424.32440185546875</v>
      </c>
      <c r="H1211" s="2">
        <f>MONTH(Query1[[#This Row],[Date]])</f>
        <v>10</v>
      </c>
      <c r="I1211" s="3">
        <f>Query1[[#This Row],[Shares]]*Query1[[#This Row],[Adj Close]]</f>
        <v>1524300.1098370627</v>
      </c>
      <c r="J1211" s="3">
        <f>IF(ROW()&lt;3, Dashboard!$E$7, IF(Query1[[#This Row],[Month]]&lt;&gt;H1210,J1210*(1+Dashboard!$E$4)+Dashboard!$E$5,J1210))</f>
        <v>1034287.5421792892</v>
      </c>
      <c r="K1211">
        <f>IF(ROW()&lt;3, 0,IF(Query1[[#This Row],[Month]]&lt;&gt;H1210,IF((J1211-I1211&gt;0),J1211-I1211,0),0))</f>
        <v>0</v>
      </c>
      <c r="L1211" s="2">
        <f t="shared" si="18"/>
        <v>3592.2989655359538</v>
      </c>
      <c r="M1211">
        <f>IF(ROW()&lt;3, 0, IF(Query1[[#This Row],[Month]]&lt;&gt;H1210, Dashboard!$J$5,0))</f>
        <v>0</v>
      </c>
      <c r="N1211" s="2">
        <f>IF(ROW()&lt;3, Query1[[#This Row],[Shares]], IF(Query1[[#This Row],[Month]]&lt;&gt;H1210, N1210+Query1[[#This Row],[Fix Top Up]]/Query1[[#This Row],[Adj Close]], N1210))</f>
        <v>3440.080070067344</v>
      </c>
      <c r="O1211">
        <f>IF(AND(Query1[[#This Row],[avg]]&gt;0, Query1[[#This Row],[Month]]&lt;&gt;H1210),
    IF(Query1[[#This Row],[Adj Close]]&gt;Query1[[#This Row],[avg]],
       Dashboard!$L$5-Dashboard!$E$6,
       Dashboard!$L$5+Dashboard!$E$6
    ), 0
)</f>
        <v>0</v>
      </c>
      <c r="P1211" s="2">
        <f>IF(ROW()&lt;3, Query1[[#This Row],[Shares]], IF(Query1[[#This Row],[Month]]&lt;&gt;H1210, P1210+Query1[[#This Row],[Enhanced top up]]/Query1[[#This Row],[Adj Close]], P1210))</f>
        <v>3437.5854911522861</v>
      </c>
      <c r="Q1211" s="2">
        <f>IFERROR(AVERAGE(
  IF(ROW()&gt;20, INDEX(G:G, ROW()-20), 0) :
  INDEX(G:G, ROW())
),0)</f>
        <v>417.36046491350447</v>
      </c>
    </row>
    <row r="1212" spans="1:17" x14ac:dyDescent="0.4">
      <c r="A1212" s="1">
        <v>45588</v>
      </c>
      <c r="B1212">
        <v>430.8599853515625</v>
      </c>
      <c r="C1212">
        <v>431.07998657226563</v>
      </c>
      <c r="D1212">
        <v>422.52999877929688</v>
      </c>
      <c r="E1212">
        <v>424.60000610351563</v>
      </c>
      <c r="F1212">
        <v>19654400</v>
      </c>
      <c r="G1212">
        <v>421.43606567382813</v>
      </c>
      <c r="H1212" s="2">
        <f>MONTH(Query1[[#This Row],[Date]])</f>
        <v>10</v>
      </c>
      <c r="I1212" s="3">
        <f>Query1[[#This Row],[Shares]]*Query1[[#This Row],[Adj Close]]</f>
        <v>1513924.3427596351</v>
      </c>
      <c r="J1212" s="3">
        <f>IF(ROW()&lt;3, Dashboard!$E$7, IF(Query1[[#This Row],[Month]]&lt;&gt;H1211,J1211*(1+Dashboard!$E$4)+Dashboard!$E$5,J1211))</f>
        <v>1034287.5421792892</v>
      </c>
      <c r="K1212">
        <f>IF(ROW()&lt;3, 0,IF(Query1[[#This Row],[Month]]&lt;&gt;H1211,IF((J1212-I1212&gt;0),J1212-I1212,0),0))</f>
        <v>0</v>
      </c>
      <c r="L1212" s="2">
        <f t="shared" si="18"/>
        <v>3592.2989655359538</v>
      </c>
      <c r="M1212">
        <f>IF(ROW()&lt;3, 0, IF(Query1[[#This Row],[Month]]&lt;&gt;H1211, Dashboard!$J$5,0))</f>
        <v>0</v>
      </c>
      <c r="N1212" s="2">
        <f>IF(ROW()&lt;3, Query1[[#This Row],[Shares]], IF(Query1[[#This Row],[Month]]&lt;&gt;H1211, N1211+Query1[[#This Row],[Fix Top Up]]/Query1[[#This Row],[Adj Close]], N1211))</f>
        <v>3440.080070067344</v>
      </c>
      <c r="O1212">
        <f>IF(AND(Query1[[#This Row],[avg]]&gt;0, Query1[[#This Row],[Month]]&lt;&gt;H1211),
    IF(Query1[[#This Row],[Adj Close]]&gt;Query1[[#This Row],[avg]],
       Dashboard!$L$5-Dashboard!$E$6,
       Dashboard!$L$5+Dashboard!$E$6
    ), 0
)</f>
        <v>0</v>
      </c>
      <c r="P1212" s="2">
        <f>IF(ROW()&lt;3, Query1[[#This Row],[Shares]], IF(Query1[[#This Row],[Month]]&lt;&gt;H1211, P1211+Query1[[#This Row],[Enhanced top up]]/Query1[[#This Row],[Adj Close]], P1211))</f>
        <v>3437.5854911522861</v>
      </c>
      <c r="Q1212" s="2">
        <f>IFERROR(AVERAGE(
  IF(ROW()&gt;20, INDEX(G:G, ROW()-20), 0) :
  INDEX(G:G, ROW())
),0)</f>
        <v>417.14446730840774</v>
      </c>
    </row>
    <row r="1213" spans="1:17" x14ac:dyDescent="0.4">
      <c r="A1213" s="1">
        <v>45589</v>
      </c>
      <c r="B1213">
        <v>425.32998657226563</v>
      </c>
      <c r="C1213">
        <v>425.98001098632813</v>
      </c>
      <c r="D1213">
        <v>422.39999389648438</v>
      </c>
      <c r="E1213">
        <v>424.73001098632813</v>
      </c>
      <c r="F1213">
        <v>13581600</v>
      </c>
      <c r="G1213">
        <v>421.56509399414063</v>
      </c>
      <c r="H1213" s="2">
        <f>MONTH(Query1[[#This Row],[Date]])</f>
        <v>10</v>
      </c>
      <c r="I1213" s="3">
        <f>Query1[[#This Row],[Shares]]*Query1[[#This Row],[Adj Close]]</f>
        <v>1514387.8510612184</v>
      </c>
      <c r="J1213" s="3">
        <f>IF(ROW()&lt;3, Dashboard!$E$7, IF(Query1[[#This Row],[Month]]&lt;&gt;H1212,J1212*(1+Dashboard!$E$4)+Dashboard!$E$5,J1212))</f>
        <v>1034287.5421792892</v>
      </c>
      <c r="K1213">
        <f>IF(ROW()&lt;3, 0,IF(Query1[[#This Row],[Month]]&lt;&gt;H1212,IF((J1213-I1213&gt;0),J1213-I1213,0),0))</f>
        <v>0</v>
      </c>
      <c r="L1213" s="2">
        <f t="shared" si="18"/>
        <v>3592.2989655359538</v>
      </c>
      <c r="M1213">
        <f>IF(ROW()&lt;3, 0, IF(Query1[[#This Row],[Month]]&lt;&gt;H1212, Dashboard!$J$5,0))</f>
        <v>0</v>
      </c>
      <c r="N1213" s="2">
        <f>IF(ROW()&lt;3, Query1[[#This Row],[Shares]], IF(Query1[[#This Row],[Month]]&lt;&gt;H1212, N1212+Query1[[#This Row],[Fix Top Up]]/Query1[[#This Row],[Adj Close]], N1212))</f>
        <v>3440.080070067344</v>
      </c>
      <c r="O1213">
        <f>IF(AND(Query1[[#This Row],[avg]]&gt;0, Query1[[#This Row],[Month]]&lt;&gt;H1212),
    IF(Query1[[#This Row],[Adj Close]]&gt;Query1[[#This Row],[avg]],
       Dashboard!$L$5-Dashboard!$E$6,
       Dashboard!$L$5+Dashboard!$E$6
    ), 0
)</f>
        <v>0</v>
      </c>
      <c r="P1213" s="2">
        <f>IF(ROW()&lt;3, Query1[[#This Row],[Shares]], IF(Query1[[#This Row],[Month]]&lt;&gt;H1212, P1212+Query1[[#This Row],[Enhanced top up]]/Query1[[#This Row],[Adj Close]], P1212))</f>
        <v>3437.5854911522861</v>
      </c>
      <c r="Q1213" s="2">
        <f>IFERROR(AVERAGE(
  IF(ROW()&gt;20, INDEX(G:G, ROW()-20), 0) :
  INDEX(G:G, ROW())
),0)</f>
        <v>416.79565720331101</v>
      </c>
    </row>
    <row r="1214" spans="1:17" x14ac:dyDescent="0.4">
      <c r="A1214" s="1">
        <v>45590</v>
      </c>
      <c r="B1214">
        <v>426.760009765625</v>
      </c>
      <c r="C1214">
        <v>432.51998901367188</v>
      </c>
      <c r="D1214">
        <v>426.57000732421875</v>
      </c>
      <c r="E1214">
        <v>428.14999389648438</v>
      </c>
      <c r="F1214">
        <v>16899100</v>
      </c>
      <c r="G1214">
        <v>424.9595947265625</v>
      </c>
      <c r="H1214" s="2">
        <f>MONTH(Query1[[#This Row],[Date]])</f>
        <v>10</v>
      </c>
      <c r="I1214" s="3">
        <f>Query1[[#This Row],[Shares]]*Query1[[#This Row],[Adj Close]]</f>
        <v>1526581.9125308087</v>
      </c>
      <c r="J1214" s="3">
        <f>IF(ROW()&lt;3, Dashboard!$E$7, IF(Query1[[#This Row],[Month]]&lt;&gt;H1213,J1213*(1+Dashboard!$E$4)+Dashboard!$E$5,J1213))</f>
        <v>1034287.5421792892</v>
      </c>
      <c r="K1214">
        <f>IF(ROW()&lt;3, 0,IF(Query1[[#This Row],[Month]]&lt;&gt;H1213,IF((J1214-I1214&gt;0),J1214-I1214,0),0))</f>
        <v>0</v>
      </c>
      <c r="L1214" s="2">
        <f t="shared" si="18"/>
        <v>3592.2989655359538</v>
      </c>
      <c r="M1214">
        <f>IF(ROW()&lt;3, 0, IF(Query1[[#This Row],[Month]]&lt;&gt;H1213, Dashboard!$J$5,0))</f>
        <v>0</v>
      </c>
      <c r="N1214" s="2">
        <f>IF(ROW()&lt;3, Query1[[#This Row],[Shares]], IF(Query1[[#This Row],[Month]]&lt;&gt;H1213, N1213+Query1[[#This Row],[Fix Top Up]]/Query1[[#This Row],[Adj Close]], N1213))</f>
        <v>3440.080070067344</v>
      </c>
      <c r="O1214">
        <f>IF(AND(Query1[[#This Row],[avg]]&gt;0, Query1[[#This Row],[Month]]&lt;&gt;H1213),
    IF(Query1[[#This Row],[Adj Close]]&gt;Query1[[#This Row],[avg]],
       Dashboard!$L$5-Dashboard!$E$6,
       Dashboard!$L$5+Dashboard!$E$6
    ), 0
)</f>
        <v>0</v>
      </c>
      <c r="P1214" s="2">
        <f>IF(ROW()&lt;3, Query1[[#This Row],[Shares]], IF(Query1[[#This Row],[Month]]&lt;&gt;H1213, P1213+Query1[[#This Row],[Enhanced top up]]/Query1[[#This Row],[Adj Close]], P1213))</f>
        <v>3437.5854911522861</v>
      </c>
      <c r="Q1214" s="2">
        <f>IFERROR(AVERAGE(
  IF(ROW()&gt;20, INDEX(G:G, ROW()-20), 0) :
  INDEX(G:G, ROW())
),0)</f>
        <v>416.64630272274928</v>
      </c>
    </row>
    <row r="1215" spans="1:17" x14ac:dyDescent="0.4">
      <c r="A1215" s="1">
        <v>45593</v>
      </c>
      <c r="B1215">
        <v>431.66000366210938</v>
      </c>
      <c r="C1215">
        <v>431.94000244140625</v>
      </c>
      <c r="D1215">
        <v>426.29998779296875</v>
      </c>
      <c r="E1215">
        <v>426.58999633789063</v>
      </c>
      <c r="F1215">
        <v>14882400</v>
      </c>
      <c r="G1215">
        <v>423.4112548828125</v>
      </c>
      <c r="H1215" s="2">
        <f>MONTH(Query1[[#This Row],[Date]])</f>
        <v>10</v>
      </c>
      <c r="I1215" s="3">
        <f>Query1[[#This Row],[Shares]]*Query1[[#This Row],[Adj Close]]</f>
        <v>1521019.8129118073</v>
      </c>
      <c r="J1215" s="3">
        <f>IF(ROW()&lt;3, Dashboard!$E$7, IF(Query1[[#This Row],[Month]]&lt;&gt;H1214,J1214*(1+Dashboard!$E$4)+Dashboard!$E$5,J1214))</f>
        <v>1034287.5421792892</v>
      </c>
      <c r="K1215">
        <f>IF(ROW()&lt;3, 0,IF(Query1[[#This Row],[Month]]&lt;&gt;H1214,IF((J1215-I1215&gt;0),J1215-I1215,0),0))</f>
        <v>0</v>
      </c>
      <c r="L1215" s="2">
        <f t="shared" si="18"/>
        <v>3592.2989655359538</v>
      </c>
      <c r="M1215">
        <f>IF(ROW()&lt;3, 0, IF(Query1[[#This Row],[Month]]&lt;&gt;H1214, Dashboard!$J$5,0))</f>
        <v>0</v>
      </c>
      <c r="N1215" s="2">
        <f>IF(ROW()&lt;3, Query1[[#This Row],[Shares]], IF(Query1[[#This Row],[Month]]&lt;&gt;H1214, N1214+Query1[[#This Row],[Fix Top Up]]/Query1[[#This Row],[Adj Close]], N1214))</f>
        <v>3440.080070067344</v>
      </c>
      <c r="O1215">
        <f>IF(AND(Query1[[#This Row],[avg]]&gt;0, Query1[[#This Row],[Month]]&lt;&gt;H1214),
    IF(Query1[[#This Row],[Adj Close]]&gt;Query1[[#This Row],[avg]],
       Dashboard!$L$5-Dashboard!$E$6,
       Dashboard!$L$5+Dashboard!$E$6
    ), 0
)</f>
        <v>0</v>
      </c>
      <c r="P1215" s="2">
        <f>IF(ROW()&lt;3, Query1[[#This Row],[Shares]], IF(Query1[[#This Row],[Month]]&lt;&gt;H1214, P1214+Query1[[#This Row],[Enhanced top up]]/Query1[[#This Row],[Adj Close]], P1214))</f>
        <v>3437.5854911522861</v>
      </c>
      <c r="Q1215" s="2">
        <f>IFERROR(AVERAGE(
  IF(ROW()&gt;20, INDEX(G:G, ROW()-20), 0) :
  INDEX(G:G, ROW())
),0)</f>
        <v>416.57871791294644</v>
      </c>
    </row>
    <row r="1216" spans="1:17" x14ac:dyDescent="0.4">
      <c r="A1216" s="1">
        <v>45594</v>
      </c>
      <c r="B1216">
        <v>428</v>
      </c>
      <c r="C1216">
        <v>433.17001342773438</v>
      </c>
      <c r="D1216">
        <v>425.79998779296875</v>
      </c>
      <c r="E1216">
        <v>431.95001220703125</v>
      </c>
      <c r="F1216">
        <v>17644100</v>
      </c>
      <c r="G1216">
        <v>428.73129272460938</v>
      </c>
      <c r="H1216" s="2">
        <f>MONTH(Query1[[#This Row],[Date]])</f>
        <v>10</v>
      </c>
      <c r="I1216" s="3">
        <f>Query1[[#This Row],[Shares]]*Query1[[#This Row],[Adj Close]]</f>
        <v>1540130.9793475065</v>
      </c>
      <c r="J1216" s="3">
        <f>IF(ROW()&lt;3, Dashboard!$E$7, IF(Query1[[#This Row],[Month]]&lt;&gt;H1215,J1215*(1+Dashboard!$E$4)+Dashboard!$E$5,J1215))</f>
        <v>1034287.5421792892</v>
      </c>
      <c r="K1216">
        <f>IF(ROW()&lt;3, 0,IF(Query1[[#This Row],[Month]]&lt;&gt;H1215,IF((J1216-I1216&gt;0),J1216-I1216,0),0))</f>
        <v>0</v>
      </c>
      <c r="L1216" s="2">
        <f t="shared" si="18"/>
        <v>3592.2989655359538</v>
      </c>
      <c r="M1216">
        <f>IF(ROW()&lt;3, 0, IF(Query1[[#This Row],[Month]]&lt;&gt;H1215, Dashboard!$J$5,0))</f>
        <v>0</v>
      </c>
      <c r="N1216" s="2">
        <f>IF(ROW()&lt;3, Query1[[#This Row],[Shares]], IF(Query1[[#This Row],[Month]]&lt;&gt;H1215, N1215+Query1[[#This Row],[Fix Top Up]]/Query1[[#This Row],[Adj Close]], N1215))</f>
        <v>3440.080070067344</v>
      </c>
      <c r="O1216">
        <f>IF(AND(Query1[[#This Row],[avg]]&gt;0, Query1[[#This Row],[Month]]&lt;&gt;H1215),
    IF(Query1[[#This Row],[Adj Close]]&gt;Query1[[#This Row],[avg]],
       Dashboard!$L$5-Dashboard!$E$6,
       Dashboard!$L$5+Dashboard!$E$6
    ), 0
)</f>
        <v>0</v>
      </c>
      <c r="P1216" s="2">
        <f>IF(ROW()&lt;3, Query1[[#This Row],[Shares]], IF(Query1[[#This Row],[Month]]&lt;&gt;H1215, P1215+Query1[[#This Row],[Enhanced top up]]/Query1[[#This Row],[Adj Close]], P1215))</f>
        <v>3437.5854911522861</v>
      </c>
      <c r="Q1216" s="2">
        <f>IFERROR(AVERAGE(
  IF(ROW()&gt;20, INDEX(G:G, ROW()-20), 0) :
  INDEX(G:G, ROW())
),0)</f>
        <v>416.65670631045384</v>
      </c>
    </row>
    <row r="1217" spans="1:17" x14ac:dyDescent="0.4">
      <c r="A1217" s="1">
        <v>45595</v>
      </c>
      <c r="B1217">
        <v>437.44000244140625</v>
      </c>
      <c r="C1217">
        <v>438.5</v>
      </c>
      <c r="D1217">
        <v>432.10000610351563</v>
      </c>
      <c r="E1217">
        <v>432.52999877929688</v>
      </c>
      <c r="F1217">
        <v>29749100</v>
      </c>
      <c r="G1217">
        <v>429.30697631835938</v>
      </c>
      <c r="H1217" s="2">
        <f>MONTH(Query1[[#This Row],[Date]])</f>
        <v>10</v>
      </c>
      <c r="I1217" s="3">
        <f>Query1[[#This Row],[Shares]]*Query1[[#This Row],[Adj Close]]</f>
        <v>1542199.0069258106</v>
      </c>
      <c r="J1217" s="3">
        <f>IF(ROW()&lt;3, Dashboard!$E$7, IF(Query1[[#This Row],[Month]]&lt;&gt;H1216,J1216*(1+Dashboard!$E$4)+Dashboard!$E$5,J1216))</f>
        <v>1034287.5421792892</v>
      </c>
      <c r="K1217">
        <f>IF(ROW()&lt;3, 0,IF(Query1[[#This Row],[Month]]&lt;&gt;H1216,IF((J1217-I1217&gt;0),J1217-I1217,0),0))</f>
        <v>0</v>
      </c>
      <c r="L1217" s="2">
        <f t="shared" si="18"/>
        <v>3592.2989655359538</v>
      </c>
      <c r="M1217">
        <f>IF(ROW()&lt;3, 0, IF(Query1[[#This Row],[Month]]&lt;&gt;H1216, Dashboard!$J$5,0))</f>
        <v>0</v>
      </c>
      <c r="N1217" s="2">
        <f>IF(ROW()&lt;3, Query1[[#This Row],[Shares]], IF(Query1[[#This Row],[Month]]&lt;&gt;H1216, N1216+Query1[[#This Row],[Fix Top Up]]/Query1[[#This Row],[Adj Close]], N1216))</f>
        <v>3440.080070067344</v>
      </c>
      <c r="O1217">
        <f>IF(AND(Query1[[#This Row],[avg]]&gt;0, Query1[[#This Row],[Month]]&lt;&gt;H1216),
    IF(Query1[[#This Row],[Adj Close]]&gt;Query1[[#This Row],[avg]],
       Dashboard!$L$5-Dashboard!$E$6,
       Dashboard!$L$5+Dashboard!$E$6
    ), 0
)</f>
        <v>0</v>
      </c>
      <c r="P1217" s="2">
        <f>IF(ROW()&lt;3, Query1[[#This Row],[Shares]], IF(Query1[[#This Row],[Month]]&lt;&gt;H1216, P1216+Query1[[#This Row],[Enhanced top up]]/Query1[[#This Row],[Adj Close]], P1216))</f>
        <v>3437.5854911522861</v>
      </c>
      <c r="Q1217" s="2">
        <f>IFERROR(AVERAGE(
  IF(ROW()&gt;20, INDEX(G:G, ROW()-20), 0) :
  INDEX(G:G, ROW())
),0)</f>
        <v>417.21631585984005</v>
      </c>
    </row>
    <row r="1218" spans="1:17" x14ac:dyDescent="0.4">
      <c r="A1218" s="1">
        <v>45596</v>
      </c>
      <c r="B1218">
        <v>415.3599853515625</v>
      </c>
      <c r="C1218">
        <v>416.16000366210938</v>
      </c>
      <c r="D1218">
        <v>406.29998779296875</v>
      </c>
      <c r="E1218">
        <v>406.35000610351563</v>
      </c>
      <c r="F1218">
        <v>53971000</v>
      </c>
      <c r="G1218">
        <v>403.32208251953125</v>
      </c>
      <c r="H1218" s="2">
        <f>MONTH(Query1[[#This Row],[Date]])</f>
        <v>10</v>
      </c>
      <c r="I1218" s="3">
        <f>Query1[[#This Row],[Shares]]*Query1[[#This Row],[Adj Close]]</f>
        <v>1448853.4998127187</v>
      </c>
      <c r="J1218" s="3">
        <f>IF(ROW()&lt;3, Dashboard!$E$7, IF(Query1[[#This Row],[Month]]&lt;&gt;H1217,J1217*(1+Dashboard!$E$4)+Dashboard!$E$5,J1217))</f>
        <v>1034287.5421792892</v>
      </c>
      <c r="K1218">
        <f>IF(ROW()&lt;3, 0,IF(Query1[[#This Row],[Month]]&lt;&gt;H1217,IF((J1218-I1218&gt;0),J1218-I1218,0),0))</f>
        <v>0</v>
      </c>
      <c r="L1218" s="2">
        <f t="shared" ref="L1218:L1281" si="19">IF(ROW()&lt;3, J1218/G1218, L1217+K1217/G1217)</f>
        <v>3592.2989655359538</v>
      </c>
      <c r="M1218">
        <f>IF(ROW()&lt;3, 0, IF(Query1[[#This Row],[Month]]&lt;&gt;H1217, Dashboard!$J$5,0))</f>
        <v>0</v>
      </c>
      <c r="N1218" s="2">
        <f>IF(ROW()&lt;3, Query1[[#This Row],[Shares]], IF(Query1[[#This Row],[Month]]&lt;&gt;H1217, N1217+Query1[[#This Row],[Fix Top Up]]/Query1[[#This Row],[Adj Close]], N1217))</f>
        <v>3440.080070067344</v>
      </c>
      <c r="O1218">
        <f>IF(AND(Query1[[#This Row],[avg]]&gt;0, Query1[[#This Row],[Month]]&lt;&gt;H1217),
    IF(Query1[[#This Row],[Adj Close]]&gt;Query1[[#This Row],[avg]],
       Dashboard!$L$5-Dashboard!$E$6,
       Dashboard!$L$5+Dashboard!$E$6
    ), 0
)</f>
        <v>0</v>
      </c>
      <c r="P1218" s="2">
        <f>IF(ROW()&lt;3, Query1[[#This Row],[Shares]], IF(Query1[[#This Row],[Month]]&lt;&gt;H1217, P1217+Query1[[#This Row],[Enhanced top up]]/Query1[[#This Row],[Adj Close]], P1217))</f>
        <v>3437.5854911522861</v>
      </c>
      <c r="Q1218" s="2">
        <f>IFERROR(AVERAGE(
  IF(ROW()&gt;20, INDEX(G:G, ROW()-20), 0) :
  INDEX(G:G, ROW())
),0)</f>
        <v>416.70680745442706</v>
      </c>
    </row>
    <row r="1219" spans="1:17" x14ac:dyDescent="0.4">
      <c r="A1219" s="1">
        <v>45597</v>
      </c>
      <c r="B1219">
        <v>409.010009765625</v>
      </c>
      <c r="C1219">
        <v>415.5</v>
      </c>
      <c r="D1219">
        <v>407.5</v>
      </c>
      <c r="E1219">
        <v>410.3699951171875</v>
      </c>
      <c r="F1219">
        <v>24230400</v>
      </c>
      <c r="G1219">
        <v>407.31210327148438</v>
      </c>
      <c r="H1219" s="2">
        <f>MONTH(Query1[[#This Row],[Date]])</f>
        <v>11</v>
      </c>
      <c r="I1219" s="3">
        <f>Query1[[#This Row],[Shares]]*Query1[[#This Row],[Adj Close]]</f>
        <v>1463186.847232427</v>
      </c>
      <c r="J1219" s="3">
        <f>IF(ROW()&lt;3, Dashboard!$E$7, IF(Query1[[#This Row],[Month]]&lt;&gt;H1218,J1218*(1+Dashboard!$E$4)+Dashboard!$E$5,J1218))</f>
        <v>1046630.417601082</v>
      </c>
      <c r="K1219">
        <f>IF(ROW()&lt;3, 0,IF(Query1[[#This Row],[Month]]&lt;&gt;H1218,IF((J1219-I1219&gt;0),J1219-I1219,0),0))</f>
        <v>0</v>
      </c>
      <c r="L1219" s="2">
        <f t="shared" si="19"/>
        <v>3592.2989655359538</v>
      </c>
      <c r="M1219">
        <f>IF(ROW()&lt;3, 0, IF(Query1[[#This Row],[Month]]&lt;&gt;H1218, Dashboard!$J$5,0))</f>
        <v>773.47399999999971</v>
      </c>
      <c r="N1219" s="2">
        <f>IF(ROW()&lt;3, Query1[[#This Row],[Shares]], IF(Query1[[#This Row],[Month]]&lt;&gt;H1218, N1218+Query1[[#This Row],[Fix Top Up]]/Query1[[#This Row],[Adj Close]], N1218))</f>
        <v>3441.979041381448</v>
      </c>
      <c r="O1219">
        <f>IF(AND(Query1[[#This Row],[avg]]&gt;0, Query1[[#This Row],[Month]]&lt;&gt;H1218),
    IF(Query1[[#This Row],[Adj Close]]&gt;Query1[[#This Row],[avg]],
       Dashboard!$L$5-Dashboard!$E$6,
       Dashboard!$L$5+Dashboard!$E$6
    ), 0
)</f>
        <v>1390.1406666666667</v>
      </c>
      <c r="P1219" s="2">
        <f>IF(ROW()&lt;3, Query1[[#This Row],[Shares]], IF(Query1[[#This Row],[Month]]&lt;&gt;H1218, P1218+Query1[[#This Row],[Enhanced top up]]/Query1[[#This Row],[Adj Close]], P1218))</f>
        <v>3440.9984529953081</v>
      </c>
      <c r="Q1219" s="2">
        <f>IFERROR(AVERAGE(
  IF(ROW()&gt;20, INDEX(G:G, ROW()-20), 0) :
  INDEX(G:G, ROW())
),0)</f>
        <v>416.41518729073658</v>
      </c>
    </row>
    <row r="1220" spans="1:17" x14ac:dyDescent="0.4">
      <c r="A1220" s="1">
        <v>45600</v>
      </c>
      <c r="B1220">
        <v>409.79998779296875</v>
      </c>
      <c r="C1220">
        <v>410.42001342773438</v>
      </c>
      <c r="D1220">
        <v>405.57000732421875</v>
      </c>
      <c r="E1220">
        <v>408.45999145507813</v>
      </c>
      <c r="F1220">
        <v>19672300</v>
      </c>
      <c r="G1220">
        <v>405.41632080078125</v>
      </c>
      <c r="H1220" s="2">
        <f>MONTH(Query1[[#This Row],[Date]])</f>
        <v>11</v>
      </c>
      <c r="I1220" s="3">
        <f>Query1[[#This Row],[Shares]]*Query1[[#This Row],[Adj Close]]</f>
        <v>1456376.6298240388</v>
      </c>
      <c r="J1220" s="3">
        <f>IF(ROW()&lt;3, Dashboard!$E$7, IF(Query1[[#This Row],[Month]]&lt;&gt;H1219,J1219*(1+Dashboard!$E$4)+Dashboard!$E$5,J1219))</f>
        <v>1046630.417601082</v>
      </c>
      <c r="K1220">
        <f>IF(ROW()&lt;3, 0,IF(Query1[[#This Row],[Month]]&lt;&gt;H1219,IF((J1220-I1220&gt;0),J1220-I1220,0),0))</f>
        <v>0</v>
      </c>
      <c r="L1220" s="2">
        <f t="shared" si="19"/>
        <v>3592.2989655359538</v>
      </c>
      <c r="M1220">
        <f>IF(ROW()&lt;3, 0, IF(Query1[[#This Row],[Month]]&lt;&gt;H1219, Dashboard!$J$5,0))</f>
        <v>0</v>
      </c>
      <c r="N1220" s="2">
        <f>IF(ROW()&lt;3, Query1[[#This Row],[Shares]], IF(Query1[[#This Row],[Month]]&lt;&gt;H1219, N1219+Query1[[#This Row],[Fix Top Up]]/Query1[[#This Row],[Adj Close]], N1219))</f>
        <v>3441.979041381448</v>
      </c>
      <c r="O1220">
        <f>IF(AND(Query1[[#This Row],[avg]]&gt;0, Query1[[#This Row],[Month]]&lt;&gt;H1219),
    IF(Query1[[#This Row],[Adj Close]]&gt;Query1[[#This Row],[avg]],
       Dashboard!$L$5-Dashboard!$E$6,
       Dashboard!$L$5+Dashboard!$E$6
    ), 0
)</f>
        <v>0</v>
      </c>
      <c r="P1220" s="2">
        <f>IF(ROW()&lt;3, Query1[[#This Row],[Shares]], IF(Query1[[#This Row],[Month]]&lt;&gt;H1219, P1219+Query1[[#This Row],[Enhanced top up]]/Query1[[#This Row],[Adj Close]], P1219))</f>
        <v>3440.9984529953081</v>
      </c>
      <c r="Q1220" s="2">
        <f>IFERROR(AVERAGE(
  IF(ROW()&gt;20, INDEX(G:G, ROW()-20), 0) :
  INDEX(G:G, ROW())
),0)</f>
        <v>416.05597941080731</v>
      </c>
    </row>
    <row r="1221" spans="1:17" x14ac:dyDescent="0.4">
      <c r="A1221" s="1">
        <v>45601</v>
      </c>
      <c r="B1221">
        <v>408.3699951171875</v>
      </c>
      <c r="C1221">
        <v>414.89999389648438</v>
      </c>
      <c r="D1221">
        <v>408.07998657226563</v>
      </c>
      <c r="E1221">
        <v>411.45999145507813</v>
      </c>
      <c r="F1221">
        <v>17626000</v>
      </c>
      <c r="G1221">
        <v>408.39395141601563</v>
      </c>
      <c r="H1221" s="2">
        <f>MONTH(Query1[[#This Row],[Date]])</f>
        <v>11</v>
      </c>
      <c r="I1221" s="3">
        <f>Query1[[#This Row],[Shares]]*Query1[[#This Row],[Adj Close]]</f>
        <v>1467073.1692028935</v>
      </c>
      <c r="J1221" s="3">
        <f>IF(ROW()&lt;3, Dashboard!$E$7, IF(Query1[[#This Row],[Month]]&lt;&gt;H1220,J1220*(1+Dashboard!$E$4)+Dashboard!$E$5,J1220))</f>
        <v>1046630.417601082</v>
      </c>
      <c r="K1221">
        <f>IF(ROW()&lt;3, 0,IF(Query1[[#This Row],[Month]]&lt;&gt;H1220,IF((J1221-I1221&gt;0),J1221-I1221,0),0))</f>
        <v>0</v>
      </c>
      <c r="L1221" s="2">
        <f t="shared" si="19"/>
        <v>3592.2989655359538</v>
      </c>
      <c r="M1221">
        <f>IF(ROW()&lt;3, 0, IF(Query1[[#This Row],[Month]]&lt;&gt;H1220, Dashboard!$J$5,0))</f>
        <v>0</v>
      </c>
      <c r="N1221" s="2">
        <f>IF(ROW()&lt;3, Query1[[#This Row],[Shares]], IF(Query1[[#This Row],[Month]]&lt;&gt;H1220, N1220+Query1[[#This Row],[Fix Top Up]]/Query1[[#This Row],[Adj Close]], N1220))</f>
        <v>3441.979041381448</v>
      </c>
      <c r="O1221">
        <f>IF(AND(Query1[[#This Row],[avg]]&gt;0, Query1[[#This Row],[Month]]&lt;&gt;H1220),
    IF(Query1[[#This Row],[Adj Close]]&gt;Query1[[#This Row],[avg]],
       Dashboard!$L$5-Dashboard!$E$6,
       Dashboard!$L$5+Dashboard!$E$6
    ), 0
)</f>
        <v>0</v>
      </c>
      <c r="P1221" s="2">
        <f>IF(ROW()&lt;3, Query1[[#This Row],[Shares]], IF(Query1[[#This Row],[Month]]&lt;&gt;H1220, P1220+Query1[[#This Row],[Enhanced top up]]/Query1[[#This Row],[Adj Close]], P1220))</f>
        <v>3440.9984529953081</v>
      </c>
      <c r="Q1221" s="2">
        <f>IFERROR(AVERAGE(
  IF(ROW()&gt;20, INDEX(G:G, ROW()-20), 0) :
  INDEX(G:G, ROW())
),0)</f>
        <v>416.14672560918899</v>
      </c>
    </row>
    <row r="1222" spans="1:17" x14ac:dyDescent="0.4">
      <c r="A1222" s="1">
        <v>45602</v>
      </c>
      <c r="B1222">
        <v>412.42001342773438</v>
      </c>
      <c r="C1222">
        <v>420.45001220703125</v>
      </c>
      <c r="D1222">
        <v>410.51998901367188</v>
      </c>
      <c r="E1222">
        <v>420.17999267578125</v>
      </c>
      <c r="F1222">
        <v>26681800</v>
      </c>
      <c r="G1222">
        <v>417.04898071289063</v>
      </c>
      <c r="H1222" s="2">
        <f>MONTH(Query1[[#This Row],[Date]])</f>
        <v>11</v>
      </c>
      <c r="I1222" s="3">
        <f>Query1[[#This Row],[Shares]]*Query1[[#This Row],[Adj Close]]</f>
        <v>1498164.621992741</v>
      </c>
      <c r="J1222" s="3">
        <f>IF(ROW()&lt;3, Dashboard!$E$7, IF(Query1[[#This Row],[Month]]&lt;&gt;H1221,J1221*(1+Dashboard!$E$4)+Dashboard!$E$5,J1221))</f>
        <v>1046630.417601082</v>
      </c>
      <c r="K1222">
        <f>IF(ROW()&lt;3, 0,IF(Query1[[#This Row],[Month]]&lt;&gt;H1221,IF((J1222-I1222&gt;0),J1222-I1222,0),0))</f>
        <v>0</v>
      </c>
      <c r="L1222" s="2">
        <f t="shared" si="19"/>
        <v>3592.2989655359538</v>
      </c>
      <c r="M1222">
        <f>IF(ROW()&lt;3, 0, IF(Query1[[#This Row],[Month]]&lt;&gt;H1221, Dashboard!$J$5,0))</f>
        <v>0</v>
      </c>
      <c r="N1222" s="2">
        <f>IF(ROW()&lt;3, Query1[[#This Row],[Shares]], IF(Query1[[#This Row],[Month]]&lt;&gt;H1221, N1221+Query1[[#This Row],[Fix Top Up]]/Query1[[#This Row],[Adj Close]], N1221))</f>
        <v>3441.979041381448</v>
      </c>
      <c r="O1222">
        <f>IF(AND(Query1[[#This Row],[avg]]&gt;0, Query1[[#This Row],[Month]]&lt;&gt;H1221),
    IF(Query1[[#This Row],[Adj Close]]&gt;Query1[[#This Row],[avg]],
       Dashboard!$L$5-Dashboard!$E$6,
       Dashboard!$L$5+Dashboard!$E$6
    ), 0
)</f>
        <v>0</v>
      </c>
      <c r="P1222" s="2">
        <f>IF(ROW()&lt;3, Query1[[#This Row],[Shares]], IF(Query1[[#This Row],[Month]]&lt;&gt;H1221, P1221+Query1[[#This Row],[Enhanced top up]]/Query1[[#This Row],[Adj Close]], P1221))</f>
        <v>3440.9984529953081</v>
      </c>
      <c r="Q1222" s="2">
        <f>IFERROR(AVERAGE(
  IF(ROW()&gt;20, INDEX(G:G, ROW()-20), 0) :
  INDEX(G:G, ROW())
),0)</f>
        <v>416.40525890531995</v>
      </c>
    </row>
    <row r="1223" spans="1:17" x14ac:dyDescent="0.4">
      <c r="A1223" s="1">
        <v>45603</v>
      </c>
      <c r="B1223">
        <v>421.27999877929688</v>
      </c>
      <c r="C1223">
        <v>426.85000610351563</v>
      </c>
      <c r="D1223">
        <v>419.8800048828125</v>
      </c>
      <c r="E1223">
        <v>425.42999267578125</v>
      </c>
      <c r="F1223">
        <v>19901800</v>
      </c>
      <c r="G1223">
        <v>422.25985717773438</v>
      </c>
      <c r="H1223" s="2">
        <f>MONTH(Query1[[#This Row],[Date]])</f>
        <v>11</v>
      </c>
      <c r="I1223" s="3">
        <f>Query1[[#This Row],[Shares]]*Query1[[#This Row],[Adj Close]]</f>
        <v>1516883.6481269349</v>
      </c>
      <c r="J1223" s="3">
        <f>IF(ROW()&lt;3, Dashboard!$E$7, IF(Query1[[#This Row],[Month]]&lt;&gt;H1222,J1222*(1+Dashboard!$E$4)+Dashboard!$E$5,J1222))</f>
        <v>1046630.417601082</v>
      </c>
      <c r="K1223">
        <f>IF(ROW()&lt;3, 0,IF(Query1[[#This Row],[Month]]&lt;&gt;H1222,IF((J1223-I1223&gt;0),J1223-I1223,0),0))</f>
        <v>0</v>
      </c>
      <c r="L1223" s="2">
        <f t="shared" si="19"/>
        <v>3592.2989655359538</v>
      </c>
      <c r="M1223">
        <f>IF(ROW()&lt;3, 0, IF(Query1[[#This Row],[Month]]&lt;&gt;H1222, Dashboard!$J$5,0))</f>
        <v>0</v>
      </c>
      <c r="N1223" s="2">
        <f>IF(ROW()&lt;3, Query1[[#This Row],[Shares]], IF(Query1[[#This Row],[Month]]&lt;&gt;H1222, N1222+Query1[[#This Row],[Fix Top Up]]/Query1[[#This Row],[Adj Close]], N1222))</f>
        <v>3441.979041381448</v>
      </c>
      <c r="O1223">
        <f>IF(AND(Query1[[#This Row],[avg]]&gt;0, Query1[[#This Row],[Month]]&lt;&gt;H1222),
    IF(Query1[[#This Row],[Adj Close]]&gt;Query1[[#This Row],[avg]],
       Dashboard!$L$5-Dashboard!$E$6,
       Dashboard!$L$5+Dashboard!$E$6
    ), 0
)</f>
        <v>0</v>
      </c>
      <c r="P1223" s="2">
        <f>IF(ROW()&lt;3, Query1[[#This Row],[Shares]], IF(Query1[[#This Row],[Month]]&lt;&gt;H1222, P1222+Query1[[#This Row],[Enhanced top up]]/Query1[[#This Row],[Adj Close]], P1222))</f>
        <v>3440.9984529953081</v>
      </c>
      <c r="Q1223" s="2">
        <f>IFERROR(AVERAGE(
  IF(ROW()&gt;20, INDEX(G:G, ROW()-20), 0) :
  INDEX(G:G, ROW())
),0)</f>
        <v>416.78195481073288</v>
      </c>
    </row>
    <row r="1224" spans="1:17" x14ac:dyDescent="0.4">
      <c r="A1224" s="1">
        <v>45604</v>
      </c>
      <c r="B1224">
        <v>425.32000732421875</v>
      </c>
      <c r="C1224">
        <v>426.5</v>
      </c>
      <c r="D1224">
        <v>421.77999877929688</v>
      </c>
      <c r="E1224">
        <v>422.54000854492188</v>
      </c>
      <c r="F1224">
        <v>16891400</v>
      </c>
      <c r="G1224">
        <v>419.39138793945313</v>
      </c>
      <c r="H1224" s="2">
        <f>MONTH(Query1[[#This Row],[Date]])</f>
        <v>11</v>
      </c>
      <c r="I1224" s="3">
        <f>Query1[[#This Row],[Shares]]*Query1[[#This Row],[Adj Close]]</f>
        <v>1506579.2490495853</v>
      </c>
      <c r="J1224" s="3">
        <f>IF(ROW()&lt;3, Dashboard!$E$7, IF(Query1[[#This Row],[Month]]&lt;&gt;H1223,J1223*(1+Dashboard!$E$4)+Dashboard!$E$5,J1223))</f>
        <v>1046630.417601082</v>
      </c>
      <c r="K1224">
        <f>IF(ROW()&lt;3, 0,IF(Query1[[#This Row],[Month]]&lt;&gt;H1223,IF((J1224-I1224&gt;0),J1224-I1224,0),0))</f>
        <v>0</v>
      </c>
      <c r="L1224" s="2">
        <f t="shared" si="19"/>
        <v>3592.2989655359538</v>
      </c>
      <c r="M1224">
        <f>IF(ROW()&lt;3, 0, IF(Query1[[#This Row],[Month]]&lt;&gt;H1223, Dashboard!$J$5,0))</f>
        <v>0</v>
      </c>
      <c r="N1224" s="2">
        <f>IF(ROW()&lt;3, Query1[[#This Row],[Shares]], IF(Query1[[#This Row],[Month]]&lt;&gt;H1223, N1223+Query1[[#This Row],[Fix Top Up]]/Query1[[#This Row],[Adj Close]], N1223))</f>
        <v>3441.979041381448</v>
      </c>
      <c r="O1224">
        <f>IF(AND(Query1[[#This Row],[avg]]&gt;0, Query1[[#This Row],[Month]]&lt;&gt;H1223),
    IF(Query1[[#This Row],[Adj Close]]&gt;Query1[[#This Row],[avg]],
       Dashboard!$L$5-Dashboard!$E$6,
       Dashboard!$L$5+Dashboard!$E$6
    ), 0
)</f>
        <v>0</v>
      </c>
      <c r="P1224" s="2">
        <f>IF(ROW()&lt;3, Query1[[#This Row],[Shares]], IF(Query1[[#This Row],[Month]]&lt;&gt;H1223, P1223+Query1[[#This Row],[Enhanced top up]]/Query1[[#This Row],[Adj Close]], P1223))</f>
        <v>3440.9984529953081</v>
      </c>
      <c r="Q1224" s="2">
        <f>IFERROR(AVERAGE(
  IF(ROW()&gt;20, INDEX(G:G, ROW()-20), 0) :
  INDEX(G:G, ROW())
),0)</f>
        <v>417.09862263997394</v>
      </c>
    </row>
    <row r="1225" spans="1:17" x14ac:dyDescent="0.4">
      <c r="A1225" s="1">
        <v>45607</v>
      </c>
      <c r="B1225">
        <v>422.51998901367188</v>
      </c>
      <c r="C1225">
        <v>424.80999755859375</v>
      </c>
      <c r="D1225">
        <v>416</v>
      </c>
      <c r="E1225">
        <v>418.010009765625</v>
      </c>
      <c r="F1225">
        <v>24503300</v>
      </c>
      <c r="G1225">
        <v>414.89517211914063</v>
      </c>
      <c r="H1225" s="2">
        <f>MONTH(Query1[[#This Row],[Date]])</f>
        <v>11</v>
      </c>
      <c r="I1225" s="3">
        <f>Query1[[#This Row],[Shares]]*Query1[[#This Row],[Adj Close]]</f>
        <v>1490427.4976094505</v>
      </c>
      <c r="J1225" s="3">
        <f>IF(ROW()&lt;3, Dashboard!$E$7, IF(Query1[[#This Row],[Month]]&lt;&gt;H1224,J1224*(1+Dashboard!$E$4)+Dashboard!$E$5,J1224))</f>
        <v>1046630.417601082</v>
      </c>
      <c r="K1225">
        <f>IF(ROW()&lt;3, 0,IF(Query1[[#This Row],[Month]]&lt;&gt;H1224,IF((J1225-I1225&gt;0),J1225-I1225,0),0))</f>
        <v>0</v>
      </c>
      <c r="L1225" s="2">
        <f t="shared" si="19"/>
        <v>3592.2989655359538</v>
      </c>
      <c r="M1225">
        <f>IF(ROW()&lt;3, 0, IF(Query1[[#This Row],[Month]]&lt;&gt;H1224, Dashboard!$J$5,0))</f>
        <v>0</v>
      </c>
      <c r="N1225" s="2">
        <f>IF(ROW()&lt;3, Query1[[#This Row],[Shares]], IF(Query1[[#This Row],[Month]]&lt;&gt;H1224, N1224+Query1[[#This Row],[Fix Top Up]]/Query1[[#This Row],[Adj Close]], N1224))</f>
        <v>3441.979041381448</v>
      </c>
      <c r="O1225">
        <f>IF(AND(Query1[[#This Row],[avg]]&gt;0, Query1[[#This Row],[Month]]&lt;&gt;H1224),
    IF(Query1[[#This Row],[Adj Close]]&gt;Query1[[#This Row],[avg]],
       Dashboard!$L$5-Dashboard!$E$6,
       Dashboard!$L$5+Dashboard!$E$6
    ), 0
)</f>
        <v>0</v>
      </c>
      <c r="P1225" s="2">
        <f>IF(ROW()&lt;3, Query1[[#This Row],[Shares]], IF(Query1[[#This Row],[Month]]&lt;&gt;H1224, P1224+Query1[[#This Row],[Enhanced top up]]/Query1[[#This Row],[Adj Close]], P1224))</f>
        <v>3440.9984529953081</v>
      </c>
      <c r="Q1225" s="2">
        <f>IFERROR(AVERAGE(
  IF(ROW()&gt;20, INDEX(G:G, ROW()-20), 0) :
  INDEX(G:G, ROW())
),0)</f>
        <v>417.17850022088913</v>
      </c>
    </row>
    <row r="1226" spans="1:17" x14ac:dyDescent="0.4">
      <c r="A1226" s="1">
        <v>45608</v>
      </c>
      <c r="B1226">
        <v>418.25</v>
      </c>
      <c r="C1226">
        <v>424.44000244140625</v>
      </c>
      <c r="D1226">
        <v>417.20001220703125</v>
      </c>
      <c r="E1226">
        <v>423.02999877929688</v>
      </c>
      <c r="F1226">
        <v>19401200</v>
      </c>
      <c r="G1226">
        <v>419.87774658203125</v>
      </c>
      <c r="H1226" s="2">
        <f>MONTH(Query1[[#This Row],[Date]])</f>
        <v>11</v>
      </c>
      <c r="I1226" s="3">
        <f>Query1[[#This Row],[Shares]]*Query1[[#This Row],[Adj Close]]</f>
        <v>1508326.3946981982</v>
      </c>
      <c r="J1226" s="3">
        <f>IF(ROW()&lt;3, Dashboard!$E$7, IF(Query1[[#This Row],[Month]]&lt;&gt;H1225,J1225*(1+Dashboard!$E$4)+Dashboard!$E$5,J1225))</f>
        <v>1046630.417601082</v>
      </c>
      <c r="K1226">
        <f>IF(ROW()&lt;3, 0,IF(Query1[[#This Row],[Month]]&lt;&gt;H1225,IF((J1226-I1226&gt;0),J1226-I1226,0),0))</f>
        <v>0</v>
      </c>
      <c r="L1226" s="2">
        <f t="shared" si="19"/>
        <v>3592.2989655359538</v>
      </c>
      <c r="M1226">
        <f>IF(ROW()&lt;3, 0, IF(Query1[[#This Row],[Month]]&lt;&gt;H1225, Dashboard!$J$5,0))</f>
        <v>0</v>
      </c>
      <c r="N1226" s="2">
        <f>IF(ROW()&lt;3, Query1[[#This Row],[Shares]], IF(Query1[[#This Row],[Month]]&lt;&gt;H1225, N1225+Query1[[#This Row],[Fix Top Up]]/Query1[[#This Row],[Adj Close]], N1225))</f>
        <v>3441.979041381448</v>
      </c>
      <c r="O1226">
        <f>IF(AND(Query1[[#This Row],[avg]]&gt;0, Query1[[#This Row],[Month]]&lt;&gt;H1225),
    IF(Query1[[#This Row],[Adj Close]]&gt;Query1[[#This Row],[avg]],
       Dashboard!$L$5-Dashboard!$E$6,
       Dashboard!$L$5+Dashboard!$E$6
    ), 0
)</f>
        <v>0</v>
      </c>
      <c r="P1226" s="2">
        <f>IF(ROW()&lt;3, Query1[[#This Row],[Shares]], IF(Query1[[#This Row],[Month]]&lt;&gt;H1225, P1225+Query1[[#This Row],[Enhanced top up]]/Query1[[#This Row],[Adj Close]], P1225))</f>
        <v>3440.9984529953081</v>
      </c>
      <c r="Q1226" s="2">
        <f>IFERROR(AVERAGE(
  IF(ROW()&gt;20, INDEX(G:G, ROW()-20), 0) :
  INDEX(G:G, ROW())
),0)</f>
        <v>417.36235700334822</v>
      </c>
    </row>
    <row r="1227" spans="1:17" x14ac:dyDescent="0.4">
      <c r="A1227" s="1">
        <v>45609</v>
      </c>
      <c r="B1227">
        <v>421.6400146484375</v>
      </c>
      <c r="C1227">
        <v>429.32998657226563</v>
      </c>
      <c r="D1227">
        <v>418.20999145507813</v>
      </c>
      <c r="E1227">
        <v>425.20001220703125</v>
      </c>
      <c r="F1227">
        <v>21502200</v>
      </c>
      <c r="G1227">
        <v>422.03158569335938</v>
      </c>
      <c r="H1227" s="2">
        <f>MONTH(Query1[[#This Row],[Date]])</f>
        <v>11</v>
      </c>
      <c r="I1227" s="3">
        <f>Query1[[#This Row],[Shares]]*Query1[[#This Row],[Adj Close]]</f>
        <v>1516063.628709753</v>
      </c>
      <c r="J1227" s="3">
        <f>IF(ROW()&lt;3, Dashboard!$E$7, IF(Query1[[#This Row],[Month]]&lt;&gt;H1226,J1226*(1+Dashboard!$E$4)+Dashboard!$E$5,J1226))</f>
        <v>1046630.417601082</v>
      </c>
      <c r="K1227">
        <f>IF(ROW()&lt;3, 0,IF(Query1[[#This Row],[Month]]&lt;&gt;H1226,IF((J1227-I1227&gt;0),J1227-I1227,0),0))</f>
        <v>0</v>
      </c>
      <c r="L1227" s="2">
        <f t="shared" si="19"/>
        <v>3592.2989655359538</v>
      </c>
      <c r="M1227">
        <f>IF(ROW()&lt;3, 0, IF(Query1[[#This Row],[Month]]&lt;&gt;H1226, Dashboard!$J$5,0))</f>
        <v>0</v>
      </c>
      <c r="N1227" s="2">
        <f>IF(ROW()&lt;3, Query1[[#This Row],[Shares]], IF(Query1[[#This Row],[Month]]&lt;&gt;H1226, N1226+Query1[[#This Row],[Fix Top Up]]/Query1[[#This Row],[Adj Close]], N1226))</f>
        <v>3441.979041381448</v>
      </c>
      <c r="O1227">
        <f>IF(AND(Query1[[#This Row],[avg]]&gt;0, Query1[[#This Row],[Month]]&lt;&gt;H1226),
    IF(Query1[[#This Row],[Adj Close]]&gt;Query1[[#This Row],[avg]],
       Dashboard!$L$5-Dashboard!$E$6,
       Dashboard!$L$5+Dashboard!$E$6
    ), 0
)</f>
        <v>0</v>
      </c>
      <c r="P1227" s="2">
        <f>IF(ROW()&lt;3, Query1[[#This Row],[Shares]], IF(Query1[[#This Row],[Month]]&lt;&gt;H1226, P1226+Query1[[#This Row],[Enhanced top up]]/Query1[[#This Row],[Adj Close]], P1226))</f>
        <v>3440.9984529953081</v>
      </c>
      <c r="Q1227" s="2">
        <f>IFERROR(AVERAGE(
  IF(ROW()&gt;20, INDEX(G:G, ROW()-20), 0) :
  INDEX(G:G, ROW())
),0)</f>
        <v>417.66768391927081</v>
      </c>
    </row>
    <row r="1228" spans="1:17" x14ac:dyDescent="0.4">
      <c r="A1228" s="1">
        <v>45610</v>
      </c>
      <c r="B1228">
        <v>425</v>
      </c>
      <c r="C1228">
        <v>428.17001342773438</v>
      </c>
      <c r="D1228">
        <v>420</v>
      </c>
      <c r="E1228">
        <v>426.8900146484375</v>
      </c>
      <c r="F1228">
        <v>30246900</v>
      </c>
      <c r="G1228">
        <v>423.70901489257813</v>
      </c>
      <c r="H1228" s="2">
        <f>MONTH(Query1[[#This Row],[Date]])</f>
        <v>11</v>
      </c>
      <c r="I1228" s="3">
        <f>Query1[[#This Row],[Shares]]*Query1[[#This Row],[Adj Close]]</f>
        <v>1522089.4558868664</v>
      </c>
      <c r="J1228" s="3">
        <f>IF(ROW()&lt;3, Dashboard!$E$7, IF(Query1[[#This Row],[Month]]&lt;&gt;H1227,J1227*(1+Dashboard!$E$4)+Dashboard!$E$5,J1227))</f>
        <v>1046630.417601082</v>
      </c>
      <c r="K1228">
        <f>IF(ROW()&lt;3, 0,IF(Query1[[#This Row],[Month]]&lt;&gt;H1227,IF((J1228-I1228&gt;0),J1228-I1228,0),0))</f>
        <v>0</v>
      </c>
      <c r="L1228" s="2">
        <f t="shared" si="19"/>
        <v>3592.2989655359538</v>
      </c>
      <c r="M1228">
        <f>IF(ROW()&lt;3, 0, IF(Query1[[#This Row],[Month]]&lt;&gt;H1227, Dashboard!$J$5,0))</f>
        <v>0</v>
      </c>
      <c r="N1228" s="2">
        <f>IF(ROW()&lt;3, Query1[[#This Row],[Shares]], IF(Query1[[#This Row],[Month]]&lt;&gt;H1227, N1227+Query1[[#This Row],[Fix Top Up]]/Query1[[#This Row],[Adj Close]], N1227))</f>
        <v>3441.979041381448</v>
      </c>
      <c r="O1228">
        <f>IF(AND(Query1[[#This Row],[avg]]&gt;0, Query1[[#This Row],[Month]]&lt;&gt;H1227),
    IF(Query1[[#This Row],[Adj Close]]&gt;Query1[[#This Row],[avg]],
       Dashboard!$L$5-Dashboard!$E$6,
       Dashboard!$L$5+Dashboard!$E$6
    ), 0
)</f>
        <v>0</v>
      </c>
      <c r="P1228" s="2">
        <f>IF(ROW()&lt;3, Query1[[#This Row],[Shares]], IF(Query1[[#This Row],[Month]]&lt;&gt;H1227, P1227+Query1[[#This Row],[Enhanced top up]]/Query1[[#This Row],[Adj Close]], P1227))</f>
        <v>3440.9984529953081</v>
      </c>
      <c r="Q1228" s="2">
        <f>IFERROR(AVERAGE(
  IF(ROW()&gt;20, INDEX(G:G, ROW()-20), 0) :
  INDEX(G:G, ROW())
),0)</f>
        <v>418.17672148204986</v>
      </c>
    </row>
    <row r="1229" spans="1:17" x14ac:dyDescent="0.4">
      <c r="A1229" s="1">
        <v>45611</v>
      </c>
      <c r="B1229">
        <v>419.82000732421875</v>
      </c>
      <c r="C1229">
        <v>422.79998779296875</v>
      </c>
      <c r="D1229">
        <v>413.6400146484375</v>
      </c>
      <c r="E1229">
        <v>415</v>
      </c>
      <c r="F1229">
        <v>28247600</v>
      </c>
      <c r="G1229">
        <v>411.9075927734375</v>
      </c>
      <c r="H1229" s="2">
        <f>MONTH(Query1[[#This Row],[Date]])</f>
        <v>11</v>
      </c>
      <c r="I1229" s="3">
        <f>Query1[[#This Row],[Shares]]*Query1[[#This Row],[Adj Close]]</f>
        <v>1479695.2194164244</v>
      </c>
      <c r="J1229" s="3">
        <f>IF(ROW()&lt;3, Dashboard!$E$7, IF(Query1[[#This Row],[Month]]&lt;&gt;H1228,J1228*(1+Dashboard!$E$4)+Dashboard!$E$5,J1228))</f>
        <v>1046630.417601082</v>
      </c>
      <c r="K1229">
        <f>IF(ROW()&lt;3, 0,IF(Query1[[#This Row],[Month]]&lt;&gt;H1228,IF((J1229-I1229&gt;0),J1229-I1229,0),0))</f>
        <v>0</v>
      </c>
      <c r="L1229" s="2">
        <f t="shared" si="19"/>
        <v>3592.2989655359538</v>
      </c>
      <c r="M1229">
        <f>IF(ROW()&lt;3, 0, IF(Query1[[#This Row],[Month]]&lt;&gt;H1228, Dashboard!$J$5,0))</f>
        <v>0</v>
      </c>
      <c r="N1229" s="2">
        <f>IF(ROW()&lt;3, Query1[[#This Row],[Shares]], IF(Query1[[#This Row],[Month]]&lt;&gt;H1228, N1228+Query1[[#This Row],[Fix Top Up]]/Query1[[#This Row],[Adj Close]], N1228))</f>
        <v>3441.979041381448</v>
      </c>
      <c r="O1229">
        <f>IF(AND(Query1[[#This Row],[avg]]&gt;0, Query1[[#This Row],[Month]]&lt;&gt;H1228),
    IF(Query1[[#This Row],[Adj Close]]&gt;Query1[[#This Row],[avg]],
       Dashboard!$L$5-Dashboard!$E$6,
       Dashboard!$L$5+Dashboard!$E$6
    ), 0
)</f>
        <v>0</v>
      </c>
      <c r="P1229" s="2">
        <f>IF(ROW()&lt;3, Query1[[#This Row],[Shares]], IF(Query1[[#This Row],[Month]]&lt;&gt;H1228, P1228+Query1[[#This Row],[Enhanced top up]]/Query1[[#This Row],[Adj Close]], P1228))</f>
        <v>3440.9984529953081</v>
      </c>
      <c r="Q1229" s="2">
        <f>IFERROR(AVERAGE(
  IF(ROW()&gt;20, INDEX(G:G, ROW()-20), 0) :
  INDEX(G:G, ROW())
),0)</f>
        <v>418.09542701357884</v>
      </c>
    </row>
    <row r="1230" spans="1:17" x14ac:dyDescent="0.4">
      <c r="A1230" s="1">
        <v>45614</v>
      </c>
      <c r="B1230">
        <v>414.8699951171875</v>
      </c>
      <c r="C1230">
        <v>418.39999389648438</v>
      </c>
      <c r="D1230">
        <v>412.10000610351563</v>
      </c>
      <c r="E1230">
        <v>415.760009765625</v>
      </c>
      <c r="F1230">
        <v>24727000</v>
      </c>
      <c r="G1230">
        <v>412.66195678710938</v>
      </c>
      <c r="H1230" s="2">
        <f>MONTH(Query1[[#This Row],[Date]])</f>
        <v>11</v>
      </c>
      <c r="I1230" s="3">
        <f>Query1[[#This Row],[Shares]]*Query1[[#This Row],[Adj Close]]</f>
        <v>1482405.1204823754</v>
      </c>
      <c r="J1230" s="3">
        <f>IF(ROW()&lt;3, Dashboard!$E$7, IF(Query1[[#This Row],[Month]]&lt;&gt;H1229,J1229*(1+Dashboard!$E$4)+Dashboard!$E$5,J1229))</f>
        <v>1046630.417601082</v>
      </c>
      <c r="K1230">
        <f>IF(ROW()&lt;3, 0,IF(Query1[[#This Row],[Month]]&lt;&gt;H1229,IF((J1230-I1230&gt;0),J1230-I1230,0),0))</f>
        <v>0</v>
      </c>
      <c r="L1230" s="2">
        <f t="shared" si="19"/>
        <v>3592.2989655359538</v>
      </c>
      <c r="M1230">
        <f>IF(ROW()&lt;3, 0, IF(Query1[[#This Row],[Month]]&lt;&gt;H1229, Dashboard!$J$5,0))</f>
        <v>0</v>
      </c>
      <c r="N1230" s="2">
        <f>IF(ROW()&lt;3, Query1[[#This Row],[Shares]], IF(Query1[[#This Row],[Month]]&lt;&gt;H1229, N1229+Query1[[#This Row],[Fix Top Up]]/Query1[[#This Row],[Adj Close]], N1229))</f>
        <v>3441.979041381448</v>
      </c>
      <c r="O1230">
        <f>IF(AND(Query1[[#This Row],[avg]]&gt;0, Query1[[#This Row],[Month]]&lt;&gt;H1229),
    IF(Query1[[#This Row],[Adj Close]]&gt;Query1[[#This Row],[avg]],
       Dashboard!$L$5-Dashboard!$E$6,
       Dashboard!$L$5+Dashboard!$E$6
    ), 0
)</f>
        <v>0</v>
      </c>
      <c r="P1230" s="2">
        <f>IF(ROW()&lt;3, Query1[[#This Row],[Shares]], IF(Query1[[#This Row],[Month]]&lt;&gt;H1229, P1229+Query1[[#This Row],[Enhanced top up]]/Query1[[#This Row],[Adj Close]], P1229))</f>
        <v>3440.9984529953081</v>
      </c>
      <c r="Q1230" s="2">
        <f>IFERROR(AVERAGE(
  IF(ROW()&gt;20, INDEX(G:G, ROW()-20), 0) :
  INDEX(G:G, ROW())
),0)</f>
        <v>417.98199317568822</v>
      </c>
    </row>
    <row r="1231" spans="1:17" x14ac:dyDescent="0.4">
      <c r="A1231" s="1">
        <v>45615</v>
      </c>
      <c r="B1231">
        <v>413.1099853515625</v>
      </c>
      <c r="C1231">
        <v>417.94000244140625</v>
      </c>
      <c r="D1231">
        <v>411.54998779296875</v>
      </c>
      <c r="E1231">
        <v>417.79000854492188</v>
      </c>
      <c r="F1231">
        <v>18133500</v>
      </c>
      <c r="G1231">
        <v>414.67678833007813</v>
      </c>
      <c r="H1231" s="2">
        <f>MONTH(Query1[[#This Row],[Date]])</f>
        <v>11</v>
      </c>
      <c r="I1231" s="3">
        <f>Query1[[#This Row],[Shares]]*Query1[[#This Row],[Adj Close]]</f>
        <v>1489642.9977499114</v>
      </c>
      <c r="J1231" s="3">
        <f>IF(ROW()&lt;3, Dashboard!$E$7, IF(Query1[[#This Row],[Month]]&lt;&gt;H1230,J1230*(1+Dashboard!$E$4)+Dashboard!$E$5,J1230))</f>
        <v>1046630.417601082</v>
      </c>
      <c r="K1231">
        <f>IF(ROW()&lt;3, 0,IF(Query1[[#This Row],[Month]]&lt;&gt;H1230,IF((J1231-I1231&gt;0),J1231-I1231,0),0))</f>
        <v>0</v>
      </c>
      <c r="L1231" s="2">
        <f t="shared" si="19"/>
        <v>3592.2989655359538</v>
      </c>
      <c r="M1231">
        <f>IF(ROW()&lt;3, 0, IF(Query1[[#This Row],[Month]]&lt;&gt;H1230, Dashboard!$J$5,0))</f>
        <v>0</v>
      </c>
      <c r="N1231" s="2">
        <f>IF(ROW()&lt;3, Query1[[#This Row],[Shares]], IF(Query1[[#This Row],[Month]]&lt;&gt;H1230, N1230+Query1[[#This Row],[Fix Top Up]]/Query1[[#This Row],[Adj Close]], N1230))</f>
        <v>3441.979041381448</v>
      </c>
      <c r="O1231">
        <f>IF(AND(Query1[[#This Row],[avg]]&gt;0, Query1[[#This Row],[Month]]&lt;&gt;H1230),
    IF(Query1[[#This Row],[Adj Close]]&gt;Query1[[#This Row],[avg]],
       Dashboard!$L$5-Dashboard!$E$6,
       Dashboard!$L$5+Dashboard!$E$6
    ), 0
)</f>
        <v>0</v>
      </c>
      <c r="P1231" s="2">
        <f>IF(ROW()&lt;3, Query1[[#This Row],[Shares]], IF(Query1[[#This Row],[Month]]&lt;&gt;H1230, P1230+Query1[[#This Row],[Enhanced top up]]/Query1[[#This Row],[Adj Close]], P1230))</f>
        <v>3440.9984529953081</v>
      </c>
      <c r="Q1231" s="2">
        <f>IFERROR(AVERAGE(
  IF(ROW()&gt;20, INDEX(G:G, ROW()-20), 0) :
  INDEX(G:G, ROW())
),0)</f>
        <v>417.93520100911456</v>
      </c>
    </row>
    <row r="1232" spans="1:17" x14ac:dyDescent="0.4">
      <c r="A1232" s="1">
        <v>45616</v>
      </c>
      <c r="B1232">
        <v>416.8699951171875</v>
      </c>
      <c r="C1232">
        <v>417.29000854492188</v>
      </c>
      <c r="D1232">
        <v>410.57998657226563</v>
      </c>
      <c r="E1232">
        <v>415.489990234375</v>
      </c>
      <c r="F1232">
        <v>19191700</v>
      </c>
      <c r="G1232">
        <v>412.3939208984375</v>
      </c>
      <c r="H1232" s="2">
        <f>MONTH(Query1[[#This Row],[Date]])</f>
        <v>11</v>
      </c>
      <c r="I1232" s="3">
        <f>Query1[[#This Row],[Shares]]*Query1[[#This Row],[Adj Close]]</f>
        <v>1481442.2554367729</v>
      </c>
      <c r="J1232" s="3">
        <f>IF(ROW()&lt;3, Dashboard!$E$7, IF(Query1[[#This Row],[Month]]&lt;&gt;H1231,J1231*(1+Dashboard!$E$4)+Dashboard!$E$5,J1231))</f>
        <v>1046630.417601082</v>
      </c>
      <c r="K1232">
        <f>IF(ROW()&lt;3, 0,IF(Query1[[#This Row],[Month]]&lt;&gt;H1231,IF((J1232-I1232&gt;0),J1232-I1232,0),0))</f>
        <v>0</v>
      </c>
      <c r="L1232" s="2">
        <f t="shared" si="19"/>
        <v>3592.2989655359538</v>
      </c>
      <c r="M1232">
        <f>IF(ROW()&lt;3, 0, IF(Query1[[#This Row],[Month]]&lt;&gt;H1231, Dashboard!$J$5,0))</f>
        <v>0</v>
      </c>
      <c r="N1232" s="2">
        <f>IF(ROW()&lt;3, Query1[[#This Row],[Shares]], IF(Query1[[#This Row],[Month]]&lt;&gt;H1231, N1231+Query1[[#This Row],[Fix Top Up]]/Query1[[#This Row],[Adj Close]], N1231))</f>
        <v>3441.979041381448</v>
      </c>
      <c r="O1232">
        <f>IF(AND(Query1[[#This Row],[avg]]&gt;0, Query1[[#This Row],[Month]]&lt;&gt;H1231),
    IF(Query1[[#This Row],[Adj Close]]&gt;Query1[[#This Row],[avg]],
       Dashboard!$L$5-Dashboard!$E$6,
       Dashboard!$L$5+Dashboard!$E$6
    ), 0
)</f>
        <v>0</v>
      </c>
      <c r="P1232" s="2">
        <f>IF(ROW()&lt;3, Query1[[#This Row],[Shares]], IF(Query1[[#This Row],[Month]]&lt;&gt;H1231, P1231+Query1[[#This Row],[Enhanced top up]]/Query1[[#This Row],[Adj Close]], P1231))</f>
        <v>3440.9984529953081</v>
      </c>
      <c r="Q1232" s="2">
        <f>IFERROR(AVERAGE(
  IF(ROW()&gt;20, INDEX(G:G, ROW()-20), 0) :
  INDEX(G:G, ROW())
),0)</f>
        <v>417.36708286830356</v>
      </c>
    </row>
    <row r="1233" spans="1:17" x14ac:dyDescent="0.4">
      <c r="A1233" s="1">
        <v>45617</v>
      </c>
      <c r="B1233">
        <v>419.5</v>
      </c>
      <c r="C1233">
        <v>419.77999877929688</v>
      </c>
      <c r="D1233">
        <v>410.29000854492188</v>
      </c>
      <c r="E1233">
        <v>412.8699951171875</v>
      </c>
      <c r="F1233">
        <v>20780200</v>
      </c>
      <c r="G1233">
        <v>410.61370849609375</v>
      </c>
      <c r="H1233" s="2">
        <f>MONTH(Query1[[#This Row],[Date]])</f>
        <v>11</v>
      </c>
      <c r="I1233" s="3">
        <f>Query1[[#This Row],[Shares]]*Query1[[#This Row],[Adj Close]]</f>
        <v>1475047.2002653992</v>
      </c>
      <c r="J1233" s="3">
        <f>IF(ROW()&lt;3, Dashboard!$E$7, IF(Query1[[#This Row],[Month]]&lt;&gt;H1232,J1232*(1+Dashboard!$E$4)+Dashboard!$E$5,J1232))</f>
        <v>1046630.417601082</v>
      </c>
      <c r="K1233">
        <f>IF(ROW()&lt;3, 0,IF(Query1[[#This Row],[Month]]&lt;&gt;H1232,IF((J1233-I1233&gt;0),J1233-I1233,0),0))</f>
        <v>0</v>
      </c>
      <c r="L1233" s="2">
        <f t="shared" si="19"/>
        <v>3592.2989655359538</v>
      </c>
      <c r="M1233">
        <f>IF(ROW()&lt;3, 0, IF(Query1[[#This Row],[Month]]&lt;&gt;H1232, Dashboard!$J$5,0))</f>
        <v>0</v>
      </c>
      <c r="N1233" s="2">
        <f>IF(ROW()&lt;3, Query1[[#This Row],[Shares]], IF(Query1[[#This Row],[Month]]&lt;&gt;H1232, N1232+Query1[[#This Row],[Fix Top Up]]/Query1[[#This Row],[Adj Close]], N1232))</f>
        <v>3441.979041381448</v>
      </c>
      <c r="O1233">
        <f>IF(AND(Query1[[#This Row],[avg]]&gt;0, Query1[[#This Row],[Month]]&lt;&gt;H1232),
    IF(Query1[[#This Row],[Adj Close]]&gt;Query1[[#This Row],[avg]],
       Dashboard!$L$5-Dashboard!$E$6,
       Dashboard!$L$5+Dashboard!$E$6
    ), 0
)</f>
        <v>0</v>
      </c>
      <c r="P1233" s="2">
        <f>IF(ROW()&lt;3, Query1[[#This Row],[Shares]], IF(Query1[[#This Row],[Month]]&lt;&gt;H1232, P1232+Query1[[#This Row],[Enhanced top up]]/Query1[[#This Row],[Adj Close]], P1232))</f>
        <v>3440.9984529953081</v>
      </c>
      <c r="Q1233" s="2">
        <f>IFERROR(AVERAGE(
  IF(ROW()&gt;20, INDEX(G:G, ROW()-20), 0) :
  INDEX(G:G, ROW())
),0)</f>
        <v>416.85173252650668</v>
      </c>
    </row>
    <row r="1234" spans="1:17" x14ac:dyDescent="0.4">
      <c r="A1234" s="1">
        <v>45618</v>
      </c>
      <c r="B1234">
        <v>411.3699951171875</v>
      </c>
      <c r="C1234">
        <v>417.39999389648438</v>
      </c>
      <c r="D1234">
        <v>411.05999755859375</v>
      </c>
      <c r="E1234">
        <v>417</v>
      </c>
      <c r="F1234">
        <v>24814600</v>
      </c>
      <c r="G1234">
        <v>414.72113037109375</v>
      </c>
      <c r="H1234" s="2">
        <f>MONTH(Query1[[#This Row],[Date]])</f>
        <v>11</v>
      </c>
      <c r="I1234" s="3">
        <f>Query1[[#This Row],[Shares]]*Query1[[#This Row],[Adj Close]]</f>
        <v>1489802.2876179814</v>
      </c>
      <c r="J1234" s="3">
        <f>IF(ROW()&lt;3, Dashboard!$E$7, IF(Query1[[#This Row],[Month]]&lt;&gt;H1233,J1233*(1+Dashboard!$E$4)+Dashboard!$E$5,J1233))</f>
        <v>1046630.417601082</v>
      </c>
      <c r="K1234">
        <f>IF(ROW()&lt;3, 0,IF(Query1[[#This Row],[Month]]&lt;&gt;H1233,IF((J1234-I1234&gt;0),J1234-I1234,0),0))</f>
        <v>0</v>
      </c>
      <c r="L1234" s="2">
        <f t="shared" si="19"/>
        <v>3592.2989655359538</v>
      </c>
      <c r="M1234">
        <f>IF(ROW()&lt;3, 0, IF(Query1[[#This Row],[Month]]&lt;&gt;H1233, Dashboard!$J$5,0))</f>
        <v>0</v>
      </c>
      <c r="N1234" s="2">
        <f>IF(ROW()&lt;3, Query1[[#This Row],[Shares]], IF(Query1[[#This Row],[Month]]&lt;&gt;H1233, N1233+Query1[[#This Row],[Fix Top Up]]/Query1[[#This Row],[Adj Close]], N1233))</f>
        <v>3441.979041381448</v>
      </c>
      <c r="O1234">
        <f>IF(AND(Query1[[#This Row],[avg]]&gt;0, Query1[[#This Row],[Month]]&lt;&gt;H1233),
    IF(Query1[[#This Row],[Adj Close]]&gt;Query1[[#This Row],[avg]],
       Dashboard!$L$5-Dashboard!$E$6,
       Dashboard!$L$5+Dashboard!$E$6
    ), 0
)</f>
        <v>0</v>
      </c>
      <c r="P1234" s="2">
        <f>IF(ROW()&lt;3, Query1[[#This Row],[Shares]], IF(Query1[[#This Row],[Month]]&lt;&gt;H1233, P1233+Query1[[#This Row],[Enhanced top up]]/Query1[[#This Row],[Adj Close]], P1233))</f>
        <v>3440.9984529953081</v>
      </c>
      <c r="Q1234" s="2">
        <f>IFERROR(AVERAGE(
  IF(ROW()&gt;20, INDEX(G:G, ROW()-20), 0) :
  INDEX(G:G, ROW())
),0)</f>
        <v>416.52582949683779</v>
      </c>
    </row>
    <row r="1235" spans="1:17" x14ac:dyDescent="0.4">
      <c r="A1235" s="1">
        <v>45621</v>
      </c>
      <c r="B1235">
        <v>418.3800048828125</v>
      </c>
      <c r="C1235">
        <v>421.07998657226563</v>
      </c>
      <c r="D1235">
        <v>414.85000610351563</v>
      </c>
      <c r="E1235">
        <v>418.79000854492188</v>
      </c>
      <c r="F1235">
        <v>27691100</v>
      </c>
      <c r="G1235">
        <v>416.50137329101563</v>
      </c>
      <c r="H1235" s="2">
        <f>MONTH(Query1[[#This Row],[Date]])</f>
        <v>11</v>
      </c>
      <c r="I1235" s="3">
        <f>Query1[[#This Row],[Shares]]*Query1[[#This Row],[Adj Close]]</f>
        <v>1496197.4524176195</v>
      </c>
      <c r="J1235" s="3">
        <f>IF(ROW()&lt;3, Dashboard!$E$7, IF(Query1[[#This Row],[Month]]&lt;&gt;H1234,J1234*(1+Dashboard!$E$4)+Dashboard!$E$5,J1234))</f>
        <v>1046630.417601082</v>
      </c>
      <c r="K1235">
        <f>IF(ROW()&lt;3, 0,IF(Query1[[#This Row],[Month]]&lt;&gt;H1234,IF((J1235-I1235&gt;0),J1235-I1235,0),0))</f>
        <v>0</v>
      </c>
      <c r="L1235" s="2">
        <f t="shared" si="19"/>
        <v>3592.2989655359538</v>
      </c>
      <c r="M1235">
        <f>IF(ROW()&lt;3, 0, IF(Query1[[#This Row],[Month]]&lt;&gt;H1234, Dashboard!$J$5,0))</f>
        <v>0</v>
      </c>
      <c r="N1235" s="2">
        <f>IF(ROW()&lt;3, Query1[[#This Row],[Shares]], IF(Query1[[#This Row],[Month]]&lt;&gt;H1234, N1234+Query1[[#This Row],[Fix Top Up]]/Query1[[#This Row],[Adj Close]], N1234))</f>
        <v>3441.979041381448</v>
      </c>
      <c r="O1235">
        <f>IF(AND(Query1[[#This Row],[avg]]&gt;0, Query1[[#This Row],[Month]]&lt;&gt;H1234),
    IF(Query1[[#This Row],[Adj Close]]&gt;Query1[[#This Row],[avg]],
       Dashboard!$L$5-Dashboard!$E$6,
       Dashboard!$L$5+Dashboard!$E$6
    ), 0
)</f>
        <v>0</v>
      </c>
      <c r="P1235" s="2">
        <f>IF(ROW()&lt;3, Query1[[#This Row],[Shares]], IF(Query1[[#This Row],[Month]]&lt;&gt;H1234, P1234+Query1[[#This Row],[Enhanced top up]]/Query1[[#This Row],[Adj Close]], P1234))</f>
        <v>3440.9984529953081</v>
      </c>
      <c r="Q1235" s="2">
        <f>IFERROR(AVERAGE(
  IF(ROW()&gt;20, INDEX(G:G, ROW()-20), 0) :
  INDEX(G:G, ROW())
),0)</f>
        <v>416.12305704752606</v>
      </c>
    </row>
    <row r="1236" spans="1:17" x14ac:dyDescent="0.4">
      <c r="A1236" s="1">
        <v>45622</v>
      </c>
      <c r="B1236">
        <v>419.58999633789063</v>
      </c>
      <c r="C1236">
        <v>429.04000854492188</v>
      </c>
      <c r="D1236">
        <v>418.85000610351563</v>
      </c>
      <c r="E1236">
        <v>427.989990234375</v>
      </c>
      <c r="F1236">
        <v>23458900</v>
      </c>
      <c r="G1236">
        <v>425.65109252929688</v>
      </c>
      <c r="H1236" s="2">
        <f>MONTH(Query1[[#This Row],[Date]])</f>
        <v>11</v>
      </c>
      <c r="I1236" s="3">
        <f>Query1[[#This Row],[Shares]]*Query1[[#This Row],[Adj Close]]</f>
        <v>1529065.9793722418</v>
      </c>
      <c r="J1236" s="3">
        <f>IF(ROW()&lt;3, Dashboard!$E$7, IF(Query1[[#This Row],[Month]]&lt;&gt;H1235,J1235*(1+Dashboard!$E$4)+Dashboard!$E$5,J1235))</f>
        <v>1046630.417601082</v>
      </c>
      <c r="K1236">
        <f>IF(ROW()&lt;3, 0,IF(Query1[[#This Row],[Month]]&lt;&gt;H1235,IF((J1236-I1236&gt;0),J1236-I1236,0),0))</f>
        <v>0</v>
      </c>
      <c r="L1236" s="2">
        <f t="shared" si="19"/>
        <v>3592.2989655359538</v>
      </c>
      <c r="M1236">
        <f>IF(ROW()&lt;3, 0, IF(Query1[[#This Row],[Month]]&lt;&gt;H1235, Dashboard!$J$5,0))</f>
        <v>0</v>
      </c>
      <c r="N1236" s="2">
        <f>IF(ROW()&lt;3, Query1[[#This Row],[Shares]], IF(Query1[[#This Row],[Month]]&lt;&gt;H1235, N1235+Query1[[#This Row],[Fix Top Up]]/Query1[[#This Row],[Adj Close]], N1235))</f>
        <v>3441.979041381448</v>
      </c>
      <c r="O1236">
        <f>IF(AND(Query1[[#This Row],[avg]]&gt;0, Query1[[#This Row],[Month]]&lt;&gt;H1235),
    IF(Query1[[#This Row],[Adj Close]]&gt;Query1[[#This Row],[avg]],
       Dashboard!$L$5-Dashboard!$E$6,
       Dashboard!$L$5+Dashboard!$E$6
    ), 0
)</f>
        <v>0</v>
      </c>
      <c r="P1236" s="2">
        <f>IF(ROW()&lt;3, Query1[[#This Row],[Shares]], IF(Query1[[#This Row],[Month]]&lt;&gt;H1235, P1235+Query1[[#This Row],[Enhanced top up]]/Query1[[#This Row],[Adj Close]], P1235))</f>
        <v>3440.9984529953081</v>
      </c>
      <c r="Q1236" s="2">
        <f>IFERROR(AVERAGE(
  IF(ROW()&gt;20, INDEX(G:G, ROW()-20), 0) :
  INDEX(G:G, ROW())
),0)</f>
        <v>416.22971598307294</v>
      </c>
    </row>
    <row r="1237" spans="1:17" x14ac:dyDescent="0.4">
      <c r="A1237" s="1">
        <v>45623</v>
      </c>
      <c r="B1237">
        <v>425.1099853515625</v>
      </c>
      <c r="C1237">
        <v>427.23001098632813</v>
      </c>
      <c r="D1237">
        <v>422.01998901367188</v>
      </c>
      <c r="E1237">
        <v>422.989990234375</v>
      </c>
      <c r="F1237">
        <v>18332400</v>
      </c>
      <c r="G1237">
        <v>420.67840576171875</v>
      </c>
      <c r="H1237" s="2">
        <f>MONTH(Query1[[#This Row],[Date]])</f>
        <v>11</v>
      </c>
      <c r="I1237" s="3">
        <f>Query1[[#This Row],[Shares]]*Query1[[#This Row],[Adj Close]]</f>
        <v>1511202.6018411366</v>
      </c>
      <c r="J1237" s="3">
        <f>IF(ROW()&lt;3, Dashboard!$E$7, IF(Query1[[#This Row],[Month]]&lt;&gt;H1236,J1236*(1+Dashboard!$E$4)+Dashboard!$E$5,J1236))</f>
        <v>1046630.417601082</v>
      </c>
      <c r="K1237">
        <f>IF(ROW()&lt;3, 0,IF(Query1[[#This Row],[Month]]&lt;&gt;H1236,IF((J1237-I1237&gt;0),J1237-I1237,0),0))</f>
        <v>0</v>
      </c>
      <c r="L1237" s="2">
        <f t="shared" si="19"/>
        <v>3592.2989655359538</v>
      </c>
      <c r="M1237">
        <f>IF(ROW()&lt;3, 0, IF(Query1[[#This Row],[Month]]&lt;&gt;H1236, Dashboard!$J$5,0))</f>
        <v>0</v>
      </c>
      <c r="N1237" s="2">
        <f>IF(ROW()&lt;3, Query1[[#This Row],[Shares]], IF(Query1[[#This Row],[Month]]&lt;&gt;H1236, N1236+Query1[[#This Row],[Fix Top Up]]/Query1[[#This Row],[Adj Close]], N1236))</f>
        <v>3441.979041381448</v>
      </c>
      <c r="O1237">
        <f>IF(AND(Query1[[#This Row],[avg]]&gt;0, Query1[[#This Row],[Month]]&lt;&gt;H1236),
    IF(Query1[[#This Row],[Adj Close]]&gt;Query1[[#This Row],[avg]],
       Dashboard!$L$5-Dashboard!$E$6,
       Dashboard!$L$5+Dashboard!$E$6
    ), 0
)</f>
        <v>0</v>
      </c>
      <c r="P1237" s="2">
        <f>IF(ROW()&lt;3, Query1[[#This Row],[Shares]], IF(Query1[[#This Row],[Month]]&lt;&gt;H1236, P1236+Query1[[#This Row],[Enhanced top up]]/Query1[[#This Row],[Adj Close]], P1236))</f>
        <v>3440.9984529953081</v>
      </c>
      <c r="Q1237" s="2">
        <f>IFERROR(AVERAGE(
  IF(ROW()&gt;20, INDEX(G:G, ROW()-20), 0) :
  INDEX(G:G, ROW())
),0)</f>
        <v>415.8462451753162</v>
      </c>
    </row>
    <row r="1238" spans="1:17" x14ac:dyDescent="0.4">
      <c r="A1238" s="1">
        <v>45625</v>
      </c>
      <c r="B1238">
        <v>420.08999633789063</v>
      </c>
      <c r="C1238">
        <v>424.8800048828125</v>
      </c>
      <c r="D1238">
        <v>417.79998779296875</v>
      </c>
      <c r="E1238">
        <v>423.45999145507813</v>
      </c>
      <c r="F1238">
        <v>16271900</v>
      </c>
      <c r="G1238">
        <v>421.1458740234375</v>
      </c>
      <c r="H1238" s="2">
        <f>MONTH(Query1[[#This Row],[Date]])</f>
        <v>11</v>
      </c>
      <c r="I1238" s="3">
        <f>Query1[[#This Row],[Shares]]*Query1[[#This Row],[Adj Close]]</f>
        <v>1512881.8875941297</v>
      </c>
      <c r="J1238" s="3">
        <f>IF(ROW()&lt;3, Dashboard!$E$7, IF(Query1[[#This Row],[Month]]&lt;&gt;H1237,J1237*(1+Dashboard!$E$4)+Dashboard!$E$5,J1237))</f>
        <v>1046630.417601082</v>
      </c>
      <c r="K1238">
        <f>IF(ROW()&lt;3, 0,IF(Query1[[#This Row],[Month]]&lt;&gt;H1237,IF((J1238-I1238&gt;0),J1238-I1238,0),0))</f>
        <v>0</v>
      </c>
      <c r="L1238" s="2">
        <f t="shared" si="19"/>
        <v>3592.2989655359538</v>
      </c>
      <c r="M1238">
        <f>IF(ROW()&lt;3, 0, IF(Query1[[#This Row],[Month]]&lt;&gt;H1237, Dashboard!$J$5,0))</f>
        <v>0</v>
      </c>
      <c r="N1238" s="2">
        <f>IF(ROW()&lt;3, Query1[[#This Row],[Shares]], IF(Query1[[#This Row],[Month]]&lt;&gt;H1237, N1237+Query1[[#This Row],[Fix Top Up]]/Query1[[#This Row],[Adj Close]], N1237))</f>
        <v>3441.979041381448</v>
      </c>
      <c r="O1238">
        <f>IF(AND(Query1[[#This Row],[avg]]&gt;0, Query1[[#This Row],[Month]]&lt;&gt;H1237),
    IF(Query1[[#This Row],[Adj Close]]&gt;Query1[[#This Row],[avg]],
       Dashboard!$L$5-Dashboard!$E$6,
       Dashboard!$L$5+Dashboard!$E$6
    ), 0
)</f>
        <v>0</v>
      </c>
      <c r="P1238" s="2">
        <f>IF(ROW()&lt;3, Query1[[#This Row],[Shares]], IF(Query1[[#This Row],[Month]]&lt;&gt;H1237, P1237+Query1[[#This Row],[Enhanced top up]]/Query1[[#This Row],[Adj Close]], P1237))</f>
        <v>3440.9984529953081</v>
      </c>
      <c r="Q1238" s="2">
        <f>IFERROR(AVERAGE(
  IF(ROW()&gt;20, INDEX(G:G, ROW()-20), 0) :
  INDEX(G:G, ROW())
),0)</f>
        <v>415.45762125651044</v>
      </c>
    </row>
    <row r="1239" spans="1:17" x14ac:dyDescent="0.4">
      <c r="A1239" s="1">
        <v>45628</v>
      </c>
      <c r="B1239">
        <v>421.57000732421875</v>
      </c>
      <c r="C1239">
        <v>433</v>
      </c>
      <c r="D1239">
        <v>421.30999755859375</v>
      </c>
      <c r="E1239">
        <v>430.98001098632813</v>
      </c>
      <c r="F1239">
        <v>20207200</v>
      </c>
      <c r="G1239">
        <v>428.624755859375</v>
      </c>
      <c r="H1239" s="2">
        <f>MONTH(Query1[[#This Row],[Date]])</f>
        <v>12</v>
      </c>
      <c r="I1239" s="3">
        <f>Query1[[#This Row],[Shares]]*Query1[[#This Row],[Adj Close]]</f>
        <v>1539748.2670767335</v>
      </c>
      <c r="J1239" s="3">
        <f>IF(ROW()&lt;3, Dashboard!$E$7, IF(Query1[[#This Row],[Month]]&lt;&gt;H1238,J1238*(1+Dashboard!$E$4)+Dashboard!$E$5,J1238))</f>
        <v>1059096.7217770929</v>
      </c>
      <c r="K1239">
        <f>IF(ROW()&lt;3, 0,IF(Query1[[#This Row],[Month]]&lt;&gt;H1238,IF((J1239-I1239&gt;0),J1239-I1239,0),0))</f>
        <v>0</v>
      </c>
      <c r="L1239" s="2">
        <f t="shared" si="19"/>
        <v>3592.2989655359538</v>
      </c>
      <c r="M1239">
        <f>IF(ROW()&lt;3, 0, IF(Query1[[#This Row],[Month]]&lt;&gt;H1238, Dashboard!$J$5,0))</f>
        <v>773.47399999999971</v>
      </c>
      <c r="N1239" s="2">
        <f>IF(ROW()&lt;3, Query1[[#This Row],[Shares]], IF(Query1[[#This Row],[Month]]&lt;&gt;H1238, N1238+Query1[[#This Row],[Fix Top Up]]/Query1[[#This Row],[Adj Close]], N1238))</f>
        <v>3443.7835895075805</v>
      </c>
      <c r="O1239">
        <f>IF(AND(Query1[[#This Row],[avg]]&gt;0, Query1[[#This Row],[Month]]&lt;&gt;H1238),
    IF(Query1[[#This Row],[Adj Close]]&gt;Query1[[#This Row],[avg]],
       Dashboard!$L$5-Dashboard!$E$6,
       Dashboard!$L$5+Dashboard!$E$6
    ), 0
)</f>
        <v>390.14066666666668</v>
      </c>
      <c r="P1239" s="2">
        <f>IF(ROW()&lt;3, Query1[[#This Row],[Shares]], IF(Query1[[#This Row],[Month]]&lt;&gt;H1238, P1238+Query1[[#This Row],[Enhanced top up]]/Query1[[#This Row],[Adj Close]], P1238))</f>
        <v>3441.9086679591742</v>
      </c>
      <c r="Q1239" s="2">
        <f>IFERROR(AVERAGE(
  IF(ROW()&gt;20, INDEX(G:G, ROW()-20), 0) :
  INDEX(G:G, ROW())
),0)</f>
        <v>416.66251046316967</v>
      </c>
    </row>
    <row r="1240" spans="1:17" x14ac:dyDescent="0.4">
      <c r="A1240" s="1">
        <v>45629</v>
      </c>
      <c r="B1240">
        <v>429.83999633789063</v>
      </c>
      <c r="C1240">
        <v>432.47000122070313</v>
      </c>
      <c r="D1240">
        <v>427.739990234375</v>
      </c>
      <c r="E1240">
        <v>431.20001220703125</v>
      </c>
      <c r="F1240">
        <v>18302000</v>
      </c>
      <c r="G1240">
        <v>428.84356689453125</v>
      </c>
      <c r="H1240" s="2">
        <f>MONTH(Query1[[#This Row],[Date]])</f>
        <v>12</v>
      </c>
      <c r="I1240" s="3">
        <f>Query1[[#This Row],[Shares]]*Query1[[#This Row],[Adj Close]]</f>
        <v>1540534.3017319732</v>
      </c>
      <c r="J1240" s="3">
        <f>IF(ROW()&lt;3, Dashboard!$E$7, IF(Query1[[#This Row],[Month]]&lt;&gt;H1239,J1239*(1+Dashboard!$E$4)+Dashboard!$E$5,J1239))</f>
        <v>1059096.7217770929</v>
      </c>
      <c r="K1240">
        <f>IF(ROW()&lt;3, 0,IF(Query1[[#This Row],[Month]]&lt;&gt;H1239,IF((J1240-I1240&gt;0),J1240-I1240,0),0))</f>
        <v>0</v>
      </c>
      <c r="L1240" s="2">
        <f t="shared" si="19"/>
        <v>3592.2989655359538</v>
      </c>
      <c r="M1240">
        <f>IF(ROW()&lt;3, 0, IF(Query1[[#This Row],[Month]]&lt;&gt;H1239, Dashboard!$J$5,0))</f>
        <v>0</v>
      </c>
      <c r="N1240" s="2">
        <f>IF(ROW()&lt;3, Query1[[#This Row],[Shares]], IF(Query1[[#This Row],[Month]]&lt;&gt;H1239, N1239+Query1[[#This Row],[Fix Top Up]]/Query1[[#This Row],[Adj Close]], N1239))</f>
        <v>3443.7835895075805</v>
      </c>
      <c r="O1240">
        <f>IF(AND(Query1[[#This Row],[avg]]&gt;0, Query1[[#This Row],[Month]]&lt;&gt;H1239),
    IF(Query1[[#This Row],[Adj Close]]&gt;Query1[[#This Row],[avg]],
       Dashboard!$L$5-Dashboard!$E$6,
       Dashboard!$L$5+Dashboard!$E$6
    ), 0
)</f>
        <v>0</v>
      </c>
      <c r="P1240" s="2">
        <f>IF(ROW()&lt;3, Query1[[#This Row],[Shares]], IF(Query1[[#This Row],[Month]]&lt;&gt;H1239, P1239+Query1[[#This Row],[Enhanced top up]]/Query1[[#This Row],[Adj Close]], P1239))</f>
        <v>3441.9086679591742</v>
      </c>
      <c r="Q1240" s="2">
        <f>IFERROR(AVERAGE(
  IF(ROW()&gt;20, INDEX(G:G, ROW()-20), 0) :
  INDEX(G:G, ROW())
),0)</f>
        <v>417.68781825474332</v>
      </c>
    </row>
    <row r="1241" spans="1:17" x14ac:dyDescent="0.4">
      <c r="A1241" s="1">
        <v>45630</v>
      </c>
      <c r="B1241">
        <v>433.02999877929688</v>
      </c>
      <c r="C1241">
        <v>439.67001342773438</v>
      </c>
      <c r="D1241">
        <v>432.6300048828125</v>
      </c>
      <c r="E1241">
        <v>437.42001342773438</v>
      </c>
      <c r="F1241">
        <v>26009400</v>
      </c>
      <c r="G1241">
        <v>435.02957153320313</v>
      </c>
      <c r="H1241" s="2">
        <f>MONTH(Query1[[#This Row],[Date]])</f>
        <v>12</v>
      </c>
      <c r="I1241" s="3">
        <f>Query1[[#This Row],[Shares]]*Query1[[#This Row],[Adj Close]]</f>
        <v>1562756.2797962748</v>
      </c>
      <c r="J1241" s="3">
        <f>IF(ROW()&lt;3, Dashboard!$E$7, IF(Query1[[#This Row],[Month]]&lt;&gt;H1240,J1240*(1+Dashboard!$E$4)+Dashboard!$E$5,J1240))</f>
        <v>1059096.7217770929</v>
      </c>
      <c r="K1241">
        <f>IF(ROW()&lt;3, 0,IF(Query1[[#This Row],[Month]]&lt;&gt;H1240,IF((J1241-I1241&gt;0),J1241-I1241,0),0))</f>
        <v>0</v>
      </c>
      <c r="L1241" s="2">
        <f t="shared" si="19"/>
        <v>3592.2989655359538</v>
      </c>
      <c r="M1241">
        <f>IF(ROW()&lt;3, 0, IF(Query1[[#This Row],[Month]]&lt;&gt;H1240, Dashboard!$J$5,0))</f>
        <v>0</v>
      </c>
      <c r="N1241" s="2">
        <f>IF(ROW()&lt;3, Query1[[#This Row],[Shares]], IF(Query1[[#This Row],[Month]]&lt;&gt;H1240, N1240+Query1[[#This Row],[Fix Top Up]]/Query1[[#This Row],[Adj Close]], N1240))</f>
        <v>3443.7835895075805</v>
      </c>
      <c r="O1241">
        <f>IF(AND(Query1[[#This Row],[avg]]&gt;0, Query1[[#This Row],[Month]]&lt;&gt;H1240),
    IF(Query1[[#This Row],[Adj Close]]&gt;Query1[[#This Row],[avg]],
       Dashboard!$L$5-Dashboard!$E$6,
       Dashboard!$L$5+Dashboard!$E$6
    ), 0
)</f>
        <v>0</v>
      </c>
      <c r="P1241" s="2">
        <f>IF(ROW()&lt;3, Query1[[#This Row],[Shares]], IF(Query1[[#This Row],[Month]]&lt;&gt;H1240, P1240+Query1[[#This Row],[Enhanced top up]]/Query1[[#This Row],[Adj Close]], P1240))</f>
        <v>3441.9086679591742</v>
      </c>
      <c r="Q1241" s="2">
        <f>IFERROR(AVERAGE(
  IF(ROW()&gt;20, INDEX(G:G, ROW()-20), 0) :
  INDEX(G:G, ROW())
),0)</f>
        <v>419.09797305152529</v>
      </c>
    </row>
    <row r="1242" spans="1:17" x14ac:dyDescent="0.4">
      <c r="A1242" s="1">
        <v>45631</v>
      </c>
      <c r="B1242">
        <v>437.92001342773438</v>
      </c>
      <c r="C1242">
        <v>444.66000366210938</v>
      </c>
      <c r="D1242">
        <v>436.17001342773438</v>
      </c>
      <c r="E1242">
        <v>442.6199951171875</v>
      </c>
      <c r="F1242">
        <v>21697800</v>
      </c>
      <c r="G1242">
        <v>440.20114135742188</v>
      </c>
      <c r="H1242" s="2">
        <f>MONTH(Query1[[#This Row],[Date]])</f>
        <v>12</v>
      </c>
      <c r="I1242" s="3">
        <f>Query1[[#This Row],[Shares]]*Query1[[#This Row],[Adj Close]]</f>
        <v>1581334.1047260128</v>
      </c>
      <c r="J1242" s="3">
        <f>IF(ROW()&lt;3, Dashboard!$E$7, IF(Query1[[#This Row],[Month]]&lt;&gt;H1241,J1241*(1+Dashboard!$E$4)+Dashboard!$E$5,J1241))</f>
        <v>1059096.7217770929</v>
      </c>
      <c r="K1242">
        <f>IF(ROW()&lt;3, 0,IF(Query1[[#This Row],[Month]]&lt;&gt;H1241,IF((J1242-I1242&gt;0),J1242-I1242,0),0))</f>
        <v>0</v>
      </c>
      <c r="L1242" s="2">
        <f t="shared" si="19"/>
        <v>3592.2989655359538</v>
      </c>
      <c r="M1242">
        <f>IF(ROW()&lt;3, 0, IF(Query1[[#This Row],[Month]]&lt;&gt;H1241, Dashboard!$J$5,0))</f>
        <v>0</v>
      </c>
      <c r="N1242" s="2">
        <f>IF(ROW()&lt;3, Query1[[#This Row],[Shares]], IF(Query1[[#This Row],[Month]]&lt;&gt;H1241, N1241+Query1[[#This Row],[Fix Top Up]]/Query1[[#This Row],[Adj Close]], N1241))</f>
        <v>3443.7835895075805</v>
      </c>
      <c r="O1242">
        <f>IF(AND(Query1[[#This Row],[avg]]&gt;0, Query1[[#This Row],[Month]]&lt;&gt;H1241),
    IF(Query1[[#This Row],[Adj Close]]&gt;Query1[[#This Row],[avg]],
       Dashboard!$L$5-Dashboard!$E$6,
       Dashboard!$L$5+Dashboard!$E$6
    ), 0
)</f>
        <v>0</v>
      </c>
      <c r="P1242" s="2">
        <f>IF(ROW()&lt;3, Query1[[#This Row],[Shares]], IF(Query1[[#This Row],[Month]]&lt;&gt;H1241, P1241+Query1[[#This Row],[Enhanced top up]]/Query1[[#This Row],[Adj Close]], P1241))</f>
        <v>3441.9086679591742</v>
      </c>
      <c r="Q1242" s="2">
        <f>IFERROR(AVERAGE(
  IF(ROW()&gt;20, INDEX(G:G, ROW()-20), 0) :
  INDEX(G:G, ROW())
),0)</f>
        <v>420.61260114397322</v>
      </c>
    </row>
    <row r="1243" spans="1:17" x14ac:dyDescent="0.4">
      <c r="A1243" s="1">
        <v>45632</v>
      </c>
      <c r="B1243">
        <v>442.29998779296875</v>
      </c>
      <c r="C1243">
        <v>446.10000610351563</v>
      </c>
      <c r="D1243">
        <v>441.76998901367188</v>
      </c>
      <c r="E1243">
        <v>443.57000732421875</v>
      </c>
      <c r="F1243">
        <v>18821000</v>
      </c>
      <c r="G1243">
        <v>441.14593505859375</v>
      </c>
      <c r="H1243" s="2">
        <f>MONTH(Query1[[#This Row],[Date]])</f>
        <v>12</v>
      </c>
      <c r="I1243" s="3">
        <f>Query1[[#This Row],[Shares]]*Query1[[#This Row],[Adj Close]]</f>
        <v>1584728.0861613774</v>
      </c>
      <c r="J1243" s="3">
        <f>IF(ROW()&lt;3, Dashboard!$E$7, IF(Query1[[#This Row],[Month]]&lt;&gt;H1242,J1242*(1+Dashboard!$E$4)+Dashboard!$E$5,J1242))</f>
        <v>1059096.7217770929</v>
      </c>
      <c r="K1243">
        <f>IF(ROW()&lt;3, 0,IF(Query1[[#This Row],[Month]]&lt;&gt;H1242,IF((J1243-I1243&gt;0),J1243-I1243,0),0))</f>
        <v>0</v>
      </c>
      <c r="L1243" s="2">
        <f t="shared" si="19"/>
        <v>3592.2989655359538</v>
      </c>
      <c r="M1243">
        <f>IF(ROW()&lt;3, 0, IF(Query1[[#This Row],[Month]]&lt;&gt;H1242, Dashboard!$J$5,0))</f>
        <v>0</v>
      </c>
      <c r="N1243" s="2">
        <f>IF(ROW()&lt;3, Query1[[#This Row],[Shares]], IF(Query1[[#This Row],[Month]]&lt;&gt;H1242, N1242+Query1[[#This Row],[Fix Top Up]]/Query1[[#This Row],[Adj Close]], N1242))</f>
        <v>3443.7835895075805</v>
      </c>
      <c r="O1243">
        <f>IF(AND(Query1[[#This Row],[avg]]&gt;0, Query1[[#This Row],[Month]]&lt;&gt;H1242),
    IF(Query1[[#This Row],[Adj Close]]&gt;Query1[[#This Row],[avg]],
       Dashboard!$L$5-Dashboard!$E$6,
       Dashboard!$L$5+Dashboard!$E$6
    ), 0
)</f>
        <v>0</v>
      </c>
      <c r="P1243" s="2">
        <f>IF(ROW()&lt;3, Query1[[#This Row],[Shares]], IF(Query1[[#This Row],[Month]]&lt;&gt;H1242, P1242+Query1[[#This Row],[Enhanced top up]]/Query1[[#This Row],[Adj Close]], P1242))</f>
        <v>3441.9086679591742</v>
      </c>
      <c r="Q1243" s="2">
        <f>IFERROR(AVERAGE(
  IF(ROW()&gt;20, INDEX(G:G, ROW()-20), 0) :
  INDEX(G:G, ROW())
),0)</f>
        <v>421.76007516043529</v>
      </c>
    </row>
    <row r="1244" spans="1:17" x14ac:dyDescent="0.4">
      <c r="A1244" s="1">
        <v>45635</v>
      </c>
      <c r="B1244">
        <v>442.60000610351563</v>
      </c>
      <c r="C1244">
        <v>448.32998657226563</v>
      </c>
      <c r="D1244">
        <v>440.5</v>
      </c>
      <c r="E1244">
        <v>446.01998901367188</v>
      </c>
      <c r="F1244">
        <v>19144400</v>
      </c>
      <c r="G1244">
        <v>443.58255004882813</v>
      </c>
      <c r="H1244" s="2">
        <f>MONTH(Query1[[#This Row],[Date]])</f>
        <v>12</v>
      </c>
      <c r="I1244" s="3">
        <f>Query1[[#This Row],[Shares]]*Query1[[#This Row],[Adj Close]]</f>
        <v>1593481.1356702058</v>
      </c>
      <c r="J1244" s="3">
        <f>IF(ROW()&lt;3, Dashboard!$E$7, IF(Query1[[#This Row],[Month]]&lt;&gt;H1243,J1243*(1+Dashboard!$E$4)+Dashboard!$E$5,J1243))</f>
        <v>1059096.7217770929</v>
      </c>
      <c r="K1244">
        <f>IF(ROW()&lt;3, 0,IF(Query1[[#This Row],[Month]]&lt;&gt;H1243,IF((J1244-I1244&gt;0),J1244-I1244,0),0))</f>
        <v>0</v>
      </c>
      <c r="L1244" s="2">
        <f t="shared" si="19"/>
        <v>3592.2989655359538</v>
      </c>
      <c r="M1244">
        <f>IF(ROW()&lt;3, 0, IF(Query1[[#This Row],[Month]]&lt;&gt;H1243, Dashboard!$J$5,0))</f>
        <v>0</v>
      </c>
      <c r="N1244" s="2">
        <f>IF(ROW()&lt;3, Query1[[#This Row],[Shares]], IF(Query1[[#This Row],[Month]]&lt;&gt;H1243, N1243+Query1[[#This Row],[Fix Top Up]]/Query1[[#This Row],[Adj Close]], N1243))</f>
        <v>3443.7835895075805</v>
      </c>
      <c r="O1244">
        <f>IF(AND(Query1[[#This Row],[avg]]&gt;0, Query1[[#This Row],[Month]]&lt;&gt;H1243),
    IF(Query1[[#This Row],[Adj Close]]&gt;Query1[[#This Row],[avg]],
       Dashboard!$L$5-Dashboard!$E$6,
       Dashboard!$L$5+Dashboard!$E$6
    ), 0
)</f>
        <v>0</v>
      </c>
      <c r="P1244" s="2">
        <f>IF(ROW()&lt;3, Query1[[#This Row],[Shares]], IF(Query1[[#This Row],[Month]]&lt;&gt;H1243, P1243+Query1[[#This Row],[Enhanced top up]]/Query1[[#This Row],[Adj Close]], P1243))</f>
        <v>3441.9086679591742</v>
      </c>
      <c r="Q1244" s="2">
        <f>IFERROR(AVERAGE(
  IF(ROW()&gt;20, INDEX(G:G, ROW()-20), 0) :
  INDEX(G:G, ROW())
),0)</f>
        <v>422.77544148763019</v>
      </c>
    </row>
    <row r="1245" spans="1:17" x14ac:dyDescent="0.4">
      <c r="A1245" s="1">
        <v>45636</v>
      </c>
      <c r="B1245">
        <v>444.3900146484375</v>
      </c>
      <c r="C1245">
        <v>449.6199951171875</v>
      </c>
      <c r="D1245">
        <v>441.60000610351563</v>
      </c>
      <c r="E1245">
        <v>443.32998657226563</v>
      </c>
      <c r="F1245">
        <v>18469500</v>
      </c>
      <c r="G1245">
        <v>440.9072265625</v>
      </c>
      <c r="H1245" s="2">
        <f>MONTH(Query1[[#This Row],[Date]])</f>
        <v>12</v>
      </c>
      <c r="I1245" s="3">
        <f>Query1[[#This Row],[Shares]]*Query1[[#This Row],[Adj Close]]</f>
        <v>1583870.5738777951</v>
      </c>
      <c r="J1245" s="3">
        <f>IF(ROW()&lt;3, Dashboard!$E$7, IF(Query1[[#This Row],[Month]]&lt;&gt;H1244,J1244*(1+Dashboard!$E$4)+Dashboard!$E$5,J1244))</f>
        <v>1059096.7217770929</v>
      </c>
      <c r="K1245">
        <f>IF(ROW()&lt;3, 0,IF(Query1[[#This Row],[Month]]&lt;&gt;H1244,IF((J1245-I1245&gt;0),J1245-I1245,0),0))</f>
        <v>0</v>
      </c>
      <c r="L1245" s="2">
        <f t="shared" si="19"/>
        <v>3592.2989655359538</v>
      </c>
      <c r="M1245">
        <f>IF(ROW()&lt;3, 0, IF(Query1[[#This Row],[Month]]&lt;&gt;H1244, Dashboard!$J$5,0))</f>
        <v>0</v>
      </c>
      <c r="N1245" s="2">
        <f>IF(ROW()&lt;3, Query1[[#This Row],[Shares]], IF(Query1[[#This Row],[Month]]&lt;&gt;H1244, N1244+Query1[[#This Row],[Fix Top Up]]/Query1[[#This Row],[Adj Close]], N1244))</f>
        <v>3443.7835895075805</v>
      </c>
      <c r="O1245">
        <f>IF(AND(Query1[[#This Row],[avg]]&gt;0, Query1[[#This Row],[Month]]&lt;&gt;H1244),
    IF(Query1[[#This Row],[Adj Close]]&gt;Query1[[#This Row],[avg]],
       Dashboard!$L$5-Dashboard!$E$6,
       Dashboard!$L$5+Dashboard!$E$6
    ), 0
)</f>
        <v>0</v>
      </c>
      <c r="P1245" s="2">
        <f>IF(ROW()&lt;3, Query1[[#This Row],[Shares]], IF(Query1[[#This Row],[Month]]&lt;&gt;H1244, P1244+Query1[[#This Row],[Enhanced top up]]/Query1[[#This Row],[Adj Close]], P1244))</f>
        <v>3441.9086679591742</v>
      </c>
      <c r="Q1245" s="2">
        <f>IFERROR(AVERAGE(
  IF(ROW()&gt;20, INDEX(G:G, ROW()-20), 0) :
  INDEX(G:G, ROW())
),0)</f>
        <v>423.80000523158481</v>
      </c>
    </row>
    <row r="1246" spans="1:17" x14ac:dyDescent="0.4">
      <c r="A1246" s="1">
        <v>45637</v>
      </c>
      <c r="B1246">
        <v>444.04998779296875</v>
      </c>
      <c r="C1246">
        <v>450.35000610351563</v>
      </c>
      <c r="D1246">
        <v>444.04998779296875</v>
      </c>
      <c r="E1246">
        <v>448.989990234375</v>
      </c>
      <c r="F1246">
        <v>19200200</v>
      </c>
      <c r="G1246">
        <v>446.53634643554688</v>
      </c>
      <c r="H1246" s="2">
        <f>MONTH(Query1[[#This Row],[Date]])</f>
        <v>12</v>
      </c>
      <c r="I1246" s="3">
        <f>Query1[[#This Row],[Shares]]*Query1[[#This Row],[Adj Close]]</f>
        <v>1604092.0553746193</v>
      </c>
      <c r="J1246" s="3">
        <f>IF(ROW()&lt;3, Dashboard!$E$7, IF(Query1[[#This Row],[Month]]&lt;&gt;H1245,J1245*(1+Dashboard!$E$4)+Dashboard!$E$5,J1245))</f>
        <v>1059096.7217770929</v>
      </c>
      <c r="K1246">
        <f>IF(ROW()&lt;3, 0,IF(Query1[[#This Row],[Month]]&lt;&gt;H1245,IF((J1246-I1246&gt;0),J1246-I1246,0),0))</f>
        <v>0</v>
      </c>
      <c r="L1246" s="2">
        <f t="shared" si="19"/>
        <v>3592.2989655359538</v>
      </c>
      <c r="M1246">
        <f>IF(ROW()&lt;3, 0, IF(Query1[[#This Row],[Month]]&lt;&gt;H1245, Dashboard!$J$5,0))</f>
        <v>0</v>
      </c>
      <c r="N1246" s="2">
        <f>IF(ROW()&lt;3, Query1[[#This Row],[Shares]], IF(Query1[[#This Row],[Month]]&lt;&gt;H1245, N1245+Query1[[#This Row],[Fix Top Up]]/Query1[[#This Row],[Adj Close]], N1245))</f>
        <v>3443.7835895075805</v>
      </c>
      <c r="O1246">
        <f>IF(AND(Query1[[#This Row],[avg]]&gt;0, Query1[[#This Row],[Month]]&lt;&gt;H1245),
    IF(Query1[[#This Row],[Adj Close]]&gt;Query1[[#This Row],[avg]],
       Dashboard!$L$5-Dashboard!$E$6,
       Dashboard!$L$5+Dashboard!$E$6
    ), 0
)</f>
        <v>0</v>
      </c>
      <c r="P1246" s="2">
        <f>IF(ROW()&lt;3, Query1[[#This Row],[Shares]], IF(Query1[[#This Row],[Month]]&lt;&gt;H1245, P1245+Query1[[#This Row],[Enhanced top up]]/Query1[[#This Row],[Adj Close]], P1245))</f>
        <v>3441.9086679591742</v>
      </c>
      <c r="Q1246" s="2">
        <f>IFERROR(AVERAGE(
  IF(ROW()&gt;20, INDEX(G:G, ROW()-20), 0) :
  INDEX(G:G, ROW())
),0)</f>
        <v>425.30672781808033</v>
      </c>
    </row>
    <row r="1247" spans="1:17" x14ac:dyDescent="0.4">
      <c r="A1247" s="1">
        <v>45638</v>
      </c>
      <c r="B1247">
        <v>449.1099853515625</v>
      </c>
      <c r="C1247">
        <v>456.16000366210938</v>
      </c>
      <c r="D1247">
        <v>449.1099853515625</v>
      </c>
      <c r="E1247">
        <v>449.55999755859375</v>
      </c>
      <c r="F1247">
        <v>20834800</v>
      </c>
      <c r="G1247">
        <v>447.10321044921875</v>
      </c>
      <c r="H1247" s="2">
        <f>MONTH(Query1[[#This Row],[Date]])</f>
        <v>12</v>
      </c>
      <c r="I1247" s="3">
        <f>Query1[[#This Row],[Shares]]*Query1[[#This Row],[Adj Close]]</f>
        <v>1606128.4003845323</v>
      </c>
      <c r="J1247" s="3">
        <f>IF(ROW()&lt;3, Dashboard!$E$7, IF(Query1[[#This Row],[Month]]&lt;&gt;H1246,J1246*(1+Dashboard!$E$4)+Dashboard!$E$5,J1246))</f>
        <v>1059096.7217770929</v>
      </c>
      <c r="K1247">
        <f>IF(ROW()&lt;3, 0,IF(Query1[[#This Row],[Month]]&lt;&gt;H1246,IF((J1247-I1247&gt;0),J1247-I1247,0),0))</f>
        <v>0</v>
      </c>
      <c r="L1247" s="2">
        <f t="shared" si="19"/>
        <v>3592.2989655359538</v>
      </c>
      <c r="M1247">
        <f>IF(ROW()&lt;3, 0, IF(Query1[[#This Row],[Month]]&lt;&gt;H1246, Dashboard!$J$5,0))</f>
        <v>0</v>
      </c>
      <c r="N1247" s="2">
        <f>IF(ROW()&lt;3, Query1[[#This Row],[Shares]], IF(Query1[[#This Row],[Month]]&lt;&gt;H1246, N1246+Query1[[#This Row],[Fix Top Up]]/Query1[[#This Row],[Adj Close]], N1246))</f>
        <v>3443.7835895075805</v>
      </c>
      <c r="O1247">
        <f>IF(AND(Query1[[#This Row],[avg]]&gt;0, Query1[[#This Row],[Month]]&lt;&gt;H1246),
    IF(Query1[[#This Row],[Adj Close]]&gt;Query1[[#This Row],[avg]],
       Dashboard!$L$5-Dashboard!$E$6,
       Dashboard!$L$5+Dashboard!$E$6
    ), 0
)</f>
        <v>0</v>
      </c>
      <c r="P1247" s="2">
        <f>IF(ROW()&lt;3, Query1[[#This Row],[Shares]], IF(Query1[[#This Row],[Month]]&lt;&gt;H1246, P1246+Query1[[#This Row],[Enhanced top up]]/Query1[[#This Row],[Adj Close]], P1246))</f>
        <v>3441.9086679591742</v>
      </c>
      <c r="Q1247" s="2">
        <f>IFERROR(AVERAGE(
  IF(ROW()&gt;20, INDEX(G:G, ROW()-20), 0) :
  INDEX(G:G, ROW())
),0)</f>
        <v>426.60317847842259</v>
      </c>
    </row>
    <row r="1248" spans="1:17" x14ac:dyDescent="0.4">
      <c r="A1248" s="1">
        <v>45639</v>
      </c>
      <c r="B1248">
        <v>448.44000244140625</v>
      </c>
      <c r="C1248">
        <v>451.42999267578125</v>
      </c>
      <c r="D1248">
        <v>445.57998657226563</v>
      </c>
      <c r="E1248">
        <v>447.26998901367188</v>
      </c>
      <c r="F1248">
        <v>20177800</v>
      </c>
      <c r="G1248">
        <v>444.82571411132813</v>
      </c>
      <c r="H1248" s="2">
        <f>MONTH(Query1[[#This Row],[Date]])</f>
        <v>12</v>
      </c>
      <c r="I1248" s="3">
        <f>Query1[[#This Row],[Shares]]*Query1[[#This Row],[Adj Close]]</f>
        <v>1597946.952645916</v>
      </c>
      <c r="J1248" s="3">
        <f>IF(ROW()&lt;3, Dashboard!$E$7, IF(Query1[[#This Row],[Month]]&lt;&gt;H1247,J1247*(1+Dashboard!$E$4)+Dashboard!$E$5,J1247))</f>
        <v>1059096.7217770929</v>
      </c>
      <c r="K1248">
        <f>IF(ROW()&lt;3, 0,IF(Query1[[#This Row],[Month]]&lt;&gt;H1247,IF((J1248-I1248&gt;0),J1248-I1248,0),0))</f>
        <v>0</v>
      </c>
      <c r="L1248" s="2">
        <f t="shared" si="19"/>
        <v>3592.2989655359538</v>
      </c>
      <c r="M1248">
        <f>IF(ROW()&lt;3, 0, IF(Query1[[#This Row],[Month]]&lt;&gt;H1247, Dashboard!$J$5,0))</f>
        <v>0</v>
      </c>
      <c r="N1248" s="2">
        <f>IF(ROW()&lt;3, Query1[[#This Row],[Shares]], IF(Query1[[#This Row],[Month]]&lt;&gt;H1247, N1247+Query1[[#This Row],[Fix Top Up]]/Query1[[#This Row],[Adj Close]], N1247))</f>
        <v>3443.7835895075805</v>
      </c>
      <c r="O1248">
        <f>IF(AND(Query1[[#This Row],[avg]]&gt;0, Query1[[#This Row],[Month]]&lt;&gt;H1247),
    IF(Query1[[#This Row],[Adj Close]]&gt;Query1[[#This Row],[avg]],
       Dashboard!$L$5-Dashboard!$E$6,
       Dashboard!$L$5+Dashboard!$E$6
    ), 0
)</f>
        <v>0</v>
      </c>
      <c r="P1248" s="2">
        <f>IF(ROW()&lt;3, Query1[[#This Row],[Shares]], IF(Query1[[#This Row],[Month]]&lt;&gt;H1247, P1247+Query1[[#This Row],[Enhanced top up]]/Query1[[#This Row],[Adj Close]], P1247))</f>
        <v>3441.9086679591742</v>
      </c>
      <c r="Q1248" s="2">
        <f>IFERROR(AVERAGE(
  IF(ROW()&gt;20, INDEX(G:G, ROW()-20), 0) :
  INDEX(G:G, ROW())
),0)</f>
        <v>427.68861316499255</v>
      </c>
    </row>
    <row r="1249" spans="1:17" x14ac:dyDescent="0.4">
      <c r="A1249" s="1">
        <v>45642</v>
      </c>
      <c r="B1249">
        <v>447.26998901367188</v>
      </c>
      <c r="C1249">
        <v>452.17999267578125</v>
      </c>
      <c r="D1249">
        <v>445.27999877929688</v>
      </c>
      <c r="E1249">
        <v>451.58999633789063</v>
      </c>
      <c r="F1249">
        <v>23598800</v>
      </c>
      <c r="G1249">
        <v>449.12210083007813</v>
      </c>
      <c r="H1249" s="2">
        <f>MONTH(Query1[[#This Row],[Date]])</f>
        <v>12</v>
      </c>
      <c r="I1249" s="3">
        <f>Query1[[#This Row],[Shares]]*Query1[[#This Row],[Adj Close]]</f>
        <v>1613380.858211224</v>
      </c>
      <c r="J1249" s="3">
        <f>IF(ROW()&lt;3, Dashboard!$E$7, IF(Query1[[#This Row],[Month]]&lt;&gt;H1248,J1248*(1+Dashboard!$E$4)+Dashboard!$E$5,J1248))</f>
        <v>1059096.7217770929</v>
      </c>
      <c r="K1249">
        <f>IF(ROW()&lt;3, 0,IF(Query1[[#This Row],[Month]]&lt;&gt;H1248,IF((J1249-I1249&gt;0),J1249-I1249,0),0))</f>
        <v>0</v>
      </c>
      <c r="L1249" s="2">
        <f t="shared" si="19"/>
        <v>3592.2989655359538</v>
      </c>
      <c r="M1249">
        <f>IF(ROW()&lt;3, 0, IF(Query1[[#This Row],[Month]]&lt;&gt;H1248, Dashboard!$J$5,0))</f>
        <v>0</v>
      </c>
      <c r="N1249" s="2">
        <f>IF(ROW()&lt;3, Query1[[#This Row],[Shares]], IF(Query1[[#This Row],[Month]]&lt;&gt;H1248, N1248+Query1[[#This Row],[Fix Top Up]]/Query1[[#This Row],[Adj Close]], N1248))</f>
        <v>3443.7835895075805</v>
      </c>
      <c r="O1249">
        <f>IF(AND(Query1[[#This Row],[avg]]&gt;0, Query1[[#This Row],[Month]]&lt;&gt;H1248),
    IF(Query1[[#This Row],[Adj Close]]&gt;Query1[[#This Row],[avg]],
       Dashboard!$L$5-Dashboard!$E$6,
       Dashboard!$L$5+Dashboard!$E$6
    ), 0
)</f>
        <v>0</v>
      </c>
      <c r="P1249" s="2">
        <f>IF(ROW()&lt;3, Query1[[#This Row],[Shares]], IF(Query1[[#This Row],[Month]]&lt;&gt;H1248, P1248+Query1[[#This Row],[Enhanced top up]]/Query1[[#This Row],[Adj Close]], P1248))</f>
        <v>3441.9086679591742</v>
      </c>
      <c r="Q1249" s="2">
        <f>IFERROR(AVERAGE(
  IF(ROW()&gt;20, INDEX(G:G, ROW()-20), 0) :
  INDEX(G:G, ROW())
),0)</f>
        <v>428.89876011439731</v>
      </c>
    </row>
    <row r="1250" spans="1:17" x14ac:dyDescent="0.4">
      <c r="A1250" s="1">
        <v>45643</v>
      </c>
      <c r="B1250">
        <v>451.010009765625</v>
      </c>
      <c r="C1250">
        <v>455.29000854492188</v>
      </c>
      <c r="D1250">
        <v>449.57000732421875</v>
      </c>
      <c r="E1250">
        <v>454.45999145507813</v>
      </c>
      <c r="F1250">
        <v>22733500</v>
      </c>
      <c r="G1250">
        <v>451.9764404296875</v>
      </c>
      <c r="H1250" s="2">
        <f>MONTH(Query1[[#This Row],[Date]])</f>
        <v>12</v>
      </c>
      <c r="I1250" s="3">
        <f>Query1[[#This Row],[Shares]]*Query1[[#This Row],[Adj Close]]</f>
        <v>1623634.4994021892</v>
      </c>
      <c r="J1250" s="3">
        <f>IF(ROW()&lt;3, Dashboard!$E$7, IF(Query1[[#This Row],[Month]]&lt;&gt;H1249,J1249*(1+Dashboard!$E$4)+Dashboard!$E$5,J1249))</f>
        <v>1059096.7217770929</v>
      </c>
      <c r="K1250">
        <f>IF(ROW()&lt;3, 0,IF(Query1[[#This Row],[Month]]&lt;&gt;H1249,IF((J1250-I1250&gt;0),J1250-I1250,0),0))</f>
        <v>0</v>
      </c>
      <c r="L1250" s="2">
        <f t="shared" si="19"/>
        <v>3592.2989655359538</v>
      </c>
      <c r="M1250">
        <f>IF(ROW()&lt;3, 0, IF(Query1[[#This Row],[Month]]&lt;&gt;H1249, Dashboard!$J$5,0))</f>
        <v>0</v>
      </c>
      <c r="N1250" s="2">
        <f>IF(ROW()&lt;3, Query1[[#This Row],[Shares]], IF(Query1[[#This Row],[Month]]&lt;&gt;H1249, N1249+Query1[[#This Row],[Fix Top Up]]/Query1[[#This Row],[Adj Close]], N1249))</f>
        <v>3443.7835895075805</v>
      </c>
      <c r="O1250">
        <f>IF(AND(Query1[[#This Row],[avg]]&gt;0, Query1[[#This Row],[Month]]&lt;&gt;H1249),
    IF(Query1[[#This Row],[Adj Close]]&gt;Query1[[#This Row],[avg]],
       Dashboard!$L$5-Dashboard!$E$6,
       Dashboard!$L$5+Dashboard!$E$6
    ), 0
)</f>
        <v>0</v>
      </c>
      <c r="P1250" s="2">
        <f>IF(ROW()&lt;3, Query1[[#This Row],[Shares]], IF(Query1[[#This Row],[Month]]&lt;&gt;H1249, P1249+Query1[[#This Row],[Enhanced top up]]/Query1[[#This Row],[Adj Close]], P1249))</f>
        <v>3441.9086679591742</v>
      </c>
      <c r="Q1250" s="2">
        <f>IFERROR(AVERAGE(
  IF(ROW()&gt;20, INDEX(G:G, ROW()-20), 0) :
  INDEX(G:G, ROW())
),0)</f>
        <v>430.80680047898068</v>
      </c>
    </row>
    <row r="1251" spans="1:17" x14ac:dyDescent="0.4">
      <c r="A1251" s="1">
        <v>45644</v>
      </c>
      <c r="B1251">
        <v>451.32000732421875</v>
      </c>
      <c r="C1251">
        <v>452.64999389648438</v>
      </c>
      <c r="D1251">
        <v>437.01998901367188</v>
      </c>
      <c r="E1251">
        <v>437.3900146484375</v>
      </c>
      <c r="F1251">
        <v>24444500</v>
      </c>
      <c r="G1251">
        <v>434.999755859375</v>
      </c>
      <c r="H1251" s="2">
        <f>MONTH(Query1[[#This Row],[Date]])</f>
        <v>12</v>
      </c>
      <c r="I1251" s="3">
        <f>Query1[[#This Row],[Shares]]*Query1[[#This Row],[Adj Close]]</f>
        <v>1562649.1729820252</v>
      </c>
      <c r="J1251" s="3">
        <f>IF(ROW()&lt;3, Dashboard!$E$7, IF(Query1[[#This Row],[Month]]&lt;&gt;H1250,J1250*(1+Dashboard!$E$4)+Dashboard!$E$5,J1250))</f>
        <v>1059096.7217770929</v>
      </c>
      <c r="K1251">
        <f>IF(ROW()&lt;3, 0,IF(Query1[[#This Row],[Month]]&lt;&gt;H1250,IF((J1251-I1251&gt;0),J1251-I1251,0),0))</f>
        <v>0</v>
      </c>
      <c r="L1251" s="2">
        <f t="shared" si="19"/>
        <v>3592.2989655359538</v>
      </c>
      <c r="N1251" s="2">
        <f>IF(ROW()&lt;3, Query1[[#This Row],[Shares]], IF(Query1[[#This Row],[Month]]&lt;&gt;H1250, N1250+Query1[[#This Row],[Fix Top Up]]/Query1[[#This Row],[Adj Close]], N1250))</f>
        <v>3443.7835895075805</v>
      </c>
      <c r="P1251" s="2">
        <f>IF(ROW()&lt;3, Query1[[#This Row],[Shares]], IF(Query1[[#This Row],[Month]]&lt;&gt;H1250, P1250+Query1[[#This Row],[Enhanced top up]]/Query1[[#This Row],[Adj Close]], P1250))</f>
        <v>3441.9086679591742</v>
      </c>
      <c r="Q1251" s="2">
        <f>IFERROR(AVERAGE(
  IF(ROW()&gt;20, INDEX(G:G, ROW()-20), 0) :
  INDEX(G:G, ROW())
),0)</f>
        <v>431.8705051967076</v>
      </c>
    </row>
    <row r="1252" spans="1:17" x14ac:dyDescent="0.4">
      <c r="A1252" s="1">
        <v>45645</v>
      </c>
      <c r="B1252">
        <v>441.6199951171875</v>
      </c>
      <c r="C1252">
        <v>443.17999267578125</v>
      </c>
      <c r="D1252">
        <v>436.32000732421875</v>
      </c>
      <c r="E1252">
        <v>437.02999877929688</v>
      </c>
      <c r="F1252">
        <v>22963700</v>
      </c>
      <c r="G1252">
        <v>434.64169311523438</v>
      </c>
      <c r="H1252" s="2">
        <f>MONTH(Query1[[#This Row],[Date]])</f>
        <v>12</v>
      </c>
      <c r="I1252" s="3">
        <f>Query1[[#This Row],[Shares]]*Query1[[#This Row],[Adj Close]]</f>
        <v>1561362.9045566518</v>
      </c>
      <c r="J1252" s="3">
        <f>IF(ROW()&lt;3, Dashboard!$E$7, IF(Query1[[#This Row],[Month]]&lt;&gt;H1251,J1251*(1+Dashboard!$E$4)+Dashboard!$E$5,J1251))</f>
        <v>1059096.7217770929</v>
      </c>
      <c r="K1252">
        <f>IF(ROW()&lt;3, 0,IF(Query1[[#This Row],[Month]]&lt;&gt;H1251,IF((J1252-I1252&gt;0),J1252-I1252,0),0))</f>
        <v>0</v>
      </c>
      <c r="L1252" s="2">
        <f t="shared" si="19"/>
        <v>3592.2989655359538</v>
      </c>
      <c r="N1252" s="2">
        <f>IF(ROW()&lt;3, Query1[[#This Row],[Shares]], IF(Query1[[#This Row],[Month]]&lt;&gt;H1251, N1251+Query1[[#This Row],[Fix Top Up]]/Query1[[#This Row],[Adj Close]], N1251))</f>
        <v>3443.7835895075805</v>
      </c>
      <c r="P1252" s="2">
        <f>IF(ROW()&lt;3, Query1[[#This Row],[Shares]], IF(Query1[[#This Row],[Month]]&lt;&gt;H1251, P1251+Query1[[#This Row],[Enhanced top up]]/Query1[[#This Row],[Adj Close]], P1251))</f>
        <v>3441.9086679591742</v>
      </c>
      <c r="Q1252" s="2">
        <f>IFERROR(AVERAGE(
  IF(ROW()&gt;20, INDEX(G:G, ROW()-20), 0) :
  INDEX(G:G, ROW())
),0)</f>
        <v>432.82121494838168</v>
      </c>
    </row>
    <row r="1253" spans="1:17" x14ac:dyDescent="0.4">
      <c r="A1253" s="1">
        <v>45646</v>
      </c>
      <c r="B1253">
        <v>433.1099853515625</v>
      </c>
      <c r="C1253">
        <v>443.739990234375</v>
      </c>
      <c r="D1253">
        <v>428.6300048828125</v>
      </c>
      <c r="E1253">
        <v>436.60000610351563</v>
      </c>
      <c r="F1253">
        <v>64263700</v>
      </c>
      <c r="G1253">
        <v>434.21408081054688</v>
      </c>
      <c r="H1253" s="2">
        <f>MONTH(Query1[[#This Row],[Date]])</f>
        <v>12</v>
      </c>
      <c r="I1253" s="3">
        <f>Query1[[#This Row],[Shares]]*Query1[[#This Row],[Adj Close]]</f>
        <v>1559826.7933168726</v>
      </c>
      <c r="J1253" s="3">
        <f>IF(ROW()&lt;3, Dashboard!$E$7, IF(Query1[[#This Row],[Month]]&lt;&gt;H1252,J1252*(1+Dashboard!$E$4)+Dashboard!$E$5,J1252))</f>
        <v>1059096.7217770929</v>
      </c>
      <c r="K1253">
        <f>IF(ROW()&lt;3, 0,IF(Query1[[#This Row],[Month]]&lt;&gt;H1252,IF((J1253-I1253&gt;0),J1253-I1253,0),0))</f>
        <v>0</v>
      </c>
      <c r="L1253" s="2">
        <f t="shared" si="19"/>
        <v>3592.2989655359538</v>
      </c>
      <c r="N1253" s="2">
        <f>IF(ROW()&lt;3, Query1[[#This Row],[Shares]], IF(Query1[[#This Row],[Month]]&lt;&gt;H1252, N1252+Query1[[#This Row],[Fix Top Up]]/Query1[[#This Row],[Adj Close]], N1252))</f>
        <v>3443.7835895075805</v>
      </c>
      <c r="P1253" s="2">
        <f>IF(ROW()&lt;3, Query1[[#This Row],[Shares]], IF(Query1[[#This Row],[Month]]&lt;&gt;H1252, P1252+Query1[[#This Row],[Enhanced top up]]/Query1[[#This Row],[Adj Close]], P1252))</f>
        <v>3441.9086679591742</v>
      </c>
      <c r="Q1253" s="2">
        <f>IFERROR(AVERAGE(
  IF(ROW()&gt;20, INDEX(G:G, ROW()-20), 0) :
  INDEX(G:G, ROW())
),0)</f>
        <v>433.86027018229169</v>
      </c>
    </row>
    <row r="1254" spans="1:17" x14ac:dyDescent="0.4">
      <c r="A1254" s="1">
        <v>45649</v>
      </c>
      <c r="B1254">
        <v>436.739990234375</v>
      </c>
      <c r="C1254">
        <v>437.64999389648438</v>
      </c>
      <c r="D1254">
        <v>432.82998657226563</v>
      </c>
      <c r="E1254">
        <v>435.25</v>
      </c>
      <c r="F1254">
        <v>19152500</v>
      </c>
      <c r="G1254">
        <v>432.87142944335938</v>
      </c>
      <c r="H1254" s="2">
        <f>MONTH(Query1[[#This Row],[Date]])</f>
        <v>12</v>
      </c>
      <c r="I1254" s="3">
        <f>Query1[[#This Row],[Shares]]*Query1[[#This Row],[Adj Close]]</f>
        <v>1555003.5881994495</v>
      </c>
      <c r="J1254" s="3">
        <f>IF(ROW()&lt;3, Dashboard!$E$7, IF(Query1[[#This Row],[Month]]&lt;&gt;H1253,J1253*(1+Dashboard!$E$4)+Dashboard!$E$5,J1253))</f>
        <v>1059096.7217770929</v>
      </c>
      <c r="K1254">
        <f>IF(ROW()&lt;3, 0,IF(Query1[[#This Row],[Month]]&lt;&gt;H1253,IF((J1254-I1254&gt;0),J1254-I1254,0),0))</f>
        <v>0</v>
      </c>
      <c r="L1254" s="2">
        <f t="shared" si="19"/>
        <v>3592.2989655359538</v>
      </c>
      <c r="N1254" s="2">
        <f>IF(ROW()&lt;3, Query1[[#This Row],[Shares]], IF(Query1[[#This Row],[Month]]&lt;&gt;H1253, N1253+Query1[[#This Row],[Fix Top Up]]/Query1[[#This Row],[Adj Close]], N1253))</f>
        <v>3443.7835895075805</v>
      </c>
      <c r="P1254" s="2">
        <f>IF(ROW()&lt;3, Query1[[#This Row],[Shares]], IF(Query1[[#This Row],[Month]]&lt;&gt;H1253, P1253+Query1[[#This Row],[Enhanced top up]]/Query1[[#This Row],[Adj Close]], P1253))</f>
        <v>3441.9086679591742</v>
      </c>
      <c r="Q1254" s="2">
        <f>IFERROR(AVERAGE(
  IF(ROW()&gt;20, INDEX(G:G, ROW()-20), 0) :
  INDEX(G:G, ROW())
),0)</f>
        <v>434.92016165597096</v>
      </c>
    </row>
    <row r="1255" spans="1:17" x14ac:dyDescent="0.4">
      <c r="A1255" s="1">
        <v>45650</v>
      </c>
      <c r="B1255">
        <v>434.64999389648438</v>
      </c>
      <c r="C1255">
        <v>439.60000610351563</v>
      </c>
      <c r="D1255">
        <v>434.19000244140625</v>
      </c>
      <c r="E1255">
        <v>439.32998657226563</v>
      </c>
      <c r="F1255">
        <v>7164500</v>
      </c>
      <c r="G1255">
        <v>436.92913818359375</v>
      </c>
      <c r="H1255" s="2">
        <f>MONTH(Query1[[#This Row],[Date]])</f>
        <v>12</v>
      </c>
      <c r="I1255" s="3">
        <f>Query1[[#This Row],[Shares]]*Query1[[#This Row],[Adj Close]]</f>
        <v>1569580.0911094397</v>
      </c>
      <c r="J1255" s="3">
        <f>IF(ROW()&lt;3, Dashboard!$E$7, IF(Query1[[#This Row],[Month]]&lt;&gt;H1254,J1254*(1+Dashboard!$E$4)+Dashboard!$E$5,J1254))</f>
        <v>1059096.7217770929</v>
      </c>
      <c r="K1255">
        <f>IF(ROW()&lt;3, 0,IF(Query1[[#This Row],[Month]]&lt;&gt;H1254,IF((J1255-I1255&gt;0),J1255-I1255,0),0))</f>
        <v>0</v>
      </c>
      <c r="L1255" s="2">
        <f t="shared" si="19"/>
        <v>3592.2989655359538</v>
      </c>
      <c r="N1255" s="2">
        <f>IF(ROW()&lt;3, Query1[[#This Row],[Shares]], IF(Query1[[#This Row],[Month]]&lt;&gt;H1254, N1254+Query1[[#This Row],[Fix Top Up]]/Query1[[#This Row],[Adj Close]], N1254))</f>
        <v>3443.7835895075805</v>
      </c>
      <c r="P1255" s="2">
        <f>IF(ROW()&lt;3, Query1[[#This Row],[Shares]], IF(Query1[[#This Row],[Month]]&lt;&gt;H1254, P1254+Query1[[#This Row],[Enhanced top up]]/Query1[[#This Row],[Adj Close]], P1254))</f>
        <v>3441.9086679591742</v>
      </c>
      <c r="Q1255" s="2">
        <f>IFERROR(AVERAGE(
  IF(ROW()&gt;20, INDEX(G:G, ROW()-20), 0) :
  INDEX(G:G, ROW())
),0)</f>
        <v>435.97768583751861</v>
      </c>
    </row>
    <row r="1256" spans="1:17" x14ac:dyDescent="0.4">
      <c r="A1256" s="1">
        <v>45652</v>
      </c>
      <c r="B1256">
        <v>439.07998657226563</v>
      </c>
      <c r="C1256">
        <v>440.94000244140625</v>
      </c>
      <c r="D1256">
        <v>436.6300048828125</v>
      </c>
      <c r="E1256">
        <v>438.1099853515625</v>
      </c>
      <c r="F1256">
        <v>8194200</v>
      </c>
      <c r="G1256">
        <v>435.71578979492188</v>
      </c>
      <c r="H1256" s="2">
        <f>MONTH(Query1[[#This Row],[Date]])</f>
        <v>12</v>
      </c>
      <c r="I1256" s="3">
        <f>Query1[[#This Row],[Shares]]*Query1[[#This Row],[Adj Close]]</f>
        <v>1565221.3809479789</v>
      </c>
      <c r="J1256" s="3">
        <f>IF(ROW()&lt;3, Dashboard!$E$7, IF(Query1[[#This Row],[Month]]&lt;&gt;H1255,J1255*(1+Dashboard!$E$4)+Dashboard!$E$5,J1255))</f>
        <v>1059096.7217770929</v>
      </c>
      <c r="K1256">
        <f>IF(ROW()&lt;3, 0,IF(Query1[[#This Row],[Month]]&lt;&gt;H1255,IF((J1256-I1256&gt;0),J1256-I1256,0),0))</f>
        <v>0</v>
      </c>
      <c r="L1256" s="2">
        <f t="shared" si="19"/>
        <v>3592.2989655359538</v>
      </c>
      <c r="N1256" s="2">
        <f>IF(ROW()&lt;3, Query1[[#This Row],[Shares]], IF(Query1[[#This Row],[Month]]&lt;&gt;H1255, N1255+Query1[[#This Row],[Fix Top Up]]/Query1[[#This Row],[Adj Close]], N1255))</f>
        <v>3443.7835895075805</v>
      </c>
      <c r="P1256" s="2">
        <f>IF(ROW()&lt;3, Query1[[#This Row],[Shares]], IF(Query1[[#This Row],[Month]]&lt;&gt;H1255, P1255+Query1[[#This Row],[Enhanced top up]]/Query1[[#This Row],[Adj Close]], P1255))</f>
        <v>3441.9086679591742</v>
      </c>
      <c r="Q1256" s="2">
        <f>IFERROR(AVERAGE(
  IF(ROW()&gt;20, INDEX(G:G, ROW()-20), 0) :
  INDEX(G:G, ROW())
),0)</f>
        <v>436.89265805199034</v>
      </c>
    </row>
    <row r="1257" spans="1:17" x14ac:dyDescent="0.4">
      <c r="A1257" s="1">
        <v>45653</v>
      </c>
      <c r="B1257">
        <v>434.60000610351563</v>
      </c>
      <c r="C1257">
        <v>435.22000122070313</v>
      </c>
      <c r="D1257">
        <v>426.35000610351563</v>
      </c>
      <c r="E1257">
        <v>430.52999877929688</v>
      </c>
      <c r="F1257">
        <v>18117700</v>
      </c>
      <c r="G1257">
        <v>428.17721557617188</v>
      </c>
      <c r="H1257" s="2">
        <f>MONTH(Query1[[#This Row],[Date]])</f>
        <v>12</v>
      </c>
      <c r="I1257" s="3">
        <f>Query1[[#This Row],[Shares]]*Query1[[#This Row],[Adj Close]]</f>
        <v>1538140.5685803473</v>
      </c>
      <c r="J1257" s="3">
        <f>IF(ROW()&lt;3, Dashboard!$E$7, IF(Query1[[#This Row],[Month]]&lt;&gt;H1256,J1256*(1+Dashboard!$E$4)+Dashboard!$E$5,J1256))</f>
        <v>1059096.7217770929</v>
      </c>
      <c r="K1257">
        <f>IF(ROW()&lt;3, 0,IF(Query1[[#This Row],[Month]]&lt;&gt;H1256,IF((J1257-I1257&gt;0),J1257-I1257,0),0))</f>
        <v>0</v>
      </c>
      <c r="L1257" s="2">
        <f t="shared" si="19"/>
        <v>3592.2989655359538</v>
      </c>
      <c r="N1257" s="2">
        <f>IF(ROW()&lt;3, Query1[[#This Row],[Shares]], IF(Query1[[#This Row],[Month]]&lt;&gt;H1256, N1256+Query1[[#This Row],[Fix Top Up]]/Query1[[#This Row],[Adj Close]], N1256))</f>
        <v>3443.7835895075805</v>
      </c>
      <c r="P1257" s="2">
        <f>IF(ROW()&lt;3, Query1[[#This Row],[Shares]], IF(Query1[[#This Row],[Month]]&lt;&gt;H1256, P1256+Query1[[#This Row],[Enhanced top up]]/Query1[[#This Row],[Adj Close]], P1256))</f>
        <v>3441.9086679591742</v>
      </c>
      <c r="Q1257" s="2">
        <f>IFERROR(AVERAGE(
  IF(ROW()&gt;20, INDEX(G:G, ROW()-20), 0) :
  INDEX(G:G, ROW())
),0)</f>
        <v>437.01294962565106</v>
      </c>
    </row>
    <row r="1258" spans="1:17" x14ac:dyDescent="0.4">
      <c r="A1258" s="1">
        <v>45656</v>
      </c>
      <c r="B1258">
        <v>426.05999755859375</v>
      </c>
      <c r="C1258">
        <v>427.54998779296875</v>
      </c>
      <c r="D1258">
        <v>421.89999389648438</v>
      </c>
      <c r="E1258">
        <v>424.82998657226563</v>
      </c>
      <c r="F1258">
        <v>13158700</v>
      </c>
      <c r="G1258">
        <v>422.50833129882813</v>
      </c>
      <c r="H1258" s="2">
        <f>MONTH(Query1[[#This Row],[Date]])</f>
        <v>12</v>
      </c>
      <c r="I1258" s="3">
        <f>Query1[[#This Row],[Shares]]*Query1[[#This Row],[Adj Close]]</f>
        <v>1517776.2414551023</v>
      </c>
      <c r="J1258" s="3">
        <f>IF(ROW()&lt;3, Dashboard!$E$7, IF(Query1[[#This Row],[Month]]&lt;&gt;H1257,J1257*(1+Dashboard!$E$4)+Dashboard!$E$5,J1257))</f>
        <v>1059096.7217770929</v>
      </c>
      <c r="K1258">
        <f>IF(ROW()&lt;3, 0,IF(Query1[[#This Row],[Month]]&lt;&gt;H1257,IF((J1258-I1258&gt;0),J1258-I1258,0),0))</f>
        <v>0</v>
      </c>
      <c r="L1258" s="2">
        <f t="shared" si="19"/>
        <v>3592.2989655359538</v>
      </c>
      <c r="N1258" s="2">
        <f>IF(ROW()&lt;3, Query1[[#This Row],[Shares]], IF(Query1[[#This Row],[Month]]&lt;&gt;H1257, N1257+Query1[[#This Row],[Fix Top Up]]/Query1[[#This Row],[Adj Close]], N1257))</f>
        <v>3443.7835895075805</v>
      </c>
      <c r="P1258" s="2">
        <f>IF(ROW()&lt;3, Query1[[#This Row],[Shares]], IF(Query1[[#This Row],[Month]]&lt;&gt;H1257, P1257+Query1[[#This Row],[Enhanced top up]]/Query1[[#This Row],[Adj Close]], P1257))</f>
        <v>3441.9086679591742</v>
      </c>
      <c r="Q1258" s="2">
        <f>IFERROR(AVERAGE(
  IF(ROW()&gt;20, INDEX(G:G, ROW()-20), 0) :
  INDEX(G:G, ROW())
),0)</f>
        <v>437.10008893694197</v>
      </c>
    </row>
    <row r="1259" spans="1:17" x14ac:dyDescent="0.4">
      <c r="A1259" s="1">
        <v>45657</v>
      </c>
      <c r="B1259">
        <v>426.10000610351563</v>
      </c>
      <c r="C1259">
        <v>426.73001098632813</v>
      </c>
      <c r="D1259">
        <v>420.66000366210938</v>
      </c>
      <c r="E1259">
        <v>421.5</v>
      </c>
      <c r="F1259">
        <v>13246500</v>
      </c>
      <c r="G1259">
        <v>419.19656372070313</v>
      </c>
      <c r="H1259" s="2">
        <f>MONTH(Query1[[#This Row],[Date]])</f>
        <v>12</v>
      </c>
      <c r="I1259" s="3">
        <f>Query1[[#This Row],[Shares]]*Query1[[#This Row],[Adj Close]]</f>
        <v>1505879.3822101085</v>
      </c>
      <c r="J1259" s="3">
        <f>IF(ROW()&lt;3, Dashboard!$E$7, IF(Query1[[#This Row],[Month]]&lt;&gt;H1258,J1258*(1+Dashboard!$E$4)+Dashboard!$E$5,J1258))</f>
        <v>1059096.7217770929</v>
      </c>
      <c r="K1259">
        <f>IF(ROW()&lt;3, 0,IF(Query1[[#This Row],[Month]]&lt;&gt;H1258,IF((J1259-I1259&gt;0),J1259-I1259,0),0))</f>
        <v>0</v>
      </c>
      <c r="L1259" s="2">
        <f t="shared" si="19"/>
        <v>3592.2989655359538</v>
      </c>
      <c r="N1259" s="2">
        <f>IF(ROW()&lt;3, Query1[[#This Row],[Shares]], IF(Query1[[#This Row],[Month]]&lt;&gt;H1258, N1258+Query1[[#This Row],[Fix Top Up]]/Query1[[#This Row],[Adj Close]], N1258))</f>
        <v>3443.7835895075805</v>
      </c>
      <c r="P1259" s="2">
        <f>IF(ROW()&lt;3, Query1[[#This Row],[Shares]], IF(Query1[[#This Row],[Month]]&lt;&gt;H1258, P1258+Query1[[#This Row],[Enhanced top up]]/Query1[[#This Row],[Adj Close]], P1258))</f>
        <v>3441.9086679591742</v>
      </c>
      <c r="Q1259" s="2">
        <f>IFERROR(AVERAGE(
  IF(ROW()&gt;20, INDEX(G:G, ROW()-20), 0) :
  INDEX(G:G, ROW())
),0)</f>
        <v>437.00726463681178</v>
      </c>
    </row>
    <row r="1260" spans="1:17" x14ac:dyDescent="0.4">
      <c r="A1260" s="1">
        <v>45659</v>
      </c>
      <c r="B1260">
        <v>425.52999877929688</v>
      </c>
      <c r="C1260">
        <v>426.07000732421875</v>
      </c>
      <c r="D1260">
        <v>414.85000610351563</v>
      </c>
      <c r="E1260">
        <v>418.57998657226563</v>
      </c>
      <c r="F1260">
        <v>16896500</v>
      </c>
      <c r="G1260">
        <v>416.29251098632813</v>
      </c>
      <c r="H1260" s="2">
        <f>MONTH(Query1[[#This Row],[Date]])</f>
        <v>1</v>
      </c>
      <c r="I1260" s="3">
        <f>Query1[[#This Row],[Shares]]*Query1[[#This Row],[Adj Close]]</f>
        <v>1495447.1565765513</v>
      </c>
      <c r="J1260" s="3">
        <f>IF(ROW()&lt;3, Dashboard!$E$7, IF(Query1[[#This Row],[Month]]&lt;&gt;H1259,J1259*(1+Dashboard!$E$4)+Dashboard!$E$5,J1259))</f>
        <v>1071687.6889948638</v>
      </c>
      <c r="K1260">
        <f>IF(ROW()&lt;3, 0,IF(Query1[[#This Row],[Month]]&lt;&gt;H1259,IF((J1260-I1260&gt;0),J1260-I1260,0),0))</f>
        <v>0</v>
      </c>
      <c r="L1260" s="2">
        <f t="shared" si="19"/>
        <v>3592.2989655359538</v>
      </c>
      <c r="N1260" s="2">
        <f>IF(ROW()&lt;3, Query1[[#This Row],[Shares]], IF(Query1[[#This Row],[Month]]&lt;&gt;H1259, N1259+Query1[[#This Row],[Fix Top Up]]/Query1[[#This Row],[Adj Close]], N1259))</f>
        <v>3443.7835895075805</v>
      </c>
      <c r="P1260" s="2">
        <f>IF(ROW()&lt;3, Query1[[#This Row],[Shares]], IF(Query1[[#This Row],[Month]]&lt;&gt;H1259, P1259+Query1[[#This Row],[Enhanced top up]]/Query1[[#This Row],[Adj Close]], P1259))</f>
        <v>3441.9086679591742</v>
      </c>
      <c r="Q1260" s="2">
        <f>IFERROR(AVERAGE(
  IF(ROW()&gt;20, INDEX(G:G, ROW()-20), 0) :
  INDEX(G:G, ROW())
),0)</f>
        <v>436.42001488095241</v>
      </c>
    </row>
    <row r="1261" spans="1:17" x14ac:dyDescent="0.4">
      <c r="A1261" s="1">
        <v>45660</v>
      </c>
      <c r="B1261">
        <v>421.07998657226563</v>
      </c>
      <c r="C1261">
        <v>424.02999877929688</v>
      </c>
      <c r="D1261">
        <v>419.54000854492188</v>
      </c>
      <c r="E1261">
        <v>423.35000610351563</v>
      </c>
      <c r="F1261">
        <v>16662900</v>
      </c>
      <c r="G1261">
        <v>421.03646850585938</v>
      </c>
      <c r="H1261" s="2">
        <f>MONTH(Query1[[#This Row],[Date]])</f>
        <v>1</v>
      </c>
      <c r="I1261" s="3">
        <f>Query1[[#This Row],[Shares]]*Query1[[#This Row],[Adj Close]]</f>
        <v>1512488.8702665099</v>
      </c>
      <c r="J1261" s="3">
        <f>IF(ROW()&lt;3, Dashboard!$E$7, IF(Query1[[#This Row],[Month]]&lt;&gt;H1260,J1260*(1+Dashboard!$E$4)+Dashboard!$E$5,J1260))</f>
        <v>1071687.6889948638</v>
      </c>
      <c r="K1261">
        <f>IF(ROW()&lt;3, 0,IF(Query1[[#This Row],[Month]]&lt;&gt;H1260,IF((J1261-I1261&gt;0),J1261-I1261,0),0))</f>
        <v>0</v>
      </c>
      <c r="L1261" s="2">
        <f t="shared" si="19"/>
        <v>3592.2989655359538</v>
      </c>
      <c r="N1261" s="2">
        <f>IF(ROW()&lt;3, Query1[[#This Row],[Shares]], IF(Query1[[#This Row],[Month]]&lt;&gt;H1260, N1260+Query1[[#This Row],[Fix Top Up]]/Query1[[#This Row],[Adj Close]], N1260))</f>
        <v>3443.7835895075805</v>
      </c>
      <c r="P1261" s="2">
        <f>IF(ROW()&lt;3, Query1[[#This Row],[Shares]], IF(Query1[[#This Row],[Month]]&lt;&gt;H1260, P1260+Query1[[#This Row],[Enhanced top up]]/Query1[[#This Row],[Adj Close]], P1260))</f>
        <v>3441.9086679591742</v>
      </c>
      <c r="Q1261" s="2">
        <f>IFERROR(AVERAGE(
  IF(ROW()&gt;20, INDEX(G:G, ROW()-20), 0) :
  INDEX(G:G, ROW())
),0)</f>
        <v>436.04824829101563</v>
      </c>
    </row>
    <row r="1262" spans="1:17" x14ac:dyDescent="0.4">
      <c r="A1262" s="1">
        <v>45663</v>
      </c>
      <c r="B1262">
        <v>428</v>
      </c>
      <c r="C1262">
        <v>434.32000732421875</v>
      </c>
      <c r="D1262">
        <v>425.48001098632813</v>
      </c>
      <c r="E1262">
        <v>427.85000610351563</v>
      </c>
      <c r="F1262">
        <v>20573600</v>
      </c>
      <c r="G1262">
        <v>425.51187133789063</v>
      </c>
      <c r="H1262" s="2">
        <f>MONTH(Query1[[#This Row],[Date]])</f>
        <v>1</v>
      </c>
      <c r="I1262" s="3">
        <f>Query1[[#This Row],[Shares]]*Query1[[#This Row],[Adj Close]]</f>
        <v>1528565.8552303724</v>
      </c>
      <c r="J1262" s="3">
        <f>IF(ROW()&lt;3, Dashboard!$E$7, IF(Query1[[#This Row],[Month]]&lt;&gt;H1261,J1261*(1+Dashboard!$E$4)+Dashboard!$E$5,J1261))</f>
        <v>1071687.6889948638</v>
      </c>
      <c r="K1262">
        <f>IF(ROW()&lt;3, 0,IF(Query1[[#This Row],[Month]]&lt;&gt;H1261,IF((J1262-I1262&gt;0),J1262-I1262,0),0))</f>
        <v>0</v>
      </c>
      <c r="L1262" s="2">
        <f t="shared" si="19"/>
        <v>3592.2989655359538</v>
      </c>
      <c r="N1262" s="2">
        <f>IF(ROW()&lt;3, Query1[[#This Row],[Shares]], IF(Query1[[#This Row],[Month]]&lt;&gt;H1261, N1261+Query1[[#This Row],[Fix Top Up]]/Query1[[#This Row],[Adj Close]], N1261))</f>
        <v>3443.7835895075805</v>
      </c>
      <c r="P1262" s="2">
        <f>IF(ROW()&lt;3, Query1[[#This Row],[Shares]], IF(Query1[[#This Row],[Month]]&lt;&gt;H1261, P1261+Query1[[#This Row],[Enhanced top up]]/Query1[[#This Row],[Adj Close]], P1261))</f>
        <v>3441.9086679591742</v>
      </c>
      <c r="Q1262" s="2">
        <f>IFERROR(AVERAGE(
  IF(ROW()&gt;20, INDEX(G:G, ROW()-20), 0) :
  INDEX(G:G, ROW())
),0)</f>
        <v>435.5950244721912</v>
      </c>
    </row>
    <row r="1263" spans="1:17" x14ac:dyDescent="0.4">
      <c r="A1263" s="1">
        <v>45664</v>
      </c>
      <c r="B1263">
        <v>429</v>
      </c>
      <c r="C1263">
        <v>430.64999389648438</v>
      </c>
      <c r="D1263">
        <v>420.79998779296875</v>
      </c>
      <c r="E1263">
        <v>422.3699951171875</v>
      </c>
      <c r="F1263">
        <v>18139100</v>
      </c>
      <c r="G1263">
        <v>420.06179809570313</v>
      </c>
      <c r="H1263" s="2">
        <f>MONTH(Query1[[#This Row],[Date]])</f>
        <v>1</v>
      </c>
      <c r="I1263" s="3">
        <f>Query1[[#This Row],[Shares]]*Query1[[#This Row],[Adj Close]]</f>
        <v>1508987.5627603671</v>
      </c>
      <c r="J1263" s="3">
        <f>IF(ROW()&lt;3, Dashboard!$E$7, IF(Query1[[#This Row],[Month]]&lt;&gt;H1262,J1262*(1+Dashboard!$E$4)+Dashboard!$E$5,J1262))</f>
        <v>1071687.6889948638</v>
      </c>
      <c r="K1263">
        <f>IF(ROW()&lt;3, 0,IF(Query1[[#This Row],[Month]]&lt;&gt;H1262,IF((J1263-I1263&gt;0),J1263-I1263,0),0))</f>
        <v>0</v>
      </c>
      <c r="L1263" s="2">
        <f t="shared" si="19"/>
        <v>3592.2989655359538</v>
      </c>
      <c r="N1263" s="2">
        <f>IF(ROW()&lt;3, Query1[[#This Row],[Shares]], IF(Query1[[#This Row],[Month]]&lt;&gt;H1262, N1262+Query1[[#This Row],[Fix Top Up]]/Query1[[#This Row],[Adj Close]], N1262))</f>
        <v>3443.7835895075805</v>
      </c>
      <c r="P1263" s="2">
        <f>IF(ROW()&lt;3, Query1[[#This Row],[Shares]], IF(Query1[[#This Row],[Month]]&lt;&gt;H1262, P1262+Query1[[#This Row],[Enhanced top up]]/Query1[[#This Row],[Adj Close]], P1262))</f>
        <v>3441.9086679591742</v>
      </c>
      <c r="Q1263" s="2">
        <f>IFERROR(AVERAGE(
  IF(ROW()&gt;20, INDEX(G:G, ROW()-20), 0) :
  INDEX(G:G, ROW())
),0)</f>
        <v>434.6360081263951</v>
      </c>
    </row>
    <row r="1264" spans="1:17" x14ac:dyDescent="0.4">
      <c r="A1264" s="1">
        <v>45665</v>
      </c>
      <c r="B1264">
        <v>423.45999145507813</v>
      </c>
      <c r="C1264">
        <v>426.97000122070313</v>
      </c>
      <c r="D1264">
        <v>421.54000854492188</v>
      </c>
      <c r="E1264">
        <v>424.55999755859375</v>
      </c>
      <c r="F1264">
        <v>15054600</v>
      </c>
      <c r="G1264">
        <v>422.23983764648438</v>
      </c>
      <c r="H1264" s="2">
        <f>MONTH(Query1[[#This Row],[Date]])</f>
        <v>1</v>
      </c>
      <c r="I1264" s="3">
        <f>Query1[[#This Row],[Shares]]*Query1[[#This Row],[Adj Close]]</f>
        <v>1516811.731985535</v>
      </c>
      <c r="J1264" s="3">
        <f>IF(ROW()&lt;3, Dashboard!$E$7, IF(Query1[[#This Row],[Month]]&lt;&gt;H1263,J1263*(1+Dashboard!$E$4)+Dashboard!$E$5,J1263))</f>
        <v>1071687.6889948638</v>
      </c>
      <c r="K1264">
        <f>IF(ROW()&lt;3, 0,IF(Query1[[#This Row],[Month]]&lt;&gt;H1263,IF((J1264-I1264&gt;0),J1264-I1264,0),0))</f>
        <v>0</v>
      </c>
      <c r="L1264" s="2">
        <f t="shared" si="19"/>
        <v>3592.2989655359538</v>
      </c>
      <c r="N1264" s="2">
        <f>IF(ROW()&lt;3, Query1[[#This Row],[Shares]], IF(Query1[[#This Row],[Month]]&lt;&gt;H1263, N1263+Query1[[#This Row],[Fix Top Up]]/Query1[[#This Row],[Adj Close]], N1263))</f>
        <v>3443.7835895075805</v>
      </c>
      <c r="P1264" s="2">
        <f>IF(ROW()&lt;3, Query1[[#This Row],[Shares]], IF(Query1[[#This Row],[Month]]&lt;&gt;H1263, P1263+Query1[[#This Row],[Enhanced top up]]/Query1[[#This Row],[Adj Close]], P1263))</f>
        <v>3441.9086679591742</v>
      </c>
      <c r="Q1264" s="2">
        <f>IFERROR(AVERAGE(
  IF(ROW()&gt;20, INDEX(G:G, ROW()-20), 0) :
  INDEX(G:G, ROW())
),0)</f>
        <v>433.7357177734375</v>
      </c>
    </row>
    <row r="1265" spans="1:17" x14ac:dyDescent="0.4">
      <c r="A1265" s="1">
        <v>45667</v>
      </c>
      <c r="B1265">
        <v>424.6300048828125</v>
      </c>
      <c r="C1265">
        <v>424.70999145507813</v>
      </c>
      <c r="D1265">
        <v>415.01998901367188</v>
      </c>
      <c r="E1265">
        <v>418.95001220703125</v>
      </c>
      <c r="F1265">
        <v>20201100</v>
      </c>
      <c r="G1265">
        <v>416.66049194335938</v>
      </c>
      <c r="H1265" s="2">
        <f>MONTH(Query1[[#This Row],[Date]])</f>
        <v>1</v>
      </c>
      <c r="I1265" s="3">
        <f>Query1[[#This Row],[Shares]]*Query1[[#This Row],[Adj Close]]</f>
        <v>1496769.0541878315</v>
      </c>
      <c r="J1265" s="3">
        <f>IF(ROW()&lt;3, Dashboard!$E$7, IF(Query1[[#This Row],[Month]]&lt;&gt;H1264,J1264*(1+Dashboard!$E$4)+Dashboard!$E$5,J1264))</f>
        <v>1071687.6889948638</v>
      </c>
      <c r="K1265">
        <f>IF(ROW()&lt;3, 0,IF(Query1[[#This Row],[Month]]&lt;&gt;H1264,IF((J1265-I1265&gt;0),J1265-I1265,0),0))</f>
        <v>0</v>
      </c>
      <c r="L1265" s="2">
        <f t="shared" si="19"/>
        <v>3592.2989655359538</v>
      </c>
      <c r="N1265" s="2">
        <f>IF(ROW()&lt;3, Query1[[#This Row],[Shares]], IF(Query1[[#This Row],[Month]]&lt;&gt;H1264, N1264+Query1[[#This Row],[Fix Top Up]]/Query1[[#This Row],[Adj Close]], N1264))</f>
        <v>3443.7835895075805</v>
      </c>
      <c r="P1265" s="2">
        <f>IF(ROW()&lt;3, Query1[[#This Row],[Shares]], IF(Query1[[#This Row],[Month]]&lt;&gt;H1264, P1264+Query1[[#This Row],[Enhanced top up]]/Query1[[#This Row],[Adj Close]], P1264))</f>
        <v>3441.9086679591742</v>
      </c>
      <c r="Q1265" s="2">
        <f>IFERROR(AVERAGE(
  IF(ROW()&gt;20, INDEX(G:G, ROW()-20), 0) :
  INDEX(G:G, ROW())
),0)</f>
        <v>432.45371500651044</v>
      </c>
    </row>
    <row r="1266" spans="1:17" x14ac:dyDescent="0.4">
      <c r="A1266" s="1">
        <v>45670</v>
      </c>
      <c r="B1266">
        <v>415.239990234375</v>
      </c>
      <c r="C1266">
        <v>418.5</v>
      </c>
      <c r="D1266">
        <v>412.29000854492188</v>
      </c>
      <c r="E1266">
        <v>417.19000244140625</v>
      </c>
      <c r="F1266">
        <v>17604800</v>
      </c>
      <c r="G1266">
        <v>414.91012573242188</v>
      </c>
      <c r="H1266" s="2">
        <f>MONTH(Query1[[#This Row],[Date]])</f>
        <v>1</v>
      </c>
      <c r="I1266" s="3">
        <f>Query1[[#This Row],[Shares]]*Query1[[#This Row],[Adj Close]]</f>
        <v>1490481.2154589717</v>
      </c>
      <c r="J1266" s="3">
        <f>IF(ROW()&lt;3, Dashboard!$E$7, IF(Query1[[#This Row],[Month]]&lt;&gt;H1265,J1265*(1+Dashboard!$E$4)+Dashboard!$E$5,J1265))</f>
        <v>1071687.6889948638</v>
      </c>
      <c r="K1266">
        <f>IF(ROW()&lt;3, 0,IF(Query1[[#This Row],[Month]]&lt;&gt;H1265,IF((J1266-I1266&gt;0),J1266-I1266,0),0))</f>
        <v>0</v>
      </c>
      <c r="L1266" s="2">
        <f t="shared" si="19"/>
        <v>3592.2989655359538</v>
      </c>
      <c r="N1266" s="2">
        <f>IF(ROW()&lt;3, Query1[[#This Row],[Shares]], IF(Query1[[#This Row],[Month]]&lt;&gt;H1265, N1265+Query1[[#This Row],[Fix Top Up]]/Query1[[#This Row],[Adj Close]], N1265))</f>
        <v>3443.7835895075805</v>
      </c>
      <c r="P1266" s="2">
        <f>IF(ROW()&lt;3, Query1[[#This Row],[Shares]], IF(Query1[[#This Row],[Month]]&lt;&gt;H1265, P1265+Query1[[#This Row],[Enhanced top up]]/Query1[[#This Row],[Adj Close]], P1265))</f>
        <v>3441.9086679591742</v>
      </c>
      <c r="Q1266" s="2">
        <f>IFERROR(AVERAGE(
  IF(ROW()&gt;20, INDEX(G:G, ROW()-20), 0) :
  INDEX(G:G, ROW())
),0)</f>
        <v>431.21575782412572</v>
      </c>
    </row>
    <row r="1267" spans="1:17" x14ac:dyDescent="0.4">
      <c r="A1267" s="1">
        <v>45671</v>
      </c>
      <c r="B1267">
        <v>417.80999755859375</v>
      </c>
      <c r="C1267">
        <v>419.739990234375</v>
      </c>
      <c r="D1267">
        <v>410.72000122070313</v>
      </c>
      <c r="E1267">
        <v>415.67001342773438</v>
      </c>
      <c r="F1267">
        <v>16935900</v>
      </c>
      <c r="G1267">
        <v>413.3984375</v>
      </c>
      <c r="H1267" s="2">
        <f>MONTH(Query1[[#This Row],[Date]])</f>
        <v>1</v>
      </c>
      <c r="I1267" s="3">
        <f>Query1[[#This Row],[Shares]]*Query1[[#This Row],[Adj Close]]</f>
        <v>1485050.7793854296</v>
      </c>
      <c r="J1267" s="3">
        <f>IF(ROW()&lt;3, Dashboard!$E$7, IF(Query1[[#This Row],[Month]]&lt;&gt;H1266,J1266*(1+Dashboard!$E$4)+Dashboard!$E$5,J1266))</f>
        <v>1071687.6889948638</v>
      </c>
      <c r="K1267">
        <f>IF(ROW()&lt;3, 0,IF(Query1[[#This Row],[Month]]&lt;&gt;H1266,IF((J1267-I1267&gt;0),J1267-I1267,0),0))</f>
        <v>0</v>
      </c>
      <c r="L1267" s="2">
        <f t="shared" si="19"/>
        <v>3592.2989655359538</v>
      </c>
      <c r="N1267" s="2">
        <f>IF(ROW()&lt;3, Query1[[#This Row],[Shares]], IF(Query1[[#This Row],[Month]]&lt;&gt;H1266, N1266+Query1[[#This Row],[Fix Top Up]]/Query1[[#This Row],[Adj Close]], N1266))</f>
        <v>3443.7835895075805</v>
      </c>
      <c r="P1267" s="2">
        <f>IF(ROW()&lt;3, Query1[[#This Row],[Shares]], IF(Query1[[#This Row],[Month]]&lt;&gt;H1266, P1266+Query1[[#This Row],[Enhanced top up]]/Query1[[#This Row],[Adj Close]], P1266))</f>
        <v>3441.9086679591742</v>
      </c>
      <c r="Q1267" s="2">
        <f>IFERROR(AVERAGE(
  IF(ROW()&gt;20, INDEX(G:G, ROW()-20), 0) :
  INDEX(G:G, ROW())
),0)</f>
        <v>429.63776216052827</v>
      </c>
    </row>
    <row r="1268" spans="1:17" x14ac:dyDescent="0.4">
      <c r="A1268" s="1">
        <v>45672</v>
      </c>
      <c r="B1268">
        <v>419.1300048828125</v>
      </c>
      <c r="C1268">
        <v>428.14999389648438</v>
      </c>
      <c r="D1268">
        <v>418.26998901367188</v>
      </c>
      <c r="E1268">
        <v>426.30999755859375</v>
      </c>
      <c r="F1268">
        <v>19637800</v>
      </c>
      <c r="G1268">
        <v>423.98025512695313</v>
      </c>
      <c r="H1268" s="2">
        <f>MONTH(Query1[[#This Row],[Date]])</f>
        <v>1</v>
      </c>
      <c r="I1268" s="3">
        <f>Query1[[#This Row],[Shares]]*Query1[[#This Row],[Adj Close]]</f>
        <v>1523063.8319002234</v>
      </c>
      <c r="J1268" s="3">
        <f>IF(ROW()&lt;3, Dashboard!$E$7, IF(Query1[[#This Row],[Month]]&lt;&gt;H1267,J1267*(1+Dashboard!$E$4)+Dashboard!$E$5,J1267))</f>
        <v>1071687.6889948638</v>
      </c>
      <c r="K1268">
        <f>IF(ROW()&lt;3, 0,IF(Query1[[#This Row],[Month]]&lt;&gt;H1267,IF((J1268-I1268&gt;0),J1268-I1268,0),0))</f>
        <v>0</v>
      </c>
      <c r="L1268" s="2">
        <f t="shared" si="19"/>
        <v>3592.2989655359538</v>
      </c>
      <c r="N1268" s="2">
        <f>IF(ROW()&lt;3, Query1[[#This Row],[Shares]], IF(Query1[[#This Row],[Month]]&lt;&gt;H1267, N1267+Query1[[#This Row],[Fix Top Up]]/Query1[[#This Row],[Adj Close]], N1267))</f>
        <v>3443.7835895075805</v>
      </c>
      <c r="P1268" s="2">
        <f>IF(ROW()&lt;3, Query1[[#This Row],[Shares]], IF(Query1[[#This Row],[Month]]&lt;&gt;H1267, P1267+Query1[[#This Row],[Enhanced top up]]/Query1[[#This Row],[Adj Close]], P1267))</f>
        <v>3441.9086679591742</v>
      </c>
      <c r="Q1268" s="2">
        <f>IFERROR(AVERAGE(
  IF(ROW()&gt;20, INDEX(G:G, ROW()-20), 0) :
  INDEX(G:G, ROW())
),0)</f>
        <v>428.53666904994418</v>
      </c>
    </row>
    <row r="1269" spans="1:17" x14ac:dyDescent="0.4">
      <c r="A1269" s="1">
        <v>45673</v>
      </c>
      <c r="B1269">
        <v>428.70001220703125</v>
      </c>
      <c r="C1269">
        <v>429.489990234375</v>
      </c>
      <c r="D1269">
        <v>424.3900146484375</v>
      </c>
      <c r="E1269">
        <v>424.57998657226563</v>
      </c>
      <c r="F1269">
        <v>15300000</v>
      </c>
      <c r="G1269">
        <v>422.25970458984375</v>
      </c>
      <c r="H1269" s="2">
        <f>MONTH(Query1[[#This Row],[Date]])</f>
        <v>1</v>
      </c>
      <c r="I1269" s="3">
        <f>Query1[[#This Row],[Shares]]*Query1[[#This Row],[Adj Close]]</f>
        <v>1516883.0999856133</v>
      </c>
      <c r="J1269" s="3">
        <f>IF(ROW()&lt;3, Dashboard!$E$7, IF(Query1[[#This Row],[Month]]&lt;&gt;H1268,J1268*(1+Dashboard!$E$4)+Dashboard!$E$5,J1268))</f>
        <v>1071687.6889948638</v>
      </c>
      <c r="K1269">
        <f>IF(ROW()&lt;3, 0,IF(Query1[[#This Row],[Month]]&lt;&gt;H1268,IF((J1269-I1269&gt;0),J1269-I1269,0),0))</f>
        <v>0</v>
      </c>
      <c r="L1269" s="2">
        <f t="shared" si="19"/>
        <v>3592.2989655359538</v>
      </c>
      <c r="N1269" s="2">
        <f>IF(ROW()&lt;3, Query1[[#This Row],[Shares]], IF(Query1[[#This Row],[Month]]&lt;&gt;H1268, N1268+Query1[[#This Row],[Fix Top Up]]/Query1[[#This Row],[Adj Close]], N1268))</f>
        <v>3443.7835895075805</v>
      </c>
      <c r="P1269" s="2">
        <f>IF(ROW()&lt;3, Query1[[#This Row],[Shares]], IF(Query1[[#This Row],[Month]]&lt;&gt;H1268, P1268+Query1[[#This Row],[Enhanced top up]]/Query1[[#This Row],[Adj Close]], P1268))</f>
        <v>3441.9086679591742</v>
      </c>
      <c r="Q1269" s="2">
        <f>IFERROR(AVERAGE(
  IF(ROW()&gt;20, INDEX(G:G, ROW()-20), 0) :
  INDEX(G:G, ROW())
),0)</f>
        <v>427.46209716796875</v>
      </c>
    </row>
    <row r="1270" spans="1:17" x14ac:dyDescent="0.4">
      <c r="A1270" s="1">
        <v>45674</v>
      </c>
      <c r="B1270">
        <v>434.08999633789063</v>
      </c>
      <c r="C1270">
        <v>434.48001098632813</v>
      </c>
      <c r="D1270">
        <v>428.17001342773438</v>
      </c>
      <c r="E1270">
        <v>429.02999877929688</v>
      </c>
      <c r="F1270">
        <v>26197500</v>
      </c>
      <c r="G1270">
        <v>426.68539428710938</v>
      </c>
      <c r="H1270" s="2">
        <f>MONTH(Query1[[#This Row],[Date]])</f>
        <v>1</v>
      </c>
      <c r="I1270" s="3">
        <f>Query1[[#This Row],[Shares]]*Query1[[#This Row],[Adj Close]]</f>
        <v>1532781.5005068835</v>
      </c>
      <c r="J1270" s="3">
        <f>IF(ROW()&lt;3, Dashboard!$E$7, IF(Query1[[#This Row],[Month]]&lt;&gt;H1269,J1269*(1+Dashboard!$E$4)+Dashboard!$E$5,J1269))</f>
        <v>1071687.6889948638</v>
      </c>
      <c r="K1270">
        <f>IF(ROW()&lt;3, 0,IF(Query1[[#This Row],[Month]]&lt;&gt;H1269,IF((J1270-I1270&gt;0),J1270-I1270,0),0))</f>
        <v>0</v>
      </c>
      <c r="L1270" s="2">
        <f t="shared" si="19"/>
        <v>3592.2989655359538</v>
      </c>
      <c r="N1270" s="2">
        <f>IF(ROW()&lt;3, Query1[[#This Row],[Shares]], IF(Query1[[#This Row],[Month]]&lt;&gt;H1269, N1269+Query1[[#This Row],[Fix Top Up]]/Query1[[#This Row],[Adj Close]], N1269))</f>
        <v>3443.7835895075805</v>
      </c>
      <c r="P1270" s="2">
        <f>IF(ROW()&lt;3, Query1[[#This Row],[Shares]], IF(Query1[[#This Row],[Month]]&lt;&gt;H1269, P1269+Query1[[#This Row],[Enhanced top up]]/Query1[[#This Row],[Adj Close]], P1269))</f>
        <v>3441.9086679591742</v>
      </c>
      <c r="Q1270" s="2">
        <f>IFERROR(AVERAGE(
  IF(ROW()&gt;20, INDEX(G:G, ROW()-20), 0) :
  INDEX(G:G, ROW())
),0)</f>
        <v>426.39368257068452</v>
      </c>
    </row>
    <row r="1271" spans="1:17" x14ac:dyDescent="0.4">
      <c r="A1271" s="1">
        <v>45678</v>
      </c>
      <c r="B1271">
        <v>430.20001220703125</v>
      </c>
      <c r="C1271">
        <v>430.89999389648438</v>
      </c>
      <c r="D1271">
        <v>425.60000610351563</v>
      </c>
      <c r="E1271">
        <v>428.5</v>
      </c>
      <c r="F1271">
        <v>26085700</v>
      </c>
      <c r="G1271">
        <v>426.1583251953125</v>
      </c>
      <c r="H1271" s="2">
        <f>MONTH(Query1[[#This Row],[Date]])</f>
        <v>1</v>
      </c>
      <c r="I1271" s="3">
        <f>Query1[[#This Row],[Shares]]*Query1[[#This Row],[Adj Close]]</f>
        <v>1530888.1107536557</v>
      </c>
      <c r="J1271" s="3">
        <f>IF(ROW()&lt;3, Dashboard!$E$7, IF(Query1[[#This Row],[Month]]&lt;&gt;H1270,J1270*(1+Dashboard!$E$4)+Dashboard!$E$5,J1270))</f>
        <v>1071687.6889948638</v>
      </c>
      <c r="K1271">
        <f>IF(ROW()&lt;3, 0,IF(Query1[[#This Row],[Month]]&lt;&gt;H1270,IF((J1271-I1271&gt;0),J1271-I1271,0),0))</f>
        <v>0</v>
      </c>
      <c r="L1271" s="2">
        <f t="shared" si="19"/>
        <v>3592.2989655359538</v>
      </c>
      <c r="N1271" s="2">
        <f>IF(ROW()&lt;3, Query1[[#This Row],[Shares]], IF(Query1[[#This Row],[Month]]&lt;&gt;H1270, N1270+Query1[[#This Row],[Fix Top Up]]/Query1[[#This Row],[Adj Close]], N1270))</f>
        <v>3443.7835895075805</v>
      </c>
      <c r="P1271" s="2">
        <f>IF(ROW()&lt;3, Query1[[#This Row],[Shares]], IF(Query1[[#This Row],[Month]]&lt;&gt;H1270, P1270+Query1[[#This Row],[Enhanced top up]]/Query1[[#This Row],[Adj Close]], P1270))</f>
        <v>3441.9086679591742</v>
      </c>
      <c r="Q1271" s="2">
        <f>IFERROR(AVERAGE(
  IF(ROW()&gt;20, INDEX(G:G, ROW()-20), 0) :
  INDEX(G:G, ROW())
),0)</f>
        <v>425.16424851190476</v>
      </c>
    </row>
    <row r="1272" spans="1:17" x14ac:dyDescent="0.4">
      <c r="A1272" s="1">
        <v>45679</v>
      </c>
      <c r="B1272">
        <v>437.55999755859375</v>
      </c>
      <c r="C1272">
        <v>447.26998901367188</v>
      </c>
      <c r="D1272">
        <v>436</v>
      </c>
      <c r="E1272">
        <v>446.20001220703125</v>
      </c>
      <c r="F1272">
        <v>27803800</v>
      </c>
      <c r="G1272">
        <v>443.7615966796875</v>
      </c>
      <c r="H1272" s="2">
        <f>MONTH(Query1[[#This Row],[Date]])</f>
        <v>1</v>
      </c>
      <c r="I1272" s="3">
        <f>Query1[[#This Row],[Shares]]*Query1[[#This Row],[Adj Close]]</f>
        <v>1594124.3246970247</v>
      </c>
      <c r="J1272" s="3">
        <f>IF(ROW()&lt;3, Dashboard!$E$7, IF(Query1[[#This Row],[Month]]&lt;&gt;H1271,J1271*(1+Dashboard!$E$4)+Dashboard!$E$5,J1271))</f>
        <v>1071687.6889948638</v>
      </c>
      <c r="K1272">
        <f>IF(ROW()&lt;3, 0,IF(Query1[[#This Row],[Month]]&lt;&gt;H1271,IF((J1272-I1272&gt;0),J1272-I1272,0),0))</f>
        <v>0</v>
      </c>
      <c r="L1272" s="2">
        <f t="shared" si="19"/>
        <v>3592.2989655359538</v>
      </c>
      <c r="N1272" s="2">
        <f>IF(ROW()&lt;3, Query1[[#This Row],[Shares]], IF(Query1[[#This Row],[Month]]&lt;&gt;H1271, N1271+Query1[[#This Row],[Fix Top Up]]/Query1[[#This Row],[Adj Close]], N1271))</f>
        <v>3443.7835895075805</v>
      </c>
      <c r="P1272" s="2">
        <f>IF(ROW()&lt;3, Query1[[#This Row],[Shares]], IF(Query1[[#This Row],[Month]]&lt;&gt;H1271, P1271+Query1[[#This Row],[Enhanced top up]]/Query1[[#This Row],[Adj Close]], P1271))</f>
        <v>3441.9086679591742</v>
      </c>
      <c r="Q1272" s="2">
        <f>IFERROR(AVERAGE(
  IF(ROW()&gt;20, INDEX(G:G, ROW()-20), 0) :
  INDEX(G:G, ROW())
),0)</f>
        <v>425.58147902715774</v>
      </c>
    </row>
    <row r="1273" spans="1:17" x14ac:dyDescent="0.4">
      <c r="A1273" s="1">
        <v>45680</v>
      </c>
      <c r="B1273">
        <v>442</v>
      </c>
      <c r="C1273">
        <v>446.75</v>
      </c>
      <c r="D1273">
        <v>441.5</v>
      </c>
      <c r="E1273">
        <v>446.70999145507813</v>
      </c>
      <c r="F1273">
        <v>18389300</v>
      </c>
      <c r="G1273">
        <v>444.26876831054688</v>
      </c>
      <c r="H1273" s="2">
        <f>MONTH(Query1[[#This Row],[Date]])</f>
        <v>1</v>
      </c>
      <c r="I1273" s="3">
        <f>Query1[[#This Row],[Shares]]*Query1[[#This Row],[Adj Close]]</f>
        <v>1595946.2368219099</v>
      </c>
      <c r="J1273" s="3">
        <f>IF(ROW()&lt;3, Dashboard!$E$7, IF(Query1[[#This Row],[Month]]&lt;&gt;H1272,J1272*(1+Dashboard!$E$4)+Dashboard!$E$5,J1272))</f>
        <v>1071687.6889948638</v>
      </c>
      <c r="K1273">
        <f>IF(ROW()&lt;3, 0,IF(Query1[[#This Row],[Month]]&lt;&gt;H1272,IF((J1273-I1273&gt;0),J1273-I1273,0),0))</f>
        <v>0</v>
      </c>
      <c r="L1273" s="2">
        <f t="shared" si="19"/>
        <v>3592.2989655359538</v>
      </c>
      <c r="N1273" s="2">
        <f>IF(ROW()&lt;3, Query1[[#This Row],[Shares]], IF(Query1[[#This Row],[Month]]&lt;&gt;H1272, N1272+Query1[[#This Row],[Fix Top Up]]/Query1[[#This Row],[Adj Close]], N1272))</f>
        <v>3443.7835895075805</v>
      </c>
      <c r="P1273" s="2">
        <f>IF(ROW()&lt;3, Query1[[#This Row],[Shares]], IF(Query1[[#This Row],[Month]]&lt;&gt;H1272, P1272+Query1[[#This Row],[Enhanced top up]]/Query1[[#This Row],[Adj Close]], P1272))</f>
        <v>3441.9086679591742</v>
      </c>
      <c r="Q1273" s="2">
        <f>IFERROR(AVERAGE(
  IF(ROW()&gt;20, INDEX(G:G, ROW()-20), 0) :
  INDEX(G:G, ROW())
),0)</f>
        <v>426.03991117931548</v>
      </c>
    </row>
    <row r="1274" spans="1:17" x14ac:dyDescent="0.4">
      <c r="A1274" s="1">
        <v>45681</v>
      </c>
      <c r="B1274">
        <v>445.16000366210938</v>
      </c>
      <c r="C1274">
        <v>446.64999389648438</v>
      </c>
      <c r="D1274">
        <v>441.39999389648438</v>
      </c>
      <c r="E1274">
        <v>444.05999755859375</v>
      </c>
      <c r="F1274">
        <v>15549500</v>
      </c>
      <c r="G1274">
        <v>441.63327026367188</v>
      </c>
      <c r="H1274" s="2">
        <f>MONTH(Query1[[#This Row],[Date]])</f>
        <v>1</v>
      </c>
      <c r="I1274" s="3">
        <f>Query1[[#This Row],[Shares]]*Query1[[#This Row],[Adj Close]]</f>
        <v>1586478.7399144487</v>
      </c>
      <c r="J1274" s="3">
        <f>IF(ROW()&lt;3, Dashboard!$E$7, IF(Query1[[#This Row],[Month]]&lt;&gt;H1273,J1273*(1+Dashboard!$E$4)+Dashboard!$E$5,J1273))</f>
        <v>1071687.6889948638</v>
      </c>
      <c r="K1274">
        <f>IF(ROW()&lt;3, 0,IF(Query1[[#This Row],[Month]]&lt;&gt;H1273,IF((J1274-I1274&gt;0),J1274-I1274,0),0))</f>
        <v>0</v>
      </c>
      <c r="L1274" s="2">
        <f t="shared" si="19"/>
        <v>3592.2989655359538</v>
      </c>
      <c r="N1274" s="2">
        <f>IF(ROW()&lt;3, Query1[[#This Row],[Shares]], IF(Query1[[#This Row],[Month]]&lt;&gt;H1273, N1273+Query1[[#This Row],[Fix Top Up]]/Query1[[#This Row],[Adj Close]], N1273))</f>
        <v>3443.7835895075805</v>
      </c>
      <c r="P1274" s="2">
        <f>IF(ROW()&lt;3, Query1[[#This Row],[Shares]], IF(Query1[[#This Row],[Month]]&lt;&gt;H1273, P1273+Query1[[#This Row],[Enhanced top up]]/Query1[[#This Row],[Adj Close]], P1273))</f>
        <v>3441.9086679591742</v>
      </c>
      <c r="Q1274" s="2">
        <f>IFERROR(AVERAGE(
  IF(ROW()&gt;20, INDEX(G:G, ROW()-20), 0) :
  INDEX(G:G, ROW())
),0)</f>
        <v>426.39320591517856</v>
      </c>
    </row>
    <row r="1275" spans="1:17" x14ac:dyDescent="0.4">
      <c r="A1275" s="1">
        <v>45684</v>
      </c>
      <c r="B1275">
        <v>424.010009765625</v>
      </c>
      <c r="C1275">
        <v>435.20001220703125</v>
      </c>
      <c r="D1275">
        <v>423.5</v>
      </c>
      <c r="E1275">
        <v>434.55999755859375</v>
      </c>
      <c r="F1275">
        <v>35647800</v>
      </c>
      <c r="G1275">
        <v>432.1851806640625</v>
      </c>
      <c r="H1275" s="2">
        <f>MONTH(Query1[[#This Row],[Date]])</f>
        <v>1</v>
      </c>
      <c r="I1275" s="3">
        <f>Query1[[#This Row],[Shares]]*Query1[[#This Row],[Adj Close]]</f>
        <v>1552538.3774194811</v>
      </c>
      <c r="J1275" s="3">
        <f>IF(ROW()&lt;3, Dashboard!$E$7, IF(Query1[[#This Row],[Month]]&lt;&gt;H1274,J1274*(1+Dashboard!$E$4)+Dashboard!$E$5,J1274))</f>
        <v>1071687.6889948638</v>
      </c>
      <c r="K1275">
        <f>IF(ROW()&lt;3, 0,IF(Query1[[#This Row],[Month]]&lt;&gt;H1274,IF((J1275-I1275&gt;0),J1275-I1275,0),0))</f>
        <v>0</v>
      </c>
      <c r="L1275" s="2">
        <f t="shared" si="19"/>
        <v>3592.2989655359538</v>
      </c>
      <c r="N1275" s="2">
        <f>IF(ROW()&lt;3, Query1[[#This Row],[Shares]], IF(Query1[[#This Row],[Month]]&lt;&gt;H1274, N1274+Query1[[#This Row],[Fix Top Up]]/Query1[[#This Row],[Adj Close]], N1274))</f>
        <v>3443.7835895075805</v>
      </c>
      <c r="P1275" s="2">
        <f>IF(ROW()&lt;3, Query1[[#This Row],[Shares]], IF(Query1[[#This Row],[Month]]&lt;&gt;H1274, P1274+Query1[[#This Row],[Enhanced top up]]/Query1[[#This Row],[Adj Close]], P1274))</f>
        <v>3441.9086679591742</v>
      </c>
      <c r="Q1275" s="2">
        <f>IFERROR(AVERAGE(
  IF(ROW()&gt;20, INDEX(G:G, ROW()-20), 0) :
  INDEX(G:G, ROW())
),0)</f>
        <v>426.3605274018787</v>
      </c>
    </row>
    <row r="1276" spans="1:17" x14ac:dyDescent="0.4">
      <c r="A1276" s="1">
        <v>45685</v>
      </c>
      <c r="B1276">
        <v>434.60000610351563</v>
      </c>
      <c r="C1276">
        <v>448.3800048828125</v>
      </c>
      <c r="D1276">
        <v>431.3800048828125</v>
      </c>
      <c r="E1276">
        <v>447.20001220703125</v>
      </c>
      <c r="F1276">
        <v>23491700</v>
      </c>
      <c r="G1276">
        <v>444.75613403320313</v>
      </c>
      <c r="H1276" s="2">
        <f>MONTH(Query1[[#This Row],[Date]])</f>
        <v>1</v>
      </c>
      <c r="I1276" s="3">
        <f>Query1[[#This Row],[Shares]]*Query1[[#This Row],[Adj Close]]</f>
        <v>1597697.0002032456</v>
      </c>
      <c r="J1276" s="3">
        <f>IF(ROW()&lt;3, Dashboard!$E$7, IF(Query1[[#This Row],[Month]]&lt;&gt;H1275,J1275*(1+Dashboard!$E$4)+Dashboard!$E$5,J1275))</f>
        <v>1071687.6889948638</v>
      </c>
      <c r="K1276">
        <f>IF(ROW()&lt;3, 0,IF(Query1[[#This Row],[Month]]&lt;&gt;H1275,IF((J1276-I1276&gt;0),J1276-I1276,0),0))</f>
        <v>0</v>
      </c>
      <c r="L1276" s="2">
        <f t="shared" si="19"/>
        <v>3592.2989655359538</v>
      </c>
      <c r="N1276" s="2">
        <f>IF(ROW()&lt;3, Query1[[#This Row],[Shares]], IF(Query1[[#This Row],[Month]]&lt;&gt;H1275, N1275+Query1[[#This Row],[Fix Top Up]]/Query1[[#This Row],[Adj Close]], N1275))</f>
        <v>3443.7835895075805</v>
      </c>
      <c r="P1276" s="2">
        <f>IF(ROW()&lt;3, Query1[[#This Row],[Shares]], IF(Query1[[#This Row],[Month]]&lt;&gt;H1275, P1275+Query1[[#This Row],[Enhanced top up]]/Query1[[#This Row],[Adj Close]], P1275))</f>
        <v>3441.9086679591742</v>
      </c>
      <c r="Q1276" s="2">
        <f>IFERROR(AVERAGE(
  IF(ROW()&gt;20, INDEX(G:G, ROW()-20), 0) :
  INDEX(G:G, ROW())
),0)</f>
        <v>426.73324148995533</v>
      </c>
    </row>
    <row r="1277" spans="1:17" x14ac:dyDescent="0.4">
      <c r="A1277" s="1">
        <v>45686</v>
      </c>
      <c r="B1277">
        <v>446.69000244140625</v>
      </c>
      <c r="C1277">
        <v>446.8800048828125</v>
      </c>
      <c r="D1277">
        <v>440.39999389648438</v>
      </c>
      <c r="E1277">
        <v>442.32998657226563</v>
      </c>
      <c r="F1277">
        <v>23581400</v>
      </c>
      <c r="G1277">
        <v>439.9127197265625</v>
      </c>
      <c r="H1277" s="2">
        <f>MONTH(Query1[[#This Row],[Date]])</f>
        <v>1</v>
      </c>
      <c r="I1277" s="3">
        <f>Query1[[#This Row],[Shares]]*Query1[[#This Row],[Adj Close]]</f>
        <v>1580298.0079998386</v>
      </c>
      <c r="J1277" s="3">
        <f>IF(ROW()&lt;3, Dashboard!$E$7, IF(Query1[[#This Row],[Month]]&lt;&gt;H1276,J1276*(1+Dashboard!$E$4)+Dashboard!$E$5,J1276))</f>
        <v>1071687.6889948638</v>
      </c>
      <c r="K1277">
        <f>IF(ROW()&lt;3, 0,IF(Query1[[#This Row],[Month]]&lt;&gt;H1276,IF((J1277-I1277&gt;0),J1277-I1277,0),0))</f>
        <v>0</v>
      </c>
      <c r="L1277" s="2">
        <f t="shared" si="19"/>
        <v>3592.2989655359538</v>
      </c>
      <c r="N1277" s="2">
        <f>IF(ROW()&lt;3, Query1[[#This Row],[Shares]], IF(Query1[[#This Row],[Month]]&lt;&gt;H1276, N1276+Query1[[#This Row],[Fix Top Up]]/Query1[[#This Row],[Adj Close]], N1276))</f>
        <v>3443.7835895075805</v>
      </c>
      <c r="P1277" s="2">
        <f>IF(ROW()&lt;3, Query1[[#This Row],[Shares]], IF(Query1[[#This Row],[Month]]&lt;&gt;H1276, P1276+Query1[[#This Row],[Enhanced top up]]/Query1[[#This Row],[Adj Close]], P1276))</f>
        <v>3441.9086679591742</v>
      </c>
      <c r="Q1277" s="2">
        <f>IFERROR(AVERAGE(
  IF(ROW()&gt;20, INDEX(G:G, ROW()-20), 0) :
  INDEX(G:G, ROW())
),0)</f>
        <v>426.93309529622394</v>
      </c>
    </row>
    <row r="1278" spans="1:17" x14ac:dyDescent="0.4">
      <c r="A1278" s="1">
        <v>45687</v>
      </c>
      <c r="B1278">
        <v>418.76998901367188</v>
      </c>
      <c r="C1278">
        <v>422.8599853515625</v>
      </c>
      <c r="D1278">
        <v>413.16000366210938</v>
      </c>
      <c r="E1278">
        <v>414.989990234375</v>
      </c>
      <c r="F1278">
        <v>54586300</v>
      </c>
      <c r="G1278">
        <v>412.72213745117188</v>
      </c>
      <c r="H1278" s="2">
        <f>MONTH(Query1[[#This Row],[Date]])</f>
        <v>1</v>
      </c>
      <c r="I1278" s="3">
        <f>Query1[[#This Row],[Shares]]*Query1[[#This Row],[Adj Close]]</f>
        <v>1482621.3074196326</v>
      </c>
      <c r="J1278" s="3">
        <f>IF(ROW()&lt;3, Dashboard!$E$7, IF(Query1[[#This Row],[Month]]&lt;&gt;H1277,J1277*(1+Dashboard!$E$4)+Dashboard!$E$5,J1277))</f>
        <v>1071687.6889948638</v>
      </c>
      <c r="K1278">
        <f>IF(ROW()&lt;3, 0,IF(Query1[[#This Row],[Month]]&lt;&gt;H1277,IF((J1278-I1278&gt;0),J1278-I1278,0),0))</f>
        <v>0</v>
      </c>
      <c r="L1278" s="2">
        <f t="shared" si="19"/>
        <v>3592.2989655359538</v>
      </c>
      <c r="N1278" s="2">
        <f>IF(ROW()&lt;3, Query1[[#This Row],[Shares]], IF(Query1[[#This Row],[Month]]&lt;&gt;H1277, N1277+Query1[[#This Row],[Fix Top Up]]/Query1[[#This Row],[Adj Close]], N1277))</f>
        <v>3443.7835895075805</v>
      </c>
      <c r="P1278" s="2">
        <f>IF(ROW()&lt;3, Query1[[#This Row],[Shares]], IF(Query1[[#This Row],[Month]]&lt;&gt;H1277, P1277+Query1[[#This Row],[Enhanced top up]]/Query1[[#This Row],[Adj Close]], P1277))</f>
        <v>3441.9086679591742</v>
      </c>
      <c r="Q1278" s="2">
        <f>IFERROR(AVERAGE(
  IF(ROW()&gt;20, INDEX(G:G, ROW()-20), 0) :
  INDEX(G:G, ROW())
),0)</f>
        <v>426.19713919503346</v>
      </c>
    </row>
    <row r="1279" spans="1:17" x14ac:dyDescent="0.4">
      <c r="A1279" s="1">
        <v>45688</v>
      </c>
      <c r="B1279">
        <v>418.98001098632813</v>
      </c>
      <c r="C1279">
        <v>420.69000244140625</v>
      </c>
      <c r="D1279">
        <v>414.91000366210938</v>
      </c>
      <c r="E1279">
        <v>415.05999755859375</v>
      </c>
      <c r="F1279">
        <v>34161900</v>
      </c>
      <c r="G1279">
        <v>412.791748046875</v>
      </c>
      <c r="H1279" s="2">
        <f>MONTH(Query1[[#This Row],[Date]])</f>
        <v>1</v>
      </c>
      <c r="I1279" s="3">
        <f>Query1[[#This Row],[Shares]]*Query1[[#This Row],[Adj Close]]</f>
        <v>1482871.3694905671</v>
      </c>
      <c r="J1279" s="3">
        <f>IF(ROW()&lt;3, Dashboard!$E$7, IF(Query1[[#This Row],[Month]]&lt;&gt;H1278,J1278*(1+Dashboard!$E$4)+Dashboard!$E$5,J1278))</f>
        <v>1071687.6889948638</v>
      </c>
      <c r="K1279">
        <f>IF(ROW()&lt;3, 0,IF(Query1[[#This Row],[Month]]&lt;&gt;H1278,IF((J1279-I1279&gt;0),J1279-I1279,0),0))</f>
        <v>0</v>
      </c>
      <c r="L1279" s="2">
        <f t="shared" si="19"/>
        <v>3592.2989655359538</v>
      </c>
      <c r="N1279" s="2">
        <f>IF(ROW()&lt;3, Query1[[#This Row],[Shares]], IF(Query1[[#This Row],[Month]]&lt;&gt;H1278, N1278+Query1[[#This Row],[Fix Top Up]]/Query1[[#This Row],[Adj Close]], N1278))</f>
        <v>3443.7835895075805</v>
      </c>
      <c r="P1279" s="2">
        <f>IF(ROW()&lt;3, Query1[[#This Row],[Shares]], IF(Query1[[#This Row],[Month]]&lt;&gt;H1278, P1278+Query1[[#This Row],[Enhanced top up]]/Query1[[#This Row],[Adj Close]], P1278))</f>
        <v>3441.9086679591742</v>
      </c>
      <c r="Q1279" s="2">
        <f>IFERROR(AVERAGE(
  IF(ROW()&gt;20, INDEX(G:G, ROW()-20), 0) :
  INDEX(G:G, ROW())
),0)</f>
        <v>425.73444475446428</v>
      </c>
    </row>
    <row r="1280" spans="1:17" x14ac:dyDescent="0.4">
      <c r="A1280" s="1">
        <v>45691</v>
      </c>
      <c r="B1280">
        <v>411.60000610351563</v>
      </c>
      <c r="C1280">
        <v>415.41000366210938</v>
      </c>
      <c r="D1280">
        <v>408.66000366210938</v>
      </c>
      <c r="E1280">
        <v>410.92001342773438</v>
      </c>
      <c r="F1280">
        <v>25679100</v>
      </c>
      <c r="G1280">
        <v>408.67440795898438</v>
      </c>
      <c r="H1280" s="2">
        <f>MONTH(Query1[[#This Row],[Date]])</f>
        <v>2</v>
      </c>
      <c r="I1280" s="3">
        <f>Query1[[#This Row],[Shares]]*Query1[[#This Row],[Adj Close]]</f>
        <v>1468080.652952078</v>
      </c>
      <c r="J1280" s="3">
        <f>IF(ROW()&lt;3, Dashboard!$E$7, IF(Query1[[#This Row],[Month]]&lt;&gt;H1279,J1279*(1+Dashboard!$E$4)+Dashboard!$E$5,J1279))</f>
        <v>1084404.5658848125</v>
      </c>
      <c r="K1280">
        <f>IF(ROW()&lt;3, 0,IF(Query1[[#This Row],[Month]]&lt;&gt;H1279,IF((J1280-I1280&gt;0),J1280-I1280,0),0))</f>
        <v>0</v>
      </c>
      <c r="L1280" s="2">
        <f t="shared" si="19"/>
        <v>3592.2989655359538</v>
      </c>
      <c r="N1280" s="2">
        <f>IF(ROW()&lt;3, Query1[[#This Row],[Shares]], IF(Query1[[#This Row],[Month]]&lt;&gt;H1279, N1279+Query1[[#This Row],[Fix Top Up]]/Query1[[#This Row],[Adj Close]], N1279))</f>
        <v>3443.7835895075805</v>
      </c>
      <c r="P1280" s="2">
        <f>IF(ROW()&lt;3, Query1[[#This Row],[Shares]], IF(Query1[[#This Row],[Month]]&lt;&gt;H1279, P1279+Query1[[#This Row],[Enhanced top up]]/Query1[[#This Row],[Adj Close]], P1279))</f>
        <v>3441.9086679591742</v>
      </c>
      <c r="Q1280" s="2">
        <f>IFERROR(AVERAGE(
  IF(ROW()&gt;20, INDEX(G:G, ROW()-20), 0) :
  INDEX(G:G, ROW())
),0)</f>
        <v>425.23338971819197</v>
      </c>
    </row>
    <row r="1281" spans="1:17" x14ac:dyDescent="0.4">
      <c r="A1281" s="1">
        <v>45692</v>
      </c>
      <c r="B1281">
        <v>412.69000244140625</v>
      </c>
      <c r="C1281">
        <v>413.92001342773438</v>
      </c>
      <c r="D1281">
        <v>409.739990234375</v>
      </c>
      <c r="E1281">
        <v>412.3699951171875</v>
      </c>
      <c r="F1281">
        <v>20532100</v>
      </c>
      <c r="G1281">
        <v>410.116455078125</v>
      </c>
      <c r="H1281" s="2">
        <f>MONTH(Query1[[#This Row],[Date]])</f>
        <v>2</v>
      </c>
      <c r="I1281" s="3">
        <f>Query1[[#This Row],[Shares]]*Query1[[#This Row],[Adj Close]]</f>
        <v>1473260.917326421</v>
      </c>
      <c r="J1281" s="3">
        <f>IF(ROW()&lt;3, Dashboard!$E$7, IF(Query1[[#This Row],[Month]]&lt;&gt;H1280,J1280*(1+Dashboard!$E$4)+Dashboard!$E$5,J1280))</f>
        <v>1084404.5658848125</v>
      </c>
      <c r="K1281">
        <f>IF(ROW()&lt;3, 0,IF(Query1[[#This Row],[Month]]&lt;&gt;H1280,IF((J1281-I1281&gt;0),J1281-I1281,0),0))</f>
        <v>0</v>
      </c>
      <c r="L1281" s="2">
        <f t="shared" si="19"/>
        <v>3592.2989655359538</v>
      </c>
      <c r="N1281" s="2">
        <f>IF(ROW()&lt;3, Query1[[#This Row],[Shares]], IF(Query1[[#This Row],[Month]]&lt;&gt;H1280, N1280+Query1[[#This Row],[Fix Top Up]]/Query1[[#This Row],[Adj Close]], N1280))</f>
        <v>3443.7835895075805</v>
      </c>
      <c r="P1281" s="2">
        <f>IF(ROW()&lt;3, Query1[[#This Row],[Shares]], IF(Query1[[#This Row],[Month]]&lt;&gt;H1280, P1280+Query1[[#This Row],[Enhanced top up]]/Query1[[#This Row],[Adj Close]], P1280))</f>
        <v>3441.9086679591742</v>
      </c>
      <c r="Q1281" s="2">
        <f>IFERROR(AVERAGE(
  IF(ROW()&gt;20, INDEX(G:G, ROW()-20), 0) :
  INDEX(G:G, ROW())
),0)</f>
        <v>424.93929181780135</v>
      </c>
    </row>
    <row r="1282" spans="1:17" x14ac:dyDescent="0.4">
      <c r="A1282" s="1">
        <v>45693</v>
      </c>
      <c r="B1282">
        <v>412.35000610351563</v>
      </c>
      <c r="C1282">
        <v>413.82998657226563</v>
      </c>
      <c r="D1282">
        <v>410.39999389648438</v>
      </c>
      <c r="E1282">
        <v>413.29000854492188</v>
      </c>
      <c r="F1282">
        <v>16316700</v>
      </c>
      <c r="G1282">
        <v>411.03143310546875</v>
      </c>
      <c r="H1282" s="2">
        <f>MONTH(Query1[[#This Row],[Date]])</f>
        <v>2</v>
      </c>
      <c r="I1282" s="3">
        <f>Query1[[#This Row],[Shares]]*Query1[[#This Row],[Adj Close]]</f>
        <v>1476547.7919475359</v>
      </c>
      <c r="J1282" s="3">
        <f>IF(ROW()&lt;3, Dashboard!$E$7, IF(Query1[[#This Row],[Month]]&lt;&gt;H1281,J1281*(1+Dashboard!$E$4)+Dashboard!$E$5,J1281))</f>
        <v>1084404.5658848125</v>
      </c>
      <c r="K1282">
        <f>IF(ROW()&lt;3, 0,IF(Query1[[#This Row],[Month]]&lt;&gt;H1281,IF((J1282-I1282&gt;0),J1282-I1282,0),0))</f>
        <v>0</v>
      </c>
      <c r="L1282" s="2">
        <f t="shared" ref="L1282:L1345" si="20">IF(ROW()&lt;3, J1282/G1282, L1281+K1281/G1281)</f>
        <v>3592.2989655359538</v>
      </c>
      <c r="N1282" s="2">
        <f>IF(ROW()&lt;3, Query1[[#This Row],[Shares]], IF(Query1[[#This Row],[Month]]&lt;&gt;H1281, N1281+Query1[[#This Row],[Fix Top Up]]/Query1[[#This Row],[Adj Close]], N1281))</f>
        <v>3443.7835895075805</v>
      </c>
      <c r="P1282" s="2">
        <f>IF(ROW()&lt;3, Query1[[#This Row],[Shares]], IF(Query1[[#This Row],[Month]]&lt;&gt;H1281, P1281+Query1[[#This Row],[Enhanced top up]]/Query1[[#This Row],[Adj Close]], P1281))</f>
        <v>3441.9086679591742</v>
      </c>
      <c r="Q1282" s="2">
        <f>IFERROR(AVERAGE(
  IF(ROW()&gt;20, INDEX(G:G, ROW()-20), 0) :
  INDEX(G:G, ROW())
),0)</f>
        <v>424.46286156063991</v>
      </c>
    </row>
    <row r="1283" spans="1:17" x14ac:dyDescent="0.4">
      <c r="A1283" s="1">
        <v>45694</v>
      </c>
      <c r="B1283">
        <v>414</v>
      </c>
      <c r="C1283">
        <v>418.20001220703125</v>
      </c>
      <c r="D1283">
        <v>414</v>
      </c>
      <c r="E1283">
        <v>415.82000732421875</v>
      </c>
      <c r="F1283">
        <v>16309800</v>
      </c>
      <c r="G1283">
        <v>413.547607421875</v>
      </c>
      <c r="H1283" s="2">
        <f>MONTH(Query1[[#This Row],[Date]])</f>
        <v>2</v>
      </c>
      <c r="I1283" s="3">
        <f>Query1[[#This Row],[Shares]]*Query1[[#This Row],[Adj Close]]</f>
        <v>1485586.6423414703</v>
      </c>
      <c r="J1283" s="3">
        <f>IF(ROW()&lt;3, Dashboard!$E$7, IF(Query1[[#This Row],[Month]]&lt;&gt;H1282,J1282*(1+Dashboard!$E$4)+Dashboard!$E$5,J1282))</f>
        <v>1084404.5658848125</v>
      </c>
      <c r="K1283">
        <f>IF(ROW()&lt;3, 0,IF(Query1[[#This Row],[Month]]&lt;&gt;H1282,IF((J1283-I1283&gt;0),J1283-I1283,0),0))</f>
        <v>0</v>
      </c>
      <c r="L1283" s="2">
        <f t="shared" si="20"/>
        <v>3592.2989655359538</v>
      </c>
      <c r="N1283" s="2">
        <f>IF(ROW()&lt;3, Query1[[#This Row],[Shares]], IF(Query1[[#This Row],[Month]]&lt;&gt;H1282, N1282+Query1[[#This Row],[Fix Top Up]]/Query1[[#This Row],[Adj Close]], N1282))</f>
        <v>3443.7835895075805</v>
      </c>
      <c r="P1283" s="2">
        <f>IF(ROW()&lt;3, Query1[[#This Row],[Shares]], IF(Query1[[#This Row],[Month]]&lt;&gt;H1282, P1282+Query1[[#This Row],[Enhanced top up]]/Query1[[#This Row],[Adj Close]], P1282))</f>
        <v>3441.9086679591742</v>
      </c>
      <c r="Q1283" s="2">
        <f>IFERROR(AVERAGE(
  IF(ROW()&gt;20, INDEX(G:G, ROW()-20), 0) :
  INDEX(G:G, ROW())
),0)</f>
        <v>423.8931347074963</v>
      </c>
    </row>
    <row r="1284" spans="1:17" x14ac:dyDescent="0.4">
      <c r="A1284" s="1">
        <v>45695</v>
      </c>
      <c r="B1284">
        <v>416.48001098632813</v>
      </c>
      <c r="C1284">
        <v>418.64999389648438</v>
      </c>
      <c r="D1284">
        <v>408.10000610351563</v>
      </c>
      <c r="E1284">
        <v>409.75</v>
      </c>
      <c r="F1284">
        <v>22886800</v>
      </c>
      <c r="G1284">
        <v>407.51077270507813</v>
      </c>
      <c r="H1284" s="2">
        <f>MONTH(Query1[[#This Row],[Date]])</f>
        <v>2</v>
      </c>
      <c r="I1284" s="3">
        <f>Query1[[#This Row],[Shares]]*Query1[[#This Row],[Adj Close]]</f>
        <v>1463900.5272332095</v>
      </c>
      <c r="J1284" s="3">
        <f>IF(ROW()&lt;3, Dashboard!$E$7, IF(Query1[[#This Row],[Month]]&lt;&gt;H1283,J1283*(1+Dashboard!$E$4)+Dashboard!$E$5,J1283))</f>
        <v>1084404.5658848125</v>
      </c>
      <c r="K1284">
        <f>IF(ROW()&lt;3, 0,IF(Query1[[#This Row],[Month]]&lt;&gt;H1283,IF((J1284-I1284&gt;0),J1284-I1284,0),0))</f>
        <v>0</v>
      </c>
      <c r="L1284" s="2">
        <f t="shared" si="20"/>
        <v>3592.2989655359538</v>
      </c>
      <c r="N1284" s="2">
        <f>IF(ROW()&lt;3, Query1[[#This Row],[Shares]], IF(Query1[[#This Row],[Month]]&lt;&gt;H1283, N1283+Query1[[#This Row],[Fix Top Up]]/Query1[[#This Row],[Adj Close]], N1283))</f>
        <v>3443.7835895075805</v>
      </c>
      <c r="P1284" s="2">
        <f>IF(ROW()&lt;3, Query1[[#This Row],[Shares]], IF(Query1[[#This Row],[Month]]&lt;&gt;H1283, P1283+Query1[[#This Row],[Enhanced top up]]/Query1[[#This Row],[Adj Close]], P1283))</f>
        <v>3441.9086679591742</v>
      </c>
      <c r="Q1284" s="2">
        <f>IFERROR(AVERAGE(
  IF(ROW()&gt;20, INDEX(G:G, ROW()-20), 0) :
  INDEX(G:G, ROW())
),0)</f>
        <v>423.29546683175221</v>
      </c>
    </row>
    <row r="1285" spans="1:17" x14ac:dyDescent="0.4">
      <c r="A1285" s="1">
        <v>45698</v>
      </c>
      <c r="B1285">
        <v>413.70999145507813</v>
      </c>
      <c r="C1285">
        <v>415.45999145507813</v>
      </c>
      <c r="D1285">
        <v>410.92001342773438</v>
      </c>
      <c r="E1285">
        <v>412.22000122070313</v>
      </c>
      <c r="F1285">
        <v>20817900</v>
      </c>
      <c r="G1285">
        <v>409.96725463867188</v>
      </c>
      <c r="H1285" s="2">
        <f>MONTH(Query1[[#This Row],[Date]])</f>
        <v>2</v>
      </c>
      <c r="I1285" s="3">
        <f>Query1[[#This Row],[Shares]]*Query1[[#This Row],[Adj Close]]</f>
        <v>1472724.9447421159</v>
      </c>
      <c r="J1285" s="3">
        <f>IF(ROW()&lt;3, Dashboard!$E$7, IF(Query1[[#This Row],[Month]]&lt;&gt;H1284,J1284*(1+Dashboard!$E$4)+Dashboard!$E$5,J1284))</f>
        <v>1084404.5658848125</v>
      </c>
      <c r="K1285">
        <f>IF(ROW()&lt;3, 0,IF(Query1[[#This Row],[Month]]&lt;&gt;H1284,IF((J1285-I1285&gt;0),J1285-I1285,0),0))</f>
        <v>0</v>
      </c>
      <c r="L1285" s="2">
        <f t="shared" si="20"/>
        <v>3592.2989655359538</v>
      </c>
      <c r="N1285" s="2">
        <f>IF(ROW()&lt;3, Query1[[#This Row],[Shares]], IF(Query1[[#This Row],[Month]]&lt;&gt;H1284, N1284+Query1[[#This Row],[Fix Top Up]]/Query1[[#This Row],[Adj Close]], N1284))</f>
        <v>3443.7835895075805</v>
      </c>
      <c r="P1285" s="2">
        <f>IF(ROW()&lt;3, Query1[[#This Row],[Shares]], IF(Query1[[#This Row],[Month]]&lt;&gt;H1284, P1284+Query1[[#This Row],[Enhanced top up]]/Query1[[#This Row],[Adj Close]], P1284))</f>
        <v>3441.9086679591742</v>
      </c>
      <c r="Q1285" s="2">
        <f>IFERROR(AVERAGE(
  IF(ROW()&gt;20, INDEX(G:G, ROW()-20), 0) :
  INDEX(G:G, ROW())
),0)</f>
        <v>422.71105811709447</v>
      </c>
    </row>
    <row r="1286" spans="1:17" x14ac:dyDescent="0.4">
      <c r="A1286" s="1">
        <v>45699</v>
      </c>
      <c r="B1286">
        <v>409.6400146484375</v>
      </c>
      <c r="C1286">
        <v>412.489990234375</v>
      </c>
      <c r="D1286">
        <v>409.29998779296875</v>
      </c>
      <c r="E1286">
        <v>411.44000244140625</v>
      </c>
      <c r="F1286">
        <v>18140600</v>
      </c>
      <c r="G1286">
        <v>409.1915283203125</v>
      </c>
      <c r="H1286" s="2">
        <f>MONTH(Query1[[#This Row],[Date]])</f>
        <v>2</v>
      </c>
      <c r="I1286" s="3">
        <f>Query1[[#This Row],[Shares]]*Query1[[#This Row],[Adj Close]]</f>
        <v>1469938.3038911344</v>
      </c>
      <c r="J1286" s="3">
        <f>IF(ROW()&lt;3, Dashboard!$E$7, IF(Query1[[#This Row],[Month]]&lt;&gt;H1285,J1285*(1+Dashboard!$E$4)+Dashboard!$E$5,J1285))</f>
        <v>1084404.5658848125</v>
      </c>
      <c r="K1286">
        <f>IF(ROW()&lt;3, 0,IF(Query1[[#This Row],[Month]]&lt;&gt;H1285,IF((J1286-I1286&gt;0),J1286-I1286,0),0))</f>
        <v>0</v>
      </c>
      <c r="L1286" s="2">
        <f t="shared" si="20"/>
        <v>3592.2989655359538</v>
      </c>
      <c r="N1286" s="2">
        <f>IF(ROW()&lt;3, Query1[[#This Row],[Shares]], IF(Query1[[#This Row],[Month]]&lt;&gt;H1285, N1285+Query1[[#This Row],[Fix Top Up]]/Query1[[#This Row],[Adj Close]], N1285))</f>
        <v>3443.7835895075805</v>
      </c>
      <c r="P1286" s="2">
        <f>IF(ROW()&lt;3, Query1[[#This Row],[Shares]], IF(Query1[[#This Row],[Month]]&lt;&gt;H1285, P1285+Query1[[#This Row],[Enhanced top up]]/Query1[[#This Row],[Adj Close]], P1285))</f>
        <v>3441.9086679591742</v>
      </c>
      <c r="Q1286" s="2">
        <f>IFERROR(AVERAGE(
  IF(ROW()&gt;20, INDEX(G:G, ROW()-20), 0) :
  INDEX(G:G, ROW())
),0)</f>
        <v>422.3553931826637</v>
      </c>
    </row>
    <row r="1287" spans="1:17" x14ac:dyDescent="0.4">
      <c r="A1287" s="1">
        <v>45700</v>
      </c>
      <c r="B1287">
        <v>407.20999145507813</v>
      </c>
      <c r="C1287">
        <v>410.75</v>
      </c>
      <c r="D1287">
        <v>404.3699951171875</v>
      </c>
      <c r="E1287">
        <v>409.04000854492188</v>
      </c>
      <c r="F1287">
        <v>19121700</v>
      </c>
      <c r="G1287">
        <v>406.80462646484375</v>
      </c>
      <c r="H1287" s="2">
        <f>MONTH(Query1[[#This Row],[Date]])</f>
        <v>2</v>
      </c>
      <c r="I1287" s="3">
        <f>Query1[[#This Row],[Shares]]*Query1[[#This Row],[Adj Close]]</f>
        <v>1461363.8388248982</v>
      </c>
      <c r="J1287" s="3">
        <f>IF(ROW()&lt;3, Dashboard!$E$7, IF(Query1[[#This Row],[Month]]&lt;&gt;H1286,J1286*(1+Dashboard!$E$4)+Dashboard!$E$5,J1286))</f>
        <v>1084404.5658848125</v>
      </c>
      <c r="K1287">
        <f>IF(ROW()&lt;3, 0,IF(Query1[[#This Row],[Month]]&lt;&gt;H1286,IF((J1287-I1287&gt;0),J1287-I1287,0),0))</f>
        <v>0</v>
      </c>
      <c r="L1287" s="2">
        <f t="shared" si="20"/>
        <v>3592.2989655359538</v>
      </c>
      <c r="N1287" s="2">
        <f>IF(ROW()&lt;3, Query1[[#This Row],[Shares]], IF(Query1[[#This Row],[Month]]&lt;&gt;H1286, N1286+Query1[[#This Row],[Fix Top Up]]/Query1[[#This Row],[Adj Close]], N1286))</f>
        <v>3443.7835895075805</v>
      </c>
      <c r="P1287" s="2">
        <f>IF(ROW()&lt;3, Query1[[#This Row],[Shares]], IF(Query1[[#This Row],[Month]]&lt;&gt;H1286, P1286+Query1[[#This Row],[Enhanced top up]]/Query1[[#This Row],[Adj Close]], P1286))</f>
        <v>3441.9086679591742</v>
      </c>
      <c r="Q1287" s="2">
        <f>IFERROR(AVERAGE(
  IF(ROW()&gt;20, INDEX(G:G, ROW()-20), 0) :
  INDEX(G:G, ROW())
),0)</f>
        <v>421.96941702706471</v>
      </c>
    </row>
    <row r="1288" spans="1:17" x14ac:dyDescent="0.4">
      <c r="A1288" s="1">
        <v>45701</v>
      </c>
      <c r="B1288">
        <v>407</v>
      </c>
      <c r="C1288">
        <v>411</v>
      </c>
      <c r="D1288">
        <v>406.3599853515625</v>
      </c>
      <c r="E1288">
        <v>410.54000854492188</v>
      </c>
      <c r="F1288">
        <v>23891700</v>
      </c>
      <c r="G1288">
        <v>408.29644775390625</v>
      </c>
      <c r="H1288" s="2">
        <f>MONTH(Query1[[#This Row],[Date]])</f>
        <v>2</v>
      </c>
      <c r="I1288" s="3">
        <f>Query1[[#This Row],[Shares]]*Query1[[#This Row],[Adj Close]]</f>
        <v>1466722.9068983621</v>
      </c>
      <c r="J1288" s="3">
        <f>IF(ROW()&lt;3, Dashboard!$E$7, IF(Query1[[#This Row],[Month]]&lt;&gt;H1287,J1287*(1+Dashboard!$E$4)+Dashboard!$E$5,J1287))</f>
        <v>1084404.5658848125</v>
      </c>
      <c r="K1288">
        <f>IF(ROW()&lt;3, 0,IF(Query1[[#This Row],[Month]]&lt;&gt;H1287,IF((J1288-I1288&gt;0),J1288-I1288,0),0))</f>
        <v>0</v>
      </c>
      <c r="L1288" s="2">
        <f t="shared" si="20"/>
        <v>3592.2989655359538</v>
      </c>
      <c r="N1288" s="2">
        <f>IF(ROW()&lt;3, Query1[[#This Row],[Shares]], IF(Query1[[#This Row],[Month]]&lt;&gt;H1287, N1287+Query1[[#This Row],[Fix Top Up]]/Query1[[#This Row],[Adj Close]], N1287))</f>
        <v>3443.7835895075805</v>
      </c>
      <c r="P1288" s="2">
        <f>IF(ROW()&lt;3, Query1[[#This Row],[Shares]], IF(Query1[[#This Row],[Month]]&lt;&gt;H1287, P1287+Query1[[#This Row],[Enhanced top up]]/Query1[[#This Row],[Adj Close]], P1287))</f>
        <v>3441.9086679591742</v>
      </c>
      <c r="Q1288" s="2">
        <f>IFERROR(AVERAGE(
  IF(ROW()&gt;20, INDEX(G:G, ROW()-20), 0) :
  INDEX(G:G, ROW())
),0)</f>
        <v>421.72646513439361</v>
      </c>
    </row>
    <row r="1289" spans="1:17" x14ac:dyDescent="0.4">
      <c r="A1289" s="1">
        <v>45702</v>
      </c>
      <c r="B1289">
        <v>407.79000854492188</v>
      </c>
      <c r="C1289">
        <v>408.91000366210938</v>
      </c>
      <c r="D1289">
        <v>405.8800048828125</v>
      </c>
      <c r="E1289">
        <v>408.42999267578125</v>
      </c>
      <c r="F1289">
        <v>22758500</v>
      </c>
      <c r="G1289">
        <v>406.19796752929688</v>
      </c>
      <c r="H1289" s="2">
        <f>MONTH(Query1[[#This Row],[Date]])</f>
        <v>2</v>
      </c>
      <c r="I1289" s="3">
        <f>Query1[[#This Row],[Shares]]*Query1[[#This Row],[Adj Close]]</f>
        <v>1459184.5385583001</v>
      </c>
      <c r="J1289" s="3">
        <f>IF(ROW()&lt;3, Dashboard!$E$7, IF(Query1[[#This Row],[Month]]&lt;&gt;H1288,J1288*(1+Dashboard!$E$4)+Dashboard!$E$5,J1288))</f>
        <v>1084404.5658848125</v>
      </c>
      <c r="K1289">
        <f>IF(ROW()&lt;3, 0,IF(Query1[[#This Row],[Month]]&lt;&gt;H1288,IF((J1289-I1289&gt;0),J1289-I1289,0),0))</f>
        <v>0</v>
      </c>
      <c r="L1289" s="2">
        <f t="shared" si="20"/>
        <v>3592.2989655359538</v>
      </c>
      <c r="N1289" s="2">
        <f>IF(ROW()&lt;3, Query1[[#This Row],[Shares]], IF(Query1[[#This Row],[Month]]&lt;&gt;H1288, N1288+Query1[[#This Row],[Fix Top Up]]/Query1[[#This Row],[Adj Close]], N1288))</f>
        <v>3443.7835895075805</v>
      </c>
      <c r="P1289" s="2">
        <f>IF(ROW()&lt;3, Query1[[#This Row],[Shares]], IF(Query1[[#This Row],[Month]]&lt;&gt;H1288, P1288+Query1[[#This Row],[Enhanced top up]]/Query1[[#This Row],[Adj Close]], P1288))</f>
        <v>3441.9086679591742</v>
      </c>
      <c r="Q1289" s="2">
        <f>IFERROR(AVERAGE(
  IF(ROW()&gt;20, INDEX(G:G, ROW()-20), 0) :
  INDEX(G:G, ROW())
),0)</f>
        <v>420.87968953450519</v>
      </c>
    </row>
    <row r="1290" spans="1:17" x14ac:dyDescent="0.4">
      <c r="A1290" s="1">
        <v>45706</v>
      </c>
      <c r="B1290">
        <v>408</v>
      </c>
      <c r="C1290">
        <v>410.60000610351563</v>
      </c>
      <c r="D1290">
        <v>406.5</v>
      </c>
      <c r="E1290">
        <v>409.6400146484375</v>
      </c>
      <c r="F1290">
        <v>21423100</v>
      </c>
      <c r="G1290">
        <v>407.4013671875</v>
      </c>
      <c r="H1290" s="2">
        <f>MONTH(Query1[[#This Row],[Date]])</f>
        <v>2</v>
      </c>
      <c r="I1290" s="3">
        <f>Query1[[#This Row],[Shares]]*Query1[[#This Row],[Adj Close]]</f>
        <v>1463507.5099055895</v>
      </c>
      <c r="J1290" s="3">
        <f>IF(ROW()&lt;3, Dashboard!$E$7, IF(Query1[[#This Row],[Month]]&lt;&gt;H1289,J1289*(1+Dashboard!$E$4)+Dashboard!$E$5,J1289))</f>
        <v>1084404.5658848125</v>
      </c>
      <c r="K1290">
        <f>IF(ROW()&lt;3, 0,IF(Query1[[#This Row],[Month]]&lt;&gt;H1289,IF((J1290-I1290&gt;0),J1290-I1290,0),0))</f>
        <v>0</v>
      </c>
      <c r="L1290" s="2">
        <f t="shared" si="20"/>
        <v>3592.2989655359538</v>
      </c>
      <c r="N1290" s="2">
        <f>IF(ROW()&lt;3, Query1[[#This Row],[Shares]], IF(Query1[[#This Row],[Month]]&lt;&gt;H1289, N1289+Query1[[#This Row],[Fix Top Up]]/Query1[[#This Row],[Adj Close]], N1289))</f>
        <v>3443.7835895075805</v>
      </c>
      <c r="P1290" s="2">
        <f>IF(ROW()&lt;3, Query1[[#This Row],[Shares]], IF(Query1[[#This Row],[Month]]&lt;&gt;H1289, P1289+Query1[[#This Row],[Enhanced top up]]/Query1[[#This Row],[Adj Close]], P1289))</f>
        <v>3441.9086679591742</v>
      </c>
      <c r="Q1290" s="2">
        <f>IFERROR(AVERAGE(
  IF(ROW()&gt;20, INDEX(G:G, ROW()-20), 0) :
  INDEX(G:G, ROW())
),0)</f>
        <v>420.17214965820313</v>
      </c>
    </row>
    <row r="1291" spans="1:17" x14ac:dyDescent="0.4">
      <c r="A1291" s="1">
        <v>45707</v>
      </c>
      <c r="B1291">
        <v>407.8800048828125</v>
      </c>
      <c r="C1291">
        <v>415.489990234375</v>
      </c>
      <c r="D1291">
        <v>407.64999389648438</v>
      </c>
      <c r="E1291">
        <v>414.76998901367188</v>
      </c>
      <c r="F1291">
        <v>24114200</v>
      </c>
      <c r="G1291">
        <v>412.5032958984375</v>
      </c>
      <c r="H1291" s="2">
        <f>MONTH(Query1[[#This Row],[Date]])</f>
        <v>2</v>
      </c>
      <c r="I1291" s="3">
        <f>Query1[[#This Row],[Shares]]*Query1[[#This Row],[Adj Close]]</f>
        <v>1481835.1631361286</v>
      </c>
      <c r="J1291" s="3">
        <f>IF(ROW()&lt;3, Dashboard!$E$7, IF(Query1[[#This Row],[Month]]&lt;&gt;H1290,J1290*(1+Dashboard!$E$4)+Dashboard!$E$5,J1290))</f>
        <v>1084404.5658848125</v>
      </c>
      <c r="K1291">
        <f>IF(ROW()&lt;3, 0,IF(Query1[[#This Row],[Month]]&lt;&gt;H1290,IF((J1291-I1291&gt;0),J1291-I1291,0),0))</f>
        <v>0</v>
      </c>
      <c r="L1291" s="2">
        <f t="shared" si="20"/>
        <v>3592.2989655359538</v>
      </c>
      <c r="N1291" s="2">
        <f>IF(ROW()&lt;3, Query1[[#This Row],[Shares]], IF(Query1[[#This Row],[Month]]&lt;&gt;H1290, N1290+Query1[[#This Row],[Fix Top Up]]/Query1[[#This Row],[Adj Close]], N1290))</f>
        <v>3443.7835895075805</v>
      </c>
      <c r="P1291" s="2">
        <f>IF(ROW()&lt;3, Query1[[#This Row],[Shares]], IF(Query1[[#This Row],[Month]]&lt;&gt;H1290, P1290+Query1[[#This Row],[Enhanced top up]]/Query1[[#This Row],[Adj Close]], P1290))</f>
        <v>3441.9086679591742</v>
      </c>
      <c r="Q1291" s="2">
        <f>IFERROR(AVERAGE(
  IF(ROW()&gt;20, INDEX(G:G, ROW()-20), 0) :
  INDEX(G:G, ROW())
),0)</f>
        <v>419.49681163969495</v>
      </c>
    </row>
    <row r="1292" spans="1:17" x14ac:dyDescent="0.4">
      <c r="A1292" s="1">
        <v>45708</v>
      </c>
      <c r="B1292">
        <v>415.29000854492188</v>
      </c>
      <c r="C1292">
        <v>419.30999755859375</v>
      </c>
      <c r="D1292">
        <v>412.54000854492188</v>
      </c>
      <c r="E1292">
        <v>416.1300048828125</v>
      </c>
      <c r="F1292">
        <v>23508700</v>
      </c>
      <c r="G1292">
        <v>414.68576049804688</v>
      </c>
      <c r="H1292" s="2">
        <f>MONTH(Query1[[#This Row],[Date]])</f>
        <v>2</v>
      </c>
      <c r="I1292" s="3">
        <f>Query1[[#This Row],[Shares]]*Query1[[#This Row],[Adj Close]]</f>
        <v>1489675.2284596241</v>
      </c>
      <c r="J1292" s="3">
        <f>IF(ROW()&lt;3, Dashboard!$E$7, IF(Query1[[#This Row],[Month]]&lt;&gt;H1291,J1291*(1+Dashboard!$E$4)+Dashboard!$E$5,J1291))</f>
        <v>1084404.5658848125</v>
      </c>
      <c r="K1292">
        <f>IF(ROW()&lt;3, 0,IF(Query1[[#This Row],[Month]]&lt;&gt;H1291,IF((J1292-I1292&gt;0),J1292-I1292,0),0))</f>
        <v>0</v>
      </c>
      <c r="L1292" s="2">
        <f t="shared" si="20"/>
        <v>3592.2989655359538</v>
      </c>
      <c r="N1292" s="2">
        <f>IF(ROW()&lt;3, Query1[[#This Row],[Shares]], IF(Query1[[#This Row],[Month]]&lt;&gt;H1291, N1291+Query1[[#This Row],[Fix Top Up]]/Query1[[#This Row],[Adj Close]], N1291))</f>
        <v>3443.7835895075805</v>
      </c>
      <c r="P1292" s="2">
        <f>IF(ROW()&lt;3, Query1[[#This Row],[Shares]], IF(Query1[[#This Row],[Month]]&lt;&gt;H1291, P1291+Query1[[#This Row],[Enhanced top up]]/Query1[[#This Row],[Adj Close]], P1291))</f>
        <v>3441.9086679591742</v>
      </c>
      <c r="Q1292" s="2">
        <f>IFERROR(AVERAGE(
  IF(ROW()&gt;20, INDEX(G:G, ROW()-20), 0) :
  INDEX(G:G, ROW())
),0)</f>
        <v>418.95049903506322</v>
      </c>
    </row>
    <row r="1293" spans="1:17" x14ac:dyDescent="0.4">
      <c r="A1293" s="1">
        <v>45709</v>
      </c>
      <c r="B1293">
        <v>417.33999633789063</v>
      </c>
      <c r="C1293">
        <v>418.04998779296875</v>
      </c>
      <c r="D1293">
        <v>407.8900146484375</v>
      </c>
      <c r="E1293">
        <v>408.20999145507813</v>
      </c>
      <c r="F1293">
        <v>27524800</v>
      </c>
      <c r="G1293">
        <v>406.793212890625</v>
      </c>
      <c r="H1293" s="2">
        <f>MONTH(Query1[[#This Row],[Date]])</f>
        <v>2</v>
      </c>
      <c r="I1293" s="3">
        <f>Query1[[#This Row],[Shares]]*Query1[[#This Row],[Adj Close]]</f>
        <v>1461322.8378540392</v>
      </c>
      <c r="J1293" s="3">
        <f>IF(ROW()&lt;3, Dashboard!$E$7, IF(Query1[[#This Row],[Month]]&lt;&gt;H1292,J1292*(1+Dashboard!$E$4)+Dashboard!$E$5,J1292))</f>
        <v>1084404.5658848125</v>
      </c>
      <c r="K1293">
        <f>IF(ROW()&lt;3, 0,IF(Query1[[#This Row],[Month]]&lt;&gt;H1292,IF((J1293-I1293&gt;0),J1293-I1293,0),0))</f>
        <v>0</v>
      </c>
      <c r="L1293" s="2">
        <f t="shared" si="20"/>
        <v>3592.2989655359538</v>
      </c>
      <c r="N1293" s="2">
        <f>IF(ROW()&lt;3, Query1[[#This Row],[Shares]], IF(Query1[[#This Row],[Month]]&lt;&gt;H1292, N1292+Query1[[#This Row],[Fix Top Up]]/Query1[[#This Row],[Adj Close]], N1292))</f>
        <v>3443.7835895075805</v>
      </c>
      <c r="P1293" s="2">
        <f>IF(ROW()&lt;3, Query1[[#This Row],[Shares]], IF(Query1[[#This Row],[Month]]&lt;&gt;H1292, P1292+Query1[[#This Row],[Enhanced top up]]/Query1[[#This Row],[Adj Close]], P1292))</f>
        <v>3441.9086679591742</v>
      </c>
      <c r="Q1293" s="2">
        <f>IFERROR(AVERAGE(
  IF(ROW()&gt;20, INDEX(G:G, ROW()-20), 0) :
  INDEX(G:G, ROW())
),0)</f>
        <v>417.19009980701264</v>
      </c>
    </row>
    <row r="1294" spans="1:17" x14ac:dyDescent="0.4">
      <c r="A1294" s="1">
        <v>45712</v>
      </c>
      <c r="B1294">
        <v>408.510009765625</v>
      </c>
      <c r="C1294">
        <v>409.3699951171875</v>
      </c>
      <c r="D1294">
        <v>399.32000732421875</v>
      </c>
      <c r="E1294">
        <v>404</v>
      </c>
      <c r="F1294">
        <v>26443700</v>
      </c>
      <c r="G1294">
        <v>402.59783935546875</v>
      </c>
      <c r="H1294" s="2">
        <f>MONTH(Query1[[#This Row],[Date]])</f>
        <v>2</v>
      </c>
      <c r="I1294" s="3">
        <f>Query1[[#This Row],[Shares]]*Query1[[#This Row],[Adj Close]]</f>
        <v>1446251.8018436604</v>
      </c>
      <c r="J1294" s="3">
        <f>IF(ROW()&lt;3, Dashboard!$E$7, IF(Query1[[#This Row],[Month]]&lt;&gt;H1293,J1293*(1+Dashboard!$E$4)+Dashboard!$E$5,J1293))</f>
        <v>1084404.5658848125</v>
      </c>
      <c r="K1294">
        <f>IF(ROW()&lt;3, 0,IF(Query1[[#This Row],[Month]]&lt;&gt;H1293,IF((J1294-I1294&gt;0),J1294-I1294,0),0))</f>
        <v>0</v>
      </c>
      <c r="L1294" s="2">
        <f t="shared" si="20"/>
        <v>3592.2989655359538</v>
      </c>
      <c r="N1294" s="2">
        <f>IF(ROW()&lt;3, Query1[[#This Row],[Shares]], IF(Query1[[#This Row],[Month]]&lt;&gt;H1293, N1293+Query1[[#This Row],[Fix Top Up]]/Query1[[#This Row],[Adj Close]], N1293))</f>
        <v>3443.7835895075805</v>
      </c>
      <c r="P1294" s="2">
        <f>IF(ROW()&lt;3, Query1[[#This Row],[Shares]], IF(Query1[[#This Row],[Month]]&lt;&gt;H1293, P1293+Query1[[#This Row],[Enhanced top up]]/Query1[[#This Row],[Adj Close]], P1293))</f>
        <v>3441.9086679591742</v>
      </c>
      <c r="Q1294" s="2">
        <f>IFERROR(AVERAGE(
  IF(ROW()&gt;20, INDEX(G:G, ROW()-20), 0) :
  INDEX(G:G, ROW())
),0)</f>
        <v>415.20576985677081</v>
      </c>
    </row>
    <row r="1295" spans="1:17" x14ac:dyDescent="0.4">
      <c r="A1295" s="1">
        <v>45713</v>
      </c>
      <c r="B1295">
        <v>401.10000610351563</v>
      </c>
      <c r="C1295">
        <v>401.92001342773438</v>
      </c>
      <c r="D1295">
        <v>396.70001220703125</v>
      </c>
      <c r="E1295">
        <v>397.89999389648438</v>
      </c>
      <c r="F1295">
        <v>29387400</v>
      </c>
      <c r="G1295">
        <v>396.51898193359375</v>
      </c>
      <c r="H1295" s="2">
        <f>MONTH(Query1[[#This Row],[Date]])</f>
        <v>2</v>
      </c>
      <c r="I1295" s="3">
        <f>Query1[[#This Row],[Shares]]*Query1[[#This Row],[Adj Close]]</f>
        <v>1424414.7286154183</v>
      </c>
      <c r="J1295" s="3">
        <f>IF(ROW()&lt;3, Dashboard!$E$7, IF(Query1[[#This Row],[Month]]&lt;&gt;H1294,J1294*(1+Dashboard!$E$4)+Dashboard!$E$5,J1294))</f>
        <v>1084404.5658848125</v>
      </c>
      <c r="K1295">
        <f>IF(ROW()&lt;3, 0,IF(Query1[[#This Row],[Month]]&lt;&gt;H1294,IF((J1295-I1295&gt;0),J1295-I1295,0),0))</f>
        <v>0</v>
      </c>
      <c r="L1295" s="2">
        <f t="shared" si="20"/>
        <v>3592.2989655359538</v>
      </c>
      <c r="N1295" s="2">
        <f>IF(ROW()&lt;3, Query1[[#This Row],[Shares]], IF(Query1[[#This Row],[Month]]&lt;&gt;H1294, N1294+Query1[[#This Row],[Fix Top Up]]/Query1[[#This Row],[Adj Close]], N1294))</f>
        <v>3443.7835895075805</v>
      </c>
      <c r="P1295" s="2">
        <f>IF(ROW()&lt;3, Query1[[#This Row],[Shares]], IF(Query1[[#This Row],[Month]]&lt;&gt;H1294, P1294+Query1[[#This Row],[Enhanced top up]]/Query1[[#This Row],[Adj Close]], P1294))</f>
        <v>3441.9086679591742</v>
      </c>
      <c r="Q1295" s="2">
        <f>IFERROR(AVERAGE(
  IF(ROW()&gt;20, INDEX(G:G, ROW()-20), 0) :
  INDEX(G:G, ROW())
),0)</f>
        <v>413.05747041248139</v>
      </c>
    </row>
    <row r="1296" spans="1:17" x14ac:dyDescent="0.4">
      <c r="A1296" s="1">
        <v>45714</v>
      </c>
      <c r="B1296">
        <v>398.010009765625</v>
      </c>
      <c r="C1296">
        <v>403.60000610351563</v>
      </c>
      <c r="D1296">
        <v>394.25</v>
      </c>
      <c r="E1296">
        <v>399.73001098632813</v>
      </c>
      <c r="F1296">
        <v>19619000</v>
      </c>
      <c r="G1296">
        <v>398.3426513671875</v>
      </c>
      <c r="H1296" s="2">
        <f>MONTH(Query1[[#This Row],[Date]])</f>
        <v>2</v>
      </c>
      <c r="I1296" s="3">
        <f>Query1[[#This Row],[Shares]]*Query1[[#This Row],[Adj Close]]</f>
        <v>1430965.8944351966</v>
      </c>
      <c r="J1296" s="3">
        <f>IF(ROW()&lt;3, Dashboard!$E$7, IF(Query1[[#This Row],[Month]]&lt;&gt;H1295,J1295*(1+Dashboard!$E$4)+Dashboard!$E$5,J1295))</f>
        <v>1084404.5658848125</v>
      </c>
      <c r="K1296">
        <f>IF(ROW()&lt;3, 0,IF(Query1[[#This Row],[Month]]&lt;&gt;H1295,IF((J1296-I1296&gt;0),J1296-I1296,0),0))</f>
        <v>0</v>
      </c>
      <c r="L1296" s="2">
        <f t="shared" si="20"/>
        <v>3592.2989655359538</v>
      </c>
      <c r="N1296" s="2">
        <f>IF(ROW()&lt;3, Query1[[#This Row],[Shares]], IF(Query1[[#This Row],[Month]]&lt;&gt;H1295, N1295+Query1[[#This Row],[Fix Top Up]]/Query1[[#This Row],[Adj Close]], N1295))</f>
        <v>3443.7835895075805</v>
      </c>
      <c r="P1296" s="2">
        <f>IF(ROW()&lt;3, Query1[[#This Row],[Shares]], IF(Query1[[#This Row],[Month]]&lt;&gt;H1295, P1295+Query1[[#This Row],[Enhanced top up]]/Query1[[#This Row],[Adj Close]], P1295))</f>
        <v>3441.9086679591742</v>
      </c>
      <c r="Q1296" s="2">
        <f>IFERROR(AVERAGE(
  IF(ROW()&gt;20, INDEX(G:G, ROW()-20), 0) :
  INDEX(G:G, ROW())
),0)</f>
        <v>411.44592139834447</v>
      </c>
    </row>
    <row r="1297" spans="1:17" x14ac:dyDescent="0.4">
      <c r="A1297" s="1">
        <v>45715</v>
      </c>
      <c r="B1297">
        <v>401.26998901367188</v>
      </c>
      <c r="C1297">
        <v>405.739990234375</v>
      </c>
      <c r="D1297">
        <v>392.17001342773438</v>
      </c>
      <c r="E1297">
        <v>392.52999877929688</v>
      </c>
      <c r="F1297">
        <v>21127400</v>
      </c>
      <c r="G1297">
        <v>391.16766357421875</v>
      </c>
      <c r="H1297" s="2">
        <f>MONTH(Query1[[#This Row],[Date]])</f>
        <v>2</v>
      </c>
      <c r="I1297" s="3">
        <f>Query1[[#This Row],[Shares]]*Query1[[#This Row],[Adj Close]]</f>
        <v>1405191.193208782</v>
      </c>
      <c r="J1297" s="3">
        <f>IF(ROW()&lt;3, Dashboard!$E$7, IF(Query1[[#This Row],[Month]]&lt;&gt;H1296,J1296*(1+Dashboard!$E$4)+Dashboard!$E$5,J1296))</f>
        <v>1084404.5658848125</v>
      </c>
      <c r="K1297">
        <f>IF(ROW()&lt;3, 0,IF(Query1[[#This Row],[Month]]&lt;&gt;H1296,IF((J1297-I1297&gt;0),J1297-I1297,0),0))</f>
        <v>0</v>
      </c>
      <c r="L1297" s="2">
        <f t="shared" si="20"/>
        <v>3592.2989655359538</v>
      </c>
      <c r="N1297" s="2">
        <f>IF(ROW()&lt;3, Query1[[#This Row],[Shares]], IF(Query1[[#This Row],[Month]]&lt;&gt;H1296, N1296+Query1[[#This Row],[Fix Top Up]]/Query1[[#This Row],[Adj Close]], N1296))</f>
        <v>3443.7835895075805</v>
      </c>
      <c r="P1297" s="2">
        <f>IF(ROW()&lt;3, Query1[[#This Row],[Shares]], IF(Query1[[#This Row],[Month]]&lt;&gt;H1296, P1296+Query1[[#This Row],[Enhanced top up]]/Query1[[#This Row],[Adj Close]], P1296))</f>
        <v>3441.9086679591742</v>
      </c>
      <c r="Q1297" s="2">
        <f>IFERROR(AVERAGE(
  IF(ROW()&gt;20, INDEX(G:G, ROW()-20), 0) :
  INDEX(G:G, ROW())
),0)</f>
        <v>408.8940894717262</v>
      </c>
    </row>
    <row r="1298" spans="1:17" x14ac:dyDescent="0.4">
      <c r="A1298" s="1">
        <v>45716</v>
      </c>
      <c r="B1298">
        <v>392.66000366210938</v>
      </c>
      <c r="C1298">
        <v>397.6300048828125</v>
      </c>
      <c r="D1298">
        <v>386.57000732421875</v>
      </c>
      <c r="E1298">
        <v>396.989990234375</v>
      </c>
      <c r="F1298">
        <v>32845700</v>
      </c>
      <c r="G1298">
        <v>395.61215209960938</v>
      </c>
      <c r="H1298" s="2">
        <f>MONTH(Query1[[#This Row],[Date]])</f>
        <v>2</v>
      </c>
      <c r="I1298" s="3">
        <f>Query1[[#This Row],[Shares]]*Query1[[#This Row],[Adj Close]]</f>
        <v>1421157.1247408793</v>
      </c>
      <c r="J1298" s="3">
        <f>IF(ROW()&lt;3, Dashboard!$E$7, IF(Query1[[#This Row],[Month]]&lt;&gt;H1297,J1297*(1+Dashboard!$E$4)+Dashboard!$E$5,J1297))</f>
        <v>1084404.5658848125</v>
      </c>
      <c r="K1298">
        <f>IF(ROW()&lt;3, 0,IF(Query1[[#This Row],[Month]]&lt;&gt;H1297,IF((J1298-I1298&gt;0),J1298-I1298,0),0))</f>
        <v>0</v>
      </c>
      <c r="L1298" s="2">
        <f t="shared" si="20"/>
        <v>3592.2989655359538</v>
      </c>
      <c r="N1298" s="2">
        <f>IF(ROW()&lt;3, Query1[[#This Row],[Shares]], IF(Query1[[#This Row],[Month]]&lt;&gt;H1297, N1297+Query1[[#This Row],[Fix Top Up]]/Query1[[#This Row],[Adj Close]], N1297))</f>
        <v>3443.7835895075805</v>
      </c>
      <c r="P1298" s="2">
        <f>IF(ROW()&lt;3, Query1[[#This Row],[Shares]], IF(Query1[[#This Row],[Month]]&lt;&gt;H1297, P1297+Query1[[#This Row],[Enhanced top up]]/Query1[[#This Row],[Adj Close]], P1297))</f>
        <v>3441.9086679591742</v>
      </c>
      <c r="Q1298" s="2">
        <f>IFERROR(AVERAGE(
  IF(ROW()&gt;20, INDEX(G:G, ROW()-20), 0) :
  INDEX(G:G, ROW())
),0)</f>
        <v>406.78453863234745</v>
      </c>
    </row>
    <row r="1299" spans="1:17" x14ac:dyDescent="0.4">
      <c r="A1299" s="1">
        <v>45719</v>
      </c>
      <c r="B1299">
        <v>398.82000732421875</v>
      </c>
      <c r="C1299">
        <v>398.82000732421875</v>
      </c>
      <c r="D1299">
        <v>386.16000366210938</v>
      </c>
      <c r="E1299">
        <v>388.489990234375</v>
      </c>
      <c r="F1299">
        <v>23007700</v>
      </c>
      <c r="G1299">
        <v>387.14166259765625</v>
      </c>
      <c r="H1299" s="2">
        <f>MONTH(Query1[[#This Row],[Date]])</f>
        <v>3</v>
      </c>
      <c r="I1299" s="3">
        <f>Query1[[#This Row],[Shares]]*Query1[[#This Row],[Adj Close]]</f>
        <v>1390728.5940654299</v>
      </c>
      <c r="J1299" s="3">
        <f>IF(ROW()&lt;3, Dashboard!$E$7, IF(Query1[[#This Row],[Month]]&lt;&gt;H1298,J1298*(1+Dashboard!$E$4)+Dashboard!$E$5,J1298))</f>
        <v>1097248.6115436608</v>
      </c>
      <c r="K1299">
        <f>IF(ROW()&lt;3, 0,IF(Query1[[#This Row],[Month]]&lt;&gt;H1298,IF((J1299-I1299&gt;0),J1299-I1299,0),0))</f>
        <v>0</v>
      </c>
      <c r="L1299" s="2">
        <f t="shared" si="20"/>
        <v>3592.2989655359538</v>
      </c>
      <c r="N1299" s="2">
        <f>IF(ROW()&lt;3, Query1[[#This Row],[Shares]], IF(Query1[[#This Row],[Month]]&lt;&gt;H1298, N1298+Query1[[#This Row],[Fix Top Up]]/Query1[[#This Row],[Adj Close]], N1298))</f>
        <v>3443.7835895075805</v>
      </c>
      <c r="P1299" s="2">
        <f>IF(ROW()&lt;3, Query1[[#This Row],[Shares]], IF(Query1[[#This Row],[Month]]&lt;&gt;H1298, P1298+Query1[[#This Row],[Enhanced top up]]/Query1[[#This Row],[Adj Close]], P1298))</f>
        <v>3441.9086679591742</v>
      </c>
      <c r="Q1299" s="2">
        <f>IFERROR(AVERAGE(
  IF(ROW()&gt;20, INDEX(G:G, ROW()-20), 0) :
  INDEX(G:G, ROW())
),0)</f>
        <v>405.56642078218005</v>
      </c>
    </row>
    <row r="1300" spans="1:17" x14ac:dyDescent="0.4">
      <c r="A1300" s="1">
        <v>45720</v>
      </c>
      <c r="B1300">
        <v>383.39999389648438</v>
      </c>
      <c r="C1300">
        <v>392.57998657226563</v>
      </c>
      <c r="D1300">
        <v>381</v>
      </c>
      <c r="E1300">
        <v>388.6099853515625</v>
      </c>
      <c r="F1300">
        <v>29342900</v>
      </c>
      <c r="G1300">
        <v>387.26123046875</v>
      </c>
      <c r="H1300" s="2">
        <f>MONTH(Query1[[#This Row],[Date]])</f>
        <v>3</v>
      </c>
      <c r="I1300" s="3">
        <f>Query1[[#This Row],[Shares]]*Query1[[#This Row],[Adj Close]]</f>
        <v>1391158.1176050713</v>
      </c>
      <c r="J1300" s="3">
        <f>IF(ROW()&lt;3, Dashboard!$E$7, IF(Query1[[#This Row],[Month]]&lt;&gt;H1299,J1299*(1+Dashboard!$E$4)+Dashboard!$E$5,J1299))</f>
        <v>1097248.6115436608</v>
      </c>
      <c r="K1300">
        <f>IF(ROW()&lt;3, 0,IF(Query1[[#This Row],[Month]]&lt;&gt;H1299,IF((J1300-I1300&gt;0),J1300-I1300,0),0))</f>
        <v>0</v>
      </c>
      <c r="L1300" s="2">
        <f t="shared" si="20"/>
        <v>3592.2989655359538</v>
      </c>
      <c r="N1300" s="2">
        <f>IF(ROW()&lt;3, Query1[[#This Row],[Shares]], IF(Query1[[#This Row],[Month]]&lt;&gt;H1299, N1299+Query1[[#This Row],[Fix Top Up]]/Query1[[#This Row],[Adj Close]], N1299))</f>
        <v>3443.7835895075805</v>
      </c>
      <c r="P1300" s="2">
        <f>IF(ROW()&lt;3, Query1[[#This Row],[Shares]], IF(Query1[[#This Row],[Month]]&lt;&gt;H1299, P1299+Query1[[#This Row],[Enhanced top up]]/Query1[[#This Row],[Adj Close]], P1299))</f>
        <v>3441.9086679591742</v>
      </c>
      <c r="Q1300" s="2">
        <f>IFERROR(AVERAGE(
  IF(ROW()&gt;20, INDEX(G:G, ROW()-20), 0) :
  INDEX(G:G, ROW())
),0)</f>
        <v>404.35068184988842</v>
      </c>
    </row>
    <row r="1301" spans="1:17" x14ac:dyDescent="0.4">
      <c r="A1301" s="1">
        <v>45721</v>
      </c>
      <c r="B1301">
        <v>389.33999633789063</v>
      </c>
      <c r="C1301">
        <v>401.67001342773438</v>
      </c>
      <c r="D1301">
        <v>388.80999755859375</v>
      </c>
      <c r="E1301">
        <v>401.01998901367188</v>
      </c>
      <c r="F1301">
        <v>23433100</v>
      </c>
      <c r="G1301">
        <v>399.628173828125</v>
      </c>
      <c r="H1301" s="2">
        <f>MONTH(Query1[[#This Row],[Date]])</f>
        <v>3</v>
      </c>
      <c r="I1301" s="3">
        <f>Query1[[#This Row],[Shares]]*Query1[[#This Row],[Adj Close]]</f>
        <v>1435583.8754417957</v>
      </c>
      <c r="J1301" s="3">
        <f>IF(ROW()&lt;3, Dashboard!$E$7, IF(Query1[[#This Row],[Month]]&lt;&gt;H1300,J1300*(1+Dashboard!$E$4)+Dashboard!$E$5,J1300))</f>
        <v>1097248.6115436608</v>
      </c>
      <c r="K1301">
        <f>IF(ROW()&lt;3, 0,IF(Query1[[#This Row],[Month]]&lt;&gt;H1300,IF((J1301-I1301&gt;0),J1301-I1301,0),0))</f>
        <v>0</v>
      </c>
      <c r="L1301" s="2">
        <f t="shared" si="20"/>
        <v>3592.2989655359538</v>
      </c>
      <c r="N1301" s="2">
        <f>IF(ROW()&lt;3, Query1[[#This Row],[Shares]], IF(Query1[[#This Row],[Month]]&lt;&gt;H1300, N1300+Query1[[#This Row],[Fix Top Up]]/Query1[[#This Row],[Adj Close]], N1300))</f>
        <v>3443.7835895075805</v>
      </c>
      <c r="P1301" s="2">
        <f>IF(ROW()&lt;3, Query1[[#This Row],[Shares]], IF(Query1[[#This Row],[Month]]&lt;&gt;H1300, P1300+Query1[[#This Row],[Enhanced top up]]/Query1[[#This Row],[Adj Close]], P1300))</f>
        <v>3441.9086679591742</v>
      </c>
      <c r="Q1301" s="2">
        <f>IFERROR(AVERAGE(
  IF(ROW()&gt;20, INDEX(G:G, ROW()-20), 0) :
  INDEX(G:G, ROW())
),0)</f>
        <v>403.91990879603793</v>
      </c>
    </row>
    <row r="1302" spans="1:17" x14ac:dyDescent="0.4">
      <c r="A1302" s="1">
        <v>45722</v>
      </c>
      <c r="B1302">
        <v>394.27999877929688</v>
      </c>
      <c r="C1302">
        <v>402.14999389648438</v>
      </c>
      <c r="D1302">
        <v>392.67999267578125</v>
      </c>
      <c r="E1302">
        <v>396.8900146484375</v>
      </c>
      <c r="F1302">
        <v>23304600</v>
      </c>
      <c r="G1302">
        <v>395.51254272460938</v>
      </c>
      <c r="H1302" s="2">
        <f>MONTH(Query1[[#This Row],[Date]])</f>
        <v>3</v>
      </c>
      <c r="I1302" s="3">
        <f>Query1[[#This Row],[Shares]]*Query1[[#This Row],[Adj Close]]</f>
        <v>1420799.2980861091</v>
      </c>
      <c r="J1302" s="3">
        <f>IF(ROW()&lt;3, Dashboard!$E$7, IF(Query1[[#This Row],[Month]]&lt;&gt;H1301,J1301*(1+Dashboard!$E$4)+Dashboard!$E$5,J1301))</f>
        <v>1097248.6115436608</v>
      </c>
      <c r="K1302">
        <f>IF(ROW()&lt;3, 0,IF(Query1[[#This Row],[Month]]&lt;&gt;H1301,IF((J1302-I1302&gt;0),J1302-I1302,0),0))</f>
        <v>0</v>
      </c>
      <c r="L1302" s="2">
        <f t="shared" si="20"/>
        <v>3592.2989655359538</v>
      </c>
      <c r="N1302" s="2">
        <f>IF(ROW()&lt;3, Query1[[#This Row],[Shares]], IF(Query1[[#This Row],[Month]]&lt;&gt;H1301, N1301+Query1[[#This Row],[Fix Top Up]]/Query1[[#This Row],[Adj Close]], N1301))</f>
        <v>3443.7835895075805</v>
      </c>
      <c r="P1302" s="2">
        <f>IF(ROW()&lt;3, Query1[[#This Row],[Shares]], IF(Query1[[#This Row],[Month]]&lt;&gt;H1301, P1301+Query1[[#This Row],[Enhanced top up]]/Query1[[#This Row],[Adj Close]], P1301))</f>
        <v>3441.9086679591742</v>
      </c>
      <c r="Q1302" s="2">
        <f>IFERROR(AVERAGE(
  IF(ROW()&gt;20, INDEX(G:G, ROW()-20), 0) :
  INDEX(G:G, ROW())
),0)</f>
        <v>403.22448439825149</v>
      </c>
    </row>
    <row r="1303" spans="1:17" x14ac:dyDescent="0.4">
      <c r="A1303" s="1">
        <v>45723</v>
      </c>
      <c r="B1303">
        <v>392.32000732421875</v>
      </c>
      <c r="C1303">
        <v>394.79998779296875</v>
      </c>
      <c r="D1303">
        <v>385.54000854492188</v>
      </c>
      <c r="E1303">
        <v>393.30999755859375</v>
      </c>
      <c r="F1303">
        <v>22034100</v>
      </c>
      <c r="G1303">
        <v>391.9449462890625</v>
      </c>
      <c r="H1303" s="2">
        <f>MONTH(Query1[[#This Row],[Date]])</f>
        <v>3</v>
      </c>
      <c r="I1303" s="3">
        <f>Query1[[#This Row],[Shares]]*Query1[[#This Row],[Adj Close]]</f>
        <v>1407983.4251012441</v>
      </c>
      <c r="J1303" s="3">
        <f>IF(ROW()&lt;3, Dashboard!$E$7, IF(Query1[[#This Row],[Month]]&lt;&gt;H1302,J1302*(1+Dashboard!$E$4)+Dashboard!$E$5,J1302))</f>
        <v>1097248.6115436608</v>
      </c>
      <c r="K1303">
        <f>IF(ROW()&lt;3, 0,IF(Query1[[#This Row],[Month]]&lt;&gt;H1302,IF((J1303-I1303&gt;0),J1303-I1303,0),0))</f>
        <v>0</v>
      </c>
      <c r="L1303" s="2">
        <f t="shared" si="20"/>
        <v>3592.2989655359538</v>
      </c>
      <c r="N1303" s="2">
        <f>IF(ROW()&lt;3, Query1[[#This Row],[Shares]], IF(Query1[[#This Row],[Month]]&lt;&gt;H1302, N1302+Query1[[#This Row],[Fix Top Up]]/Query1[[#This Row],[Adj Close]], N1302))</f>
        <v>3443.7835895075805</v>
      </c>
      <c r="P1303" s="2">
        <f>IF(ROW()&lt;3, Query1[[#This Row],[Shares]], IF(Query1[[#This Row],[Month]]&lt;&gt;H1302, P1302+Query1[[#This Row],[Enhanced top up]]/Query1[[#This Row],[Adj Close]], P1302))</f>
        <v>3441.9086679591742</v>
      </c>
      <c r="Q1303" s="2">
        <f>IFERROR(AVERAGE(
  IF(ROW()&gt;20, INDEX(G:G, ROW()-20), 0) :
  INDEX(G:G, ROW())
),0)</f>
        <v>402.31560407366072</v>
      </c>
    </row>
    <row r="1304" spans="1:17" x14ac:dyDescent="0.4">
      <c r="A1304" s="1">
        <v>45726</v>
      </c>
      <c r="B1304">
        <v>385.83999633789063</v>
      </c>
      <c r="C1304">
        <v>386.39999389648438</v>
      </c>
      <c r="D1304">
        <v>377.22000122070313</v>
      </c>
      <c r="E1304">
        <v>380.16000366210938</v>
      </c>
      <c r="F1304">
        <v>32840100</v>
      </c>
      <c r="G1304">
        <v>378.84060668945313</v>
      </c>
      <c r="H1304" s="2">
        <f>MONTH(Query1[[#This Row],[Date]])</f>
        <v>3</v>
      </c>
      <c r="I1304" s="3">
        <f>Query1[[#This Row],[Shares]]*Query1[[#This Row],[Adj Close]]</f>
        <v>1360908.7195135355</v>
      </c>
      <c r="J1304" s="3">
        <f>IF(ROW()&lt;3, Dashboard!$E$7, IF(Query1[[#This Row],[Month]]&lt;&gt;H1303,J1303*(1+Dashboard!$E$4)+Dashboard!$E$5,J1303))</f>
        <v>1097248.6115436608</v>
      </c>
      <c r="K1304">
        <f>IF(ROW()&lt;3, 0,IF(Query1[[#This Row],[Month]]&lt;&gt;H1303,IF((J1304-I1304&gt;0),J1304-I1304,0),0))</f>
        <v>0</v>
      </c>
      <c r="L1304" s="2">
        <f t="shared" si="20"/>
        <v>3592.2989655359538</v>
      </c>
      <c r="N1304" s="2">
        <f>IF(ROW()&lt;3, Query1[[#This Row],[Shares]], IF(Query1[[#This Row],[Month]]&lt;&gt;H1303, N1303+Query1[[#This Row],[Fix Top Up]]/Query1[[#This Row],[Adj Close]], N1303))</f>
        <v>3443.7835895075805</v>
      </c>
      <c r="P1304" s="2">
        <f>IF(ROW()&lt;3, Query1[[#This Row],[Shares]], IF(Query1[[#This Row],[Month]]&lt;&gt;H1303, P1303+Query1[[#This Row],[Enhanced top up]]/Query1[[#This Row],[Adj Close]], P1303))</f>
        <v>3441.9086679591742</v>
      </c>
      <c r="Q1304" s="2">
        <f>IFERROR(AVERAGE(
  IF(ROW()&gt;20, INDEX(G:G, ROW()-20), 0) :
  INDEX(G:G, ROW())
),0)</f>
        <v>400.66288975306918</v>
      </c>
    </row>
    <row r="1305" spans="1:17" x14ac:dyDescent="0.4">
      <c r="A1305" s="1">
        <v>45727</v>
      </c>
      <c r="B1305">
        <v>379</v>
      </c>
      <c r="C1305">
        <v>386</v>
      </c>
      <c r="D1305">
        <v>376.91000366210938</v>
      </c>
      <c r="E1305">
        <v>380.45001220703125</v>
      </c>
      <c r="F1305">
        <v>30380200</v>
      </c>
      <c r="G1305">
        <v>379.12957763671875</v>
      </c>
      <c r="H1305" s="2">
        <f>MONTH(Query1[[#This Row],[Date]])</f>
        <v>3</v>
      </c>
      <c r="I1305" s="3">
        <f>Query1[[#This Row],[Shares]]*Query1[[#This Row],[Adj Close]]</f>
        <v>1361946.7895484678</v>
      </c>
      <c r="J1305" s="3">
        <f>IF(ROW()&lt;3, Dashboard!$E$7, IF(Query1[[#This Row],[Month]]&lt;&gt;H1304,J1304*(1+Dashboard!$E$4)+Dashboard!$E$5,J1304))</f>
        <v>1097248.6115436608</v>
      </c>
      <c r="K1305">
        <f>IF(ROW()&lt;3, 0,IF(Query1[[#This Row],[Month]]&lt;&gt;H1304,IF((J1305-I1305&gt;0),J1305-I1305,0),0))</f>
        <v>0</v>
      </c>
      <c r="L1305" s="2">
        <f t="shared" si="20"/>
        <v>3592.2989655359538</v>
      </c>
      <c r="N1305" s="2">
        <f>IF(ROW()&lt;3, Query1[[#This Row],[Shares]], IF(Query1[[#This Row],[Month]]&lt;&gt;H1304, N1304+Query1[[#This Row],[Fix Top Up]]/Query1[[#This Row],[Adj Close]], N1304))</f>
        <v>3443.7835895075805</v>
      </c>
      <c r="P1305" s="2">
        <f>IF(ROW()&lt;3, Query1[[#This Row],[Shares]], IF(Query1[[#This Row],[Month]]&lt;&gt;H1304, P1304+Query1[[#This Row],[Enhanced top up]]/Query1[[#This Row],[Adj Close]], P1304))</f>
        <v>3441.9086679591742</v>
      </c>
      <c r="Q1305" s="2">
        <f>IFERROR(AVERAGE(
  IF(ROW()&gt;20, INDEX(G:G, ROW()-20), 0) :
  INDEX(G:G, ROW())
),0)</f>
        <v>399.31140427362351</v>
      </c>
    </row>
    <row r="1306" spans="1:17" x14ac:dyDescent="0.4">
      <c r="A1306" s="1">
        <v>45728</v>
      </c>
      <c r="B1306">
        <v>382.95001220703125</v>
      </c>
      <c r="C1306">
        <v>385.22000122070313</v>
      </c>
      <c r="D1306">
        <v>378.95001220703125</v>
      </c>
      <c r="E1306">
        <v>383.26998901367188</v>
      </c>
      <c r="F1306">
        <v>24253600</v>
      </c>
      <c r="G1306">
        <v>381.93978881835938</v>
      </c>
      <c r="H1306" s="2">
        <f>MONTH(Query1[[#This Row],[Date]])</f>
        <v>3</v>
      </c>
      <c r="I1306" s="3">
        <f>Query1[[#This Row],[Shares]]*Query1[[#This Row],[Adj Close]]</f>
        <v>1372041.908269213</v>
      </c>
      <c r="J1306" s="3">
        <f>IF(ROW()&lt;3, Dashboard!$E$7, IF(Query1[[#This Row],[Month]]&lt;&gt;H1305,J1305*(1+Dashboard!$E$4)+Dashboard!$E$5,J1305))</f>
        <v>1097248.6115436608</v>
      </c>
      <c r="K1306">
        <f>IF(ROW()&lt;3, 0,IF(Query1[[#This Row],[Month]]&lt;&gt;H1305,IF((J1306-I1306&gt;0),J1306-I1306,0),0))</f>
        <v>0</v>
      </c>
      <c r="L1306" s="2">
        <f t="shared" si="20"/>
        <v>3592.2989655359538</v>
      </c>
      <c r="N1306" s="2">
        <f>IF(ROW()&lt;3, Query1[[#This Row],[Shares]], IF(Query1[[#This Row],[Month]]&lt;&gt;H1305, N1305+Query1[[#This Row],[Fix Top Up]]/Query1[[#This Row],[Adj Close]], N1305))</f>
        <v>3443.7835895075805</v>
      </c>
      <c r="P1306" s="2">
        <f>IF(ROW()&lt;3, Query1[[#This Row],[Shares]], IF(Query1[[#This Row],[Month]]&lt;&gt;H1305, P1305+Query1[[#This Row],[Enhanced top up]]/Query1[[#This Row],[Adj Close]], P1305))</f>
        <v>3441.9086679591742</v>
      </c>
      <c r="Q1306" s="2">
        <f>IFERROR(AVERAGE(
  IF(ROW()&gt;20, INDEX(G:G, ROW()-20), 0) :
  INDEX(G:G, ROW())
),0)</f>
        <v>397.97676304408481</v>
      </c>
    </row>
    <row r="1307" spans="1:17" x14ac:dyDescent="0.4">
      <c r="A1307" s="1">
        <v>45729</v>
      </c>
      <c r="B1307">
        <v>383.16000366210938</v>
      </c>
      <c r="C1307">
        <v>385.32000732421875</v>
      </c>
      <c r="D1307">
        <v>377.45001220703125</v>
      </c>
      <c r="E1307">
        <v>378.76998901367188</v>
      </c>
      <c r="F1307">
        <v>20473000</v>
      </c>
      <c r="G1307">
        <v>377.45538330078125</v>
      </c>
      <c r="H1307" s="2">
        <f>MONTH(Query1[[#This Row],[Date]])</f>
        <v>3</v>
      </c>
      <c r="I1307" s="3">
        <f>Query1[[#This Row],[Shares]]*Query1[[#This Row],[Adj Close]]</f>
        <v>1355932.5829673733</v>
      </c>
      <c r="J1307" s="3">
        <f>IF(ROW()&lt;3, Dashboard!$E$7, IF(Query1[[#This Row],[Month]]&lt;&gt;H1306,J1306*(1+Dashboard!$E$4)+Dashboard!$E$5,J1306))</f>
        <v>1097248.6115436608</v>
      </c>
      <c r="K1307">
        <f>IF(ROW()&lt;3, 0,IF(Query1[[#This Row],[Month]]&lt;&gt;H1306,IF((J1307-I1307&gt;0),J1307-I1307,0),0))</f>
        <v>0</v>
      </c>
      <c r="L1307" s="2">
        <f t="shared" si="20"/>
        <v>3592.2989655359538</v>
      </c>
      <c r="N1307" s="2">
        <f>IF(ROW()&lt;3, Query1[[#This Row],[Shares]], IF(Query1[[#This Row],[Month]]&lt;&gt;H1306, N1306+Query1[[#This Row],[Fix Top Up]]/Query1[[#This Row],[Adj Close]], N1306))</f>
        <v>3443.7835895075805</v>
      </c>
      <c r="P1307" s="2">
        <f>IF(ROW()&lt;3, Query1[[#This Row],[Shares]], IF(Query1[[#This Row],[Month]]&lt;&gt;H1306, P1306+Query1[[#This Row],[Enhanced top up]]/Query1[[#This Row],[Adj Close]], P1306))</f>
        <v>3441.9086679591742</v>
      </c>
      <c r="Q1307" s="2">
        <f>IFERROR(AVERAGE(
  IF(ROW()&gt;20, INDEX(G:G, ROW()-20), 0) :
  INDEX(G:G, ROW())
),0)</f>
        <v>396.46551804315476</v>
      </c>
    </row>
    <row r="1308" spans="1:17" x14ac:dyDescent="0.4">
      <c r="A1308" s="1">
        <v>45730</v>
      </c>
      <c r="B1308">
        <v>379.77999877929688</v>
      </c>
      <c r="C1308">
        <v>390.23001098632813</v>
      </c>
      <c r="D1308">
        <v>379.510009765625</v>
      </c>
      <c r="E1308">
        <v>388.55999755859375</v>
      </c>
      <c r="F1308">
        <v>19952800</v>
      </c>
      <c r="G1308">
        <v>387.21142578125</v>
      </c>
      <c r="H1308" s="2">
        <f>MONTH(Query1[[#This Row],[Date]])</f>
        <v>3</v>
      </c>
      <c r="I1308" s="3">
        <f>Query1[[#This Row],[Shares]]*Query1[[#This Row],[Adj Close]]</f>
        <v>1390979.2042776861</v>
      </c>
      <c r="J1308" s="3">
        <f>IF(ROW()&lt;3, Dashboard!$E$7, IF(Query1[[#This Row],[Month]]&lt;&gt;H1307,J1307*(1+Dashboard!$E$4)+Dashboard!$E$5,J1307))</f>
        <v>1097248.6115436608</v>
      </c>
      <c r="K1308">
        <f>IF(ROW()&lt;3, 0,IF(Query1[[#This Row],[Month]]&lt;&gt;H1307,IF((J1308-I1308&gt;0),J1308-I1308,0),0))</f>
        <v>0</v>
      </c>
      <c r="L1308" s="2">
        <f t="shared" si="20"/>
        <v>3592.2989655359538</v>
      </c>
      <c r="N1308" s="2">
        <f>IF(ROW()&lt;3, Query1[[#This Row],[Shares]], IF(Query1[[#This Row],[Month]]&lt;&gt;H1307, N1307+Query1[[#This Row],[Fix Top Up]]/Query1[[#This Row],[Adj Close]], N1307))</f>
        <v>3443.7835895075805</v>
      </c>
      <c r="P1308" s="2">
        <f>IF(ROW()&lt;3, Query1[[#This Row],[Shares]], IF(Query1[[#This Row],[Month]]&lt;&gt;H1307, P1307+Query1[[#This Row],[Enhanced top up]]/Query1[[#This Row],[Adj Close]], P1307))</f>
        <v>3441.9086679591742</v>
      </c>
      <c r="Q1308" s="2">
        <f>IFERROR(AVERAGE(
  IF(ROW()&gt;20, INDEX(G:G, ROW()-20), 0) :
  INDEX(G:G, ROW())
),0)</f>
        <v>395.53250848679318</v>
      </c>
    </row>
    <row r="1309" spans="1:17" x14ac:dyDescent="0.4">
      <c r="A1309" s="1">
        <v>45733</v>
      </c>
      <c r="B1309">
        <v>386.70001220703125</v>
      </c>
      <c r="C1309">
        <v>392.70999145507813</v>
      </c>
      <c r="D1309">
        <v>385.57000732421875</v>
      </c>
      <c r="E1309">
        <v>388.70001220703125</v>
      </c>
      <c r="F1309">
        <v>22474300</v>
      </c>
      <c r="G1309">
        <v>387.3509521484375</v>
      </c>
      <c r="H1309" s="2">
        <f>MONTH(Query1[[#This Row],[Date]])</f>
        <v>3</v>
      </c>
      <c r="I1309" s="3">
        <f>Query1[[#This Row],[Shares]]*Query1[[#This Row],[Adj Close]]</f>
        <v>1391480.4247021987</v>
      </c>
      <c r="J1309" s="3">
        <f>IF(ROW()&lt;3, Dashboard!$E$7, IF(Query1[[#This Row],[Month]]&lt;&gt;H1308,J1308*(1+Dashboard!$E$4)+Dashboard!$E$5,J1308))</f>
        <v>1097248.6115436608</v>
      </c>
      <c r="K1309">
        <f>IF(ROW()&lt;3, 0,IF(Query1[[#This Row],[Month]]&lt;&gt;H1308,IF((J1309-I1309&gt;0),J1309-I1309,0),0))</f>
        <v>0</v>
      </c>
      <c r="L1309" s="2">
        <f t="shared" si="20"/>
        <v>3592.2989655359538</v>
      </c>
      <c r="N1309" s="2">
        <f>IF(ROW()&lt;3, Query1[[#This Row],[Shares]], IF(Query1[[#This Row],[Month]]&lt;&gt;H1308, N1308+Query1[[#This Row],[Fix Top Up]]/Query1[[#This Row],[Adj Close]], N1308))</f>
        <v>3443.7835895075805</v>
      </c>
      <c r="P1309" s="2">
        <f>IF(ROW()&lt;3, Query1[[#This Row],[Shares]], IF(Query1[[#This Row],[Month]]&lt;&gt;H1308, P1308+Query1[[#This Row],[Enhanced top up]]/Query1[[#This Row],[Adj Close]], P1308))</f>
        <v>3441.9086679591742</v>
      </c>
      <c r="Q1309" s="2">
        <f>IFERROR(AVERAGE(
  IF(ROW()&gt;20, INDEX(G:G, ROW()-20), 0) :
  INDEX(G:G, ROW())
),0)</f>
        <v>394.53510393415178</v>
      </c>
    </row>
    <row r="1310" spans="1:17" x14ac:dyDescent="0.4">
      <c r="A1310" s="1">
        <v>45734</v>
      </c>
      <c r="B1310">
        <v>387.07000732421875</v>
      </c>
      <c r="C1310">
        <v>387.3699951171875</v>
      </c>
      <c r="D1310">
        <v>381.10000610351563</v>
      </c>
      <c r="E1310">
        <v>383.51998901367188</v>
      </c>
      <c r="F1310">
        <v>19486900</v>
      </c>
      <c r="G1310">
        <v>382.18890380859375</v>
      </c>
      <c r="H1310" s="2">
        <f>MONTH(Query1[[#This Row],[Date]])</f>
        <v>3</v>
      </c>
      <c r="I1310" s="3">
        <f>Query1[[#This Row],[Shares]]*Query1[[#This Row],[Adj Close]]</f>
        <v>1372936.8037909316</v>
      </c>
      <c r="J1310" s="3">
        <f>IF(ROW()&lt;3, Dashboard!$E$7, IF(Query1[[#This Row],[Month]]&lt;&gt;H1309,J1309*(1+Dashboard!$E$4)+Dashboard!$E$5,J1309))</f>
        <v>1097248.6115436608</v>
      </c>
      <c r="K1310">
        <f>IF(ROW()&lt;3, 0,IF(Query1[[#This Row],[Month]]&lt;&gt;H1309,IF((J1310-I1310&gt;0),J1310-I1310,0),0))</f>
        <v>0</v>
      </c>
      <c r="L1310" s="2">
        <f t="shared" si="20"/>
        <v>3592.2989655359538</v>
      </c>
      <c r="N1310" s="2">
        <f>IF(ROW()&lt;3, Query1[[#This Row],[Shares]], IF(Query1[[#This Row],[Month]]&lt;&gt;H1309, N1309+Query1[[#This Row],[Fix Top Up]]/Query1[[#This Row],[Adj Close]], N1309))</f>
        <v>3443.7835895075805</v>
      </c>
      <c r="P1310" s="2">
        <f>IF(ROW()&lt;3, Query1[[#This Row],[Shares]], IF(Query1[[#This Row],[Month]]&lt;&gt;H1309, P1309+Query1[[#This Row],[Enhanced top up]]/Query1[[#This Row],[Adj Close]], P1309))</f>
        <v>3441.9086679591742</v>
      </c>
      <c r="Q1310" s="2">
        <f>IFERROR(AVERAGE(
  IF(ROW()&gt;20, INDEX(G:G, ROW()-20), 0) :
  INDEX(G:G, ROW())
),0)</f>
        <v>393.39181518554688</v>
      </c>
    </row>
    <row r="1311" spans="1:17" x14ac:dyDescent="0.4">
      <c r="A1311" s="1">
        <v>45735</v>
      </c>
      <c r="B1311">
        <v>385.52999877929688</v>
      </c>
      <c r="C1311">
        <v>389.67999267578125</v>
      </c>
      <c r="D1311">
        <v>384</v>
      </c>
      <c r="E1311">
        <v>387.82000732421875</v>
      </c>
      <c r="F1311">
        <v>19185500</v>
      </c>
      <c r="G1311">
        <v>386.47402954101563</v>
      </c>
      <c r="H1311" s="2">
        <f>MONTH(Query1[[#This Row],[Date]])</f>
        <v>3</v>
      </c>
      <c r="I1311" s="3">
        <f>Query1[[#This Row],[Shares]]*Query1[[#This Row],[Adj Close]]</f>
        <v>1388330.2565267021</v>
      </c>
      <c r="J1311" s="3">
        <f>IF(ROW()&lt;3, Dashboard!$E$7, IF(Query1[[#This Row],[Month]]&lt;&gt;H1310,J1310*(1+Dashboard!$E$4)+Dashboard!$E$5,J1310))</f>
        <v>1097248.6115436608</v>
      </c>
      <c r="K1311">
        <f>IF(ROW()&lt;3, 0,IF(Query1[[#This Row],[Month]]&lt;&gt;H1310,IF((J1311-I1311&gt;0),J1311-I1311,0),0))</f>
        <v>0</v>
      </c>
      <c r="L1311" s="2">
        <f t="shared" si="20"/>
        <v>3592.2989655359538</v>
      </c>
      <c r="N1311" s="2">
        <f>IF(ROW()&lt;3, Query1[[#This Row],[Shares]], IF(Query1[[#This Row],[Month]]&lt;&gt;H1310, N1310+Query1[[#This Row],[Fix Top Up]]/Query1[[#This Row],[Adj Close]], N1310))</f>
        <v>3443.7835895075805</v>
      </c>
      <c r="P1311" s="2">
        <f>IF(ROW()&lt;3, Query1[[#This Row],[Shares]], IF(Query1[[#This Row],[Month]]&lt;&gt;H1310, P1310+Query1[[#This Row],[Enhanced top up]]/Query1[[#This Row],[Adj Close]], P1310))</f>
        <v>3441.9086679591742</v>
      </c>
      <c r="Q1311" s="2">
        <f>IFERROR(AVERAGE(
  IF(ROW()&gt;20, INDEX(G:G, ROW()-20), 0) :
  INDEX(G:G, ROW())
),0)</f>
        <v>392.39527529761904</v>
      </c>
    </row>
    <row r="1312" spans="1:17" x14ac:dyDescent="0.4">
      <c r="A1312" s="1">
        <v>45736</v>
      </c>
      <c r="B1312">
        <v>385.739990234375</v>
      </c>
      <c r="C1312">
        <v>391.79000854492188</v>
      </c>
      <c r="D1312">
        <v>383.27999877929688</v>
      </c>
      <c r="E1312">
        <v>386.83999633789063</v>
      </c>
      <c r="F1312">
        <v>18470500</v>
      </c>
      <c r="G1312">
        <v>385.49737548828125</v>
      </c>
      <c r="H1312" s="2">
        <f>MONTH(Query1[[#This Row],[Date]])</f>
        <v>3</v>
      </c>
      <c r="I1312" s="3">
        <f>Query1[[#This Row],[Shares]]*Query1[[#This Row],[Adj Close]]</f>
        <v>1384821.823183378</v>
      </c>
      <c r="J1312" s="3">
        <f>IF(ROW()&lt;3, Dashboard!$E$7, IF(Query1[[#This Row],[Month]]&lt;&gt;H1311,J1311*(1+Dashboard!$E$4)+Dashboard!$E$5,J1311))</f>
        <v>1097248.6115436608</v>
      </c>
      <c r="K1312">
        <f>IF(ROW()&lt;3, 0,IF(Query1[[#This Row],[Month]]&lt;&gt;H1311,IF((J1312-I1312&gt;0),J1312-I1312,0),0))</f>
        <v>0</v>
      </c>
      <c r="L1312" s="2">
        <f t="shared" si="20"/>
        <v>3592.2989655359538</v>
      </c>
      <c r="N1312" s="2">
        <f>IF(ROW()&lt;3, Query1[[#This Row],[Shares]], IF(Query1[[#This Row],[Month]]&lt;&gt;H1311, N1311+Query1[[#This Row],[Fix Top Up]]/Query1[[#This Row],[Adj Close]], N1311))</f>
        <v>3443.7835895075805</v>
      </c>
      <c r="P1312" s="2">
        <f>IF(ROW()&lt;3, Query1[[#This Row],[Shares]], IF(Query1[[#This Row],[Month]]&lt;&gt;H1311, P1311+Query1[[#This Row],[Enhanced top up]]/Query1[[#This Row],[Adj Close]], P1311))</f>
        <v>3441.9086679591742</v>
      </c>
      <c r="Q1312" s="2">
        <f>IFERROR(AVERAGE(
  IF(ROW()&gt;20, INDEX(G:G, ROW()-20), 0) :
  INDEX(G:G, ROW())
),0)</f>
        <v>391.10927908761158</v>
      </c>
    </row>
    <row r="1313" spans="1:17" x14ac:dyDescent="0.4">
      <c r="A1313" s="1">
        <v>45737</v>
      </c>
      <c r="B1313">
        <v>383.22000122070313</v>
      </c>
      <c r="C1313">
        <v>391.739990234375</v>
      </c>
      <c r="D1313">
        <v>382.79998779296875</v>
      </c>
      <c r="E1313">
        <v>391.260009765625</v>
      </c>
      <c r="F1313">
        <v>39675900</v>
      </c>
      <c r="G1313">
        <v>389.90206909179688</v>
      </c>
      <c r="H1313" s="2">
        <f>MONTH(Query1[[#This Row],[Date]])</f>
        <v>3</v>
      </c>
      <c r="I1313" s="3">
        <f>Query1[[#This Row],[Shares]]*Query1[[#This Row],[Adj Close]]</f>
        <v>1400644.7994587899</v>
      </c>
      <c r="J1313" s="3">
        <f>IF(ROW()&lt;3, Dashboard!$E$7, IF(Query1[[#This Row],[Month]]&lt;&gt;H1312,J1312*(1+Dashboard!$E$4)+Dashboard!$E$5,J1312))</f>
        <v>1097248.6115436608</v>
      </c>
      <c r="K1313">
        <f>IF(ROW()&lt;3, 0,IF(Query1[[#This Row],[Month]]&lt;&gt;H1312,IF((J1313-I1313&gt;0),J1313-I1313,0),0))</f>
        <v>0</v>
      </c>
      <c r="L1313" s="2">
        <f t="shared" si="20"/>
        <v>3592.2989655359538</v>
      </c>
      <c r="N1313" s="2">
        <f>IF(ROW()&lt;3, Query1[[#This Row],[Shares]], IF(Query1[[#This Row],[Month]]&lt;&gt;H1312, N1312+Query1[[#This Row],[Fix Top Up]]/Query1[[#This Row],[Adj Close]], N1312))</f>
        <v>3443.7835895075805</v>
      </c>
      <c r="P1313" s="2">
        <f>IF(ROW()&lt;3, Query1[[#This Row],[Shares]], IF(Query1[[#This Row],[Month]]&lt;&gt;H1312, P1312+Query1[[#This Row],[Enhanced top up]]/Query1[[#This Row],[Adj Close]], P1312))</f>
        <v>3441.9086679591742</v>
      </c>
      <c r="Q1313" s="2">
        <f>IFERROR(AVERAGE(
  IF(ROW()&gt;20, INDEX(G:G, ROW()-20), 0) :
  INDEX(G:G, ROW())
),0)</f>
        <v>389.92910330636158</v>
      </c>
    </row>
    <row r="1314" spans="1:17" x14ac:dyDescent="0.4">
      <c r="A1314" s="1">
        <v>45740</v>
      </c>
      <c r="B1314">
        <v>395.39999389648438</v>
      </c>
      <c r="C1314">
        <v>395.39999389648438</v>
      </c>
      <c r="D1314">
        <v>389.80999755859375</v>
      </c>
      <c r="E1314">
        <v>393.07998657226563</v>
      </c>
      <c r="F1314">
        <v>21004500</v>
      </c>
      <c r="G1314">
        <v>391.71572875976563</v>
      </c>
      <c r="H1314" s="2">
        <f>MONTH(Query1[[#This Row],[Date]])</f>
        <v>3</v>
      </c>
      <c r="I1314" s="3">
        <f>Query1[[#This Row],[Shares]]*Query1[[#This Row],[Adj Close]]</f>
        <v>1407160.0072078684</v>
      </c>
      <c r="J1314" s="3">
        <f>IF(ROW()&lt;3, Dashboard!$E$7, IF(Query1[[#This Row],[Month]]&lt;&gt;H1313,J1313*(1+Dashboard!$E$4)+Dashboard!$E$5,J1313))</f>
        <v>1097248.6115436608</v>
      </c>
      <c r="K1314">
        <f>IF(ROW()&lt;3, 0,IF(Query1[[#This Row],[Month]]&lt;&gt;H1313,IF((J1314-I1314&gt;0),J1314-I1314,0),0))</f>
        <v>0</v>
      </c>
      <c r="L1314" s="2">
        <f t="shared" si="20"/>
        <v>3592.2989655359538</v>
      </c>
      <c r="N1314" s="2">
        <f>IF(ROW()&lt;3, Query1[[#This Row],[Shares]], IF(Query1[[#This Row],[Month]]&lt;&gt;H1313, N1313+Query1[[#This Row],[Fix Top Up]]/Query1[[#This Row],[Adj Close]], N1313))</f>
        <v>3443.7835895075805</v>
      </c>
      <c r="P1314" s="2">
        <f>IF(ROW()&lt;3, Query1[[#This Row],[Shares]], IF(Query1[[#This Row],[Month]]&lt;&gt;H1313, P1313+Query1[[#This Row],[Enhanced top up]]/Query1[[#This Row],[Adj Close]], P1313))</f>
        <v>3441.9086679591742</v>
      </c>
      <c r="Q1314" s="2">
        <f>IFERROR(AVERAGE(
  IF(ROW()&gt;20, INDEX(G:G, ROW()-20), 0) :
  INDEX(G:G, ROW())
),0)</f>
        <v>389.2111278715588</v>
      </c>
    </row>
    <row r="1315" spans="1:17" x14ac:dyDescent="0.4">
      <c r="A1315" s="1">
        <v>45741</v>
      </c>
      <c r="B1315">
        <v>393.92001342773438</v>
      </c>
      <c r="C1315">
        <v>396.3599853515625</v>
      </c>
      <c r="D1315">
        <v>392.6400146484375</v>
      </c>
      <c r="E1315">
        <v>395.16000366210938</v>
      </c>
      <c r="F1315">
        <v>15775000</v>
      </c>
      <c r="G1315">
        <v>393.78854370117188</v>
      </c>
      <c r="H1315" s="2">
        <f>MONTH(Query1[[#This Row],[Date]])</f>
        <v>3</v>
      </c>
      <c r="I1315" s="3">
        <f>Query1[[#This Row],[Shares]]*Query1[[#This Row],[Adj Close]]</f>
        <v>1414606.1781776294</v>
      </c>
      <c r="J1315" s="3">
        <f>IF(ROW()&lt;3, Dashboard!$E$7, IF(Query1[[#This Row],[Month]]&lt;&gt;H1314,J1314*(1+Dashboard!$E$4)+Dashboard!$E$5,J1314))</f>
        <v>1097248.6115436608</v>
      </c>
      <c r="K1315">
        <f>IF(ROW()&lt;3, 0,IF(Query1[[#This Row],[Month]]&lt;&gt;H1314,IF((J1315-I1315&gt;0),J1315-I1315,0),0))</f>
        <v>0</v>
      </c>
      <c r="L1315" s="2">
        <f t="shared" si="20"/>
        <v>3592.2989655359538</v>
      </c>
      <c r="N1315" s="2">
        <f>IF(ROW()&lt;3, Query1[[#This Row],[Shares]], IF(Query1[[#This Row],[Month]]&lt;&gt;H1314, N1314+Query1[[#This Row],[Fix Top Up]]/Query1[[#This Row],[Adj Close]], N1314))</f>
        <v>3443.7835895075805</v>
      </c>
      <c r="P1315" s="2">
        <f>IF(ROW()&lt;3, Query1[[#This Row],[Shares]], IF(Query1[[#This Row],[Month]]&lt;&gt;H1314, P1314+Query1[[#This Row],[Enhanced top up]]/Query1[[#This Row],[Adj Close]], P1314))</f>
        <v>3441.9086679591742</v>
      </c>
      <c r="Q1315" s="2">
        <f>IFERROR(AVERAGE(
  IF(ROW()&gt;20, INDEX(G:G, ROW()-20), 0) :
  INDEX(G:G, ROW())
),0)</f>
        <v>388.79163760230654</v>
      </c>
    </row>
    <row r="1316" spans="1:17" x14ac:dyDescent="0.4">
      <c r="A1316" s="1">
        <v>45742</v>
      </c>
      <c r="B1316">
        <v>395</v>
      </c>
      <c r="C1316">
        <v>395.30999755859375</v>
      </c>
      <c r="D1316">
        <v>388.57000732421875</v>
      </c>
      <c r="E1316">
        <v>389.97000122070313</v>
      </c>
      <c r="F1316">
        <v>16108400</v>
      </c>
      <c r="G1316">
        <v>388.61654663085938</v>
      </c>
      <c r="H1316" s="2">
        <f>MONTH(Query1[[#This Row],[Date]])</f>
        <v>3</v>
      </c>
      <c r="I1316" s="3">
        <f>Query1[[#This Row],[Shares]]*Query1[[#This Row],[Adj Close]]</f>
        <v>1396026.8184521908</v>
      </c>
      <c r="J1316" s="3">
        <f>IF(ROW()&lt;3, Dashboard!$E$7, IF(Query1[[#This Row],[Month]]&lt;&gt;H1315,J1315*(1+Dashboard!$E$4)+Dashboard!$E$5,J1315))</f>
        <v>1097248.6115436608</v>
      </c>
      <c r="K1316">
        <f>IF(ROW()&lt;3, 0,IF(Query1[[#This Row],[Month]]&lt;&gt;H1315,IF((J1316-I1316&gt;0),J1316-I1316,0),0))</f>
        <v>0</v>
      </c>
      <c r="L1316" s="2">
        <f t="shared" si="20"/>
        <v>3592.2989655359538</v>
      </c>
      <c r="N1316" s="2">
        <f>IF(ROW()&lt;3, Query1[[#This Row],[Shares]], IF(Query1[[#This Row],[Month]]&lt;&gt;H1315, N1315+Query1[[#This Row],[Fix Top Up]]/Query1[[#This Row],[Adj Close]], N1315))</f>
        <v>3443.7835895075805</v>
      </c>
      <c r="P1316" s="2">
        <f>IF(ROW()&lt;3, Query1[[#This Row],[Shares]], IF(Query1[[#This Row],[Month]]&lt;&gt;H1315, P1315+Query1[[#This Row],[Enhanced top up]]/Query1[[#This Row],[Adj Close]], P1315))</f>
        <v>3441.9086679591742</v>
      </c>
      <c r="Q1316" s="2">
        <f>IFERROR(AVERAGE(
  IF(ROW()&gt;20, INDEX(G:G, ROW()-20), 0) :
  INDEX(G:G, ROW())
),0)</f>
        <v>388.41533115931918</v>
      </c>
    </row>
    <row r="1317" spans="1:17" x14ac:dyDescent="0.4">
      <c r="A1317" s="1">
        <v>45743</v>
      </c>
      <c r="B1317">
        <v>390.1300048828125</v>
      </c>
      <c r="C1317">
        <v>392.239990234375</v>
      </c>
      <c r="D1317">
        <v>387.39999389648438</v>
      </c>
      <c r="E1317">
        <v>390.57998657226563</v>
      </c>
      <c r="F1317">
        <v>13766800</v>
      </c>
      <c r="G1317">
        <v>389.22439575195313</v>
      </c>
      <c r="H1317" s="2">
        <f>MONTH(Query1[[#This Row],[Date]])</f>
        <v>3</v>
      </c>
      <c r="I1317" s="3">
        <f>Query1[[#This Row],[Shares]]*Query1[[#This Row],[Adj Close]]</f>
        <v>1398210.3942210979</v>
      </c>
      <c r="J1317" s="3">
        <f>IF(ROW()&lt;3, Dashboard!$E$7, IF(Query1[[#This Row],[Month]]&lt;&gt;H1316,J1316*(1+Dashboard!$E$4)+Dashboard!$E$5,J1316))</f>
        <v>1097248.6115436608</v>
      </c>
      <c r="K1317">
        <f>IF(ROW()&lt;3, 0,IF(Query1[[#This Row],[Month]]&lt;&gt;H1316,IF((J1317-I1317&gt;0),J1317-I1317,0),0))</f>
        <v>0</v>
      </c>
      <c r="L1317" s="2">
        <f t="shared" si="20"/>
        <v>3592.2989655359538</v>
      </c>
      <c r="N1317" s="2">
        <f>IF(ROW()&lt;3, Query1[[#This Row],[Shares]], IF(Query1[[#This Row],[Month]]&lt;&gt;H1316, N1316+Query1[[#This Row],[Fix Top Up]]/Query1[[#This Row],[Adj Close]], N1316))</f>
        <v>3443.7835895075805</v>
      </c>
      <c r="P1317" s="2">
        <f>IF(ROW()&lt;3, Query1[[#This Row],[Shares]], IF(Query1[[#This Row],[Month]]&lt;&gt;H1316, P1316+Query1[[#This Row],[Enhanced top up]]/Query1[[#This Row],[Adj Close]], P1316))</f>
        <v>3441.9086679591742</v>
      </c>
      <c r="Q1317" s="2">
        <f>IFERROR(AVERAGE(
  IF(ROW()&gt;20, INDEX(G:G, ROW()-20), 0) :
  INDEX(G:G, ROW())
),0)</f>
        <v>387.98112851097471</v>
      </c>
    </row>
    <row r="1318" spans="1:17" x14ac:dyDescent="0.4">
      <c r="A1318" s="1">
        <v>45744</v>
      </c>
      <c r="B1318">
        <v>388.07998657226563</v>
      </c>
      <c r="C1318">
        <v>389.1300048828125</v>
      </c>
      <c r="D1318">
        <v>376.92999267578125</v>
      </c>
      <c r="E1318">
        <v>378.79998779296875</v>
      </c>
      <c r="F1318">
        <v>21632000</v>
      </c>
      <c r="G1318">
        <v>377.48529052734375</v>
      </c>
      <c r="H1318" s="2">
        <f>MONTH(Query1[[#This Row],[Date]])</f>
        <v>3</v>
      </c>
      <c r="I1318" s="3">
        <f>Query1[[#This Row],[Shares]]*Query1[[#This Row],[Adj Close]]</f>
        <v>1356040.0186664159</v>
      </c>
      <c r="J1318" s="3">
        <f>IF(ROW()&lt;3, Dashboard!$E$7, IF(Query1[[#This Row],[Month]]&lt;&gt;H1317,J1317*(1+Dashboard!$E$4)+Dashboard!$E$5,J1317))</f>
        <v>1097248.6115436608</v>
      </c>
      <c r="K1318">
        <f>IF(ROW()&lt;3, 0,IF(Query1[[#This Row],[Month]]&lt;&gt;H1317,IF((J1318-I1318&gt;0),J1318-I1318,0),0))</f>
        <v>0</v>
      </c>
      <c r="L1318" s="2">
        <f t="shared" si="20"/>
        <v>3592.2989655359538</v>
      </c>
      <c r="N1318" s="2">
        <f>IF(ROW()&lt;3, Query1[[#This Row],[Shares]], IF(Query1[[#This Row],[Month]]&lt;&gt;H1317, N1317+Query1[[#This Row],[Fix Top Up]]/Query1[[#This Row],[Adj Close]], N1317))</f>
        <v>3443.7835895075805</v>
      </c>
      <c r="P1318" s="2">
        <f>IF(ROW()&lt;3, Query1[[#This Row],[Shares]], IF(Query1[[#This Row],[Month]]&lt;&gt;H1317, P1317+Query1[[#This Row],[Enhanced top up]]/Query1[[#This Row],[Adj Close]], P1317))</f>
        <v>3441.9086679591742</v>
      </c>
      <c r="Q1318" s="2">
        <f>IFERROR(AVERAGE(
  IF(ROW()&gt;20, INDEX(G:G, ROW()-20), 0) :
  INDEX(G:G, ROW())
),0)</f>
        <v>387.32958693731399</v>
      </c>
    </row>
    <row r="1319" spans="1:17" x14ac:dyDescent="0.4">
      <c r="A1319" s="1">
        <v>45747</v>
      </c>
      <c r="B1319">
        <v>372.54000854492188</v>
      </c>
      <c r="C1319">
        <v>377.07000732421875</v>
      </c>
      <c r="D1319">
        <v>367.239990234375</v>
      </c>
      <c r="E1319">
        <v>375.3900146484375</v>
      </c>
      <c r="F1319">
        <v>35184700</v>
      </c>
      <c r="G1319">
        <v>374.087158203125</v>
      </c>
      <c r="H1319" s="2">
        <f>MONTH(Query1[[#This Row],[Date]])</f>
        <v>3</v>
      </c>
      <c r="I1319" s="3">
        <f>Query1[[#This Row],[Shares]]*Query1[[#This Row],[Adj Close]]</f>
        <v>1343832.9114333706</v>
      </c>
      <c r="J1319" s="3">
        <f>IF(ROW()&lt;3, Dashboard!$E$7, IF(Query1[[#This Row],[Month]]&lt;&gt;H1318,J1318*(1+Dashboard!$E$4)+Dashboard!$E$5,J1318))</f>
        <v>1097248.6115436608</v>
      </c>
      <c r="K1319">
        <f>IF(ROW()&lt;3, 0,IF(Query1[[#This Row],[Month]]&lt;&gt;H1318,IF((J1319-I1319&gt;0),J1319-I1319,0),0))</f>
        <v>0</v>
      </c>
      <c r="L1319" s="2">
        <f t="shared" si="20"/>
        <v>3592.2989655359538</v>
      </c>
      <c r="N1319" s="2">
        <f>IF(ROW()&lt;3, Query1[[#This Row],[Shares]], IF(Query1[[#This Row],[Month]]&lt;&gt;H1318, N1318+Query1[[#This Row],[Fix Top Up]]/Query1[[#This Row],[Adj Close]], N1318))</f>
        <v>3443.7835895075805</v>
      </c>
      <c r="P1319" s="2">
        <f>IF(ROW()&lt;3, Query1[[#This Row],[Shares]], IF(Query1[[#This Row],[Month]]&lt;&gt;H1318, P1318+Query1[[#This Row],[Enhanced top up]]/Query1[[#This Row],[Adj Close]], P1318))</f>
        <v>3441.9086679591742</v>
      </c>
      <c r="Q1319" s="2">
        <f>IFERROR(AVERAGE(
  IF(ROW()&gt;20, INDEX(G:G, ROW()-20), 0) :
  INDEX(G:G, ROW())
),0)</f>
        <v>386.3045872279576</v>
      </c>
    </row>
    <row r="1320" spans="1:17" x14ac:dyDescent="0.4">
      <c r="A1320" s="1">
        <v>45748</v>
      </c>
      <c r="B1320">
        <v>374.64999389648438</v>
      </c>
      <c r="C1320">
        <v>382.85000610351563</v>
      </c>
      <c r="D1320">
        <v>373.23001098632813</v>
      </c>
      <c r="E1320">
        <v>382.19000244140625</v>
      </c>
      <c r="F1320">
        <v>19689500</v>
      </c>
      <c r="G1320">
        <v>380.86355590820313</v>
      </c>
      <c r="H1320" s="2">
        <f>MONTH(Query1[[#This Row],[Date]])</f>
        <v>4</v>
      </c>
      <c r="I1320" s="3">
        <f>Query1[[#This Row],[Shares]]*Query1[[#This Row],[Adj Close]]</f>
        <v>1368175.7578993831</v>
      </c>
      <c r="J1320" s="3">
        <f>IF(ROW()&lt;3, Dashboard!$E$7, IF(Query1[[#This Row],[Month]]&lt;&gt;H1319,J1319*(1+Dashboard!$E$4)+Dashboard!$E$5,J1319))</f>
        <v>1110221.0976590973</v>
      </c>
      <c r="K1320">
        <f>IF(ROW()&lt;3, 0,IF(Query1[[#This Row],[Month]]&lt;&gt;H1319,IF((J1320-I1320&gt;0),J1320-I1320,0),0))</f>
        <v>0</v>
      </c>
      <c r="L1320" s="2">
        <f t="shared" si="20"/>
        <v>3592.2989655359538</v>
      </c>
      <c r="N1320" s="2">
        <f>IF(ROW()&lt;3, Query1[[#This Row],[Shares]], IF(Query1[[#This Row],[Month]]&lt;&gt;H1319, N1319+Query1[[#This Row],[Fix Top Up]]/Query1[[#This Row],[Adj Close]], N1319))</f>
        <v>3443.7835895075805</v>
      </c>
      <c r="P1320" s="2">
        <f>IF(ROW()&lt;3, Query1[[#This Row],[Shares]], IF(Query1[[#This Row],[Month]]&lt;&gt;H1319, P1319+Query1[[#This Row],[Enhanced top up]]/Query1[[#This Row],[Adj Close]], P1319))</f>
        <v>3441.9086679591742</v>
      </c>
      <c r="Q1320" s="2">
        <f>IFERROR(AVERAGE(
  IF(ROW()&gt;20, INDEX(G:G, ROW()-20), 0) :
  INDEX(G:G, ROW())
),0)</f>
        <v>386.00562976655505</v>
      </c>
    </row>
    <row r="1321" spans="1:17" x14ac:dyDescent="0.4">
      <c r="A1321" s="1">
        <v>45749</v>
      </c>
      <c r="B1321">
        <v>377.97000122070313</v>
      </c>
      <c r="C1321">
        <v>385.07998657226563</v>
      </c>
      <c r="D1321">
        <v>376.6199951171875</v>
      </c>
      <c r="E1321">
        <v>382.1400146484375</v>
      </c>
      <c r="F1321">
        <v>16092600</v>
      </c>
      <c r="G1321">
        <v>380.813720703125</v>
      </c>
      <c r="H1321" s="2">
        <f>MONTH(Query1[[#This Row],[Date]])</f>
        <v>4</v>
      </c>
      <c r="I1321" s="3">
        <f>Query1[[#This Row],[Shares]]*Query1[[#This Row],[Adj Close]]</f>
        <v>1367996.7349437336</v>
      </c>
      <c r="J1321" s="3">
        <f>IF(ROW()&lt;3, Dashboard!$E$7, IF(Query1[[#This Row],[Month]]&lt;&gt;H1320,J1320*(1+Dashboard!$E$4)+Dashboard!$E$5,J1320))</f>
        <v>1110221.0976590973</v>
      </c>
      <c r="K1321">
        <f>IF(ROW()&lt;3, 0,IF(Query1[[#This Row],[Month]]&lt;&gt;H1320,IF((J1321-I1321&gt;0),J1321-I1321,0),0))</f>
        <v>0</v>
      </c>
      <c r="L1321" s="2">
        <f t="shared" si="20"/>
        <v>3592.2989655359538</v>
      </c>
      <c r="N1321" s="2">
        <f>IF(ROW()&lt;3, Query1[[#This Row],[Shares]], IF(Query1[[#This Row],[Month]]&lt;&gt;H1320, N1320+Query1[[#This Row],[Fix Top Up]]/Query1[[#This Row],[Adj Close]], N1320))</f>
        <v>3443.7835895075805</v>
      </c>
      <c r="P1321" s="2">
        <f>IF(ROW()&lt;3, Query1[[#This Row],[Shares]], IF(Query1[[#This Row],[Month]]&lt;&gt;H1320, P1320+Query1[[#This Row],[Enhanced top up]]/Query1[[#This Row],[Adj Close]], P1320))</f>
        <v>3441.9086679591742</v>
      </c>
      <c r="Q1321" s="2">
        <f>IFERROR(AVERAGE(
  IF(ROW()&gt;20, INDEX(G:G, ROW()-20), 0) :
  INDEX(G:G, ROW())
),0)</f>
        <v>385.69860549200149</v>
      </c>
    </row>
    <row r="1322" spans="1:17" x14ac:dyDescent="0.4">
      <c r="A1322" s="1">
        <v>45750</v>
      </c>
      <c r="B1322">
        <v>374.79000854492188</v>
      </c>
      <c r="C1322">
        <v>377.48001098632813</v>
      </c>
      <c r="D1322">
        <v>369.35000610351563</v>
      </c>
      <c r="E1322">
        <v>373.1099853515625</v>
      </c>
      <c r="F1322">
        <v>30198000</v>
      </c>
      <c r="G1322">
        <v>371.81503295898438</v>
      </c>
      <c r="H1322" s="2">
        <f>MONTH(Query1[[#This Row],[Date]])</f>
        <v>4</v>
      </c>
      <c r="I1322" s="3">
        <f>Query1[[#This Row],[Shares]]*Query1[[#This Row],[Adj Close]]</f>
        <v>1335670.7582692762</v>
      </c>
      <c r="J1322" s="3">
        <f>IF(ROW()&lt;3, Dashboard!$E$7, IF(Query1[[#This Row],[Month]]&lt;&gt;H1321,J1321*(1+Dashboard!$E$4)+Dashboard!$E$5,J1321))</f>
        <v>1110221.0976590973</v>
      </c>
      <c r="K1322">
        <f>IF(ROW()&lt;3, 0,IF(Query1[[#This Row],[Month]]&lt;&gt;H1321,IF((J1322-I1322&gt;0),J1322-I1322,0),0))</f>
        <v>0</v>
      </c>
      <c r="L1322" s="2">
        <f t="shared" si="20"/>
        <v>3592.2989655359538</v>
      </c>
      <c r="N1322" s="2">
        <f>IF(ROW()&lt;3, Query1[[#This Row],[Shares]], IF(Query1[[#This Row],[Month]]&lt;&gt;H1321, N1321+Query1[[#This Row],[Fix Top Up]]/Query1[[#This Row],[Adj Close]], N1321))</f>
        <v>3443.7835895075805</v>
      </c>
      <c r="P1322" s="2">
        <f>IF(ROW()&lt;3, Query1[[#This Row],[Shares]], IF(Query1[[#This Row],[Month]]&lt;&gt;H1321, P1321+Query1[[#This Row],[Enhanced top up]]/Query1[[#This Row],[Adj Close]], P1321))</f>
        <v>3441.9086679591742</v>
      </c>
      <c r="Q1322" s="2">
        <f>IFERROR(AVERAGE(
  IF(ROW()&gt;20, INDEX(G:G, ROW()-20), 0) :
  INDEX(G:G, ROW())
),0)</f>
        <v>384.37417021251861</v>
      </c>
    </row>
    <row r="1323" spans="1:17" x14ac:dyDescent="0.4">
      <c r="A1323" s="1">
        <v>45751</v>
      </c>
      <c r="B1323">
        <v>364.1300048828125</v>
      </c>
      <c r="C1323">
        <v>374.58999633789063</v>
      </c>
      <c r="D1323">
        <v>359.48001098632813</v>
      </c>
      <c r="E1323">
        <v>359.83999633789063</v>
      </c>
      <c r="F1323">
        <v>49209900</v>
      </c>
      <c r="G1323">
        <v>358.59112548828125</v>
      </c>
      <c r="H1323" s="2">
        <f>MONTH(Query1[[#This Row],[Date]])</f>
        <v>4</v>
      </c>
      <c r="I1323" s="3">
        <f>Query1[[#This Row],[Shares]]*Query1[[#This Row],[Adj Close]]</f>
        <v>1288166.5291419262</v>
      </c>
      <c r="J1323" s="3">
        <f>IF(ROW()&lt;3, Dashboard!$E$7, IF(Query1[[#This Row],[Month]]&lt;&gt;H1322,J1322*(1+Dashboard!$E$4)+Dashboard!$E$5,J1322))</f>
        <v>1110221.0976590973</v>
      </c>
      <c r="K1323">
        <f>IF(ROW()&lt;3, 0,IF(Query1[[#This Row],[Month]]&lt;&gt;H1322,IF((J1323-I1323&gt;0),J1323-I1323,0),0))</f>
        <v>0</v>
      </c>
      <c r="L1323" s="2">
        <f t="shared" si="20"/>
        <v>3592.2989655359538</v>
      </c>
      <c r="N1323" s="2">
        <f>IF(ROW()&lt;3, Query1[[#This Row],[Shares]], IF(Query1[[#This Row],[Month]]&lt;&gt;H1322, N1322+Query1[[#This Row],[Fix Top Up]]/Query1[[#This Row],[Adj Close]], N1322))</f>
        <v>3443.7835895075805</v>
      </c>
      <c r="P1323" s="2">
        <f>IF(ROW()&lt;3, Query1[[#This Row],[Shares]], IF(Query1[[#This Row],[Month]]&lt;&gt;H1322, P1322+Query1[[#This Row],[Enhanced top up]]/Query1[[#This Row],[Adj Close]], P1322))</f>
        <v>3441.9086679591742</v>
      </c>
      <c r="Q1323" s="2">
        <f>IFERROR(AVERAGE(
  IF(ROW()&gt;20, INDEX(G:G, ROW()-20), 0) :
  INDEX(G:G, ROW())
),0)</f>
        <v>382.61600748697919</v>
      </c>
    </row>
    <row r="1324" spans="1:17" x14ac:dyDescent="0.4">
      <c r="A1324" s="1">
        <v>45754</v>
      </c>
      <c r="B1324">
        <v>350.8800048828125</v>
      </c>
      <c r="C1324">
        <v>371</v>
      </c>
      <c r="D1324">
        <v>344.79000854492188</v>
      </c>
      <c r="E1324">
        <v>357.8599853515625</v>
      </c>
      <c r="F1324">
        <v>50425000</v>
      </c>
      <c r="G1324">
        <v>356.61798095703125</v>
      </c>
      <c r="H1324" s="2">
        <f>MONTH(Query1[[#This Row],[Date]])</f>
        <v>4</v>
      </c>
      <c r="I1324" s="3">
        <f>Query1[[#This Row],[Shares]]*Query1[[#This Row],[Adj Close]]</f>
        <v>1281078.4040834638</v>
      </c>
      <c r="J1324" s="3">
        <f>IF(ROW()&lt;3, Dashboard!$E$7, IF(Query1[[#This Row],[Month]]&lt;&gt;H1323,J1323*(1+Dashboard!$E$4)+Dashboard!$E$5,J1323))</f>
        <v>1110221.0976590973</v>
      </c>
      <c r="K1324">
        <f>IF(ROW()&lt;3, 0,IF(Query1[[#This Row],[Month]]&lt;&gt;H1323,IF((J1324-I1324&gt;0),J1324-I1324,0),0))</f>
        <v>0</v>
      </c>
      <c r="L1324" s="2">
        <f t="shared" si="20"/>
        <v>3592.2989655359538</v>
      </c>
      <c r="N1324" s="2">
        <f>IF(ROW()&lt;3, Query1[[#This Row],[Shares]], IF(Query1[[#This Row],[Month]]&lt;&gt;H1323, N1323+Query1[[#This Row],[Fix Top Up]]/Query1[[#This Row],[Adj Close]], N1323))</f>
        <v>3443.7835895075805</v>
      </c>
      <c r="P1324" s="2">
        <f>IF(ROW()&lt;3, Query1[[#This Row],[Shares]], IF(Query1[[#This Row],[Month]]&lt;&gt;H1323, P1323+Query1[[#This Row],[Enhanced top up]]/Query1[[#This Row],[Adj Close]], P1323))</f>
        <v>3441.9086679591742</v>
      </c>
      <c r="Q1324" s="2">
        <f>IFERROR(AVERAGE(
  IF(ROW()&gt;20, INDEX(G:G, ROW()-20), 0) :
  INDEX(G:G, ROW())
),0)</f>
        <v>380.93377104259673</v>
      </c>
    </row>
    <row r="1325" spans="1:17" x14ac:dyDescent="0.4">
      <c r="A1325" s="1">
        <v>45755</v>
      </c>
      <c r="B1325">
        <v>368.260009765625</v>
      </c>
      <c r="C1325">
        <v>373.64999389648438</v>
      </c>
      <c r="D1325">
        <v>350.25</v>
      </c>
      <c r="E1325">
        <v>354.55999755859375</v>
      </c>
      <c r="F1325">
        <v>35868900</v>
      </c>
      <c r="G1325">
        <v>353.32943725585938</v>
      </c>
      <c r="H1325" s="2">
        <f>MONTH(Query1[[#This Row],[Date]])</f>
        <v>4</v>
      </c>
      <c r="I1325" s="3">
        <f>Query1[[#This Row],[Shares]]*Query1[[#This Row],[Adj Close]]</f>
        <v>1269264.9719476243</v>
      </c>
      <c r="J1325" s="3">
        <f>IF(ROW()&lt;3, Dashboard!$E$7, IF(Query1[[#This Row],[Month]]&lt;&gt;H1324,J1324*(1+Dashboard!$E$4)+Dashboard!$E$5,J1324))</f>
        <v>1110221.0976590973</v>
      </c>
      <c r="K1325">
        <f>IF(ROW()&lt;3, 0,IF(Query1[[#This Row],[Month]]&lt;&gt;H1324,IF((J1325-I1325&gt;0),J1325-I1325,0),0))</f>
        <v>0</v>
      </c>
      <c r="L1325" s="2">
        <f t="shared" si="20"/>
        <v>3592.2989655359538</v>
      </c>
      <c r="N1325" s="2">
        <f>IF(ROW()&lt;3, Query1[[#This Row],[Shares]], IF(Query1[[#This Row],[Month]]&lt;&gt;H1324, N1324+Query1[[#This Row],[Fix Top Up]]/Query1[[#This Row],[Adj Close]], N1324))</f>
        <v>3443.7835895075805</v>
      </c>
      <c r="P1325" s="2">
        <f>IF(ROW()&lt;3, Query1[[#This Row],[Shares]], IF(Query1[[#This Row],[Month]]&lt;&gt;H1324, P1324+Query1[[#This Row],[Enhanced top up]]/Query1[[#This Row],[Adj Close]], P1324))</f>
        <v>3441.9086679591742</v>
      </c>
      <c r="Q1325" s="2">
        <f>IFERROR(AVERAGE(
  IF(ROW()&gt;20, INDEX(G:G, ROW()-20), 0) :
  INDEX(G:G, ROW())
),0)</f>
        <v>379.71895345052081</v>
      </c>
    </row>
    <row r="1326" spans="1:17" x14ac:dyDescent="0.4">
      <c r="A1326" s="1">
        <v>45756</v>
      </c>
      <c r="B1326">
        <v>353.54000854492188</v>
      </c>
      <c r="C1326">
        <v>393.23001098632813</v>
      </c>
      <c r="D1326">
        <v>353.10000610351563</v>
      </c>
      <c r="E1326">
        <v>390.489990234375</v>
      </c>
      <c r="F1326">
        <v>50199700</v>
      </c>
      <c r="G1326">
        <v>389.13470458984375</v>
      </c>
      <c r="H1326" s="2">
        <f>MONTH(Query1[[#This Row],[Date]])</f>
        <v>4</v>
      </c>
      <c r="I1326" s="3">
        <f>Query1[[#This Row],[Shares]]*Query1[[#This Row],[Adj Close]]</f>
        <v>1397888.1967522346</v>
      </c>
      <c r="J1326" s="3">
        <f>IF(ROW()&lt;3, Dashboard!$E$7, IF(Query1[[#This Row],[Month]]&lt;&gt;H1325,J1325*(1+Dashboard!$E$4)+Dashboard!$E$5,J1325))</f>
        <v>1110221.0976590973</v>
      </c>
      <c r="K1326">
        <f>IF(ROW()&lt;3, 0,IF(Query1[[#This Row],[Month]]&lt;&gt;H1325,IF((J1326-I1326&gt;0),J1326-I1326,0),0))</f>
        <v>0</v>
      </c>
      <c r="L1326" s="2">
        <f t="shared" si="20"/>
        <v>3592.2989655359538</v>
      </c>
      <c r="N1326" s="2">
        <f>IF(ROW()&lt;3, Query1[[#This Row],[Shares]], IF(Query1[[#This Row],[Month]]&lt;&gt;H1325, N1325+Query1[[#This Row],[Fix Top Up]]/Query1[[#This Row],[Adj Close]], N1325))</f>
        <v>3443.7835895075805</v>
      </c>
      <c r="P1326" s="2">
        <f>IF(ROW()&lt;3, Query1[[#This Row],[Shares]], IF(Query1[[#This Row],[Month]]&lt;&gt;H1325, P1325+Query1[[#This Row],[Enhanced top up]]/Query1[[#This Row],[Adj Close]], P1325))</f>
        <v>3441.9086679591742</v>
      </c>
      <c r="Q1326" s="2">
        <f>IFERROR(AVERAGE(
  IF(ROW()&gt;20, INDEX(G:G, ROW()-20), 0) :
  INDEX(G:G, ROW())
),0)</f>
        <v>380.1953880673363</v>
      </c>
    </row>
    <row r="1327" spans="1:17" x14ac:dyDescent="0.4">
      <c r="A1327" s="1">
        <v>45757</v>
      </c>
      <c r="B1327">
        <v>382.05999755859375</v>
      </c>
      <c r="C1327">
        <v>383.89999389648438</v>
      </c>
      <c r="D1327">
        <v>367.79998779296875</v>
      </c>
      <c r="E1327">
        <v>381.35000610351563</v>
      </c>
      <c r="F1327">
        <v>38024400</v>
      </c>
      <c r="G1327">
        <v>380.02645874023438</v>
      </c>
      <c r="H1327" s="2">
        <f>MONTH(Query1[[#This Row],[Date]])</f>
        <v>4</v>
      </c>
      <c r="I1327" s="3">
        <f>Query1[[#This Row],[Shares]]*Query1[[#This Row],[Adj Close]]</f>
        <v>1365168.6546088357</v>
      </c>
      <c r="J1327" s="3">
        <f>IF(ROW()&lt;3, Dashboard!$E$7, IF(Query1[[#This Row],[Month]]&lt;&gt;H1326,J1326*(1+Dashboard!$E$4)+Dashboard!$E$5,J1326))</f>
        <v>1110221.0976590973</v>
      </c>
      <c r="K1327">
        <f>IF(ROW()&lt;3, 0,IF(Query1[[#This Row],[Month]]&lt;&gt;H1326,IF((J1327-I1327&gt;0),J1327-I1327,0),0))</f>
        <v>0</v>
      </c>
      <c r="L1327" s="2">
        <f t="shared" si="20"/>
        <v>3592.2989655359538</v>
      </c>
      <c r="N1327" s="2">
        <f>IF(ROW()&lt;3, Query1[[#This Row],[Shares]], IF(Query1[[#This Row],[Month]]&lt;&gt;H1326, N1326+Query1[[#This Row],[Fix Top Up]]/Query1[[#This Row],[Adj Close]], N1326))</f>
        <v>3443.7835895075805</v>
      </c>
      <c r="P1327" s="2">
        <f>IF(ROW()&lt;3, Query1[[#This Row],[Shares]], IF(Query1[[#This Row],[Month]]&lt;&gt;H1326, P1326+Query1[[#This Row],[Enhanced top up]]/Query1[[#This Row],[Adj Close]], P1326))</f>
        <v>3441.9086679591742</v>
      </c>
      <c r="Q1327" s="2">
        <f>IFERROR(AVERAGE(
  IF(ROW()&gt;20, INDEX(G:G, ROW()-20), 0) :
  INDEX(G:G, ROW())
),0)</f>
        <v>380.10427711123509</v>
      </c>
    </row>
    <row r="1328" spans="1:17" x14ac:dyDescent="0.4">
      <c r="A1328" s="1">
        <v>45758</v>
      </c>
      <c r="B1328">
        <v>380.6400146484375</v>
      </c>
      <c r="C1328">
        <v>390.04998779296875</v>
      </c>
      <c r="D1328">
        <v>378.8900146484375</v>
      </c>
      <c r="E1328">
        <v>388.45001220703125</v>
      </c>
      <c r="F1328">
        <v>23839200</v>
      </c>
      <c r="G1328">
        <v>387.10183715820313</v>
      </c>
      <c r="H1328" s="2">
        <f>MONTH(Query1[[#This Row],[Date]])</f>
        <v>4</v>
      </c>
      <c r="I1328" s="3">
        <f>Query1[[#This Row],[Shares]]*Query1[[#This Row],[Adj Close]]</f>
        <v>1390585.5291804804</v>
      </c>
      <c r="J1328" s="3">
        <f>IF(ROW()&lt;3, Dashboard!$E$7, IF(Query1[[#This Row],[Month]]&lt;&gt;H1327,J1327*(1+Dashboard!$E$4)+Dashboard!$E$5,J1327))</f>
        <v>1110221.0976590973</v>
      </c>
      <c r="K1328">
        <f>IF(ROW()&lt;3, 0,IF(Query1[[#This Row],[Month]]&lt;&gt;H1327,IF((J1328-I1328&gt;0),J1328-I1328,0),0))</f>
        <v>0</v>
      </c>
      <c r="L1328" s="2">
        <f t="shared" si="20"/>
        <v>3592.2989655359538</v>
      </c>
      <c r="N1328" s="2">
        <f>IF(ROW()&lt;3, Query1[[#This Row],[Shares]], IF(Query1[[#This Row],[Month]]&lt;&gt;H1327, N1327+Query1[[#This Row],[Fix Top Up]]/Query1[[#This Row],[Adj Close]], N1327))</f>
        <v>3443.7835895075805</v>
      </c>
      <c r="P1328" s="2">
        <f>IF(ROW()&lt;3, Query1[[#This Row],[Shares]], IF(Query1[[#This Row],[Month]]&lt;&gt;H1327, P1327+Query1[[#This Row],[Enhanced top up]]/Query1[[#This Row],[Adj Close]], P1327))</f>
        <v>3441.9086679591742</v>
      </c>
      <c r="Q1328" s="2">
        <f>IFERROR(AVERAGE(
  IF(ROW()&gt;20, INDEX(G:G, ROW()-20), 0) :
  INDEX(G:G, ROW())
),0)</f>
        <v>380.56363205682663</v>
      </c>
    </row>
    <row r="1329" spans="1:17" x14ac:dyDescent="0.4">
      <c r="A1329" s="1">
        <v>45761</v>
      </c>
      <c r="B1329">
        <v>393.22000122070313</v>
      </c>
      <c r="C1329">
        <v>394.64999389648438</v>
      </c>
      <c r="D1329">
        <v>384.20999145507813</v>
      </c>
      <c r="E1329">
        <v>387.80999755859375</v>
      </c>
      <c r="F1329">
        <v>19251200</v>
      </c>
      <c r="G1329">
        <v>386.46401977539063</v>
      </c>
      <c r="H1329" s="2">
        <f>MONTH(Query1[[#This Row],[Date]])</f>
        <v>4</v>
      </c>
      <c r="I1329" s="3">
        <f>Query1[[#This Row],[Shares]]*Query1[[#This Row],[Adj Close]]</f>
        <v>1388294.298456002</v>
      </c>
      <c r="J1329" s="3">
        <f>IF(ROW()&lt;3, Dashboard!$E$7, IF(Query1[[#This Row],[Month]]&lt;&gt;H1328,J1328*(1+Dashboard!$E$4)+Dashboard!$E$5,J1328))</f>
        <v>1110221.0976590973</v>
      </c>
      <c r="K1329">
        <f>IF(ROW()&lt;3, 0,IF(Query1[[#This Row],[Month]]&lt;&gt;H1328,IF((J1329-I1329&gt;0),J1329-I1329,0),0))</f>
        <v>0</v>
      </c>
      <c r="L1329" s="2">
        <f t="shared" si="20"/>
        <v>3592.2989655359538</v>
      </c>
      <c r="N1329" s="2">
        <f>IF(ROW()&lt;3, Query1[[#This Row],[Shares]], IF(Query1[[#This Row],[Month]]&lt;&gt;H1328, N1328+Query1[[#This Row],[Fix Top Up]]/Query1[[#This Row],[Adj Close]], N1328))</f>
        <v>3443.7835895075805</v>
      </c>
      <c r="P1329" s="2">
        <f>IF(ROW()&lt;3, Query1[[#This Row],[Shares]], IF(Query1[[#This Row],[Month]]&lt;&gt;H1328, P1328+Query1[[#This Row],[Enhanced top up]]/Query1[[#This Row],[Adj Close]], P1328))</f>
        <v>3441.9086679591742</v>
      </c>
      <c r="Q1329" s="2">
        <f>IFERROR(AVERAGE(
  IF(ROW()&gt;20, INDEX(G:G, ROW()-20), 0) :
  INDEX(G:G, ROW())
),0)</f>
        <v>380.52804129464283</v>
      </c>
    </row>
    <row r="1330" spans="1:17" x14ac:dyDescent="0.4">
      <c r="A1330" s="1">
        <v>45762</v>
      </c>
      <c r="B1330">
        <v>388.510009765625</v>
      </c>
      <c r="C1330">
        <v>391.8900146484375</v>
      </c>
      <c r="D1330">
        <v>384.16000366210938</v>
      </c>
      <c r="E1330">
        <v>385.73001098632813</v>
      </c>
      <c r="F1330">
        <v>17199900</v>
      </c>
      <c r="G1330">
        <v>384.39126586914063</v>
      </c>
      <c r="H1330" s="2">
        <f>MONTH(Query1[[#This Row],[Date]])</f>
        <v>4</v>
      </c>
      <c r="I1330" s="3">
        <f>Query1[[#This Row],[Shares]]*Query1[[#This Row],[Adj Close]]</f>
        <v>1380848.3467427697</v>
      </c>
      <c r="J1330" s="3">
        <f>IF(ROW()&lt;3, Dashboard!$E$7, IF(Query1[[#This Row],[Month]]&lt;&gt;H1329,J1329*(1+Dashboard!$E$4)+Dashboard!$E$5,J1329))</f>
        <v>1110221.0976590973</v>
      </c>
      <c r="K1330">
        <f>IF(ROW()&lt;3, 0,IF(Query1[[#This Row],[Month]]&lt;&gt;H1329,IF((J1330-I1330&gt;0),J1330-I1330,0),0))</f>
        <v>0</v>
      </c>
      <c r="L1330" s="2">
        <f t="shared" si="20"/>
        <v>3592.2989655359538</v>
      </c>
      <c r="N1330" s="2">
        <f>IF(ROW()&lt;3, Query1[[#This Row],[Shares]], IF(Query1[[#This Row],[Month]]&lt;&gt;H1329, N1329+Query1[[#This Row],[Fix Top Up]]/Query1[[#This Row],[Adj Close]], N1329))</f>
        <v>3443.7835895075805</v>
      </c>
      <c r="P1330" s="2">
        <f>IF(ROW()&lt;3, Query1[[#This Row],[Shares]], IF(Query1[[#This Row],[Month]]&lt;&gt;H1329, P1329+Query1[[#This Row],[Enhanced top up]]/Query1[[#This Row],[Adj Close]], P1329))</f>
        <v>3441.9086679591742</v>
      </c>
      <c r="Q1330" s="2">
        <f>IFERROR(AVERAGE(
  IF(ROW()&gt;20, INDEX(G:G, ROW()-20), 0) :
  INDEX(G:G, ROW())
),0)</f>
        <v>380.38710385277159</v>
      </c>
    </row>
    <row r="1331" spans="1:17" x14ac:dyDescent="0.4">
      <c r="A1331" s="1">
        <v>45763</v>
      </c>
      <c r="B1331">
        <v>380.67001342773438</v>
      </c>
      <c r="C1331">
        <v>381.6099853515625</v>
      </c>
      <c r="D1331">
        <v>368</v>
      </c>
      <c r="E1331">
        <v>371.6099853515625</v>
      </c>
      <c r="F1331">
        <v>21967800</v>
      </c>
      <c r="G1331">
        <v>370.32025146484375</v>
      </c>
      <c r="H1331" s="2">
        <f>MONTH(Query1[[#This Row],[Date]])</f>
        <v>4</v>
      </c>
      <c r="I1331" s="3">
        <f>Query1[[#This Row],[Shares]]*Query1[[#This Row],[Adj Close]]</f>
        <v>1330301.0562541725</v>
      </c>
      <c r="J1331" s="3">
        <f>IF(ROW()&lt;3, Dashboard!$E$7, IF(Query1[[#This Row],[Month]]&lt;&gt;H1330,J1330*(1+Dashboard!$E$4)+Dashboard!$E$5,J1330))</f>
        <v>1110221.0976590973</v>
      </c>
      <c r="K1331">
        <f>IF(ROW()&lt;3, 0,IF(Query1[[#This Row],[Month]]&lt;&gt;H1330,IF((J1331-I1331&gt;0),J1331-I1331,0),0))</f>
        <v>0</v>
      </c>
      <c r="L1331" s="2">
        <f t="shared" si="20"/>
        <v>3592.2989655359538</v>
      </c>
      <c r="N1331" s="2">
        <f>IF(ROW()&lt;3, Query1[[#This Row],[Shares]], IF(Query1[[#This Row],[Month]]&lt;&gt;H1330, N1330+Query1[[#This Row],[Fix Top Up]]/Query1[[#This Row],[Adj Close]], N1330))</f>
        <v>3443.7835895075805</v>
      </c>
      <c r="P1331" s="2">
        <f>IF(ROW()&lt;3, Query1[[#This Row],[Shares]], IF(Query1[[#This Row],[Month]]&lt;&gt;H1330, P1330+Query1[[#This Row],[Enhanced top up]]/Query1[[#This Row],[Adj Close]], P1330))</f>
        <v>3441.9086679591742</v>
      </c>
      <c r="Q1331" s="2">
        <f>IFERROR(AVERAGE(
  IF(ROW()&gt;20, INDEX(G:G, ROW()-20), 0) :
  INDEX(G:G, ROW())
),0)</f>
        <v>379.82192993164063</v>
      </c>
    </row>
    <row r="1332" spans="1:17" x14ac:dyDescent="0.4">
      <c r="A1332" s="1">
        <v>45764</v>
      </c>
      <c r="B1332">
        <v>373.75</v>
      </c>
      <c r="C1332">
        <v>374.32000732421875</v>
      </c>
      <c r="D1332">
        <v>366.8900146484375</v>
      </c>
      <c r="E1332">
        <v>367.77999877929688</v>
      </c>
      <c r="F1332">
        <v>21120200</v>
      </c>
      <c r="G1332">
        <v>366.5035400390625</v>
      </c>
      <c r="H1332" s="2">
        <f>MONTH(Query1[[#This Row],[Date]])</f>
        <v>4</v>
      </c>
      <c r="I1332" s="3">
        <f>Query1[[#This Row],[Shares]]*Query1[[#This Row],[Adj Close]]</f>
        <v>1316590.2877475892</v>
      </c>
      <c r="J1332" s="3">
        <f>IF(ROW()&lt;3, Dashboard!$E$7, IF(Query1[[#This Row],[Month]]&lt;&gt;H1331,J1331*(1+Dashboard!$E$4)+Dashboard!$E$5,J1331))</f>
        <v>1110221.0976590973</v>
      </c>
      <c r="K1332">
        <f>IF(ROW()&lt;3, 0,IF(Query1[[#This Row],[Month]]&lt;&gt;H1331,IF((J1332-I1332&gt;0),J1332-I1332,0),0))</f>
        <v>0</v>
      </c>
      <c r="L1332" s="2">
        <f t="shared" si="20"/>
        <v>3592.2989655359538</v>
      </c>
      <c r="N1332" s="2">
        <f>IF(ROW()&lt;3, Query1[[#This Row],[Shares]], IF(Query1[[#This Row],[Month]]&lt;&gt;H1331, N1331+Query1[[#This Row],[Fix Top Up]]/Query1[[#This Row],[Adj Close]], N1331))</f>
        <v>3443.7835895075805</v>
      </c>
      <c r="P1332" s="2">
        <f>IF(ROW()&lt;3, Query1[[#This Row],[Shares]], IF(Query1[[#This Row],[Month]]&lt;&gt;H1331, P1331+Query1[[#This Row],[Enhanced top up]]/Query1[[#This Row],[Adj Close]], P1331))</f>
        <v>3441.9086679591742</v>
      </c>
      <c r="Q1332" s="2">
        <f>IFERROR(AVERAGE(
  IF(ROW()&gt;20, INDEX(G:G, ROW()-20), 0) :
  INDEX(G:G, ROW())
),0)</f>
        <v>378.87095424107144</v>
      </c>
    </row>
    <row r="1333" spans="1:17" x14ac:dyDescent="0.4">
      <c r="A1333" s="1">
        <v>45768</v>
      </c>
      <c r="B1333">
        <v>362.82000732421875</v>
      </c>
      <c r="C1333">
        <v>364.48001098632813</v>
      </c>
      <c r="D1333">
        <v>355.67001342773438</v>
      </c>
      <c r="E1333">
        <v>359.1199951171875</v>
      </c>
      <c r="F1333">
        <v>20807300</v>
      </c>
      <c r="G1333">
        <v>357.87359619140625</v>
      </c>
      <c r="H1333" s="2">
        <f>MONTH(Query1[[#This Row],[Date]])</f>
        <v>4</v>
      </c>
      <c r="I1333" s="3">
        <f>Query1[[#This Row],[Shares]]*Query1[[#This Row],[Adj Close]]</f>
        <v>1285588.9493910202</v>
      </c>
      <c r="J1333" s="3">
        <f>IF(ROW()&lt;3, Dashboard!$E$7, IF(Query1[[#This Row],[Month]]&lt;&gt;H1332,J1332*(1+Dashboard!$E$4)+Dashboard!$E$5,J1332))</f>
        <v>1110221.0976590973</v>
      </c>
      <c r="K1333">
        <f>IF(ROW()&lt;3, 0,IF(Query1[[#This Row],[Month]]&lt;&gt;H1332,IF((J1333-I1333&gt;0),J1333-I1333,0),0))</f>
        <v>0</v>
      </c>
      <c r="L1333" s="2">
        <f t="shared" si="20"/>
        <v>3592.2989655359538</v>
      </c>
      <c r="N1333" s="2">
        <f>IF(ROW()&lt;3, Query1[[#This Row],[Shares]], IF(Query1[[#This Row],[Month]]&lt;&gt;H1332, N1332+Query1[[#This Row],[Fix Top Up]]/Query1[[#This Row],[Adj Close]], N1332))</f>
        <v>3443.7835895075805</v>
      </c>
      <c r="P1333" s="2">
        <f>IF(ROW()&lt;3, Query1[[#This Row],[Shares]], IF(Query1[[#This Row],[Month]]&lt;&gt;H1332, P1332+Query1[[#This Row],[Enhanced top up]]/Query1[[#This Row],[Adj Close]], P1332))</f>
        <v>3441.9086679591742</v>
      </c>
      <c r="Q1333" s="2">
        <f>IFERROR(AVERAGE(
  IF(ROW()&gt;20, INDEX(G:G, ROW()-20), 0) :
  INDEX(G:G, ROW())
),0)</f>
        <v>377.55553617931548</v>
      </c>
    </row>
    <row r="1334" spans="1:17" x14ac:dyDescent="0.4">
      <c r="A1334" s="1">
        <v>45769</v>
      </c>
      <c r="B1334">
        <v>363.3800048828125</v>
      </c>
      <c r="C1334">
        <v>367.76998901367188</v>
      </c>
      <c r="D1334">
        <v>359.8599853515625</v>
      </c>
      <c r="E1334">
        <v>366.82000732421875</v>
      </c>
      <c r="F1334">
        <v>19485000</v>
      </c>
      <c r="G1334">
        <v>365.54690551757813</v>
      </c>
      <c r="H1334" s="2">
        <f>MONTH(Query1[[#This Row],[Date]])</f>
        <v>4</v>
      </c>
      <c r="I1334" s="3">
        <f>Query1[[#This Row],[Shares]]*Query1[[#This Row],[Adj Close]]</f>
        <v>1313153.7705456649</v>
      </c>
      <c r="J1334" s="3">
        <f>IF(ROW()&lt;3, Dashboard!$E$7, IF(Query1[[#This Row],[Month]]&lt;&gt;H1333,J1333*(1+Dashboard!$E$4)+Dashboard!$E$5,J1333))</f>
        <v>1110221.0976590973</v>
      </c>
      <c r="K1334">
        <f>IF(ROW()&lt;3, 0,IF(Query1[[#This Row],[Month]]&lt;&gt;H1333,IF((J1334-I1334&gt;0),J1334-I1334,0),0))</f>
        <v>0</v>
      </c>
      <c r="L1334" s="2">
        <f t="shared" si="20"/>
        <v>3592.2989655359538</v>
      </c>
      <c r="N1334" s="2">
        <f>IF(ROW()&lt;3, Query1[[#This Row],[Shares]], IF(Query1[[#This Row],[Month]]&lt;&gt;H1333, N1333+Query1[[#This Row],[Fix Top Up]]/Query1[[#This Row],[Adj Close]], N1333))</f>
        <v>3443.7835895075805</v>
      </c>
      <c r="P1334" s="2">
        <f>IF(ROW()&lt;3, Query1[[#This Row],[Shares]], IF(Query1[[#This Row],[Month]]&lt;&gt;H1333, P1333+Query1[[#This Row],[Enhanced top up]]/Query1[[#This Row],[Adj Close]], P1333))</f>
        <v>3441.9086679591742</v>
      </c>
      <c r="Q1334" s="2">
        <f>IFERROR(AVERAGE(
  IF(ROW()&gt;20, INDEX(G:G, ROW()-20), 0) :
  INDEX(G:G, ROW())
),0)</f>
        <v>376.39576648530505</v>
      </c>
    </row>
    <row r="1335" spans="1:17" x14ac:dyDescent="0.4">
      <c r="A1335" s="1">
        <v>45770</v>
      </c>
      <c r="B1335">
        <v>376.05999755859375</v>
      </c>
      <c r="C1335">
        <v>380.3900146484375</v>
      </c>
      <c r="D1335">
        <v>373.01998901367188</v>
      </c>
      <c r="E1335">
        <v>374.3900146484375</v>
      </c>
      <c r="F1335">
        <v>20545500</v>
      </c>
      <c r="G1335">
        <v>373.09060668945313</v>
      </c>
      <c r="H1335" s="2">
        <f>MONTH(Query1[[#This Row],[Date]])</f>
        <v>4</v>
      </c>
      <c r="I1335" s="3">
        <f>Query1[[#This Row],[Shares]]*Query1[[#This Row],[Adj Close]]</f>
        <v>1340253.0004617039</v>
      </c>
      <c r="J1335" s="3">
        <f>IF(ROW()&lt;3, Dashboard!$E$7, IF(Query1[[#This Row],[Month]]&lt;&gt;H1334,J1334*(1+Dashboard!$E$4)+Dashboard!$E$5,J1334))</f>
        <v>1110221.0976590973</v>
      </c>
      <c r="K1335">
        <f>IF(ROW()&lt;3, 0,IF(Query1[[#This Row],[Month]]&lt;&gt;H1334,IF((J1335-I1335&gt;0),J1335-I1335,0),0))</f>
        <v>0</v>
      </c>
      <c r="L1335" s="2">
        <f t="shared" si="20"/>
        <v>3592.2989655359538</v>
      </c>
      <c r="N1335" s="2">
        <f>IF(ROW()&lt;3, Query1[[#This Row],[Shares]], IF(Query1[[#This Row],[Month]]&lt;&gt;H1334, N1334+Query1[[#This Row],[Fix Top Up]]/Query1[[#This Row],[Adj Close]], N1334))</f>
        <v>3443.7835895075805</v>
      </c>
      <c r="P1335" s="2">
        <f>IF(ROW()&lt;3, Query1[[#This Row],[Shares]], IF(Query1[[#This Row],[Month]]&lt;&gt;H1334, P1334+Query1[[#This Row],[Enhanced top up]]/Query1[[#This Row],[Adj Close]], P1334))</f>
        <v>3441.9086679591742</v>
      </c>
      <c r="Q1335" s="2">
        <f>IFERROR(AVERAGE(
  IF(ROW()&gt;20, INDEX(G:G, ROW()-20), 0) :
  INDEX(G:G, ROW())
),0)</f>
        <v>375.50885591052827</v>
      </c>
    </row>
    <row r="1336" spans="1:17" x14ac:dyDescent="0.4">
      <c r="A1336" s="1">
        <v>45771</v>
      </c>
      <c r="B1336">
        <v>375.70001220703125</v>
      </c>
      <c r="C1336">
        <v>388.45001220703125</v>
      </c>
      <c r="D1336">
        <v>375.19000244140625</v>
      </c>
      <c r="E1336">
        <v>387.29998779296875</v>
      </c>
      <c r="F1336">
        <v>22232300</v>
      </c>
      <c r="G1336">
        <v>385.95578002929688</v>
      </c>
      <c r="H1336" s="2">
        <f>MONTH(Query1[[#This Row],[Date]])</f>
        <v>4</v>
      </c>
      <c r="I1336" s="3">
        <f>Query1[[#This Row],[Shares]]*Query1[[#This Row],[Adj Close]]</f>
        <v>1386468.5493418653</v>
      </c>
      <c r="J1336" s="3">
        <f>IF(ROW()&lt;3, Dashboard!$E$7, IF(Query1[[#This Row],[Month]]&lt;&gt;H1335,J1335*(1+Dashboard!$E$4)+Dashboard!$E$5,J1335))</f>
        <v>1110221.0976590973</v>
      </c>
      <c r="K1336">
        <f>IF(ROW()&lt;3, 0,IF(Query1[[#This Row],[Month]]&lt;&gt;H1335,IF((J1336-I1336&gt;0),J1336-I1336,0),0))</f>
        <v>0</v>
      </c>
      <c r="L1336" s="2">
        <f t="shared" si="20"/>
        <v>3592.2989655359538</v>
      </c>
      <c r="N1336" s="2">
        <f>IF(ROW()&lt;3, Query1[[#This Row],[Shares]], IF(Query1[[#This Row],[Month]]&lt;&gt;H1335, N1335+Query1[[#This Row],[Fix Top Up]]/Query1[[#This Row],[Adj Close]], N1335))</f>
        <v>3443.7835895075805</v>
      </c>
      <c r="P1336" s="2">
        <f>IF(ROW()&lt;3, Query1[[#This Row],[Shares]], IF(Query1[[#This Row],[Month]]&lt;&gt;H1335, P1335+Query1[[#This Row],[Enhanced top up]]/Query1[[#This Row],[Adj Close]], P1335))</f>
        <v>3441.9086679591742</v>
      </c>
      <c r="Q1336" s="2">
        <f>IFERROR(AVERAGE(
  IF(ROW()&gt;20, INDEX(G:G, ROW()-20), 0) :
  INDEX(G:G, ROW())
),0)</f>
        <v>375.13586716424851</v>
      </c>
    </row>
    <row r="1337" spans="1:17" x14ac:dyDescent="0.4">
      <c r="A1337" s="1">
        <v>45772</v>
      </c>
      <c r="B1337">
        <v>387</v>
      </c>
      <c r="C1337">
        <v>392.16000366210938</v>
      </c>
      <c r="D1337">
        <v>384.60000610351563</v>
      </c>
      <c r="E1337">
        <v>391.85000610351563</v>
      </c>
      <c r="F1337">
        <v>18973200</v>
      </c>
      <c r="G1337">
        <v>390.49002075195313</v>
      </c>
      <c r="H1337" s="2">
        <f>MONTH(Query1[[#This Row],[Date]])</f>
        <v>4</v>
      </c>
      <c r="I1337" s="3">
        <f>Query1[[#This Row],[Shares]]*Query1[[#This Row],[Adj Close]]</f>
        <v>1402756.8975993544</v>
      </c>
      <c r="J1337" s="3">
        <f>IF(ROW()&lt;3, Dashboard!$E$7, IF(Query1[[#This Row],[Month]]&lt;&gt;H1336,J1336*(1+Dashboard!$E$4)+Dashboard!$E$5,J1336))</f>
        <v>1110221.0976590973</v>
      </c>
      <c r="K1337">
        <f>IF(ROW()&lt;3, 0,IF(Query1[[#This Row],[Month]]&lt;&gt;H1336,IF((J1337-I1337&gt;0),J1337-I1337,0),0))</f>
        <v>0</v>
      </c>
      <c r="L1337" s="2">
        <f t="shared" si="20"/>
        <v>3592.2989655359538</v>
      </c>
      <c r="N1337" s="2">
        <f>IF(ROW()&lt;3, Query1[[#This Row],[Shares]], IF(Query1[[#This Row],[Month]]&lt;&gt;H1336, N1336+Query1[[#This Row],[Fix Top Up]]/Query1[[#This Row],[Adj Close]], N1336))</f>
        <v>3443.7835895075805</v>
      </c>
      <c r="P1337" s="2">
        <f>IF(ROW()&lt;3, Query1[[#This Row],[Shares]], IF(Query1[[#This Row],[Month]]&lt;&gt;H1336, P1336+Query1[[#This Row],[Enhanced top up]]/Query1[[#This Row],[Adj Close]], P1336))</f>
        <v>3441.9086679591742</v>
      </c>
      <c r="Q1337" s="2">
        <f>IFERROR(AVERAGE(
  IF(ROW()&gt;20, INDEX(G:G, ROW()-20), 0) :
  INDEX(G:G, ROW())
),0)</f>
        <v>375.22508021763394</v>
      </c>
    </row>
    <row r="1338" spans="1:17" x14ac:dyDescent="0.4">
      <c r="A1338" s="1">
        <v>45775</v>
      </c>
      <c r="B1338">
        <v>391.95999145507813</v>
      </c>
      <c r="C1338">
        <v>392.739990234375</v>
      </c>
      <c r="D1338">
        <v>386.6400146484375</v>
      </c>
      <c r="E1338">
        <v>391.16000366210938</v>
      </c>
      <c r="F1338">
        <v>16579400</v>
      </c>
      <c r="G1338">
        <v>389.80239868164063</v>
      </c>
      <c r="H1338" s="2">
        <f>MONTH(Query1[[#This Row],[Date]])</f>
        <v>4</v>
      </c>
      <c r="I1338" s="3">
        <f>Query1[[#This Row],[Shares]]*Query1[[#This Row],[Adj Close]]</f>
        <v>1400286.753547491</v>
      </c>
      <c r="J1338" s="3">
        <f>IF(ROW()&lt;3, Dashboard!$E$7, IF(Query1[[#This Row],[Month]]&lt;&gt;H1337,J1337*(1+Dashboard!$E$4)+Dashboard!$E$5,J1337))</f>
        <v>1110221.0976590973</v>
      </c>
      <c r="K1338">
        <f>IF(ROW()&lt;3, 0,IF(Query1[[#This Row],[Month]]&lt;&gt;H1337,IF((J1338-I1338&gt;0),J1338-I1338,0),0))</f>
        <v>0</v>
      </c>
      <c r="L1338" s="2">
        <f t="shared" si="20"/>
        <v>3592.2989655359538</v>
      </c>
      <c r="N1338" s="2">
        <f>IF(ROW()&lt;3, Query1[[#This Row],[Shares]], IF(Query1[[#This Row],[Month]]&lt;&gt;H1337, N1337+Query1[[#This Row],[Fix Top Up]]/Query1[[#This Row],[Adj Close]], N1337))</f>
        <v>3443.7835895075805</v>
      </c>
      <c r="P1338" s="2">
        <f>IF(ROW()&lt;3, Query1[[#This Row],[Shares]], IF(Query1[[#This Row],[Month]]&lt;&gt;H1337, P1337+Query1[[#This Row],[Enhanced top up]]/Query1[[#This Row],[Adj Close]], P1337))</f>
        <v>3441.9086679591742</v>
      </c>
      <c r="Q1338" s="2">
        <f>IFERROR(AVERAGE(
  IF(ROW()&gt;20, INDEX(G:G, ROW()-20), 0) :
  INDEX(G:G, ROW())
),0)</f>
        <v>375.25260416666669</v>
      </c>
    </row>
    <row r="1339" spans="1:17" x14ac:dyDescent="0.4">
      <c r="A1339" s="1">
        <v>45776</v>
      </c>
      <c r="B1339">
        <v>391.29998779296875</v>
      </c>
      <c r="C1339">
        <v>395.10000610351563</v>
      </c>
      <c r="D1339">
        <v>390.3800048828125</v>
      </c>
      <c r="E1339">
        <v>394.04000854492188</v>
      </c>
      <c r="F1339">
        <v>14974000</v>
      </c>
      <c r="G1339">
        <v>392.67242431640625</v>
      </c>
      <c r="H1339" s="2">
        <f>MONTH(Query1[[#This Row],[Date]])</f>
        <v>4</v>
      </c>
      <c r="I1339" s="3">
        <f>Query1[[#This Row],[Shares]]*Query1[[#This Row],[Adj Close]]</f>
        <v>1410596.7436663213</v>
      </c>
      <c r="J1339" s="3">
        <f>IF(ROW()&lt;3, Dashboard!$E$7, IF(Query1[[#This Row],[Month]]&lt;&gt;H1338,J1338*(1+Dashboard!$E$4)+Dashboard!$E$5,J1338))</f>
        <v>1110221.0976590973</v>
      </c>
      <c r="K1339">
        <f>IF(ROW()&lt;3, 0,IF(Query1[[#This Row],[Month]]&lt;&gt;H1338,IF((J1339-I1339&gt;0),J1339-I1339,0),0))</f>
        <v>0</v>
      </c>
      <c r="L1339" s="2">
        <f t="shared" si="20"/>
        <v>3592.2989655359538</v>
      </c>
      <c r="N1339" s="2">
        <f>IF(ROW()&lt;3, Query1[[#This Row],[Shares]], IF(Query1[[#This Row],[Month]]&lt;&gt;H1338, N1338+Query1[[#This Row],[Fix Top Up]]/Query1[[#This Row],[Adj Close]], N1338))</f>
        <v>3443.7835895075805</v>
      </c>
      <c r="P1339" s="2">
        <f>IF(ROW()&lt;3, Query1[[#This Row],[Shares]], IF(Query1[[#This Row],[Month]]&lt;&gt;H1338, P1338+Query1[[#This Row],[Enhanced top up]]/Query1[[#This Row],[Adj Close]], P1338))</f>
        <v>3441.9086679591742</v>
      </c>
      <c r="Q1339" s="2">
        <f>IFERROR(AVERAGE(
  IF(ROW()&gt;20, INDEX(G:G, ROW()-20), 0) :
  INDEX(G:G, ROW())
),0)</f>
        <v>375.97580101376491</v>
      </c>
    </row>
    <row r="1340" spans="1:17" x14ac:dyDescent="0.4">
      <c r="A1340" s="1">
        <v>45777</v>
      </c>
      <c r="B1340">
        <v>390.29998779296875</v>
      </c>
      <c r="C1340">
        <v>396.66000366210938</v>
      </c>
      <c r="D1340">
        <v>384.44000244140625</v>
      </c>
      <c r="E1340">
        <v>395.260009765625</v>
      </c>
      <c r="F1340">
        <v>36461100</v>
      </c>
      <c r="G1340">
        <v>393.88818359375</v>
      </c>
      <c r="H1340" s="2">
        <f>MONTH(Query1[[#This Row],[Date]])</f>
        <v>4</v>
      </c>
      <c r="I1340" s="3">
        <f>Query1[[#This Row],[Shares]]*Query1[[#This Row],[Adj Close]]</f>
        <v>1414964.1144606639</v>
      </c>
      <c r="J1340" s="3">
        <f>IF(ROW()&lt;3, Dashboard!$E$7, IF(Query1[[#This Row],[Month]]&lt;&gt;H1339,J1339*(1+Dashboard!$E$4)+Dashboard!$E$5,J1339))</f>
        <v>1110221.0976590973</v>
      </c>
      <c r="K1340">
        <f>IF(ROW()&lt;3, 0,IF(Query1[[#This Row],[Month]]&lt;&gt;H1339,IF((J1340-I1340&gt;0),J1340-I1340,0),0))</f>
        <v>0</v>
      </c>
      <c r="L1340" s="2">
        <f t="shared" si="20"/>
        <v>3592.2989655359538</v>
      </c>
      <c r="N1340" s="2">
        <f>IF(ROW()&lt;3, Query1[[#This Row],[Shares]], IF(Query1[[#This Row],[Month]]&lt;&gt;H1339, N1339+Query1[[#This Row],[Fix Top Up]]/Query1[[#This Row],[Adj Close]], N1339))</f>
        <v>3443.7835895075805</v>
      </c>
      <c r="P1340" s="2">
        <f>IF(ROW()&lt;3, Query1[[#This Row],[Shares]], IF(Query1[[#This Row],[Month]]&lt;&gt;H1339, P1339+Query1[[#This Row],[Enhanced top up]]/Query1[[#This Row],[Adj Close]], P1339))</f>
        <v>3441.9086679591742</v>
      </c>
      <c r="Q1340" s="2">
        <f>IFERROR(AVERAGE(
  IF(ROW()&gt;20, INDEX(G:G, ROW()-20), 0) :
  INDEX(G:G, ROW())
),0)</f>
        <v>376.91870698474702</v>
      </c>
    </row>
    <row r="1341" spans="1:17" x14ac:dyDescent="0.4">
      <c r="A1341" s="1">
        <v>45778</v>
      </c>
      <c r="B1341">
        <v>431.1099853515625</v>
      </c>
      <c r="C1341">
        <v>436.989990234375</v>
      </c>
      <c r="D1341">
        <v>424.89999389648438</v>
      </c>
      <c r="E1341">
        <v>425.39999389648438</v>
      </c>
      <c r="F1341">
        <v>58938100</v>
      </c>
      <c r="G1341">
        <v>423.92355346679688</v>
      </c>
      <c r="H1341" s="2">
        <f>MONTH(Query1[[#This Row],[Date]])</f>
        <v>5</v>
      </c>
      <c r="I1341" s="3">
        <f>Query1[[#This Row],[Shares]]*Query1[[#This Row],[Adj Close]]</f>
        <v>1522860.1425850999</v>
      </c>
      <c r="J1341" s="3">
        <f>IF(ROW()&lt;3, Dashboard!$E$7, IF(Query1[[#This Row],[Month]]&lt;&gt;H1340,J1340*(1+Dashboard!$E$4)+Dashboard!$E$5,J1340))</f>
        <v>1123323.3086356882</v>
      </c>
      <c r="K1341">
        <f>IF(ROW()&lt;3, 0,IF(Query1[[#This Row],[Month]]&lt;&gt;H1340,IF((J1341-I1341&gt;0),J1341-I1341,0),0))</f>
        <v>0</v>
      </c>
      <c r="L1341" s="2">
        <f t="shared" si="20"/>
        <v>3592.2989655359538</v>
      </c>
      <c r="N1341" s="2">
        <f>IF(ROW()&lt;3, Query1[[#This Row],[Shares]], IF(Query1[[#This Row],[Month]]&lt;&gt;H1340, N1340+Query1[[#This Row],[Fix Top Up]]/Query1[[#This Row],[Adj Close]], N1340))</f>
        <v>3443.7835895075805</v>
      </c>
      <c r="P1341" s="2">
        <f>IF(ROW()&lt;3, Query1[[#This Row],[Shares]], IF(Query1[[#This Row],[Month]]&lt;&gt;H1340, P1340+Query1[[#This Row],[Enhanced top up]]/Query1[[#This Row],[Adj Close]], P1340))</f>
        <v>3441.9086679591742</v>
      </c>
      <c r="Q1341" s="2">
        <f>IFERROR(AVERAGE(
  IF(ROW()&gt;20, INDEX(G:G, ROW()-20), 0) :
  INDEX(G:G, ROW())
),0)</f>
        <v>378.96918305896577</v>
      </c>
    </row>
    <row r="1342" spans="1:17" x14ac:dyDescent="0.4">
      <c r="A1342" s="1">
        <v>45779</v>
      </c>
      <c r="B1342">
        <v>431.739990234375</v>
      </c>
      <c r="C1342">
        <v>439.44000244140625</v>
      </c>
      <c r="D1342">
        <v>429.989990234375</v>
      </c>
      <c r="E1342">
        <v>435.27999877929688</v>
      </c>
      <c r="F1342">
        <v>30757400</v>
      </c>
      <c r="G1342">
        <v>433.769287109375</v>
      </c>
      <c r="H1342" s="2">
        <f>MONTH(Query1[[#This Row],[Date]])</f>
        <v>5</v>
      </c>
      <c r="I1342" s="3">
        <f>Query1[[#This Row],[Shares]]*Query1[[#This Row],[Adj Close]]</f>
        <v>1558228.961364276</v>
      </c>
      <c r="J1342" s="3">
        <f>IF(ROW()&lt;3, Dashboard!$E$7, IF(Query1[[#This Row],[Month]]&lt;&gt;H1341,J1341*(1+Dashboard!$E$4)+Dashboard!$E$5,J1341))</f>
        <v>1123323.3086356882</v>
      </c>
      <c r="K1342">
        <f>IF(ROW()&lt;3, 0,IF(Query1[[#This Row],[Month]]&lt;&gt;H1341,IF((J1342-I1342&gt;0),J1342-I1342,0),0))</f>
        <v>0</v>
      </c>
      <c r="L1342" s="2">
        <f t="shared" si="20"/>
        <v>3592.2989655359538</v>
      </c>
      <c r="N1342" s="2">
        <f>IF(ROW()&lt;3, Query1[[#This Row],[Shares]], IF(Query1[[#This Row],[Month]]&lt;&gt;H1341, N1341+Query1[[#This Row],[Fix Top Up]]/Query1[[#This Row],[Adj Close]], N1341))</f>
        <v>3443.7835895075805</v>
      </c>
      <c r="P1342" s="2">
        <f>IF(ROW()&lt;3, Query1[[#This Row],[Shares]], IF(Query1[[#This Row],[Month]]&lt;&gt;H1341, P1341+Query1[[#This Row],[Enhanced top up]]/Query1[[#This Row],[Adj Close]], P1341))</f>
        <v>3441.9086679591742</v>
      </c>
      <c r="Q1342" s="2">
        <f>IFERROR(AVERAGE(
  IF(ROW()&gt;20, INDEX(G:G, ROW()-20), 0) :
  INDEX(G:G, ROW())
),0)</f>
        <v>381.49087669735866</v>
      </c>
    </row>
    <row r="1343" spans="1:17" x14ac:dyDescent="0.4">
      <c r="A1343" s="1">
        <v>45782</v>
      </c>
      <c r="B1343">
        <v>432.8699951171875</v>
      </c>
      <c r="C1343">
        <v>439.5</v>
      </c>
      <c r="D1343">
        <v>432.1099853515625</v>
      </c>
      <c r="E1343">
        <v>436.17001342773438</v>
      </c>
      <c r="F1343">
        <v>20136100</v>
      </c>
      <c r="G1343">
        <v>434.65618896484375</v>
      </c>
      <c r="H1343" s="2">
        <f>MONTH(Query1[[#This Row],[Date]])</f>
        <v>5</v>
      </c>
      <c r="I1343" s="3">
        <f>Query1[[#This Row],[Shares]]*Query1[[#This Row],[Adj Close]]</f>
        <v>1561414.9779822084</v>
      </c>
      <c r="J1343" s="3">
        <f>IF(ROW()&lt;3, Dashboard!$E$7, IF(Query1[[#This Row],[Month]]&lt;&gt;H1342,J1342*(1+Dashboard!$E$4)+Dashboard!$E$5,J1342))</f>
        <v>1123323.3086356882</v>
      </c>
      <c r="K1343">
        <f>IF(ROW()&lt;3, 0,IF(Query1[[#This Row],[Month]]&lt;&gt;H1342,IF((J1343-I1343&gt;0),J1343-I1343,0),0))</f>
        <v>0</v>
      </c>
      <c r="L1343" s="2">
        <f t="shared" si="20"/>
        <v>3592.2989655359538</v>
      </c>
      <c r="N1343" s="2">
        <f>IF(ROW()&lt;3, Query1[[#This Row],[Shares]], IF(Query1[[#This Row],[Month]]&lt;&gt;H1342, N1342+Query1[[#This Row],[Fix Top Up]]/Query1[[#This Row],[Adj Close]], N1342))</f>
        <v>3443.7835895075805</v>
      </c>
      <c r="P1343" s="2">
        <f>IF(ROW()&lt;3, Query1[[#This Row],[Shares]], IF(Query1[[#This Row],[Month]]&lt;&gt;H1342, P1342+Query1[[#This Row],[Enhanced top up]]/Query1[[#This Row],[Adj Close]], P1342))</f>
        <v>3441.9086679591742</v>
      </c>
      <c r="Q1343" s="2">
        <f>IFERROR(AVERAGE(
  IF(ROW()&gt;20, INDEX(G:G, ROW()-20), 0) :
  INDEX(G:G, ROW())
),0)</f>
        <v>384.48331269763764</v>
      </c>
    </row>
    <row r="1344" spans="1:17" x14ac:dyDescent="0.4">
      <c r="A1344" s="1">
        <v>45783</v>
      </c>
      <c r="B1344">
        <v>432.20001220703125</v>
      </c>
      <c r="C1344">
        <v>437.73001098632813</v>
      </c>
      <c r="D1344">
        <v>431.17001342773438</v>
      </c>
      <c r="E1344">
        <v>433.30999755859375</v>
      </c>
      <c r="F1344">
        <v>15104200</v>
      </c>
      <c r="G1344">
        <v>431.80612182617188</v>
      </c>
      <c r="H1344" s="2">
        <f>MONTH(Query1[[#This Row],[Date]])</f>
        <v>5</v>
      </c>
      <c r="I1344" s="3">
        <f>Query1[[#This Row],[Shares]]*Query1[[#This Row],[Adj Close]]</f>
        <v>1551176.6847482494</v>
      </c>
      <c r="J1344" s="3">
        <f>IF(ROW()&lt;3, Dashboard!$E$7, IF(Query1[[#This Row],[Month]]&lt;&gt;H1343,J1343*(1+Dashboard!$E$4)+Dashboard!$E$5,J1343))</f>
        <v>1123323.3086356882</v>
      </c>
      <c r="K1344">
        <f>IF(ROW()&lt;3, 0,IF(Query1[[#This Row],[Month]]&lt;&gt;H1343,IF((J1344-I1344&gt;0),J1344-I1344,0),0))</f>
        <v>0</v>
      </c>
      <c r="L1344" s="2">
        <f t="shared" si="20"/>
        <v>3592.2989655359538</v>
      </c>
      <c r="N1344" s="2">
        <f>IF(ROW()&lt;3, Query1[[#This Row],[Shares]], IF(Query1[[#This Row],[Month]]&lt;&gt;H1343, N1343+Query1[[#This Row],[Fix Top Up]]/Query1[[#This Row],[Adj Close]], N1343))</f>
        <v>3443.7835895075805</v>
      </c>
      <c r="P1344" s="2">
        <f>IF(ROW()&lt;3, Query1[[#This Row],[Shares]], IF(Query1[[#This Row],[Month]]&lt;&gt;H1343, P1343+Query1[[#This Row],[Enhanced top up]]/Query1[[#This Row],[Adj Close]], P1343))</f>
        <v>3441.9086679591742</v>
      </c>
      <c r="Q1344" s="2">
        <f>IFERROR(AVERAGE(
  IF(ROW()&gt;20, INDEX(G:G, ROW()-20), 0) :
  INDEX(G:G, ROW())
),0)</f>
        <v>387.96974109468005</v>
      </c>
    </row>
    <row r="1345" spans="1:17" x14ac:dyDescent="0.4">
      <c r="A1345" s="1">
        <v>45784</v>
      </c>
      <c r="B1345">
        <v>433.83999633789063</v>
      </c>
      <c r="C1345">
        <v>438.1199951171875</v>
      </c>
      <c r="D1345">
        <v>431.1099853515625</v>
      </c>
      <c r="E1345">
        <v>433.35000610351563</v>
      </c>
      <c r="F1345">
        <v>23295300</v>
      </c>
      <c r="G1345">
        <v>431.84597778320313</v>
      </c>
      <c r="H1345" s="2">
        <f>MONTH(Query1[[#This Row],[Date]])</f>
        <v>5</v>
      </c>
      <c r="I1345" s="3">
        <f>Query1[[#This Row],[Shares]]*Query1[[#This Row],[Adj Close]]</f>
        <v>1551319.8592614632</v>
      </c>
      <c r="J1345" s="3">
        <f>IF(ROW()&lt;3, Dashboard!$E$7, IF(Query1[[#This Row],[Month]]&lt;&gt;H1344,J1344*(1+Dashboard!$E$4)+Dashboard!$E$5,J1344))</f>
        <v>1123323.3086356882</v>
      </c>
      <c r="K1345">
        <f>IF(ROW()&lt;3, 0,IF(Query1[[#This Row],[Month]]&lt;&gt;H1344,IF((J1345-I1345&gt;0),J1345-I1345,0),0))</f>
        <v>0</v>
      </c>
      <c r="L1345" s="2">
        <f t="shared" si="20"/>
        <v>3592.2989655359538</v>
      </c>
      <c r="N1345" s="2">
        <f>IF(ROW()&lt;3, Query1[[#This Row],[Shares]], IF(Query1[[#This Row],[Month]]&lt;&gt;H1344, N1344+Query1[[#This Row],[Fix Top Up]]/Query1[[#This Row],[Adj Close]], N1344))</f>
        <v>3443.7835895075805</v>
      </c>
      <c r="P1345" s="2">
        <f>IF(ROW()&lt;3, Query1[[#This Row],[Shares]], IF(Query1[[#This Row],[Month]]&lt;&gt;H1344, P1344+Query1[[#This Row],[Enhanced top up]]/Query1[[#This Row],[Adj Close]], P1344))</f>
        <v>3441.9086679591742</v>
      </c>
      <c r="Q1345" s="2">
        <f>IFERROR(AVERAGE(
  IF(ROW()&gt;20, INDEX(G:G, ROW()-20), 0) :
  INDEX(G:G, ROW())
),0)</f>
        <v>391.55202665783111</v>
      </c>
    </row>
    <row r="1346" spans="1:17" x14ac:dyDescent="0.4">
      <c r="A1346" s="1">
        <v>45785</v>
      </c>
      <c r="B1346">
        <v>437.92999267578125</v>
      </c>
      <c r="C1346">
        <v>443.67001342773438</v>
      </c>
      <c r="D1346">
        <v>435.66000366210938</v>
      </c>
      <c r="E1346">
        <v>438.17001342773438</v>
      </c>
      <c r="F1346">
        <v>23491300</v>
      </c>
      <c r="G1346">
        <v>436.64926147460938</v>
      </c>
      <c r="H1346" s="2">
        <f>MONTH(Query1[[#This Row],[Date]])</f>
        <v>5</v>
      </c>
      <c r="I1346" s="3">
        <f>Query1[[#This Row],[Shares]]*Query1[[#This Row],[Adj Close]]</f>
        <v>1568574.6902972774</v>
      </c>
      <c r="J1346" s="3">
        <f>IF(ROW()&lt;3, Dashboard!$E$7, IF(Query1[[#This Row],[Month]]&lt;&gt;H1345,J1345*(1+Dashboard!$E$4)+Dashboard!$E$5,J1345))</f>
        <v>1123323.3086356882</v>
      </c>
      <c r="K1346">
        <f>IF(ROW()&lt;3, 0,IF(Query1[[#This Row],[Month]]&lt;&gt;H1345,IF((J1346-I1346&gt;0),J1346-I1346,0),0))</f>
        <v>0</v>
      </c>
      <c r="L1346" s="2">
        <f t="shared" ref="L1346:L1409" si="21">IF(ROW()&lt;3, J1346/G1346, L1345+K1345/G1345)</f>
        <v>3592.2989655359538</v>
      </c>
      <c r="N1346" s="2">
        <f>IF(ROW()&lt;3, Query1[[#This Row],[Shares]], IF(Query1[[#This Row],[Month]]&lt;&gt;H1345, N1345+Query1[[#This Row],[Fix Top Up]]/Query1[[#This Row],[Adj Close]], N1345))</f>
        <v>3443.7835895075805</v>
      </c>
      <c r="P1346" s="2">
        <f>IF(ROW()&lt;3, Query1[[#This Row],[Shares]], IF(Query1[[#This Row],[Month]]&lt;&gt;H1345, P1345+Query1[[#This Row],[Enhanced top up]]/Query1[[#This Row],[Adj Close]], P1345))</f>
        <v>3441.9086679591742</v>
      </c>
      <c r="Q1346" s="2">
        <f>IFERROR(AVERAGE(
  IF(ROW()&gt;20, INDEX(G:G, ROW()-20), 0) :
  INDEX(G:G, ROW())
),0)</f>
        <v>395.51963733491442</v>
      </c>
    </row>
    <row r="1347" spans="1:17" x14ac:dyDescent="0.4">
      <c r="A1347" s="1">
        <v>45786</v>
      </c>
      <c r="B1347">
        <v>440</v>
      </c>
      <c r="C1347">
        <v>440.739990234375</v>
      </c>
      <c r="D1347">
        <v>435.8800048828125</v>
      </c>
      <c r="E1347">
        <v>438.73001098632813</v>
      </c>
      <c r="F1347">
        <v>15324200</v>
      </c>
      <c r="G1347">
        <v>437.20733642578125</v>
      </c>
      <c r="H1347" s="2">
        <f>MONTH(Query1[[#This Row],[Date]])</f>
        <v>5</v>
      </c>
      <c r="I1347" s="3">
        <f>Query1[[#This Row],[Shares]]*Query1[[#This Row],[Adj Close]]</f>
        <v>1570579.4623670636</v>
      </c>
      <c r="J1347" s="3">
        <f>IF(ROW()&lt;3, Dashboard!$E$7, IF(Query1[[#This Row],[Month]]&lt;&gt;H1346,J1346*(1+Dashboard!$E$4)+Dashboard!$E$5,J1346))</f>
        <v>1123323.3086356882</v>
      </c>
      <c r="K1347">
        <f>IF(ROW()&lt;3, 0,IF(Query1[[#This Row],[Month]]&lt;&gt;H1346,IF((J1347-I1347&gt;0),J1347-I1347,0),0))</f>
        <v>0</v>
      </c>
      <c r="L1347" s="2">
        <f t="shared" si="21"/>
        <v>3592.2989655359538</v>
      </c>
      <c r="N1347" s="2">
        <f>IF(ROW()&lt;3, Query1[[#This Row],[Shares]], IF(Query1[[#This Row],[Month]]&lt;&gt;H1346, N1346+Query1[[#This Row],[Fix Top Up]]/Query1[[#This Row],[Adj Close]], N1346))</f>
        <v>3443.7835895075805</v>
      </c>
      <c r="P1347" s="2">
        <f>IF(ROW()&lt;3, Query1[[#This Row],[Shares]], IF(Query1[[#This Row],[Month]]&lt;&gt;H1346, P1346+Query1[[#This Row],[Enhanced top up]]/Query1[[#This Row],[Adj Close]], P1346))</f>
        <v>3441.9086679591742</v>
      </c>
      <c r="Q1347" s="2">
        <f>IFERROR(AVERAGE(
  IF(ROW()&gt;20, INDEX(G:G, ROW()-20), 0) :
  INDEX(G:G, ROW())
),0)</f>
        <v>397.80881027948288</v>
      </c>
    </row>
    <row r="1348" spans="1:17" x14ac:dyDescent="0.4">
      <c r="A1348" s="1">
        <v>45789</v>
      </c>
      <c r="B1348">
        <v>445.94000244140625</v>
      </c>
      <c r="C1348">
        <v>449.3699951171875</v>
      </c>
      <c r="D1348">
        <v>439.77999877929688</v>
      </c>
      <c r="E1348">
        <v>449.260009765625</v>
      </c>
      <c r="F1348">
        <v>22821900</v>
      </c>
      <c r="G1348">
        <v>447.70074462890625</v>
      </c>
      <c r="H1348" s="2">
        <f>MONTH(Query1[[#This Row],[Date]])</f>
        <v>5</v>
      </c>
      <c r="I1348" s="3">
        <f>Query1[[#This Row],[Shares]]*Query1[[#This Row],[Adj Close]]</f>
        <v>1608274.9218000961</v>
      </c>
      <c r="J1348" s="3">
        <f>IF(ROW()&lt;3, Dashboard!$E$7, IF(Query1[[#This Row],[Month]]&lt;&gt;H1347,J1347*(1+Dashboard!$E$4)+Dashboard!$E$5,J1347))</f>
        <v>1123323.3086356882</v>
      </c>
      <c r="K1348">
        <f>IF(ROW()&lt;3, 0,IF(Query1[[#This Row],[Month]]&lt;&gt;H1347,IF((J1348-I1348&gt;0),J1348-I1348,0),0))</f>
        <v>0</v>
      </c>
      <c r="L1348" s="2">
        <f t="shared" si="21"/>
        <v>3592.2989655359538</v>
      </c>
      <c r="N1348" s="2">
        <f>IF(ROW()&lt;3, Query1[[#This Row],[Shares]], IF(Query1[[#This Row],[Month]]&lt;&gt;H1347, N1347+Query1[[#This Row],[Fix Top Up]]/Query1[[#This Row],[Adj Close]], N1347))</f>
        <v>3443.7835895075805</v>
      </c>
      <c r="P1348" s="2">
        <f>IF(ROW()&lt;3, Query1[[#This Row],[Shares]], IF(Query1[[#This Row],[Month]]&lt;&gt;H1347, P1347+Query1[[#This Row],[Enhanced top up]]/Query1[[#This Row],[Adj Close]], P1347))</f>
        <v>3441.9086679591742</v>
      </c>
      <c r="Q1348" s="2">
        <f>IFERROR(AVERAGE(
  IF(ROW()&gt;20, INDEX(G:G, ROW()-20), 0) :
  INDEX(G:G, ROW())
),0)</f>
        <v>401.03139532180057</v>
      </c>
    </row>
    <row r="1349" spans="1:17" x14ac:dyDescent="0.4">
      <c r="A1349" s="1">
        <v>45790</v>
      </c>
      <c r="B1349">
        <v>447.77999877929688</v>
      </c>
      <c r="C1349">
        <v>450.67001342773438</v>
      </c>
      <c r="D1349">
        <v>445.3599853515625</v>
      </c>
      <c r="E1349">
        <v>449.1400146484375</v>
      </c>
      <c r="F1349">
        <v>23618800</v>
      </c>
      <c r="G1349">
        <v>447.58120727539063</v>
      </c>
      <c r="H1349" s="2">
        <f>MONTH(Query1[[#This Row],[Date]])</f>
        <v>5</v>
      </c>
      <c r="I1349" s="3">
        <f>Query1[[#This Row],[Shares]]*Query1[[#This Row],[Adj Close]]</f>
        <v>1607845.507888719</v>
      </c>
      <c r="J1349" s="3">
        <f>IF(ROW()&lt;3, Dashboard!$E$7, IF(Query1[[#This Row],[Month]]&lt;&gt;H1348,J1348*(1+Dashboard!$E$4)+Dashboard!$E$5,J1348))</f>
        <v>1123323.3086356882</v>
      </c>
      <c r="K1349">
        <f>IF(ROW()&lt;3, 0,IF(Query1[[#This Row],[Month]]&lt;&gt;H1348,IF((J1349-I1349&gt;0),J1349-I1349,0),0))</f>
        <v>0</v>
      </c>
      <c r="L1349" s="2">
        <f t="shared" si="21"/>
        <v>3592.2989655359538</v>
      </c>
      <c r="N1349" s="2">
        <f>IF(ROW()&lt;3, Query1[[#This Row],[Shares]], IF(Query1[[#This Row],[Month]]&lt;&gt;H1348, N1348+Query1[[#This Row],[Fix Top Up]]/Query1[[#This Row],[Adj Close]], N1348))</f>
        <v>3443.7835895075805</v>
      </c>
      <c r="P1349" s="2">
        <f>IF(ROW()&lt;3, Query1[[#This Row],[Shares]], IF(Query1[[#This Row],[Month]]&lt;&gt;H1348, P1348+Query1[[#This Row],[Enhanced top up]]/Query1[[#This Row],[Adj Close]], P1348))</f>
        <v>3441.9086679591742</v>
      </c>
      <c r="Q1349" s="2">
        <f>IFERROR(AVERAGE(
  IF(ROW()&gt;20, INDEX(G:G, ROW()-20), 0) :
  INDEX(G:G, ROW())
),0)</f>
        <v>403.91136532738096</v>
      </c>
    </row>
    <row r="1350" spans="1:17" x14ac:dyDescent="0.4">
      <c r="A1350" s="1">
        <v>45791</v>
      </c>
      <c r="B1350">
        <v>448.1400146484375</v>
      </c>
      <c r="C1350">
        <v>453.89999389648438</v>
      </c>
      <c r="D1350">
        <v>448.1400146484375</v>
      </c>
      <c r="E1350">
        <v>452.94000244140625</v>
      </c>
      <c r="F1350">
        <v>19902800</v>
      </c>
      <c r="G1350">
        <v>451.36798095703125</v>
      </c>
      <c r="H1350" s="2">
        <f>MONTH(Query1[[#This Row],[Date]])</f>
        <v>5</v>
      </c>
      <c r="I1350" s="3">
        <f>Query1[[#This Row],[Shares]]*Query1[[#This Row],[Adj Close]]</f>
        <v>1621448.7310679955</v>
      </c>
      <c r="J1350" s="3">
        <f>IF(ROW()&lt;3, Dashboard!$E$7, IF(Query1[[#This Row],[Month]]&lt;&gt;H1349,J1349*(1+Dashboard!$E$4)+Dashboard!$E$5,J1349))</f>
        <v>1123323.3086356882</v>
      </c>
      <c r="K1350">
        <f>IF(ROW()&lt;3, 0,IF(Query1[[#This Row],[Month]]&lt;&gt;H1349,IF((J1350-I1350&gt;0),J1350-I1350,0),0))</f>
        <v>0</v>
      </c>
      <c r="L1350" s="2">
        <f t="shared" si="21"/>
        <v>3592.2989655359538</v>
      </c>
      <c r="N1350" s="2">
        <f>IF(ROW()&lt;3, Query1[[#This Row],[Shares]], IF(Query1[[#This Row],[Month]]&lt;&gt;H1349, N1349+Query1[[#This Row],[Fix Top Up]]/Query1[[#This Row],[Adj Close]], N1349))</f>
        <v>3443.7835895075805</v>
      </c>
      <c r="P1350" s="2">
        <f>IF(ROW()&lt;3, Query1[[#This Row],[Shares]], IF(Query1[[#This Row],[Month]]&lt;&gt;H1349, P1349+Query1[[#This Row],[Enhanced top up]]/Query1[[#This Row],[Adj Close]], P1349))</f>
        <v>3441.9086679591742</v>
      </c>
      <c r="Q1350" s="2">
        <f>IFERROR(AVERAGE(
  IF(ROW()&gt;20, INDEX(G:G, ROW()-20), 0) :
  INDEX(G:G, ROW())
),0)</f>
        <v>407.00203014555433</v>
      </c>
    </row>
    <row r="1351" spans="1:17" x14ac:dyDescent="0.4">
      <c r="A1351" s="1">
        <v>45792</v>
      </c>
      <c r="B1351">
        <v>450.76998901367188</v>
      </c>
      <c r="C1351">
        <v>456.19000244140625</v>
      </c>
      <c r="D1351">
        <v>450.42999267578125</v>
      </c>
      <c r="E1351">
        <v>453.1300048828125</v>
      </c>
      <c r="F1351">
        <v>21992300</v>
      </c>
      <c r="G1351">
        <v>452.38632202148438</v>
      </c>
      <c r="H1351" s="2">
        <f>MONTH(Query1[[#This Row],[Date]])</f>
        <v>5</v>
      </c>
      <c r="I1351" s="3">
        <f>Query1[[#This Row],[Shares]]*Query1[[#This Row],[Adj Close]]</f>
        <v>1625106.9166203933</v>
      </c>
      <c r="J1351" s="3">
        <f>IF(ROW()&lt;3, Dashboard!$E$7, IF(Query1[[#This Row],[Month]]&lt;&gt;H1350,J1350*(1+Dashboard!$E$4)+Dashboard!$E$5,J1350))</f>
        <v>1123323.3086356882</v>
      </c>
      <c r="K1351">
        <f>IF(ROW()&lt;3, 0,IF(Query1[[#This Row],[Month]]&lt;&gt;H1350,IF((J1351-I1351&gt;0),J1351-I1351,0),0))</f>
        <v>0</v>
      </c>
      <c r="L1351" s="2">
        <f t="shared" si="21"/>
        <v>3592.2989655359538</v>
      </c>
      <c r="N1351" s="2">
        <f>IF(ROW()&lt;3, Query1[[#This Row],[Shares]], IF(Query1[[#This Row],[Month]]&lt;&gt;H1350, N1350+Query1[[#This Row],[Fix Top Up]]/Query1[[#This Row],[Adj Close]], N1350))</f>
        <v>3443.7835895075805</v>
      </c>
      <c r="P1351" s="2">
        <f>IF(ROW()&lt;3, Query1[[#This Row],[Shares]], IF(Query1[[#This Row],[Month]]&lt;&gt;H1350, P1350+Query1[[#This Row],[Enhanced top up]]/Query1[[#This Row],[Adj Close]], P1350))</f>
        <v>3441.9086679591742</v>
      </c>
      <c r="Q1351" s="2">
        <f>IFERROR(AVERAGE(
  IF(ROW()&gt;20, INDEX(G:G, ROW()-20), 0) :
  INDEX(G:G, ROW())
),0)</f>
        <v>410.2398899623326</v>
      </c>
    </row>
    <row r="1352" spans="1:17" x14ac:dyDescent="0.4">
      <c r="A1352" s="1">
        <v>45793</v>
      </c>
      <c r="B1352">
        <v>452.04998779296875</v>
      </c>
      <c r="C1352">
        <v>454.3599853515625</v>
      </c>
      <c r="D1352">
        <v>448.73001098632813</v>
      </c>
      <c r="E1352">
        <v>454.26998901367188</v>
      </c>
      <c r="F1352">
        <v>23849800</v>
      </c>
      <c r="G1352">
        <v>453.52444458007813</v>
      </c>
      <c r="H1352" s="2">
        <f>MONTH(Query1[[#This Row],[Date]])</f>
        <v>5</v>
      </c>
      <c r="I1352" s="3">
        <f>Query1[[#This Row],[Shares]]*Query1[[#This Row],[Adj Close]]</f>
        <v>1629195.3931102827</v>
      </c>
      <c r="J1352" s="3">
        <f>IF(ROW()&lt;3, Dashboard!$E$7, IF(Query1[[#This Row],[Month]]&lt;&gt;H1351,J1351*(1+Dashboard!$E$4)+Dashboard!$E$5,J1351))</f>
        <v>1123323.3086356882</v>
      </c>
      <c r="K1352">
        <f>IF(ROW()&lt;3, 0,IF(Query1[[#This Row],[Month]]&lt;&gt;H1351,IF((J1352-I1352&gt;0),J1352-I1352,0),0))</f>
        <v>0</v>
      </c>
      <c r="L1352" s="2">
        <f t="shared" si="21"/>
        <v>3592.2989655359538</v>
      </c>
      <c r="N1352" s="2">
        <f>IF(ROW()&lt;3, Query1[[#This Row],[Shares]], IF(Query1[[#This Row],[Month]]&lt;&gt;H1351, N1351+Query1[[#This Row],[Fix Top Up]]/Query1[[#This Row],[Adj Close]], N1351))</f>
        <v>3443.7835895075805</v>
      </c>
      <c r="P1352" s="2">
        <f>IF(ROW()&lt;3, Query1[[#This Row],[Shares]], IF(Query1[[#This Row],[Month]]&lt;&gt;H1351, P1351+Query1[[#This Row],[Enhanced top up]]/Query1[[#This Row],[Adj Close]], P1351))</f>
        <v>3441.9086679591742</v>
      </c>
      <c r="Q1352" s="2">
        <f>IFERROR(AVERAGE(
  IF(ROW()&gt;20, INDEX(G:G, ROW()-20), 0) :
  INDEX(G:G, ROW())
),0)</f>
        <v>414.20199439639134</v>
      </c>
    </row>
    <row r="1353" spans="1:17" x14ac:dyDescent="0.4">
      <c r="A1353" s="1">
        <v>45796</v>
      </c>
      <c r="B1353">
        <v>450.8800048828125</v>
      </c>
      <c r="C1353">
        <v>459.58999633789063</v>
      </c>
      <c r="D1353">
        <v>450.79998779296875</v>
      </c>
      <c r="E1353">
        <v>458.8699951171875</v>
      </c>
      <c r="F1353">
        <v>21336500</v>
      </c>
      <c r="G1353">
        <v>458.11688232421875</v>
      </c>
      <c r="H1353" s="2">
        <f>MONTH(Query1[[#This Row],[Date]])</f>
        <v>5</v>
      </c>
      <c r="I1353" s="3">
        <f>Query1[[#This Row],[Shares]]*Query1[[#This Row],[Adj Close]]</f>
        <v>1645692.8024678472</v>
      </c>
      <c r="J1353" s="3">
        <f>IF(ROW()&lt;3, Dashboard!$E$7, IF(Query1[[#This Row],[Month]]&lt;&gt;H1352,J1352*(1+Dashboard!$E$4)+Dashboard!$E$5,J1352))</f>
        <v>1123323.3086356882</v>
      </c>
      <c r="K1353">
        <f>IF(ROW()&lt;3, 0,IF(Query1[[#This Row],[Month]]&lt;&gt;H1352,IF((J1353-I1353&gt;0),J1353-I1353,0),0))</f>
        <v>0</v>
      </c>
      <c r="L1353" s="2">
        <f t="shared" si="21"/>
        <v>3592.2989655359538</v>
      </c>
      <c r="N1353" s="2">
        <f>IF(ROW()&lt;3, Query1[[#This Row],[Shares]], IF(Query1[[#This Row],[Month]]&lt;&gt;H1352, N1352+Query1[[#This Row],[Fix Top Up]]/Query1[[#This Row],[Adj Close]], N1352))</f>
        <v>3443.7835895075805</v>
      </c>
      <c r="P1353" s="2">
        <f>IF(ROW()&lt;3, Query1[[#This Row],[Shares]], IF(Query1[[#This Row],[Month]]&lt;&gt;H1352, P1352+Query1[[#This Row],[Enhanced top up]]/Query1[[#This Row],[Adj Close]], P1352))</f>
        <v>3441.9086679591742</v>
      </c>
      <c r="Q1353" s="2">
        <f>IFERROR(AVERAGE(
  IF(ROW()&gt;20, INDEX(G:G, ROW()-20), 0) :
  INDEX(G:G, ROW())
),0)</f>
        <v>418.56453450520831</v>
      </c>
    </row>
    <row r="1354" spans="1:17" x14ac:dyDescent="0.4">
      <c r="A1354" s="1">
        <v>45797</v>
      </c>
      <c r="B1354">
        <v>455.58999633789063</v>
      </c>
      <c r="C1354">
        <v>458.33999633789063</v>
      </c>
      <c r="D1354">
        <v>454.32000732421875</v>
      </c>
      <c r="E1354">
        <v>458.17001342773438</v>
      </c>
      <c r="F1354">
        <v>15441800</v>
      </c>
      <c r="G1354">
        <v>457.41806030273438</v>
      </c>
      <c r="H1354" s="2">
        <f>MONTH(Query1[[#This Row],[Date]])</f>
        <v>5</v>
      </c>
      <c r="I1354" s="3">
        <f>Query1[[#This Row],[Shares]]*Query1[[#This Row],[Adj Close]]</f>
        <v>1643182.4248429753</v>
      </c>
      <c r="J1354" s="3">
        <f>IF(ROW()&lt;3, Dashboard!$E$7, IF(Query1[[#This Row],[Month]]&lt;&gt;H1353,J1353*(1+Dashboard!$E$4)+Dashboard!$E$5,J1353))</f>
        <v>1123323.3086356882</v>
      </c>
      <c r="K1354">
        <f>IF(ROW()&lt;3, 0,IF(Query1[[#This Row],[Month]]&lt;&gt;H1353,IF((J1354-I1354&gt;0),J1354-I1354,0),0))</f>
        <v>0</v>
      </c>
      <c r="L1354" s="2">
        <f t="shared" si="21"/>
        <v>3592.2989655359538</v>
      </c>
      <c r="N1354" s="2">
        <f>IF(ROW()&lt;3, Query1[[#This Row],[Shares]], IF(Query1[[#This Row],[Month]]&lt;&gt;H1353, N1353+Query1[[#This Row],[Fix Top Up]]/Query1[[#This Row],[Adj Close]], N1353))</f>
        <v>3443.7835895075805</v>
      </c>
      <c r="P1354" s="2">
        <f>IF(ROW()&lt;3, Query1[[#This Row],[Shares]], IF(Query1[[#This Row],[Month]]&lt;&gt;H1353, P1353+Query1[[#This Row],[Enhanced top up]]/Query1[[#This Row],[Adj Close]], P1353))</f>
        <v>3441.9086679591742</v>
      </c>
      <c r="Q1354" s="2">
        <f>IFERROR(AVERAGE(
  IF(ROW()&gt;20, INDEX(G:G, ROW()-20), 0) :
  INDEX(G:G, ROW())
),0)</f>
        <v>423.30474708193822</v>
      </c>
    </row>
    <row r="1355" spans="1:17" x14ac:dyDescent="0.4">
      <c r="A1355" s="1">
        <v>45798</v>
      </c>
      <c r="B1355">
        <v>454.57000732421875</v>
      </c>
      <c r="C1355">
        <v>457.77999877929688</v>
      </c>
      <c r="D1355">
        <v>451.80999755859375</v>
      </c>
      <c r="E1355">
        <v>452.57000732421875</v>
      </c>
      <c r="F1355">
        <v>19216900</v>
      </c>
      <c r="G1355">
        <v>451.82723999023438</v>
      </c>
      <c r="H1355" s="2">
        <f>MONTH(Query1[[#This Row],[Date]])</f>
        <v>5</v>
      </c>
      <c r="I1355" s="3">
        <f>Query1[[#This Row],[Shares]]*Query1[[#This Row],[Adj Close]]</f>
        <v>1623098.5268178841</v>
      </c>
      <c r="J1355" s="3">
        <f>IF(ROW()&lt;3, Dashboard!$E$7, IF(Query1[[#This Row],[Month]]&lt;&gt;H1354,J1354*(1+Dashboard!$E$4)+Dashboard!$E$5,J1354))</f>
        <v>1123323.3086356882</v>
      </c>
      <c r="K1355">
        <f>IF(ROW()&lt;3, 0,IF(Query1[[#This Row],[Month]]&lt;&gt;H1354,IF((J1355-I1355&gt;0),J1355-I1355,0),0))</f>
        <v>0</v>
      </c>
      <c r="L1355" s="2">
        <f t="shared" si="21"/>
        <v>3592.2989655359538</v>
      </c>
      <c r="N1355" s="2">
        <f>IF(ROW()&lt;3, Query1[[#This Row],[Shares]], IF(Query1[[#This Row],[Month]]&lt;&gt;H1354, N1354+Query1[[#This Row],[Fix Top Up]]/Query1[[#This Row],[Adj Close]], N1354))</f>
        <v>3443.7835895075805</v>
      </c>
      <c r="P1355" s="2">
        <f>IF(ROW()&lt;3, Query1[[#This Row],[Shares]], IF(Query1[[#This Row],[Month]]&lt;&gt;H1354, P1354+Query1[[#This Row],[Enhanced top up]]/Query1[[#This Row],[Adj Close]], P1354))</f>
        <v>3441.9086679591742</v>
      </c>
      <c r="Q1355" s="2">
        <f>IFERROR(AVERAGE(
  IF(ROW()&gt;20, INDEX(G:G, ROW()-20), 0) :
  INDEX(G:G, ROW())
),0)</f>
        <v>427.41333443777904</v>
      </c>
    </row>
    <row r="1356" spans="1:17" x14ac:dyDescent="0.4">
      <c r="A1356" s="1">
        <v>45799</v>
      </c>
      <c r="B1356">
        <v>454.95001220703125</v>
      </c>
      <c r="C1356">
        <v>460.25</v>
      </c>
      <c r="D1356">
        <v>453.89999389648438</v>
      </c>
      <c r="E1356">
        <v>454.8599853515625</v>
      </c>
      <c r="F1356">
        <v>18025600</v>
      </c>
      <c r="G1356">
        <v>454.11346435546875</v>
      </c>
      <c r="H1356" s="2">
        <f>MONTH(Query1[[#This Row],[Date]])</f>
        <v>5</v>
      </c>
      <c r="I1356" s="3">
        <f>Query1[[#This Row],[Shares]]*Query1[[#This Row],[Adj Close]]</f>
        <v>1631311.3282400987</v>
      </c>
      <c r="J1356" s="3">
        <f>IF(ROW()&lt;3, Dashboard!$E$7, IF(Query1[[#This Row],[Month]]&lt;&gt;H1355,J1355*(1+Dashboard!$E$4)+Dashboard!$E$5,J1355))</f>
        <v>1123323.3086356882</v>
      </c>
      <c r="K1356">
        <f>IF(ROW()&lt;3, 0,IF(Query1[[#This Row],[Month]]&lt;&gt;H1355,IF((J1356-I1356&gt;0),J1356-I1356,0),0))</f>
        <v>0</v>
      </c>
      <c r="L1356" s="2">
        <f t="shared" si="21"/>
        <v>3592.2989655359538</v>
      </c>
      <c r="N1356" s="2">
        <f>IF(ROW()&lt;3, Query1[[#This Row],[Shares]], IF(Query1[[#This Row],[Month]]&lt;&gt;H1355, N1355+Query1[[#This Row],[Fix Top Up]]/Query1[[#This Row],[Adj Close]], N1355))</f>
        <v>3443.7835895075805</v>
      </c>
      <c r="P1356" s="2">
        <f>IF(ROW()&lt;3, Query1[[#This Row],[Shares]], IF(Query1[[#This Row],[Month]]&lt;&gt;H1355, P1355+Query1[[#This Row],[Enhanced top up]]/Query1[[#This Row],[Adj Close]], P1355))</f>
        <v>3441.9086679591742</v>
      </c>
      <c r="Q1356" s="2">
        <f>IFERROR(AVERAGE(
  IF(ROW()&gt;20, INDEX(G:G, ROW()-20), 0) :
  INDEX(G:G, ROW())
),0)</f>
        <v>431.27156575520831</v>
      </c>
    </row>
    <row r="1357" spans="1:17" x14ac:dyDescent="0.4">
      <c r="A1357" s="1">
        <v>45800</v>
      </c>
      <c r="B1357">
        <v>449.98001098632813</v>
      </c>
      <c r="C1357">
        <v>453.69000244140625</v>
      </c>
      <c r="D1357">
        <v>448.91000366210938</v>
      </c>
      <c r="E1357">
        <v>450.17999267578125</v>
      </c>
      <c r="F1357">
        <v>16883500</v>
      </c>
      <c r="G1357">
        <v>449.441162109375</v>
      </c>
      <c r="H1357" s="2">
        <f>MONTH(Query1[[#This Row],[Date]])</f>
        <v>5</v>
      </c>
      <c r="I1357" s="3">
        <f>Query1[[#This Row],[Shares]]*Query1[[#This Row],[Adj Close]]</f>
        <v>1614527.0217147847</v>
      </c>
      <c r="J1357" s="3">
        <f>IF(ROW()&lt;3, Dashboard!$E$7, IF(Query1[[#This Row],[Month]]&lt;&gt;H1356,J1356*(1+Dashboard!$E$4)+Dashboard!$E$5,J1356))</f>
        <v>1123323.3086356882</v>
      </c>
      <c r="K1357">
        <f>IF(ROW()&lt;3, 0,IF(Query1[[#This Row],[Month]]&lt;&gt;H1356,IF((J1357-I1357&gt;0),J1357-I1357,0),0))</f>
        <v>0</v>
      </c>
      <c r="L1357" s="2">
        <f t="shared" si="21"/>
        <v>3592.2989655359538</v>
      </c>
      <c r="N1357" s="2">
        <f>IF(ROW()&lt;3, Query1[[#This Row],[Shares]], IF(Query1[[#This Row],[Month]]&lt;&gt;H1356, N1356+Query1[[#This Row],[Fix Top Up]]/Query1[[#This Row],[Adj Close]], N1356))</f>
        <v>3443.7835895075805</v>
      </c>
      <c r="P1357" s="2">
        <f>IF(ROW()&lt;3, Query1[[#This Row],[Shares]], IF(Query1[[#This Row],[Month]]&lt;&gt;H1356, P1356+Query1[[#This Row],[Enhanced top up]]/Query1[[#This Row],[Adj Close]], P1356))</f>
        <v>3441.9086679591742</v>
      </c>
      <c r="Q1357" s="2">
        <f>IFERROR(AVERAGE(
  IF(ROW()&gt;20, INDEX(G:G, ROW()-20), 0) :
  INDEX(G:G, ROW())
),0)</f>
        <v>434.29467918759303</v>
      </c>
    </row>
    <row r="1358" spans="1:17" x14ac:dyDescent="0.4">
      <c r="A1358" s="1">
        <v>45804</v>
      </c>
      <c r="B1358">
        <v>456.48001098632813</v>
      </c>
      <c r="C1358">
        <v>460.95001220703125</v>
      </c>
      <c r="D1358">
        <v>456.1199951171875</v>
      </c>
      <c r="E1358">
        <v>460.69000244140625</v>
      </c>
      <c r="F1358">
        <v>20974300</v>
      </c>
      <c r="G1358">
        <v>459.93389892578125</v>
      </c>
      <c r="H1358" s="2">
        <f>MONTH(Query1[[#This Row],[Date]])</f>
        <v>5</v>
      </c>
      <c r="I1358" s="3">
        <f>Query1[[#This Row],[Shares]]*Query1[[#This Row],[Adj Close]]</f>
        <v>1652220.0693260019</v>
      </c>
      <c r="J1358" s="3">
        <f>IF(ROW()&lt;3, Dashboard!$E$7, IF(Query1[[#This Row],[Month]]&lt;&gt;H1357,J1357*(1+Dashboard!$E$4)+Dashboard!$E$5,J1357))</f>
        <v>1123323.3086356882</v>
      </c>
      <c r="K1358">
        <f>IF(ROW()&lt;3, 0,IF(Query1[[#This Row],[Month]]&lt;&gt;H1357,IF((J1358-I1358&gt;0),J1358-I1358,0),0))</f>
        <v>0</v>
      </c>
      <c r="L1358" s="2">
        <f t="shared" si="21"/>
        <v>3592.2989655359538</v>
      </c>
      <c r="N1358" s="2">
        <f>IF(ROW()&lt;3, Query1[[#This Row],[Shares]], IF(Query1[[#This Row],[Month]]&lt;&gt;H1357, N1357+Query1[[#This Row],[Fix Top Up]]/Query1[[#This Row],[Adj Close]], N1357))</f>
        <v>3443.7835895075805</v>
      </c>
      <c r="P1358" s="2">
        <f>IF(ROW()&lt;3, Query1[[#This Row],[Shares]], IF(Query1[[#This Row],[Month]]&lt;&gt;H1357, P1357+Query1[[#This Row],[Enhanced top up]]/Query1[[#This Row],[Adj Close]], P1357))</f>
        <v>3441.9086679591742</v>
      </c>
      <c r="Q1358" s="2">
        <f>IFERROR(AVERAGE(
  IF(ROW()&gt;20, INDEX(G:G, ROW()-20), 0) :
  INDEX(G:G, ROW())
),0)</f>
        <v>437.60153052920384</v>
      </c>
    </row>
    <row r="1359" spans="1:17" x14ac:dyDescent="0.4">
      <c r="A1359" s="1">
        <v>45805</v>
      </c>
      <c r="B1359">
        <v>461.22000122070313</v>
      </c>
      <c r="C1359">
        <v>462.51998901367188</v>
      </c>
      <c r="D1359">
        <v>456.92999267578125</v>
      </c>
      <c r="E1359">
        <v>457.3599853515625</v>
      </c>
      <c r="F1359">
        <v>17086300</v>
      </c>
      <c r="G1359">
        <v>456.609375</v>
      </c>
      <c r="H1359" s="2">
        <f>MONTH(Query1[[#This Row],[Date]])</f>
        <v>5</v>
      </c>
      <c r="I1359" s="3">
        <f>Query1[[#This Row],[Shares]]*Query1[[#This Row],[Adj Close]]</f>
        <v>1640277.3854665183</v>
      </c>
      <c r="J1359" s="3">
        <f>IF(ROW()&lt;3, Dashboard!$E$7, IF(Query1[[#This Row],[Month]]&lt;&gt;H1358,J1358*(1+Dashboard!$E$4)+Dashboard!$E$5,J1358))</f>
        <v>1123323.3086356882</v>
      </c>
      <c r="K1359">
        <f>IF(ROW()&lt;3, 0,IF(Query1[[#This Row],[Month]]&lt;&gt;H1358,IF((J1359-I1359&gt;0),J1359-I1359,0),0))</f>
        <v>0</v>
      </c>
      <c r="L1359" s="2">
        <f t="shared" si="21"/>
        <v>3592.2989655359538</v>
      </c>
      <c r="N1359" s="2">
        <f>IF(ROW()&lt;3, Query1[[#This Row],[Shares]], IF(Query1[[#This Row],[Month]]&lt;&gt;H1358, N1358+Query1[[#This Row],[Fix Top Up]]/Query1[[#This Row],[Adj Close]], N1358))</f>
        <v>3443.7835895075805</v>
      </c>
      <c r="P1359" s="2">
        <f>IF(ROW()&lt;3, Query1[[#This Row],[Shares]], IF(Query1[[#This Row],[Month]]&lt;&gt;H1358, P1358+Query1[[#This Row],[Enhanced top up]]/Query1[[#This Row],[Adj Close]], P1358))</f>
        <v>3441.9086679591742</v>
      </c>
      <c r="Q1359" s="2">
        <f>IFERROR(AVERAGE(
  IF(ROW()&gt;20, INDEX(G:G, ROW()-20), 0) :
  INDEX(G:G, ROW())
),0)</f>
        <v>440.7828151157924</v>
      </c>
    </row>
    <row r="1360" spans="1:17" x14ac:dyDescent="0.4">
      <c r="A1360" s="1">
        <v>45806</v>
      </c>
      <c r="B1360">
        <v>461.54998779296875</v>
      </c>
      <c r="C1360">
        <v>461.72000122070313</v>
      </c>
      <c r="D1360">
        <v>455.30999755859375</v>
      </c>
      <c r="E1360">
        <v>458.67999267578125</v>
      </c>
      <c r="F1360">
        <v>13974800</v>
      </c>
      <c r="G1360">
        <v>457.92721557617188</v>
      </c>
      <c r="H1360" s="2">
        <f>MONTH(Query1[[#This Row],[Date]])</f>
        <v>5</v>
      </c>
      <c r="I1360" s="3">
        <f>Query1[[#This Row],[Shares]]*Query1[[#This Row],[Adj Close]]</f>
        <v>1645011.462805042</v>
      </c>
      <c r="J1360" s="3">
        <f>IF(ROW()&lt;3, Dashboard!$E$7, IF(Query1[[#This Row],[Month]]&lt;&gt;H1359,J1359*(1+Dashboard!$E$4)+Dashboard!$E$5,J1359))</f>
        <v>1123323.3086356882</v>
      </c>
      <c r="K1360">
        <f>IF(ROW()&lt;3, 0,IF(Query1[[#This Row],[Month]]&lt;&gt;H1359,IF((J1360-I1360&gt;0),J1360-I1360,0),0))</f>
        <v>0</v>
      </c>
      <c r="L1360" s="2">
        <f t="shared" si="21"/>
        <v>3592.2989655359538</v>
      </c>
      <c r="N1360" s="2">
        <f>IF(ROW()&lt;3, Query1[[#This Row],[Shares]], IF(Query1[[#This Row],[Month]]&lt;&gt;H1359, N1359+Query1[[#This Row],[Fix Top Up]]/Query1[[#This Row],[Adj Close]], N1359))</f>
        <v>3443.7835895075805</v>
      </c>
      <c r="P1360" s="2">
        <f>IF(ROW()&lt;3, Query1[[#This Row],[Shares]], IF(Query1[[#This Row],[Month]]&lt;&gt;H1359, P1359+Query1[[#This Row],[Enhanced top up]]/Query1[[#This Row],[Adj Close]], P1359))</f>
        <v>3441.9086679591742</v>
      </c>
      <c r="Q1360" s="2">
        <f>IFERROR(AVERAGE(
  IF(ROW()&gt;20, INDEX(G:G, ROW()-20), 0) :
  INDEX(G:G, ROW())
),0)</f>
        <v>443.89018612816221</v>
      </c>
    </row>
    <row r="1361" spans="1:17" x14ac:dyDescent="0.4">
      <c r="A1361" s="1">
        <v>45807</v>
      </c>
      <c r="B1361">
        <v>459.72000122070313</v>
      </c>
      <c r="C1361">
        <v>461.67999267578125</v>
      </c>
      <c r="D1361">
        <v>455.54000854492188</v>
      </c>
      <c r="E1361">
        <v>460.3599853515625</v>
      </c>
      <c r="F1361">
        <v>34770500</v>
      </c>
      <c r="G1361">
        <v>459.60443115234375</v>
      </c>
      <c r="H1361" s="2">
        <f>MONTH(Query1[[#This Row],[Date]])</f>
        <v>5</v>
      </c>
      <c r="I1361" s="3">
        <f>Query1[[#This Row],[Shares]]*Query1[[#This Row],[Adj Close]]</f>
        <v>1651036.5225843049</v>
      </c>
      <c r="J1361" s="3">
        <f>IF(ROW()&lt;3, Dashboard!$E$7, IF(Query1[[#This Row],[Month]]&lt;&gt;H1360,J1360*(1+Dashboard!$E$4)+Dashboard!$E$5,J1360))</f>
        <v>1123323.3086356882</v>
      </c>
      <c r="K1361">
        <f>IF(ROW()&lt;3, 0,IF(Query1[[#This Row],[Month]]&lt;&gt;H1360,IF((J1361-I1361&gt;0),J1361-I1361,0),0))</f>
        <v>0</v>
      </c>
      <c r="L1361" s="2">
        <f t="shared" si="21"/>
        <v>3592.2989655359538</v>
      </c>
      <c r="N1361" s="2">
        <f>IF(ROW()&lt;3, Query1[[#This Row],[Shares]], IF(Query1[[#This Row],[Month]]&lt;&gt;H1360, N1360+Query1[[#This Row],[Fix Top Up]]/Query1[[#This Row],[Adj Close]], N1360))</f>
        <v>3443.7835895075805</v>
      </c>
      <c r="P1361" s="2">
        <f>IF(ROW()&lt;3, Query1[[#This Row],[Shares]], IF(Query1[[#This Row],[Month]]&lt;&gt;H1360, P1360+Query1[[#This Row],[Enhanced top up]]/Query1[[#This Row],[Adj Close]], P1360))</f>
        <v>3441.9086679591742</v>
      </c>
      <c r="Q1361" s="2">
        <f>IFERROR(AVERAGE(
  IF(ROW()&gt;20, INDEX(G:G, ROW()-20), 0) :
  INDEX(G:G, ROW())
),0)</f>
        <v>447.01953125</v>
      </c>
    </row>
    <row r="1362" spans="1:17" x14ac:dyDescent="0.4">
      <c r="A1362" s="1">
        <v>45810</v>
      </c>
      <c r="B1362">
        <v>457.1400146484375</v>
      </c>
      <c r="C1362">
        <v>462.1099853515625</v>
      </c>
      <c r="D1362">
        <v>456.8900146484375</v>
      </c>
      <c r="E1362">
        <v>461.97000122070313</v>
      </c>
      <c r="F1362">
        <v>16626500</v>
      </c>
      <c r="G1362">
        <v>461.21182250976563</v>
      </c>
      <c r="H1362" s="2">
        <f>MONTH(Query1[[#This Row],[Date]])</f>
        <v>6</v>
      </c>
      <c r="I1362" s="3">
        <f>Query1[[#This Row],[Shares]]*Query1[[#This Row],[Adj Close]]</f>
        <v>1656810.7528947829</v>
      </c>
      <c r="J1362" s="3">
        <f>IF(ROW()&lt;3, Dashboard!$E$7, IF(Query1[[#This Row],[Month]]&lt;&gt;H1361,J1361*(1+Dashboard!$E$4)+Dashboard!$E$5,J1361))</f>
        <v>1136556.541722045</v>
      </c>
      <c r="K1362">
        <f>IF(ROW()&lt;3, 0,IF(Query1[[#This Row],[Month]]&lt;&gt;H1361,IF((J1362-I1362&gt;0),J1362-I1362,0),0))</f>
        <v>0</v>
      </c>
      <c r="L1362" s="2">
        <f t="shared" si="21"/>
        <v>3592.2989655359538</v>
      </c>
      <c r="N1362" s="2">
        <f>IF(ROW()&lt;3, Query1[[#This Row],[Shares]], IF(Query1[[#This Row],[Month]]&lt;&gt;H1361, N1361+Query1[[#This Row],[Fix Top Up]]/Query1[[#This Row],[Adj Close]], N1361))</f>
        <v>3443.7835895075805</v>
      </c>
      <c r="P1362" s="2">
        <f>IF(ROW()&lt;3, Query1[[#This Row],[Shares]], IF(Query1[[#This Row],[Month]]&lt;&gt;H1361, P1361+Query1[[#This Row],[Enhanced top up]]/Query1[[#This Row],[Adj Close]], P1361))</f>
        <v>3441.9086679591742</v>
      </c>
      <c r="Q1362" s="2">
        <f>IFERROR(AVERAGE(
  IF(ROW()&gt;20, INDEX(G:G, ROW()-20), 0) :
  INDEX(G:G, ROW())
),0)</f>
        <v>448.79516310918899</v>
      </c>
    </row>
    <row r="1363" spans="1:17" x14ac:dyDescent="0.4">
      <c r="A1363" s="1">
        <v>45811</v>
      </c>
      <c r="B1363">
        <v>461.47000122070313</v>
      </c>
      <c r="C1363">
        <v>464.1400146484375</v>
      </c>
      <c r="D1363">
        <v>460.8599853515625</v>
      </c>
      <c r="E1363">
        <v>462.97000122070313</v>
      </c>
      <c r="F1363">
        <v>15743800</v>
      </c>
      <c r="G1363">
        <v>462.21017456054688</v>
      </c>
      <c r="H1363" s="2">
        <f>MONTH(Query1[[#This Row],[Date]])</f>
        <v>6</v>
      </c>
      <c r="I1363" s="3">
        <f>Query1[[#This Row],[Shares]]*Query1[[#This Row],[Adj Close]]</f>
        <v>1660397.1319340451</v>
      </c>
      <c r="J1363" s="3">
        <f>IF(ROW()&lt;3, Dashboard!$E$7, IF(Query1[[#This Row],[Month]]&lt;&gt;H1362,J1362*(1+Dashboard!$E$4)+Dashboard!$E$5,J1362))</f>
        <v>1136556.541722045</v>
      </c>
      <c r="K1363">
        <f>IF(ROW()&lt;3, 0,IF(Query1[[#This Row],[Month]]&lt;&gt;H1362,IF((J1363-I1363&gt;0),J1363-I1363,0),0))</f>
        <v>0</v>
      </c>
      <c r="L1363" s="2">
        <f t="shared" si="21"/>
        <v>3592.2989655359538</v>
      </c>
      <c r="N1363" s="2">
        <f>IF(ROW()&lt;3, Query1[[#This Row],[Shares]], IF(Query1[[#This Row],[Month]]&lt;&gt;H1362, N1362+Query1[[#This Row],[Fix Top Up]]/Query1[[#This Row],[Adj Close]], N1362))</f>
        <v>3443.7835895075805</v>
      </c>
      <c r="P1363" s="2">
        <f>IF(ROW()&lt;3, Query1[[#This Row],[Shares]], IF(Query1[[#This Row],[Month]]&lt;&gt;H1362, P1362+Query1[[#This Row],[Enhanced top up]]/Query1[[#This Row],[Adj Close]], P1362))</f>
        <v>3441.9086679591742</v>
      </c>
      <c r="Q1363" s="2">
        <f>IFERROR(AVERAGE(
  IF(ROW()&gt;20, INDEX(G:G, ROW()-20), 0) :
  INDEX(G:G, ROW())
),0)</f>
        <v>450.14949108305433</v>
      </c>
    </row>
    <row r="1364" spans="1:17" x14ac:dyDescent="0.4">
      <c r="A1364" s="1">
        <v>45812</v>
      </c>
      <c r="B1364">
        <v>464</v>
      </c>
      <c r="C1364">
        <v>465.69000244140625</v>
      </c>
      <c r="D1364">
        <v>463.01998901367188</v>
      </c>
      <c r="E1364">
        <v>463.8699951171875</v>
      </c>
      <c r="F1364">
        <v>14162700</v>
      </c>
      <c r="G1364">
        <v>463.10867309570313</v>
      </c>
      <c r="H1364" s="2">
        <f>MONTH(Query1[[#This Row],[Date]])</f>
        <v>6</v>
      </c>
      <c r="I1364" s="3">
        <f>Query1[[#This Row],[Shares]]*Query1[[#This Row],[Adj Close]]</f>
        <v>1663624.8072924225</v>
      </c>
      <c r="J1364" s="3">
        <f>IF(ROW()&lt;3, Dashboard!$E$7, IF(Query1[[#This Row],[Month]]&lt;&gt;H1363,J1363*(1+Dashboard!$E$4)+Dashboard!$E$5,J1363))</f>
        <v>1136556.541722045</v>
      </c>
      <c r="K1364">
        <f>IF(ROW()&lt;3, 0,IF(Query1[[#This Row],[Month]]&lt;&gt;H1363,IF((J1364-I1364&gt;0),J1364-I1364,0),0))</f>
        <v>0</v>
      </c>
      <c r="L1364" s="2">
        <f t="shared" si="21"/>
        <v>3592.2989655359538</v>
      </c>
      <c r="N1364" s="2">
        <f>IF(ROW()&lt;3, Query1[[#This Row],[Shares]], IF(Query1[[#This Row],[Month]]&lt;&gt;H1363, N1363+Query1[[#This Row],[Fix Top Up]]/Query1[[#This Row],[Adj Close]], N1363))</f>
        <v>3443.7835895075805</v>
      </c>
      <c r="P1364" s="2">
        <f>IF(ROW()&lt;3, Query1[[#This Row],[Shares]], IF(Query1[[#This Row],[Month]]&lt;&gt;H1363, P1363+Query1[[#This Row],[Enhanced top up]]/Query1[[#This Row],[Adj Close]], P1363))</f>
        <v>3441.9086679591742</v>
      </c>
      <c r="Q1364" s="2">
        <f>IFERROR(AVERAGE(
  IF(ROW()&gt;20, INDEX(G:G, ROW()-20), 0) :
  INDEX(G:G, ROW())
),0)</f>
        <v>451.50437127976193</v>
      </c>
    </row>
    <row r="1365" spans="1:17" x14ac:dyDescent="0.4">
      <c r="A1365" s="1">
        <v>45813</v>
      </c>
      <c r="B1365">
        <v>464.95999145507813</v>
      </c>
      <c r="C1365">
        <v>469.64999389648438</v>
      </c>
      <c r="D1365">
        <v>464.02999877929688</v>
      </c>
      <c r="E1365">
        <v>467.67999267578125</v>
      </c>
      <c r="F1365">
        <v>20131700</v>
      </c>
      <c r="G1365">
        <v>466.91241455078125</v>
      </c>
      <c r="H1365" s="2">
        <f>MONTH(Query1[[#This Row],[Date]])</f>
        <v>6</v>
      </c>
      <c r="I1365" s="3">
        <f>Query1[[#This Row],[Shares]]*Query1[[#This Row],[Adj Close]]</f>
        <v>1677288.9837866658</v>
      </c>
      <c r="J1365" s="3">
        <f>IF(ROW()&lt;3, Dashboard!$E$7, IF(Query1[[#This Row],[Month]]&lt;&gt;H1364,J1364*(1+Dashboard!$E$4)+Dashboard!$E$5,J1364))</f>
        <v>1136556.541722045</v>
      </c>
      <c r="K1365">
        <f>IF(ROW()&lt;3, 0,IF(Query1[[#This Row],[Month]]&lt;&gt;H1364,IF((J1365-I1365&gt;0),J1365-I1365,0),0))</f>
        <v>0</v>
      </c>
      <c r="L1365" s="2">
        <f t="shared" si="21"/>
        <v>3592.2989655359538</v>
      </c>
      <c r="N1365" s="2">
        <f>IF(ROW()&lt;3, Query1[[#This Row],[Shares]], IF(Query1[[#This Row],[Month]]&lt;&gt;H1364, N1364+Query1[[#This Row],[Fix Top Up]]/Query1[[#This Row],[Adj Close]], N1364))</f>
        <v>3443.7835895075805</v>
      </c>
      <c r="P1365" s="2">
        <f>IF(ROW()&lt;3, Query1[[#This Row],[Shares]], IF(Query1[[#This Row],[Month]]&lt;&gt;H1364, P1364+Query1[[#This Row],[Enhanced top up]]/Query1[[#This Row],[Adj Close]], P1364))</f>
        <v>3441.9086679591742</v>
      </c>
      <c r="Q1365" s="2">
        <f>IFERROR(AVERAGE(
  IF(ROW()&gt;20, INDEX(G:G, ROW()-20), 0) :
  INDEX(G:G, ROW())
),0)</f>
        <v>453.17609950474332</v>
      </c>
    </row>
    <row r="1366" spans="1:17" x14ac:dyDescent="0.4">
      <c r="A1366" s="1">
        <v>45814</v>
      </c>
      <c r="B1366">
        <v>470.08999633789063</v>
      </c>
      <c r="C1366">
        <v>473.33999633789063</v>
      </c>
      <c r="D1366">
        <v>468.77999877929688</v>
      </c>
      <c r="E1366">
        <v>470.3800048828125</v>
      </c>
      <c r="F1366">
        <v>15285600</v>
      </c>
      <c r="G1366">
        <v>469.60800170898438</v>
      </c>
      <c r="H1366" s="2">
        <f>MONTH(Query1[[#This Row],[Date]])</f>
        <v>6</v>
      </c>
      <c r="I1366" s="3">
        <f>Query1[[#This Row],[Shares]]*Query1[[#This Row],[Adj Close]]</f>
        <v>1686972.338746591</v>
      </c>
      <c r="J1366" s="3">
        <f>IF(ROW()&lt;3, Dashboard!$E$7, IF(Query1[[#This Row],[Month]]&lt;&gt;H1365,J1365*(1+Dashboard!$E$4)+Dashboard!$E$5,J1365))</f>
        <v>1136556.541722045</v>
      </c>
      <c r="K1366">
        <f>IF(ROW()&lt;3, 0,IF(Query1[[#This Row],[Month]]&lt;&gt;H1365,IF((J1366-I1366&gt;0),J1366-I1366,0),0))</f>
        <v>0</v>
      </c>
      <c r="L1366" s="2">
        <f t="shared" si="21"/>
        <v>3592.2989655359538</v>
      </c>
      <c r="N1366" s="2">
        <f>IF(ROW()&lt;3, Query1[[#This Row],[Shares]], IF(Query1[[#This Row],[Month]]&lt;&gt;H1365, N1365+Query1[[#This Row],[Fix Top Up]]/Query1[[#This Row],[Adj Close]], N1365))</f>
        <v>3443.7835895075805</v>
      </c>
      <c r="P1366" s="2">
        <f>IF(ROW()&lt;3, Query1[[#This Row],[Shares]], IF(Query1[[#This Row],[Month]]&lt;&gt;H1365, P1365+Query1[[#This Row],[Enhanced top up]]/Query1[[#This Row],[Adj Close]], P1365))</f>
        <v>3441.9086679591742</v>
      </c>
      <c r="Q1366" s="2">
        <f>IFERROR(AVERAGE(
  IF(ROW()&gt;20, INDEX(G:G, ROW()-20), 0) :
  INDEX(G:G, ROW())
),0)</f>
        <v>454.97429112025668</v>
      </c>
    </row>
    <row r="1367" spans="1:17" x14ac:dyDescent="0.4">
      <c r="A1367" s="1">
        <v>45817</v>
      </c>
      <c r="B1367">
        <v>469.70001220703125</v>
      </c>
      <c r="C1367">
        <v>473.42999267578125</v>
      </c>
      <c r="D1367">
        <v>468.6199951171875</v>
      </c>
      <c r="E1367">
        <v>472.75</v>
      </c>
      <c r="F1367">
        <v>16469900</v>
      </c>
      <c r="G1367">
        <v>471.97412109375</v>
      </c>
      <c r="H1367" s="2">
        <f>MONTH(Query1[[#This Row],[Date]])</f>
        <v>6</v>
      </c>
      <c r="I1367" s="3">
        <f>Query1[[#This Row],[Shares]]*Query1[[#This Row],[Adj Close]]</f>
        <v>1695472.1469648192</v>
      </c>
      <c r="J1367" s="3">
        <f>IF(ROW()&lt;3, Dashboard!$E$7, IF(Query1[[#This Row],[Month]]&lt;&gt;H1366,J1366*(1+Dashboard!$E$4)+Dashboard!$E$5,J1366))</f>
        <v>1136556.541722045</v>
      </c>
      <c r="K1367">
        <f>IF(ROW()&lt;3, 0,IF(Query1[[#This Row],[Month]]&lt;&gt;H1366,IF((J1367-I1367&gt;0),J1367-I1367,0),0))</f>
        <v>0</v>
      </c>
      <c r="L1367" s="2">
        <f t="shared" si="21"/>
        <v>3592.2989655359538</v>
      </c>
      <c r="N1367" s="2">
        <f>IF(ROW()&lt;3, Query1[[#This Row],[Shares]], IF(Query1[[#This Row],[Month]]&lt;&gt;H1366, N1366+Query1[[#This Row],[Fix Top Up]]/Query1[[#This Row],[Adj Close]], N1366))</f>
        <v>3443.7835895075805</v>
      </c>
      <c r="P1367" s="2">
        <f>IF(ROW()&lt;3, Query1[[#This Row],[Shares]], IF(Query1[[#This Row],[Month]]&lt;&gt;H1366, P1366+Query1[[#This Row],[Enhanced top up]]/Query1[[#This Row],[Adj Close]], P1366))</f>
        <v>3441.9086679591742</v>
      </c>
      <c r="Q1367" s="2">
        <f>IFERROR(AVERAGE(
  IF(ROW()&gt;20, INDEX(G:G, ROW()-20), 0) :
  INDEX(G:G, ROW())
),0)</f>
        <v>456.65642729259673</v>
      </c>
    </row>
    <row r="1368" spans="1:17" x14ac:dyDescent="0.4">
      <c r="A1368" s="1">
        <v>45818</v>
      </c>
      <c r="B1368">
        <v>471.19000244140625</v>
      </c>
      <c r="C1368">
        <v>472.79998779296875</v>
      </c>
      <c r="D1368">
        <v>466.95999145507813</v>
      </c>
      <c r="E1368">
        <v>470.92001342773438</v>
      </c>
      <c r="F1368">
        <v>15375900</v>
      </c>
      <c r="G1368">
        <v>470.14712524414063</v>
      </c>
      <c r="H1368" s="2">
        <f>MONTH(Query1[[#This Row],[Date]])</f>
        <v>6</v>
      </c>
      <c r="I1368" s="3">
        <f>Query1[[#This Row],[Shares]]*Query1[[#This Row],[Adj Close]]</f>
        <v>1688909.031664229</v>
      </c>
      <c r="J1368" s="3">
        <f>IF(ROW()&lt;3, Dashboard!$E$7, IF(Query1[[#This Row],[Month]]&lt;&gt;H1367,J1367*(1+Dashboard!$E$4)+Dashboard!$E$5,J1367))</f>
        <v>1136556.541722045</v>
      </c>
      <c r="K1368">
        <f>IF(ROW()&lt;3, 0,IF(Query1[[#This Row],[Month]]&lt;&gt;H1367,IF((J1368-I1368&gt;0),J1368-I1368,0),0))</f>
        <v>0</v>
      </c>
      <c r="L1368" s="2">
        <f t="shared" si="21"/>
        <v>3592.2989655359538</v>
      </c>
      <c r="N1368" s="2">
        <f>IF(ROW()&lt;3, Query1[[#This Row],[Shares]], IF(Query1[[#This Row],[Month]]&lt;&gt;H1367, N1367+Query1[[#This Row],[Fix Top Up]]/Query1[[#This Row],[Adj Close]], N1367))</f>
        <v>3443.7835895075805</v>
      </c>
      <c r="P1368" s="2">
        <f>IF(ROW()&lt;3, Query1[[#This Row],[Shares]], IF(Query1[[#This Row],[Month]]&lt;&gt;H1367, P1367+Query1[[#This Row],[Enhanced top up]]/Query1[[#This Row],[Adj Close]], P1367))</f>
        <v>3441.9086679591742</v>
      </c>
      <c r="Q1368" s="2">
        <f>IFERROR(AVERAGE(
  IF(ROW()&gt;20, INDEX(G:G, ROW()-20), 0) :
  INDEX(G:G, ROW())
),0)</f>
        <v>458.22498866489957</v>
      </c>
    </row>
    <row r="1369" spans="1:17" x14ac:dyDescent="0.4">
      <c r="A1369" s="1">
        <v>45819</v>
      </c>
      <c r="B1369">
        <v>470.01998901367188</v>
      </c>
      <c r="C1369">
        <v>475.47000122070313</v>
      </c>
      <c r="D1369">
        <v>469.66000366210938</v>
      </c>
      <c r="E1369">
        <v>472.6199951171875</v>
      </c>
      <c r="F1369">
        <v>16399200</v>
      </c>
      <c r="G1369">
        <v>471.84432983398438</v>
      </c>
      <c r="H1369" s="2">
        <f>MONTH(Query1[[#This Row],[Date]])</f>
        <v>6</v>
      </c>
      <c r="I1369" s="3">
        <f>Query1[[#This Row],[Shares]]*Query1[[#This Row],[Adj Close]]</f>
        <v>1695005.8979566274</v>
      </c>
      <c r="J1369" s="3">
        <f>IF(ROW()&lt;3, Dashboard!$E$7, IF(Query1[[#This Row],[Month]]&lt;&gt;H1368,J1368*(1+Dashboard!$E$4)+Dashboard!$E$5,J1368))</f>
        <v>1136556.541722045</v>
      </c>
      <c r="K1369">
        <f>IF(ROW()&lt;3, 0,IF(Query1[[#This Row],[Month]]&lt;&gt;H1368,IF((J1369-I1369&gt;0),J1369-I1369,0),0))</f>
        <v>0</v>
      </c>
      <c r="L1369" s="2">
        <f t="shared" si="21"/>
        <v>3592.2989655359538</v>
      </c>
      <c r="N1369" s="2">
        <f>IF(ROW()&lt;3, Query1[[#This Row],[Shares]], IF(Query1[[#This Row],[Month]]&lt;&gt;H1368, N1368+Query1[[#This Row],[Fix Top Up]]/Query1[[#This Row],[Adj Close]], N1368))</f>
        <v>3443.7835895075805</v>
      </c>
      <c r="P1369" s="2">
        <f>IF(ROW()&lt;3, Query1[[#This Row],[Shares]], IF(Query1[[#This Row],[Month]]&lt;&gt;H1368, P1368+Query1[[#This Row],[Enhanced top up]]/Query1[[#This Row],[Adj Close]], P1368))</f>
        <v>3441.9086679591742</v>
      </c>
      <c r="Q1369" s="2">
        <f>IFERROR(AVERAGE(
  IF(ROW()&gt;20, INDEX(G:G, ROW()-20), 0) :
  INDEX(G:G, ROW())
),0)</f>
        <v>459.37468319847471</v>
      </c>
    </row>
    <row r="1370" spans="1:17" x14ac:dyDescent="0.4">
      <c r="A1370" s="1">
        <v>45820</v>
      </c>
      <c r="B1370">
        <v>475.01998901367188</v>
      </c>
      <c r="C1370">
        <v>480.42001342773438</v>
      </c>
      <c r="D1370">
        <v>473.51998901367188</v>
      </c>
      <c r="E1370">
        <v>478.8699951171875</v>
      </c>
      <c r="F1370">
        <v>18950600</v>
      </c>
      <c r="G1370">
        <v>478.08407592773438</v>
      </c>
      <c r="H1370" s="2">
        <f>MONTH(Query1[[#This Row],[Date]])</f>
        <v>6</v>
      </c>
      <c r="I1370" s="3">
        <f>Query1[[#This Row],[Shares]]*Query1[[#This Row],[Adj Close]]</f>
        <v>1717420.9313944126</v>
      </c>
      <c r="J1370" s="3">
        <f>IF(ROW()&lt;3, Dashboard!$E$7, IF(Query1[[#This Row],[Month]]&lt;&gt;H1369,J1369*(1+Dashboard!$E$4)+Dashboard!$E$5,J1369))</f>
        <v>1136556.541722045</v>
      </c>
      <c r="K1370">
        <f>IF(ROW()&lt;3, 0,IF(Query1[[#This Row],[Month]]&lt;&gt;H1369,IF((J1370-I1370&gt;0),J1370-I1370,0),0))</f>
        <v>0</v>
      </c>
      <c r="L1370" s="2">
        <f t="shared" si="21"/>
        <v>3592.2989655359538</v>
      </c>
      <c r="N1370" s="2">
        <f>IF(ROW()&lt;3, Query1[[#This Row],[Shares]], IF(Query1[[#This Row],[Month]]&lt;&gt;H1369, N1369+Query1[[#This Row],[Fix Top Up]]/Query1[[#This Row],[Adj Close]], N1369))</f>
        <v>3443.7835895075805</v>
      </c>
      <c r="P1370" s="2">
        <f>IF(ROW()&lt;3, Query1[[#This Row],[Shares]], IF(Query1[[#This Row],[Month]]&lt;&gt;H1369, P1369+Query1[[#This Row],[Enhanced top up]]/Query1[[#This Row],[Adj Close]], P1369))</f>
        <v>3441.9086679591742</v>
      </c>
      <c r="Q1370" s="2">
        <f>IFERROR(AVERAGE(
  IF(ROW()&gt;20, INDEX(G:G, ROW()-20), 0) :
  INDEX(G:G, ROW())
),0)</f>
        <v>460.82720075334822</v>
      </c>
    </row>
    <row r="1371" spans="1:17" x14ac:dyDescent="0.4">
      <c r="A1371" s="1">
        <v>45821</v>
      </c>
      <c r="B1371">
        <v>476.41000366210938</v>
      </c>
      <c r="C1371">
        <v>479.17999267578125</v>
      </c>
      <c r="D1371">
        <v>472.760009765625</v>
      </c>
      <c r="E1371">
        <v>474.95999145507813</v>
      </c>
      <c r="F1371">
        <v>16814500</v>
      </c>
      <c r="G1371">
        <v>474.18048095703125</v>
      </c>
      <c r="H1371" s="2">
        <f>MONTH(Query1[[#This Row],[Date]])</f>
        <v>6</v>
      </c>
      <c r="I1371" s="3">
        <f>Query1[[#This Row],[Shares]]*Query1[[#This Row],[Adj Close]]</f>
        <v>1703398.0512192843</v>
      </c>
      <c r="J1371" s="3">
        <f>IF(ROW()&lt;3, Dashboard!$E$7, IF(Query1[[#This Row],[Month]]&lt;&gt;H1370,J1370*(1+Dashboard!$E$4)+Dashboard!$E$5,J1370))</f>
        <v>1136556.541722045</v>
      </c>
      <c r="K1371">
        <f>IF(ROW()&lt;3, 0,IF(Query1[[#This Row],[Month]]&lt;&gt;H1370,IF((J1371-I1371&gt;0),J1371-I1371,0),0))</f>
        <v>0</v>
      </c>
      <c r="L1371" s="2">
        <f t="shared" si="21"/>
        <v>3592.2989655359538</v>
      </c>
      <c r="N1371" s="2">
        <f>IF(ROW()&lt;3, Query1[[#This Row],[Shares]], IF(Query1[[#This Row],[Month]]&lt;&gt;H1370, N1370+Query1[[#This Row],[Fix Top Up]]/Query1[[#This Row],[Adj Close]], N1370))</f>
        <v>3443.7835895075805</v>
      </c>
      <c r="P1371" s="2">
        <f>IF(ROW()&lt;3, Query1[[#This Row],[Shares]], IF(Query1[[#This Row],[Month]]&lt;&gt;H1370, P1370+Query1[[#This Row],[Enhanced top up]]/Query1[[#This Row],[Adj Close]], P1370))</f>
        <v>3441.9086679591742</v>
      </c>
      <c r="Q1371" s="2">
        <f>IFERROR(AVERAGE(
  IF(ROW()&gt;20, INDEX(G:G, ROW()-20), 0) :
  INDEX(G:G, ROW())
),0)</f>
        <v>461.91351027715774</v>
      </c>
    </row>
    <row r="1372" spans="1:17" x14ac:dyDescent="0.4">
      <c r="A1372" s="1">
        <v>45824</v>
      </c>
      <c r="B1372">
        <v>475.20999145507813</v>
      </c>
      <c r="C1372">
        <v>480.69000244140625</v>
      </c>
      <c r="D1372">
        <v>475</v>
      </c>
      <c r="E1372">
        <v>479.1400146484375</v>
      </c>
      <c r="F1372">
        <v>15626100</v>
      </c>
      <c r="G1372">
        <v>478.3536376953125</v>
      </c>
      <c r="H1372" s="2">
        <f>MONTH(Query1[[#This Row],[Date]])</f>
        <v>6</v>
      </c>
      <c r="I1372" s="3">
        <f>Query1[[#This Row],[Shares]]*Query1[[#This Row],[Adj Close]]</f>
        <v>1718389.2778532316</v>
      </c>
      <c r="J1372" s="3">
        <f>IF(ROW()&lt;3, Dashboard!$E$7, IF(Query1[[#This Row],[Month]]&lt;&gt;H1371,J1371*(1+Dashboard!$E$4)+Dashboard!$E$5,J1371))</f>
        <v>1136556.541722045</v>
      </c>
      <c r="K1372">
        <f>IF(ROW()&lt;3, 0,IF(Query1[[#This Row],[Month]]&lt;&gt;H1371,IF((J1372-I1372&gt;0),J1372-I1372,0),0))</f>
        <v>0</v>
      </c>
      <c r="L1372" s="2">
        <f t="shared" si="21"/>
        <v>3592.2989655359538</v>
      </c>
      <c r="N1372" s="2">
        <f>IF(ROW()&lt;3, Query1[[#This Row],[Shares]], IF(Query1[[#This Row],[Month]]&lt;&gt;H1371, N1371+Query1[[#This Row],[Fix Top Up]]/Query1[[#This Row],[Adj Close]], N1371))</f>
        <v>3443.7835895075805</v>
      </c>
      <c r="P1372" s="2">
        <f>IF(ROW()&lt;3, Query1[[#This Row],[Shares]], IF(Query1[[#This Row],[Month]]&lt;&gt;H1371, P1371+Query1[[#This Row],[Enhanced top up]]/Query1[[#This Row],[Adj Close]], P1371))</f>
        <v>3441.9086679591742</v>
      </c>
      <c r="Q1372" s="2">
        <f>IFERROR(AVERAGE(
  IF(ROW()&gt;20, INDEX(G:G, ROW()-20), 0) :
  INDEX(G:G, ROW())
),0)</f>
        <v>463.15004911876861</v>
      </c>
    </row>
    <row r="1373" spans="1:17" x14ac:dyDescent="0.4">
      <c r="A1373" s="1">
        <v>45825</v>
      </c>
      <c r="B1373">
        <v>475.39999389648438</v>
      </c>
      <c r="C1373">
        <v>478.739990234375</v>
      </c>
      <c r="D1373">
        <v>474.07998657226563</v>
      </c>
      <c r="E1373">
        <v>478.04000854492188</v>
      </c>
      <c r="F1373">
        <v>15414100</v>
      </c>
      <c r="G1373">
        <v>477.25543212890625</v>
      </c>
      <c r="H1373" s="2">
        <f>MONTH(Query1[[#This Row],[Date]])</f>
        <v>6</v>
      </c>
      <c r="I1373" s="3">
        <f>Query1[[#This Row],[Shares]]*Query1[[#This Row],[Adj Close]]</f>
        <v>1714444.1951330844</v>
      </c>
      <c r="J1373" s="3">
        <f>IF(ROW()&lt;3, Dashboard!$E$7, IF(Query1[[#This Row],[Month]]&lt;&gt;H1372,J1372*(1+Dashboard!$E$4)+Dashboard!$E$5,J1372))</f>
        <v>1136556.541722045</v>
      </c>
      <c r="K1373">
        <f>IF(ROW()&lt;3, 0,IF(Query1[[#This Row],[Month]]&lt;&gt;H1372,IF((J1373-I1373&gt;0),J1373-I1373,0),0))</f>
        <v>0</v>
      </c>
      <c r="L1373" s="2">
        <f t="shared" si="21"/>
        <v>3592.2989655359538</v>
      </c>
      <c r="N1373" s="2">
        <f>IF(ROW()&lt;3, Query1[[#This Row],[Shares]], IF(Query1[[#This Row],[Month]]&lt;&gt;H1372, N1372+Query1[[#This Row],[Fix Top Up]]/Query1[[#This Row],[Adj Close]], N1372))</f>
        <v>3443.7835895075805</v>
      </c>
      <c r="P1373" s="2">
        <f>IF(ROW()&lt;3, Query1[[#This Row],[Shares]], IF(Query1[[#This Row],[Month]]&lt;&gt;H1372, P1372+Query1[[#This Row],[Enhanced top up]]/Query1[[#This Row],[Adj Close]], P1372))</f>
        <v>3441.9086679591742</v>
      </c>
      <c r="Q1373" s="2">
        <f>IFERROR(AVERAGE(
  IF(ROW()&gt;20, INDEX(G:G, ROW()-20), 0) :
  INDEX(G:G, ROW())
),0)</f>
        <v>464.28009614490327</v>
      </c>
    </row>
    <row r="1374" spans="1:17" x14ac:dyDescent="0.4">
      <c r="A1374" s="1">
        <v>45826</v>
      </c>
      <c r="B1374">
        <v>478</v>
      </c>
      <c r="C1374">
        <v>481</v>
      </c>
      <c r="D1374">
        <v>474.45999145507813</v>
      </c>
      <c r="E1374">
        <v>480.239990234375</v>
      </c>
      <c r="F1374">
        <v>17526500</v>
      </c>
      <c r="G1374">
        <v>479.45181274414063</v>
      </c>
      <c r="H1374" s="2">
        <f>MONTH(Query1[[#This Row],[Date]])</f>
        <v>6</v>
      </c>
      <c r="I1374" s="3">
        <f>Query1[[#This Row],[Shares]]*Query1[[#This Row],[Adj Close]]</f>
        <v>1722334.2509451143</v>
      </c>
      <c r="J1374" s="3">
        <f>IF(ROW()&lt;3, Dashboard!$E$7, IF(Query1[[#This Row],[Month]]&lt;&gt;H1373,J1373*(1+Dashboard!$E$4)+Dashboard!$E$5,J1373))</f>
        <v>1136556.541722045</v>
      </c>
      <c r="K1374">
        <f>IF(ROW()&lt;3, 0,IF(Query1[[#This Row],[Month]]&lt;&gt;H1373,IF((J1374-I1374&gt;0),J1374-I1374,0),0))</f>
        <v>0</v>
      </c>
      <c r="L1374" s="2">
        <f t="shared" si="21"/>
        <v>3592.2989655359538</v>
      </c>
      <c r="N1374" s="2">
        <f>IF(ROW()&lt;3, Query1[[#This Row],[Shares]], IF(Query1[[#This Row],[Month]]&lt;&gt;H1373, N1373+Query1[[#This Row],[Fix Top Up]]/Query1[[#This Row],[Adj Close]], N1373))</f>
        <v>3443.7835895075805</v>
      </c>
      <c r="P1374" s="2">
        <f>IF(ROW()&lt;3, Query1[[#This Row],[Shares]], IF(Query1[[#This Row],[Month]]&lt;&gt;H1373, P1373+Query1[[#This Row],[Enhanced top up]]/Query1[[#This Row],[Adj Close]], P1373))</f>
        <v>3441.9086679591742</v>
      </c>
      <c r="Q1374" s="2">
        <f>IFERROR(AVERAGE(
  IF(ROW()&gt;20, INDEX(G:G, ROW()-20), 0) :
  INDEX(G:G, ROW())
),0)</f>
        <v>465.29604521251861</v>
      </c>
    </row>
    <row r="1375" spans="1:17" x14ac:dyDescent="0.4">
      <c r="A1375" s="1">
        <v>45828</v>
      </c>
      <c r="B1375">
        <v>482.23001098632813</v>
      </c>
      <c r="C1375">
        <v>483.45999145507813</v>
      </c>
      <c r="D1375">
        <v>476.8699951171875</v>
      </c>
      <c r="E1375">
        <v>477.39999389648438</v>
      </c>
      <c r="F1375">
        <v>37576200</v>
      </c>
      <c r="G1375">
        <v>476.61648559570313</v>
      </c>
      <c r="H1375" s="2">
        <f>MONTH(Query1[[#This Row],[Date]])</f>
        <v>6</v>
      </c>
      <c r="I1375" s="3">
        <f>Query1[[#This Row],[Shares]]*Query1[[#This Row],[Adj Close]]</f>
        <v>1712148.9081628262</v>
      </c>
      <c r="J1375" s="3">
        <f>IF(ROW()&lt;3, Dashboard!$E$7, IF(Query1[[#This Row],[Month]]&lt;&gt;H1374,J1374*(1+Dashboard!$E$4)+Dashboard!$E$5,J1374))</f>
        <v>1136556.541722045</v>
      </c>
      <c r="K1375">
        <f>IF(ROW()&lt;3, 0,IF(Query1[[#This Row],[Month]]&lt;&gt;H1374,IF((J1375-I1375&gt;0),J1375-I1375,0),0))</f>
        <v>0</v>
      </c>
      <c r="L1375" s="2">
        <f t="shared" si="21"/>
        <v>3592.2989655359538</v>
      </c>
      <c r="N1375" s="2">
        <f>IF(ROW()&lt;3, Query1[[#This Row],[Shares]], IF(Query1[[#This Row],[Month]]&lt;&gt;H1374, N1374+Query1[[#This Row],[Fix Top Up]]/Query1[[#This Row],[Adj Close]], N1374))</f>
        <v>3443.7835895075805</v>
      </c>
      <c r="P1375" s="2">
        <f>IF(ROW()&lt;3, Query1[[#This Row],[Shares]], IF(Query1[[#This Row],[Month]]&lt;&gt;H1374, P1374+Query1[[#This Row],[Enhanced top up]]/Query1[[#This Row],[Adj Close]], P1374))</f>
        <v>3441.9086679591742</v>
      </c>
      <c r="Q1375" s="2">
        <f>IFERROR(AVERAGE(
  IF(ROW()&gt;20, INDEX(G:G, ROW()-20), 0) :
  INDEX(G:G, ROW())
),0)</f>
        <v>466.21025594075519</v>
      </c>
    </row>
    <row r="1376" spans="1:17" x14ac:dyDescent="0.4">
      <c r="A1376" s="1">
        <v>45831</v>
      </c>
      <c r="B1376">
        <v>478.20999145507813</v>
      </c>
      <c r="C1376">
        <v>487.75</v>
      </c>
      <c r="D1376">
        <v>472.510009765625</v>
      </c>
      <c r="E1376">
        <v>486</v>
      </c>
      <c r="F1376">
        <v>24864000</v>
      </c>
      <c r="G1376">
        <v>485.20236206054688</v>
      </c>
      <c r="H1376" s="2">
        <f>MONTH(Query1[[#This Row],[Date]])</f>
        <v>6</v>
      </c>
      <c r="I1376" s="3">
        <f>Query1[[#This Row],[Shares]]*Query1[[#This Row],[Adj Close]]</f>
        <v>1742991.9433057038</v>
      </c>
      <c r="J1376" s="3">
        <f>IF(ROW()&lt;3, Dashboard!$E$7, IF(Query1[[#This Row],[Month]]&lt;&gt;H1375,J1375*(1+Dashboard!$E$4)+Dashboard!$E$5,J1375))</f>
        <v>1136556.541722045</v>
      </c>
      <c r="K1376">
        <f>IF(ROW()&lt;3, 0,IF(Query1[[#This Row],[Month]]&lt;&gt;H1375,IF((J1376-I1376&gt;0),J1376-I1376,0),0))</f>
        <v>0</v>
      </c>
      <c r="L1376" s="2">
        <f t="shared" si="21"/>
        <v>3592.2989655359538</v>
      </c>
      <c r="N1376" s="2">
        <f>IF(ROW()&lt;3, Query1[[#This Row],[Shares]], IF(Query1[[#This Row],[Month]]&lt;&gt;H1375, N1375+Query1[[#This Row],[Fix Top Up]]/Query1[[#This Row],[Adj Close]], N1375))</f>
        <v>3443.7835895075805</v>
      </c>
      <c r="P1376" s="2">
        <f>IF(ROW()&lt;3, Query1[[#This Row],[Shares]], IF(Query1[[#This Row],[Month]]&lt;&gt;H1375, P1375+Query1[[#This Row],[Enhanced top up]]/Query1[[#This Row],[Adj Close]], P1375))</f>
        <v>3441.9086679591742</v>
      </c>
      <c r="Q1376" s="2">
        <f>IFERROR(AVERAGE(
  IF(ROW()&gt;20, INDEX(G:G, ROW()-20), 0) :
  INDEX(G:G, ROW())
),0)</f>
        <v>467.79954746791293</v>
      </c>
    </row>
    <row r="1377" spans="1:17" x14ac:dyDescent="0.4">
      <c r="A1377" s="1">
        <v>45832</v>
      </c>
      <c r="B1377">
        <v>488.95001220703125</v>
      </c>
      <c r="C1377">
        <v>491.85000610351563</v>
      </c>
      <c r="D1377">
        <v>486.79998779296875</v>
      </c>
      <c r="E1377">
        <v>490.1099853515625</v>
      </c>
      <c r="F1377">
        <v>22305600</v>
      </c>
      <c r="G1377">
        <v>489.30560302734375</v>
      </c>
      <c r="H1377" s="2">
        <f>MONTH(Query1[[#This Row],[Date]])</f>
        <v>6</v>
      </c>
      <c r="I1377" s="3">
        <f>Query1[[#This Row],[Shares]]*Query1[[#This Row],[Adj Close]]</f>
        <v>1757732.0115860731</v>
      </c>
      <c r="J1377" s="3">
        <f>IF(ROW()&lt;3, Dashboard!$E$7, IF(Query1[[#This Row],[Month]]&lt;&gt;H1376,J1376*(1+Dashboard!$E$4)+Dashboard!$E$5,J1376))</f>
        <v>1136556.541722045</v>
      </c>
      <c r="K1377">
        <f>IF(ROW()&lt;3, 0,IF(Query1[[#This Row],[Month]]&lt;&gt;H1376,IF((J1377-I1377&gt;0),J1377-I1377,0),0))</f>
        <v>0</v>
      </c>
      <c r="L1377" s="2">
        <f t="shared" si="21"/>
        <v>3592.2989655359538</v>
      </c>
      <c r="N1377" s="2">
        <f>IF(ROW()&lt;3, Query1[[#This Row],[Shares]], IF(Query1[[#This Row],[Month]]&lt;&gt;H1376, N1376+Query1[[#This Row],[Fix Top Up]]/Query1[[#This Row],[Adj Close]], N1376))</f>
        <v>3443.7835895075805</v>
      </c>
      <c r="P1377" s="2">
        <f>IF(ROW()&lt;3, Query1[[#This Row],[Shares]], IF(Query1[[#This Row],[Month]]&lt;&gt;H1376, P1376+Query1[[#This Row],[Enhanced top up]]/Query1[[#This Row],[Adj Close]], P1376))</f>
        <v>3441.9086679591742</v>
      </c>
      <c r="Q1377" s="2">
        <f>IFERROR(AVERAGE(
  IF(ROW()&gt;20, INDEX(G:G, ROW()-20), 0) :
  INDEX(G:G, ROW())
),0)</f>
        <v>469.4753635951451</v>
      </c>
    </row>
    <row r="1378" spans="1:17" x14ac:dyDescent="0.4">
      <c r="A1378" s="1">
        <v>45833</v>
      </c>
      <c r="B1378">
        <v>492.04000854492188</v>
      </c>
      <c r="C1378">
        <v>494.55999755859375</v>
      </c>
      <c r="D1378">
        <v>489.3900146484375</v>
      </c>
      <c r="E1378">
        <v>492.26998901367188</v>
      </c>
      <c r="F1378">
        <v>17495100</v>
      </c>
      <c r="G1378">
        <v>491.46206665039063</v>
      </c>
      <c r="H1378" s="2">
        <f>MONTH(Query1[[#This Row],[Date]])</f>
        <v>6</v>
      </c>
      <c r="I1378" s="3">
        <f>Query1[[#This Row],[Shares]]*Query1[[#This Row],[Adj Close]]</f>
        <v>1765478.6736283603</v>
      </c>
      <c r="J1378" s="3">
        <f>IF(ROW()&lt;3, Dashboard!$E$7, IF(Query1[[#This Row],[Month]]&lt;&gt;H1377,J1377*(1+Dashboard!$E$4)+Dashboard!$E$5,J1377))</f>
        <v>1136556.541722045</v>
      </c>
      <c r="K1378">
        <f>IF(ROW()&lt;3, 0,IF(Query1[[#This Row],[Month]]&lt;&gt;H1377,IF((J1378-I1378&gt;0),J1378-I1378,0),0))</f>
        <v>0</v>
      </c>
      <c r="L1378" s="2">
        <f t="shared" si="21"/>
        <v>3592.2989655359538</v>
      </c>
      <c r="N1378" s="2">
        <f>IF(ROW()&lt;3, Query1[[#This Row],[Shares]], IF(Query1[[#This Row],[Month]]&lt;&gt;H1377, N1377+Query1[[#This Row],[Fix Top Up]]/Query1[[#This Row],[Adj Close]], N1377))</f>
        <v>3443.7835895075805</v>
      </c>
      <c r="P1378" s="2">
        <f>IF(ROW()&lt;3, Query1[[#This Row],[Shares]], IF(Query1[[#This Row],[Month]]&lt;&gt;H1377, P1377+Query1[[#This Row],[Enhanced top up]]/Query1[[#This Row],[Adj Close]], P1377))</f>
        <v>3441.9086679591742</v>
      </c>
      <c r="Q1378" s="2">
        <f>IFERROR(AVERAGE(
  IF(ROW()&gt;20, INDEX(G:G, ROW()-20), 0) :
  INDEX(G:G, ROW())
),0)</f>
        <v>471.47635904947919</v>
      </c>
    </row>
    <row r="1379" spans="1:17" x14ac:dyDescent="0.4">
      <c r="A1379" s="1">
        <v>45834</v>
      </c>
      <c r="B1379">
        <v>492.98001098632813</v>
      </c>
      <c r="C1379">
        <v>498.04000854492188</v>
      </c>
      <c r="D1379">
        <v>492.80999755859375</v>
      </c>
      <c r="E1379">
        <v>497.45001220703125</v>
      </c>
      <c r="F1379">
        <v>21578900</v>
      </c>
      <c r="G1379">
        <v>496.63357543945313</v>
      </c>
      <c r="H1379" s="2">
        <f>MONTH(Query1[[#This Row],[Date]])</f>
        <v>6</v>
      </c>
      <c r="I1379" s="3">
        <f>Query1[[#This Row],[Shares]]*Query1[[#This Row],[Adj Close]]</f>
        <v>1784056.2793015696</v>
      </c>
      <c r="J1379" s="3">
        <f>IF(ROW()&lt;3, Dashboard!$E$7, IF(Query1[[#This Row],[Month]]&lt;&gt;H1378,J1378*(1+Dashboard!$E$4)+Dashboard!$E$5,J1378))</f>
        <v>1136556.541722045</v>
      </c>
      <c r="K1379">
        <f>IF(ROW()&lt;3, 0,IF(Query1[[#This Row],[Month]]&lt;&gt;H1378,IF((J1379-I1379&gt;0),J1379-I1379,0),0))</f>
        <v>0</v>
      </c>
      <c r="L1379" s="2">
        <f t="shared" si="21"/>
        <v>3592.2989655359538</v>
      </c>
      <c r="N1379" s="2">
        <f>IF(ROW()&lt;3, Query1[[#This Row],[Shares]], IF(Query1[[#This Row],[Month]]&lt;&gt;H1378, N1378+Query1[[#This Row],[Fix Top Up]]/Query1[[#This Row],[Adj Close]], N1378))</f>
        <v>3443.7835895075805</v>
      </c>
      <c r="P1379" s="2">
        <f>IF(ROW()&lt;3, Query1[[#This Row],[Shares]], IF(Query1[[#This Row],[Month]]&lt;&gt;H1378, P1378+Query1[[#This Row],[Enhanced top up]]/Query1[[#This Row],[Adj Close]], P1378))</f>
        <v>3441.9086679591742</v>
      </c>
      <c r="Q1379" s="2">
        <f>IFERROR(AVERAGE(
  IF(ROW()&gt;20, INDEX(G:G, ROW()-20), 0) :
  INDEX(G:G, ROW())
),0)</f>
        <v>473.22396269298736</v>
      </c>
    </row>
    <row r="1380" spans="1:17" x14ac:dyDescent="0.4">
      <c r="A1380" s="1">
        <v>45835</v>
      </c>
      <c r="B1380">
        <v>497.54998779296875</v>
      </c>
      <c r="C1380">
        <v>499.29998779296875</v>
      </c>
      <c r="D1380">
        <v>493.02999877929688</v>
      </c>
      <c r="E1380">
        <v>495.94000244140625</v>
      </c>
      <c r="F1380">
        <v>34539200</v>
      </c>
      <c r="G1380">
        <v>495.12606811523438</v>
      </c>
      <c r="H1380" s="2">
        <f>MONTH(Query1[[#This Row],[Date]])</f>
        <v>6</v>
      </c>
      <c r="I1380" s="3">
        <f>Query1[[#This Row],[Shares]]*Query1[[#This Row],[Adj Close]]</f>
        <v>1778640.8623002407</v>
      </c>
      <c r="J1380" s="3">
        <f>IF(ROW()&lt;3, Dashboard!$E$7, IF(Query1[[#This Row],[Month]]&lt;&gt;H1379,J1379*(1+Dashboard!$E$4)+Dashboard!$E$5,J1379))</f>
        <v>1136556.541722045</v>
      </c>
      <c r="K1380">
        <f>IF(ROW()&lt;3, 0,IF(Query1[[#This Row],[Month]]&lt;&gt;H1379,IF((J1380-I1380&gt;0),J1380-I1380,0),0))</f>
        <v>0</v>
      </c>
      <c r="L1380" s="2">
        <f t="shared" si="21"/>
        <v>3592.2989655359538</v>
      </c>
      <c r="N1380" s="2">
        <f>IF(ROW()&lt;3, Query1[[#This Row],[Shares]], IF(Query1[[#This Row],[Month]]&lt;&gt;H1379, N1379+Query1[[#This Row],[Fix Top Up]]/Query1[[#This Row],[Adj Close]], N1379))</f>
        <v>3443.7835895075805</v>
      </c>
      <c r="P1380" s="2">
        <f>IF(ROW()&lt;3, Query1[[#This Row],[Shares]], IF(Query1[[#This Row],[Month]]&lt;&gt;H1379, P1379+Query1[[#This Row],[Enhanced top up]]/Query1[[#This Row],[Adj Close]], P1379))</f>
        <v>3441.9086679591742</v>
      </c>
      <c r="Q1380" s="2">
        <f>IFERROR(AVERAGE(
  IF(ROW()&gt;20, INDEX(G:G, ROW()-20), 0) :
  INDEX(G:G, ROW())
),0)</f>
        <v>475.05809093656995</v>
      </c>
    </row>
    <row r="1381" spans="1:17" x14ac:dyDescent="0.4">
      <c r="A1381" s="1">
        <v>45838</v>
      </c>
      <c r="B1381">
        <v>497.04000854492188</v>
      </c>
      <c r="C1381">
        <v>500.760009765625</v>
      </c>
      <c r="D1381">
        <v>495.32998657226563</v>
      </c>
      <c r="E1381">
        <v>497.41000366210938</v>
      </c>
      <c r="F1381">
        <v>28369000</v>
      </c>
      <c r="G1381">
        <v>496.59365844726563</v>
      </c>
      <c r="H1381" s="2">
        <f>MONTH(Query1[[#This Row],[Date]])</f>
        <v>6</v>
      </c>
      <c r="I1381" s="3">
        <f>Query1[[#This Row],[Shares]]*Query1[[#This Row],[Adj Close]]</f>
        <v>1783912.8855318271</v>
      </c>
      <c r="J1381" s="3">
        <f>IF(ROW()&lt;3, Dashboard!$E$7, IF(Query1[[#This Row],[Month]]&lt;&gt;H1380,J1380*(1+Dashboard!$E$4)+Dashboard!$E$5,J1380))</f>
        <v>1136556.541722045</v>
      </c>
      <c r="K1381">
        <f>IF(ROW()&lt;3, 0,IF(Query1[[#This Row],[Month]]&lt;&gt;H1380,IF((J1381-I1381&gt;0),J1381-I1381,0),0))</f>
        <v>0</v>
      </c>
      <c r="L1381" s="2">
        <f t="shared" si="21"/>
        <v>3592.2989655359538</v>
      </c>
      <c r="N1381" s="2">
        <f>IF(ROW()&lt;3, Query1[[#This Row],[Shares]], IF(Query1[[#This Row],[Month]]&lt;&gt;H1380, N1380+Query1[[#This Row],[Fix Top Up]]/Query1[[#This Row],[Adj Close]], N1380))</f>
        <v>3443.7835895075805</v>
      </c>
      <c r="P1381" s="2">
        <f>IF(ROW()&lt;3, Query1[[#This Row],[Shares]], IF(Query1[[#This Row],[Month]]&lt;&gt;H1380, P1380+Query1[[#This Row],[Enhanced top up]]/Query1[[#This Row],[Adj Close]], P1380))</f>
        <v>3441.9086679591742</v>
      </c>
      <c r="Q1381" s="2">
        <f>IFERROR(AVERAGE(
  IF(ROW()&gt;20, INDEX(G:G, ROW()-20), 0) :
  INDEX(G:G, ROW())
),0)</f>
        <v>476.89935012090774</v>
      </c>
    </row>
    <row r="1382" spans="1:17" x14ac:dyDescent="0.4">
      <c r="A1382" s="1">
        <v>45839</v>
      </c>
      <c r="B1382">
        <v>496.47000122070313</v>
      </c>
      <c r="C1382">
        <v>498.04998779296875</v>
      </c>
      <c r="D1382">
        <v>490.98001098632813</v>
      </c>
      <c r="E1382">
        <v>492.04998779296875</v>
      </c>
      <c r="F1382">
        <v>19945400</v>
      </c>
      <c r="G1382">
        <v>491.242431640625</v>
      </c>
      <c r="H1382" s="2">
        <f>MONTH(Query1[[#This Row],[Date]])</f>
        <v>7</v>
      </c>
      <c r="I1382" s="3">
        <f>Query1[[#This Row],[Shares]]*Query1[[#This Row],[Adj Close]]</f>
        <v>1764689.6790099838</v>
      </c>
      <c r="J1382" s="3">
        <f>IF(ROW()&lt;3, Dashboard!$E$7, IF(Query1[[#This Row],[Month]]&lt;&gt;H1381,J1381*(1+Dashboard!$E$4)+Dashboard!$E$5,J1381))</f>
        <v>1149922.1071392654</v>
      </c>
      <c r="K1382">
        <f>IF(ROW()&lt;3, 0,IF(Query1[[#This Row],[Month]]&lt;&gt;H1381,IF((J1382-I1382&gt;0),J1382-I1382,0),0))</f>
        <v>0</v>
      </c>
      <c r="L1382" s="2">
        <f t="shared" si="21"/>
        <v>3592.2989655359538</v>
      </c>
      <c r="N1382" s="2">
        <f>IF(ROW()&lt;3, Query1[[#This Row],[Shares]], IF(Query1[[#This Row],[Month]]&lt;&gt;H1381, N1381+Query1[[#This Row],[Fix Top Up]]/Query1[[#This Row],[Adj Close]], N1381))</f>
        <v>3443.7835895075805</v>
      </c>
      <c r="P1382" s="2">
        <f>IF(ROW()&lt;3, Query1[[#This Row],[Shares]], IF(Query1[[#This Row],[Month]]&lt;&gt;H1381, P1381+Query1[[#This Row],[Enhanced top up]]/Query1[[#This Row],[Adj Close]], P1381))</f>
        <v>3441.9086679591742</v>
      </c>
      <c r="Q1382" s="2">
        <f>IFERROR(AVERAGE(
  IF(ROW()&gt;20, INDEX(G:G, ROW()-20), 0) :
  INDEX(G:G, ROW())
),0)</f>
        <v>478.40592157273068</v>
      </c>
    </row>
    <row r="1383" spans="1:17" x14ac:dyDescent="0.4">
      <c r="A1383" s="1">
        <v>45840</v>
      </c>
      <c r="B1383">
        <v>489.989990234375</v>
      </c>
      <c r="C1383">
        <v>493.5</v>
      </c>
      <c r="D1383">
        <v>488.70001220703125</v>
      </c>
      <c r="E1383">
        <v>491.08999633789063</v>
      </c>
      <c r="F1383">
        <v>16319600</v>
      </c>
      <c r="G1383">
        <v>490.28402709960938</v>
      </c>
      <c r="H1383" s="2">
        <f>MONTH(Query1[[#This Row],[Date]])</f>
        <v>7</v>
      </c>
      <c r="I1383" s="3">
        <f>Query1[[#This Row],[Shares]]*Query1[[#This Row],[Adj Close]]</f>
        <v>1761246.8033687284</v>
      </c>
      <c r="J1383" s="3">
        <f>IF(ROW()&lt;3, Dashboard!$E$7, IF(Query1[[#This Row],[Month]]&lt;&gt;H1382,J1382*(1+Dashboard!$E$4)+Dashboard!$E$5,J1382))</f>
        <v>1149922.1071392654</v>
      </c>
      <c r="K1383">
        <f>IF(ROW()&lt;3, 0,IF(Query1[[#This Row],[Month]]&lt;&gt;H1382,IF((J1383-I1383&gt;0),J1383-I1383,0),0))</f>
        <v>0</v>
      </c>
      <c r="L1383" s="2">
        <f t="shared" si="21"/>
        <v>3592.2989655359538</v>
      </c>
      <c r="N1383" s="2">
        <f>IF(ROW()&lt;3, Query1[[#This Row],[Shares]], IF(Query1[[#This Row],[Month]]&lt;&gt;H1382, N1382+Query1[[#This Row],[Fix Top Up]]/Query1[[#This Row],[Adj Close]], N1382))</f>
        <v>3443.7835895075805</v>
      </c>
      <c r="P1383" s="2">
        <f>IF(ROW()&lt;3, Query1[[#This Row],[Shares]], IF(Query1[[#This Row],[Month]]&lt;&gt;H1382, P1382+Query1[[#This Row],[Enhanced top up]]/Query1[[#This Row],[Adj Close]], P1382))</f>
        <v>3441.9086679591742</v>
      </c>
      <c r="Q1383" s="2">
        <f>IFERROR(AVERAGE(
  IF(ROW()&gt;20, INDEX(G:G, ROW()-20), 0) :
  INDEX(G:G, ROW())
),0)</f>
        <v>479.79031226748509</v>
      </c>
    </row>
    <row r="1384" spans="1:17" x14ac:dyDescent="0.4">
      <c r="A1384" s="1">
        <v>45841</v>
      </c>
      <c r="B1384">
        <v>493.80999755859375</v>
      </c>
      <c r="C1384">
        <v>500.1300048828125</v>
      </c>
      <c r="D1384">
        <v>493.44000244140625</v>
      </c>
      <c r="E1384">
        <v>498.83999633789063</v>
      </c>
      <c r="F1384">
        <v>13984800</v>
      </c>
      <c r="G1384">
        <v>498.02130126953125</v>
      </c>
      <c r="H1384" s="2">
        <f>MONTH(Query1[[#This Row],[Date]])</f>
        <v>7</v>
      </c>
      <c r="I1384" s="3">
        <f>Query1[[#This Row],[Shares]]*Query1[[#This Row],[Adj Close]]</f>
        <v>1789041.4053654068</v>
      </c>
      <c r="J1384" s="3">
        <f>IF(ROW()&lt;3, Dashboard!$E$7, IF(Query1[[#This Row],[Month]]&lt;&gt;H1383,J1383*(1+Dashboard!$E$4)+Dashboard!$E$5,J1383))</f>
        <v>1149922.1071392654</v>
      </c>
      <c r="K1384">
        <f>IF(ROW()&lt;3, 0,IF(Query1[[#This Row],[Month]]&lt;&gt;H1383,IF((J1384-I1384&gt;0),J1384-I1384,0),0))</f>
        <v>0</v>
      </c>
      <c r="L1384" s="2">
        <f t="shared" si="21"/>
        <v>3592.2989655359538</v>
      </c>
      <c r="N1384" s="2">
        <f>IF(ROW()&lt;3, Query1[[#This Row],[Shares]], IF(Query1[[#This Row],[Month]]&lt;&gt;H1383, N1383+Query1[[#This Row],[Fix Top Up]]/Query1[[#This Row],[Adj Close]], N1383))</f>
        <v>3443.7835895075805</v>
      </c>
      <c r="P1384" s="2">
        <f>IF(ROW()&lt;3, Query1[[#This Row],[Shares]], IF(Query1[[#This Row],[Month]]&lt;&gt;H1383, P1383+Query1[[#This Row],[Enhanced top up]]/Query1[[#This Row],[Adj Close]], P1383))</f>
        <v>3441.9086679591742</v>
      </c>
      <c r="Q1384" s="2">
        <f>IFERROR(AVERAGE(
  IF(ROW()&gt;20, INDEX(G:G, ROW()-20), 0) :
  INDEX(G:G, ROW())
),0)</f>
        <v>481.49560401553197</v>
      </c>
    </row>
    <row r="1385" spans="1:17" x14ac:dyDescent="0.4">
      <c r="A1385" s="1">
        <v>45845</v>
      </c>
      <c r="B1385">
        <v>497.3800048828125</v>
      </c>
      <c r="C1385">
        <v>498.75</v>
      </c>
      <c r="D1385">
        <v>495.23001098632813</v>
      </c>
      <c r="E1385">
        <v>497.72000122070313</v>
      </c>
      <c r="F1385">
        <v>13981600</v>
      </c>
      <c r="G1385">
        <v>496.90313720703125</v>
      </c>
      <c r="H1385" s="2">
        <f>MONTH(Query1[[#This Row],[Date]])</f>
        <v>7</v>
      </c>
      <c r="I1385" s="3">
        <f>Query1[[#This Row],[Shares]]*Query1[[#This Row],[Adj Close]]</f>
        <v>1785024.6257603886</v>
      </c>
      <c r="J1385" s="3">
        <f>IF(ROW()&lt;3, Dashboard!$E$7, IF(Query1[[#This Row],[Month]]&lt;&gt;H1384,J1384*(1+Dashboard!$E$4)+Dashboard!$E$5,J1384))</f>
        <v>1149922.1071392654</v>
      </c>
      <c r="K1385">
        <f>IF(ROW()&lt;3, 0,IF(Query1[[#This Row],[Month]]&lt;&gt;H1384,IF((J1385-I1385&gt;0),J1385-I1385,0),0))</f>
        <v>0</v>
      </c>
      <c r="L1385" s="2">
        <f t="shared" si="21"/>
        <v>3592.2989655359538</v>
      </c>
      <c r="N1385" s="2">
        <f>IF(ROW()&lt;3, Query1[[#This Row],[Shares]], IF(Query1[[#This Row],[Month]]&lt;&gt;H1384, N1384+Query1[[#This Row],[Fix Top Up]]/Query1[[#This Row],[Adj Close]], N1384))</f>
        <v>3443.7835895075805</v>
      </c>
      <c r="P1385" s="2">
        <f>IF(ROW()&lt;3, Query1[[#This Row],[Shares]], IF(Query1[[#This Row],[Month]]&lt;&gt;H1384, P1384+Query1[[#This Row],[Enhanced top up]]/Query1[[#This Row],[Adj Close]], P1384))</f>
        <v>3441.9086679591742</v>
      </c>
      <c r="Q1385" s="2">
        <f>IFERROR(AVERAGE(
  IF(ROW()&gt;20, INDEX(G:G, ROW()-20), 0) :
  INDEX(G:G, ROW())
),0)</f>
        <v>483.10486421130952</v>
      </c>
    </row>
    <row r="1386" spans="1:17" x14ac:dyDescent="0.4">
      <c r="A1386" s="1">
        <v>45846</v>
      </c>
      <c r="B1386">
        <v>497.239990234375</v>
      </c>
      <c r="C1386">
        <v>498.20001220703125</v>
      </c>
      <c r="D1386">
        <v>494.1099853515625</v>
      </c>
      <c r="E1386">
        <v>496.6199951171875</v>
      </c>
      <c r="F1386">
        <v>11846600</v>
      </c>
      <c r="G1386">
        <v>495.804931640625</v>
      </c>
      <c r="H1386" s="2">
        <f>MONTH(Query1[[#This Row],[Date]])</f>
        <v>7</v>
      </c>
      <c r="I1386" s="3">
        <f>Query1[[#This Row],[Shares]]*Query1[[#This Row],[Adj Close]]</f>
        <v>1781079.5430402416</v>
      </c>
      <c r="J1386" s="3">
        <f>IF(ROW()&lt;3, Dashboard!$E$7, IF(Query1[[#This Row],[Month]]&lt;&gt;H1385,J1385*(1+Dashboard!$E$4)+Dashboard!$E$5,J1385))</f>
        <v>1149922.1071392654</v>
      </c>
      <c r="K1386">
        <f>IF(ROW()&lt;3, 0,IF(Query1[[#This Row],[Month]]&lt;&gt;H1385,IF((J1386-I1386&gt;0),J1386-I1386,0),0))</f>
        <v>0</v>
      </c>
      <c r="L1386" s="2">
        <f t="shared" si="21"/>
        <v>3592.2989655359538</v>
      </c>
      <c r="N1386" s="2">
        <f>IF(ROW()&lt;3, Query1[[#This Row],[Shares]], IF(Query1[[#This Row],[Month]]&lt;&gt;H1385, N1385+Query1[[#This Row],[Fix Top Up]]/Query1[[#This Row],[Adj Close]], N1385))</f>
        <v>3443.7835895075805</v>
      </c>
      <c r="P1386" s="2">
        <f>IF(ROW()&lt;3, Query1[[#This Row],[Shares]], IF(Query1[[#This Row],[Month]]&lt;&gt;H1385, P1385+Query1[[#This Row],[Enhanced top up]]/Query1[[#This Row],[Adj Close]], P1385))</f>
        <v>3441.9086679591742</v>
      </c>
      <c r="Q1386" s="2">
        <f>IFERROR(AVERAGE(
  IF(ROW()&gt;20, INDEX(G:G, ROW()-20), 0) :
  INDEX(G:G, ROW())
),0)</f>
        <v>484.48069835844495</v>
      </c>
    </row>
    <row r="1387" spans="1:17" x14ac:dyDescent="0.4">
      <c r="A1387" s="1">
        <v>45847</v>
      </c>
      <c r="B1387">
        <v>500.29998779296875</v>
      </c>
      <c r="C1387">
        <v>506.77999877929688</v>
      </c>
      <c r="D1387">
        <v>499.739990234375</v>
      </c>
      <c r="E1387">
        <v>503.510009765625</v>
      </c>
      <c r="F1387">
        <v>18659500</v>
      </c>
      <c r="G1387">
        <v>502.68365478515625</v>
      </c>
      <c r="H1387" s="2">
        <f>MONTH(Query1[[#This Row],[Date]])</f>
        <v>7</v>
      </c>
      <c r="I1387" s="3">
        <f>Query1[[#This Row],[Shares]]*Query1[[#This Row],[Adj Close]]</f>
        <v>1805789.9730765494</v>
      </c>
      <c r="J1387" s="3">
        <f>IF(ROW()&lt;3, Dashboard!$E$7, IF(Query1[[#This Row],[Month]]&lt;&gt;H1386,J1386*(1+Dashboard!$E$4)+Dashboard!$E$5,J1386))</f>
        <v>1149922.1071392654</v>
      </c>
      <c r="K1387">
        <f>IF(ROW()&lt;3, 0,IF(Query1[[#This Row],[Month]]&lt;&gt;H1386,IF((J1387-I1387&gt;0),J1387-I1387,0),0))</f>
        <v>0</v>
      </c>
      <c r="L1387" s="2">
        <f t="shared" si="21"/>
        <v>3592.2989655359538</v>
      </c>
      <c r="N1387" s="2">
        <f>IF(ROW()&lt;3, Query1[[#This Row],[Shares]], IF(Query1[[#This Row],[Month]]&lt;&gt;H1386, N1386+Query1[[#This Row],[Fix Top Up]]/Query1[[#This Row],[Adj Close]], N1386))</f>
        <v>3443.7835895075805</v>
      </c>
      <c r="P1387" s="2">
        <f>IF(ROW()&lt;3, Query1[[#This Row],[Shares]], IF(Query1[[#This Row],[Month]]&lt;&gt;H1386, P1386+Query1[[#This Row],[Enhanced top up]]/Query1[[#This Row],[Adj Close]], P1386))</f>
        <v>3441.9086679591742</v>
      </c>
      <c r="Q1387" s="2">
        <f>IFERROR(AVERAGE(
  IF(ROW()&gt;20, INDEX(G:G, ROW()-20), 0) :
  INDEX(G:G, ROW())
),0)</f>
        <v>486.05572945731029</v>
      </c>
    </row>
    <row r="1388" spans="1:17" x14ac:dyDescent="0.4">
      <c r="A1388" s="1">
        <v>45848</v>
      </c>
      <c r="B1388">
        <v>503.04998779296875</v>
      </c>
      <c r="C1388">
        <v>504.44000244140625</v>
      </c>
      <c r="D1388">
        <v>497.75</v>
      </c>
      <c r="E1388">
        <v>501.48001098632813</v>
      </c>
      <c r="F1388">
        <v>16492100</v>
      </c>
      <c r="G1388">
        <v>500.656982421875</v>
      </c>
      <c r="H1388" s="2">
        <f>MONTH(Query1[[#This Row],[Date]])</f>
        <v>7</v>
      </c>
      <c r="I1388" s="3">
        <f>Query1[[#This Row],[Shares]]*Query1[[#This Row],[Adj Close]]</f>
        <v>1798509.5600424537</v>
      </c>
      <c r="J1388" s="3">
        <f>IF(ROW()&lt;3, Dashboard!$E$7, IF(Query1[[#This Row],[Month]]&lt;&gt;H1387,J1387*(1+Dashboard!$E$4)+Dashboard!$E$5,J1387))</f>
        <v>1149922.1071392654</v>
      </c>
      <c r="K1388">
        <f>IF(ROW()&lt;3, 0,IF(Query1[[#This Row],[Month]]&lt;&gt;H1387,IF((J1388-I1388&gt;0),J1388-I1388,0),0))</f>
        <v>0</v>
      </c>
      <c r="L1388" s="2">
        <f t="shared" si="21"/>
        <v>3592.2989655359538</v>
      </c>
      <c r="N1388" s="2">
        <f>IF(ROW()&lt;3, Query1[[#This Row],[Shares]], IF(Query1[[#This Row],[Month]]&lt;&gt;H1387, N1387+Query1[[#This Row],[Fix Top Up]]/Query1[[#This Row],[Adj Close]], N1387))</f>
        <v>3443.7835895075805</v>
      </c>
      <c r="P1388" s="2">
        <f>IF(ROW()&lt;3, Query1[[#This Row],[Shares]], IF(Query1[[#This Row],[Month]]&lt;&gt;H1387, P1387+Query1[[#This Row],[Enhanced top up]]/Query1[[#This Row],[Adj Close]], P1387))</f>
        <v>3441.9086679591742</v>
      </c>
      <c r="Q1388" s="2">
        <f>IFERROR(AVERAGE(
  IF(ROW()&gt;20, INDEX(G:G, ROW()-20), 0) :
  INDEX(G:G, ROW())
),0)</f>
        <v>487.42157999674481</v>
      </c>
    </row>
    <row r="1389" spans="1:17" x14ac:dyDescent="0.4">
      <c r="A1389" s="1">
        <v>45849</v>
      </c>
      <c r="B1389">
        <v>498.47000122070313</v>
      </c>
      <c r="C1389">
        <v>505.02999877929688</v>
      </c>
      <c r="D1389">
        <v>497.79998779296875</v>
      </c>
      <c r="E1389">
        <v>503.32000732421875</v>
      </c>
      <c r="F1389">
        <v>16459500</v>
      </c>
      <c r="G1389">
        <v>502.49395751953125</v>
      </c>
      <c r="H1389" s="2">
        <f>MONTH(Query1[[#This Row],[Date]])</f>
        <v>7</v>
      </c>
      <c r="I1389" s="3">
        <f>Query1[[#This Row],[Shares]]*Query1[[#This Row],[Adj Close]]</f>
        <v>1805108.5237854796</v>
      </c>
      <c r="J1389" s="3">
        <f>IF(ROW()&lt;3, Dashboard!$E$7, IF(Query1[[#This Row],[Month]]&lt;&gt;H1388,J1388*(1+Dashboard!$E$4)+Dashboard!$E$5,J1388))</f>
        <v>1149922.1071392654</v>
      </c>
      <c r="K1389">
        <f>IF(ROW()&lt;3, 0,IF(Query1[[#This Row],[Month]]&lt;&gt;H1388,IF((J1389-I1389&gt;0),J1389-I1389,0),0))</f>
        <v>0</v>
      </c>
      <c r="L1389" s="2">
        <f t="shared" si="21"/>
        <v>3592.2989655359538</v>
      </c>
      <c r="N1389" s="2">
        <f>IF(ROW()&lt;3, Query1[[#This Row],[Shares]], IF(Query1[[#This Row],[Month]]&lt;&gt;H1388, N1388+Query1[[#This Row],[Fix Top Up]]/Query1[[#This Row],[Adj Close]], N1388))</f>
        <v>3443.7835895075805</v>
      </c>
      <c r="P1389" s="2">
        <f>IF(ROW()&lt;3, Query1[[#This Row],[Shares]], IF(Query1[[#This Row],[Month]]&lt;&gt;H1388, P1388+Query1[[#This Row],[Enhanced top up]]/Query1[[#This Row],[Adj Close]], P1388))</f>
        <v>3441.9086679591742</v>
      </c>
      <c r="Q1389" s="2">
        <f>IFERROR(AVERAGE(
  IF(ROW()&gt;20, INDEX(G:G, ROW()-20), 0) :
  INDEX(G:G, ROW())
),0)</f>
        <v>488.96190534319197</v>
      </c>
    </row>
    <row r="1390" spans="1:17" x14ac:dyDescent="0.4">
      <c r="A1390" s="1">
        <v>45852</v>
      </c>
      <c r="B1390">
        <v>501.51998901367188</v>
      </c>
      <c r="C1390">
        <v>503.97000122070313</v>
      </c>
      <c r="D1390">
        <v>501.02999877929688</v>
      </c>
      <c r="E1390">
        <v>503.01998901367188</v>
      </c>
      <c r="F1390">
        <v>12058800</v>
      </c>
      <c r="G1390">
        <v>502.19442749023438</v>
      </c>
      <c r="H1390" s="2">
        <f>MONTH(Query1[[#This Row],[Date]])</f>
        <v>7</v>
      </c>
      <c r="I1390" s="3">
        <f>Query1[[#This Row],[Shares]]*Query1[[#This Row],[Adj Close]]</f>
        <v>1804032.5223710896</v>
      </c>
      <c r="J1390" s="3">
        <f>IF(ROW()&lt;3, Dashboard!$E$7, IF(Query1[[#This Row],[Month]]&lt;&gt;H1389,J1389*(1+Dashboard!$E$4)+Dashboard!$E$5,J1389))</f>
        <v>1149922.1071392654</v>
      </c>
      <c r="K1390">
        <f>IF(ROW()&lt;3, 0,IF(Query1[[#This Row],[Month]]&lt;&gt;H1389,IF((J1390-I1390&gt;0),J1390-I1390,0),0))</f>
        <v>0</v>
      </c>
      <c r="L1390" s="2">
        <f t="shared" si="21"/>
        <v>3592.2989655359538</v>
      </c>
      <c r="N1390" s="2">
        <f>IF(ROW()&lt;3, Query1[[#This Row],[Shares]], IF(Query1[[#This Row],[Month]]&lt;&gt;H1389, N1389+Query1[[#This Row],[Fix Top Up]]/Query1[[#This Row],[Adj Close]], N1389))</f>
        <v>3443.7835895075805</v>
      </c>
      <c r="P1390" s="2">
        <f>IF(ROW()&lt;3, Query1[[#This Row],[Shares]], IF(Query1[[#This Row],[Month]]&lt;&gt;H1389, P1389+Query1[[#This Row],[Enhanced top up]]/Query1[[#This Row],[Adj Close]], P1389))</f>
        <v>3441.9086679591742</v>
      </c>
      <c r="Q1390" s="2">
        <f>IFERROR(AVERAGE(
  IF(ROW()&gt;20, INDEX(G:G, ROW()-20), 0) :
  INDEX(G:G, ROW())
),0)</f>
        <v>490.40714808872769</v>
      </c>
    </row>
    <row r="1391" spans="1:17" x14ac:dyDescent="0.4">
      <c r="A1391" s="1">
        <v>45853</v>
      </c>
      <c r="B1391">
        <v>503.01998901367188</v>
      </c>
      <c r="C1391">
        <v>508.29998779296875</v>
      </c>
      <c r="D1391">
        <v>502.79000854492188</v>
      </c>
      <c r="E1391">
        <v>505.82000732421875</v>
      </c>
      <c r="F1391">
        <v>14927200</v>
      </c>
      <c r="G1391">
        <v>504.98983764648438</v>
      </c>
      <c r="H1391" s="2">
        <f>MONTH(Query1[[#This Row],[Date]])</f>
        <v>7</v>
      </c>
      <c r="I1391" s="3">
        <f>Query1[[#This Row],[Shares]]*Query1[[#This Row],[Adj Close]]</f>
        <v>1814074.4713836352</v>
      </c>
      <c r="J1391" s="3">
        <f>IF(ROW()&lt;3, Dashboard!$E$7, IF(Query1[[#This Row],[Month]]&lt;&gt;H1390,J1390*(1+Dashboard!$E$4)+Dashboard!$E$5,J1390))</f>
        <v>1149922.1071392654</v>
      </c>
      <c r="K1391">
        <f>IF(ROW()&lt;3, 0,IF(Query1[[#This Row],[Month]]&lt;&gt;H1390,IF((J1391-I1391&gt;0),J1391-I1391,0),0))</f>
        <v>0</v>
      </c>
      <c r="L1391" s="2">
        <f t="shared" si="21"/>
        <v>3592.2989655359538</v>
      </c>
      <c r="N1391" s="2">
        <f>IF(ROW()&lt;3, Query1[[#This Row],[Shares]], IF(Query1[[#This Row],[Month]]&lt;&gt;H1390, N1390+Query1[[#This Row],[Fix Top Up]]/Query1[[#This Row],[Adj Close]], N1390))</f>
        <v>3443.7835895075805</v>
      </c>
      <c r="P1391" s="2">
        <f>IF(ROW()&lt;3, Query1[[#This Row],[Shares]], IF(Query1[[#This Row],[Month]]&lt;&gt;H1390, P1390+Query1[[#This Row],[Enhanced top up]]/Query1[[#This Row],[Adj Close]], P1390))</f>
        <v>3441.9086679591742</v>
      </c>
      <c r="Q1391" s="2">
        <f>IFERROR(AVERAGE(
  IF(ROW()&gt;20, INDEX(G:G, ROW()-20), 0) :
  INDEX(G:G, ROW())
),0)</f>
        <v>491.68837483723956</v>
      </c>
    </row>
    <row r="1392" spans="1:17" x14ac:dyDescent="0.4">
      <c r="A1392" s="1">
        <v>45854</v>
      </c>
      <c r="B1392">
        <v>505.17999267578125</v>
      </c>
      <c r="C1392">
        <v>506.72000122070313</v>
      </c>
      <c r="D1392">
        <v>501.8900146484375</v>
      </c>
      <c r="E1392">
        <v>505.6199951171875</v>
      </c>
      <c r="F1392">
        <v>15154400</v>
      </c>
      <c r="G1392">
        <v>504.7901611328125</v>
      </c>
      <c r="H1392" s="2">
        <f>MONTH(Query1[[#This Row],[Date]])</f>
        <v>7</v>
      </c>
      <c r="I1392" s="3">
        <f>Query1[[#This Row],[Shares]]*Query1[[#This Row],[Adj Close]]</f>
        <v>1813357.1736501297</v>
      </c>
      <c r="J1392" s="3">
        <f>IF(ROW()&lt;3, Dashboard!$E$7, IF(Query1[[#This Row],[Month]]&lt;&gt;H1391,J1391*(1+Dashboard!$E$4)+Dashboard!$E$5,J1391))</f>
        <v>1149922.1071392654</v>
      </c>
      <c r="K1392">
        <f>IF(ROW()&lt;3, 0,IF(Query1[[#This Row],[Month]]&lt;&gt;H1391,IF((J1392-I1392&gt;0),J1392-I1392,0),0))</f>
        <v>0</v>
      </c>
      <c r="L1392" s="2">
        <f t="shared" si="21"/>
        <v>3592.2989655359538</v>
      </c>
      <c r="N1392" s="2">
        <f>IF(ROW()&lt;3, Query1[[#This Row],[Shares]], IF(Query1[[#This Row],[Month]]&lt;&gt;H1391, N1391+Query1[[#This Row],[Fix Top Up]]/Query1[[#This Row],[Adj Close]], N1391))</f>
        <v>3443.7835895075805</v>
      </c>
      <c r="P1392" s="2">
        <f>IF(ROW()&lt;3, Query1[[#This Row],[Shares]], IF(Query1[[#This Row],[Month]]&lt;&gt;H1391, P1391+Query1[[#This Row],[Enhanced top up]]/Query1[[#This Row],[Adj Close]], P1391))</f>
        <v>3441.9086679591742</v>
      </c>
      <c r="Q1392" s="2">
        <f>IFERROR(AVERAGE(
  IF(ROW()&gt;20, INDEX(G:G, ROW()-20), 0) :
  INDEX(G:G, ROW())
),0)</f>
        <v>493.14597865513394</v>
      </c>
    </row>
    <row r="1393" spans="1:17" x14ac:dyDescent="0.4">
      <c r="A1393" s="1">
        <v>45855</v>
      </c>
      <c r="B1393">
        <v>505.67999267578125</v>
      </c>
      <c r="C1393">
        <v>513.3699951171875</v>
      </c>
      <c r="D1393">
        <v>505.6199951171875</v>
      </c>
      <c r="E1393">
        <v>511.70001220703125</v>
      </c>
      <c r="F1393">
        <v>17503100</v>
      </c>
      <c r="G1393">
        <v>510.86019897460938</v>
      </c>
      <c r="H1393" s="2">
        <f>MONTH(Query1[[#This Row],[Date]])</f>
        <v>7</v>
      </c>
      <c r="I1393" s="3">
        <f>Query1[[#This Row],[Shares]]*Query1[[#This Row],[Adj Close]]</f>
        <v>1835162.5643099807</v>
      </c>
      <c r="J1393" s="3">
        <f>IF(ROW()&lt;3, Dashboard!$E$7, IF(Query1[[#This Row],[Month]]&lt;&gt;H1392,J1392*(1+Dashboard!$E$4)+Dashboard!$E$5,J1392))</f>
        <v>1149922.1071392654</v>
      </c>
      <c r="K1393">
        <f>IF(ROW()&lt;3, 0,IF(Query1[[#This Row],[Month]]&lt;&gt;H1392,IF((J1393-I1393&gt;0),J1393-I1393,0),0))</f>
        <v>0</v>
      </c>
      <c r="L1393" s="2">
        <f t="shared" si="21"/>
        <v>3592.2989655359538</v>
      </c>
      <c r="N1393" s="2">
        <f>IF(ROW()&lt;3, Query1[[#This Row],[Shares]], IF(Query1[[#This Row],[Month]]&lt;&gt;H1392, N1392+Query1[[#This Row],[Fix Top Up]]/Query1[[#This Row],[Adj Close]], N1392))</f>
        <v>3443.7835895075805</v>
      </c>
      <c r="P1393" s="2">
        <f>IF(ROW()&lt;3, Query1[[#This Row],[Shares]], IF(Query1[[#This Row],[Month]]&lt;&gt;H1392, P1392+Query1[[#This Row],[Enhanced top up]]/Query1[[#This Row],[Adj Close]], P1392))</f>
        <v>3441.9086679591742</v>
      </c>
      <c r="Q1393" s="2">
        <f>IFERROR(AVERAGE(
  IF(ROW()&gt;20, INDEX(G:G, ROW()-20), 0) :
  INDEX(G:G, ROW())
),0)</f>
        <v>494.69391014462428</v>
      </c>
    </row>
    <row r="1394" spans="1:17" x14ac:dyDescent="0.4">
      <c r="A1394" s="1">
        <v>45856</v>
      </c>
      <c r="B1394">
        <v>514.47998046875</v>
      </c>
      <c r="C1394">
        <v>514.6400146484375</v>
      </c>
      <c r="D1394">
        <v>507.42999267578125</v>
      </c>
      <c r="E1394">
        <v>510.04998779296875</v>
      </c>
      <c r="F1394">
        <v>21209700</v>
      </c>
      <c r="G1394">
        <v>509.212890625</v>
      </c>
      <c r="H1394" s="2">
        <f>MONTH(Query1[[#This Row],[Date]])</f>
        <v>7</v>
      </c>
      <c r="I1394" s="3">
        <f>Query1[[#This Row],[Shares]]*Query1[[#This Row],[Adj Close]]</f>
        <v>1829244.9402297603</v>
      </c>
      <c r="J1394" s="3">
        <f>IF(ROW()&lt;3, Dashboard!$E$7, IF(Query1[[#This Row],[Month]]&lt;&gt;H1393,J1393*(1+Dashboard!$E$4)+Dashboard!$E$5,J1393))</f>
        <v>1149922.1071392654</v>
      </c>
      <c r="K1394">
        <f>IF(ROW()&lt;3, 0,IF(Query1[[#This Row],[Month]]&lt;&gt;H1393,IF((J1394-I1394&gt;0),J1394-I1394,0),0))</f>
        <v>0</v>
      </c>
      <c r="L1394" s="2">
        <f t="shared" si="21"/>
        <v>3592.2989655359538</v>
      </c>
      <c r="N1394" s="2">
        <f>IF(ROW()&lt;3, Query1[[#This Row],[Shares]], IF(Query1[[#This Row],[Month]]&lt;&gt;H1393, N1393+Query1[[#This Row],[Fix Top Up]]/Query1[[#This Row],[Adj Close]], N1393))</f>
        <v>3443.7835895075805</v>
      </c>
      <c r="P1394" s="2">
        <f>IF(ROW()&lt;3, Query1[[#This Row],[Shares]], IF(Query1[[#This Row],[Month]]&lt;&gt;H1393, P1393+Query1[[#This Row],[Enhanced top up]]/Query1[[#This Row],[Adj Close]], P1393))</f>
        <v>3441.9086679591742</v>
      </c>
      <c r="Q1394" s="2">
        <f>IFERROR(AVERAGE(
  IF(ROW()&gt;20, INDEX(G:G, ROW()-20), 0) :
  INDEX(G:G, ROW())
),0)</f>
        <v>496.21569388253346</v>
      </c>
    </row>
    <row r="1395" spans="1:17" x14ac:dyDescent="0.4">
      <c r="A1395" s="1">
        <v>45859</v>
      </c>
      <c r="B1395">
        <v>506.70999145507813</v>
      </c>
      <c r="C1395">
        <v>512.09002685546875</v>
      </c>
      <c r="D1395">
        <v>505.54998779296875</v>
      </c>
      <c r="E1395">
        <v>510.05999755859375</v>
      </c>
      <c r="F1395">
        <v>14066800</v>
      </c>
      <c r="G1395">
        <v>509.22286987304688</v>
      </c>
      <c r="H1395" s="2">
        <f>MONTH(Query1[[#This Row],[Date]])</f>
        <v>7</v>
      </c>
      <c r="I1395" s="3">
        <f>Query1[[#This Row],[Shares]]*Query1[[#This Row],[Adj Close]]</f>
        <v>1829280.788672196</v>
      </c>
      <c r="J1395" s="3">
        <f>IF(ROW()&lt;3, Dashboard!$E$7, IF(Query1[[#This Row],[Month]]&lt;&gt;H1394,J1394*(1+Dashboard!$E$4)+Dashboard!$E$5,J1394))</f>
        <v>1149922.1071392654</v>
      </c>
      <c r="K1395">
        <f>IF(ROW()&lt;3, 0,IF(Query1[[#This Row],[Month]]&lt;&gt;H1394,IF((J1395-I1395&gt;0),J1395-I1395,0),0))</f>
        <v>0</v>
      </c>
      <c r="L1395" s="2">
        <f t="shared" si="21"/>
        <v>3592.2989655359538</v>
      </c>
      <c r="N1395" s="2">
        <f>IF(ROW()&lt;3, Query1[[#This Row],[Shares]], IF(Query1[[#This Row],[Month]]&lt;&gt;H1394, N1394+Query1[[#This Row],[Fix Top Up]]/Query1[[#This Row],[Adj Close]], N1394))</f>
        <v>3443.7835895075805</v>
      </c>
      <c r="P1395" s="2">
        <f>IF(ROW()&lt;3, Query1[[#This Row],[Shares]], IF(Query1[[#This Row],[Month]]&lt;&gt;H1394, P1394+Query1[[#This Row],[Enhanced top up]]/Query1[[#This Row],[Adj Close]], P1394))</f>
        <v>3441.9086679591742</v>
      </c>
      <c r="Q1395" s="2">
        <f>IFERROR(AVERAGE(
  IF(ROW()&gt;20, INDEX(G:G, ROW()-20), 0) :
  INDEX(G:G, ROW())
),0)</f>
        <v>497.63336326962428</v>
      </c>
    </row>
    <row r="1396" spans="1:17" x14ac:dyDescent="0.4">
      <c r="A1396" s="1">
        <v>45860</v>
      </c>
      <c r="B1396">
        <v>510.97000122070313</v>
      </c>
      <c r="C1396">
        <v>511.20001220703125</v>
      </c>
      <c r="D1396">
        <v>505.26998901367188</v>
      </c>
      <c r="E1396">
        <v>505.26998901367188</v>
      </c>
      <c r="F1396">
        <v>13868600</v>
      </c>
      <c r="G1396">
        <v>504.44073486328125</v>
      </c>
      <c r="H1396" s="2">
        <f>MONTH(Query1[[#This Row],[Date]])</f>
        <v>7</v>
      </c>
      <c r="I1396" s="3">
        <f>Query1[[#This Row],[Shares]]*Query1[[#This Row],[Adj Close]]</f>
        <v>1812101.9300235617</v>
      </c>
      <c r="J1396" s="3">
        <f>IF(ROW()&lt;3, Dashboard!$E$7, IF(Query1[[#This Row],[Month]]&lt;&gt;H1395,J1395*(1+Dashboard!$E$4)+Dashboard!$E$5,J1395))</f>
        <v>1149922.1071392654</v>
      </c>
      <c r="K1396">
        <f>IF(ROW()&lt;3, 0,IF(Query1[[#This Row],[Month]]&lt;&gt;H1395,IF((J1396-I1396&gt;0),J1396-I1396,0),0))</f>
        <v>0</v>
      </c>
      <c r="L1396" s="2">
        <f t="shared" si="21"/>
        <v>3592.2989655359538</v>
      </c>
      <c r="N1396" s="2">
        <f>IF(ROW()&lt;3, Query1[[#This Row],[Shares]], IF(Query1[[#This Row],[Month]]&lt;&gt;H1395, N1395+Query1[[#This Row],[Fix Top Up]]/Query1[[#This Row],[Adj Close]], N1395))</f>
        <v>3443.7835895075805</v>
      </c>
      <c r="P1396" s="2">
        <f>IF(ROW()&lt;3, Query1[[#This Row],[Shares]], IF(Query1[[#This Row],[Month]]&lt;&gt;H1395, P1395+Query1[[#This Row],[Enhanced top up]]/Query1[[#This Row],[Adj Close]], P1395))</f>
        <v>3441.9086679591742</v>
      </c>
      <c r="Q1396" s="2">
        <f>IFERROR(AVERAGE(
  IF(ROW()&gt;20, INDEX(G:G, ROW()-20), 0) :
  INDEX(G:G, ROW())
),0)</f>
        <v>498.9583275204613</v>
      </c>
    </row>
    <row r="1397" spans="1:17" x14ac:dyDescent="0.4">
      <c r="A1397" s="1">
        <v>45861</v>
      </c>
      <c r="B1397">
        <v>506.75</v>
      </c>
      <c r="C1397">
        <v>506.79000854492188</v>
      </c>
      <c r="D1397">
        <v>500.70001220703125</v>
      </c>
      <c r="E1397">
        <v>505.8699951171875</v>
      </c>
      <c r="F1397">
        <v>16396600</v>
      </c>
      <c r="G1397">
        <v>505.03976440429688</v>
      </c>
      <c r="H1397" s="2">
        <f>MONTH(Query1[[#This Row],[Date]])</f>
        <v>7</v>
      </c>
      <c r="I1397" s="3">
        <f>Query1[[#This Row],[Shares]]*Query1[[#This Row],[Adj Close]]</f>
        <v>1814253.8232240775</v>
      </c>
      <c r="J1397" s="3">
        <f>IF(ROW()&lt;3, Dashboard!$E$7, IF(Query1[[#This Row],[Month]]&lt;&gt;H1396,J1396*(1+Dashboard!$E$4)+Dashboard!$E$5,J1396))</f>
        <v>1149922.1071392654</v>
      </c>
      <c r="K1397">
        <f>IF(ROW()&lt;3, 0,IF(Query1[[#This Row],[Month]]&lt;&gt;H1396,IF((J1397-I1397&gt;0),J1397-I1397,0),0))</f>
        <v>0</v>
      </c>
      <c r="L1397" s="2">
        <f t="shared" si="21"/>
        <v>3592.2989655359538</v>
      </c>
      <c r="N1397" s="2">
        <f>IF(ROW()&lt;3, Query1[[#This Row],[Shares]], IF(Query1[[#This Row],[Month]]&lt;&gt;H1396, N1396+Query1[[#This Row],[Fix Top Up]]/Query1[[#This Row],[Adj Close]], N1396))</f>
        <v>3443.7835895075805</v>
      </c>
      <c r="P1397" s="2">
        <f>IF(ROW()&lt;3, Query1[[#This Row],[Shares]], IF(Query1[[#This Row],[Month]]&lt;&gt;H1396, P1396+Query1[[#This Row],[Enhanced top up]]/Query1[[#This Row],[Adj Close]], P1396))</f>
        <v>3441.9086679591742</v>
      </c>
      <c r="Q1397" s="2">
        <f>IFERROR(AVERAGE(
  IF(ROW()&gt;20, INDEX(G:G, ROW()-20), 0) :
  INDEX(G:G, ROW())
),0)</f>
        <v>499.90296572730654</v>
      </c>
    </row>
    <row r="1398" spans="1:17" x14ac:dyDescent="0.4">
      <c r="A1398" s="1">
        <v>45862</v>
      </c>
      <c r="B1398">
        <v>508.76998901367188</v>
      </c>
      <c r="C1398">
        <v>513.66998291015625</v>
      </c>
      <c r="D1398">
        <v>507.29998779296875</v>
      </c>
      <c r="E1398">
        <v>510.8800048828125</v>
      </c>
      <c r="F1398">
        <v>16107000</v>
      </c>
      <c r="G1398">
        <v>510.04153442382813</v>
      </c>
      <c r="H1398" s="2">
        <f>MONTH(Query1[[#This Row],[Date]])</f>
        <v>7</v>
      </c>
      <c r="I1398" s="3">
        <f>Query1[[#This Row],[Shares]]*Query1[[#This Row],[Adj Close]]</f>
        <v>1832221.6764910882</v>
      </c>
      <c r="J1398" s="3">
        <f>IF(ROW()&lt;3, Dashboard!$E$7, IF(Query1[[#This Row],[Month]]&lt;&gt;H1397,J1397*(1+Dashboard!$E$4)+Dashboard!$E$5,J1397))</f>
        <v>1149922.1071392654</v>
      </c>
      <c r="K1398">
        <f>IF(ROW()&lt;3, 0,IF(Query1[[#This Row],[Month]]&lt;&gt;H1397,IF((J1398-I1398&gt;0),J1398-I1398,0),0))</f>
        <v>0</v>
      </c>
      <c r="L1398" s="2">
        <f t="shared" si="21"/>
        <v>3592.2989655359538</v>
      </c>
      <c r="N1398" s="2">
        <f>IF(ROW()&lt;3, Query1[[#This Row],[Shares]], IF(Query1[[#This Row],[Month]]&lt;&gt;H1397, N1397+Query1[[#This Row],[Fix Top Up]]/Query1[[#This Row],[Adj Close]], N1397))</f>
        <v>3443.7835895075805</v>
      </c>
      <c r="P1398" s="2">
        <f>IF(ROW()&lt;3, Query1[[#This Row],[Shares]], IF(Query1[[#This Row],[Month]]&lt;&gt;H1397, P1397+Query1[[#This Row],[Enhanced top up]]/Query1[[#This Row],[Adj Close]], P1397))</f>
        <v>3441.9086679591742</v>
      </c>
      <c r="Q1398" s="2">
        <f>IFERROR(AVERAGE(
  IF(ROW()&gt;20, INDEX(G:G, ROW()-20), 0) :
  INDEX(G:G, ROW())
),0)</f>
        <v>500.89039103190106</v>
      </c>
    </row>
    <row r="1399" spans="1:17" x14ac:dyDescent="0.4">
      <c r="A1399" s="1">
        <v>45863</v>
      </c>
      <c r="B1399">
        <v>512.469970703125</v>
      </c>
      <c r="C1399">
        <v>518.28997802734375</v>
      </c>
      <c r="D1399">
        <v>510.3599853515625</v>
      </c>
      <c r="E1399">
        <v>513.71002197265625</v>
      </c>
      <c r="F1399">
        <v>19125700</v>
      </c>
      <c r="G1399">
        <v>512.866943359375</v>
      </c>
      <c r="H1399" s="2">
        <f>MONTH(Query1[[#This Row],[Date]])</f>
        <v>7</v>
      </c>
      <c r="I1399" s="3">
        <f>Query1[[#This Row],[Shares]]*Query1[[#This Row],[Adj Close]]</f>
        <v>1842371.3900874695</v>
      </c>
      <c r="J1399" s="3">
        <f>IF(ROW()&lt;3, Dashboard!$E$7, IF(Query1[[#This Row],[Month]]&lt;&gt;H1398,J1398*(1+Dashboard!$E$4)+Dashboard!$E$5,J1398))</f>
        <v>1149922.1071392654</v>
      </c>
      <c r="K1399">
        <f>IF(ROW()&lt;3, 0,IF(Query1[[#This Row],[Month]]&lt;&gt;H1398,IF((J1399-I1399&gt;0),J1399-I1399,0),0))</f>
        <v>0</v>
      </c>
      <c r="L1399" s="2">
        <f t="shared" si="21"/>
        <v>3592.2989655359538</v>
      </c>
      <c r="N1399" s="2">
        <f>IF(ROW()&lt;3, Query1[[#This Row],[Shares]], IF(Query1[[#This Row],[Month]]&lt;&gt;H1398, N1398+Query1[[#This Row],[Fix Top Up]]/Query1[[#This Row],[Adj Close]], N1398))</f>
        <v>3443.7835895075805</v>
      </c>
      <c r="P1399" s="2">
        <f>IF(ROW()&lt;3, Query1[[#This Row],[Shares]], IF(Query1[[#This Row],[Month]]&lt;&gt;H1398, P1398+Query1[[#This Row],[Enhanced top up]]/Query1[[#This Row],[Adj Close]], P1398))</f>
        <v>3441.9086679591742</v>
      </c>
      <c r="Q1399" s="2">
        <f>IFERROR(AVERAGE(
  IF(ROW()&gt;20, INDEX(G:G, ROW()-20), 0) :
  INDEX(G:G, ROW())
),0)</f>
        <v>501.90967087518601</v>
      </c>
    </row>
    <row r="1400" spans="1:17" x14ac:dyDescent="0.4">
      <c r="A1400" s="1">
        <v>45866</v>
      </c>
      <c r="B1400">
        <v>514.08001708984375</v>
      </c>
      <c r="C1400">
        <v>515</v>
      </c>
      <c r="D1400">
        <v>510.1199951171875</v>
      </c>
      <c r="E1400">
        <v>512.5</v>
      </c>
      <c r="F1400">
        <v>14308000</v>
      </c>
      <c r="G1400">
        <v>511.65887451171875</v>
      </c>
      <c r="H1400" s="2">
        <f>MONTH(Query1[[#This Row],[Date]])</f>
        <v>7</v>
      </c>
      <c r="I1400" s="3">
        <f>Query1[[#This Row],[Shares]]*Query1[[#This Row],[Adj Close]]</f>
        <v>1838031.6456157377</v>
      </c>
      <c r="J1400" s="3">
        <f>IF(ROW()&lt;3, Dashboard!$E$7, IF(Query1[[#This Row],[Month]]&lt;&gt;H1399,J1399*(1+Dashboard!$E$4)+Dashboard!$E$5,J1399))</f>
        <v>1149922.1071392654</v>
      </c>
      <c r="K1400">
        <f>IF(ROW()&lt;3, 0,IF(Query1[[#This Row],[Month]]&lt;&gt;H1399,IF((J1400-I1400&gt;0),J1400-I1400,0),0))</f>
        <v>0</v>
      </c>
      <c r="L1400" s="2">
        <f t="shared" si="21"/>
        <v>3592.2989655359538</v>
      </c>
      <c r="N1400" s="2">
        <f>IF(ROW()&lt;3, Query1[[#This Row],[Shares]], IF(Query1[[#This Row],[Month]]&lt;&gt;H1399, N1399+Query1[[#This Row],[Fix Top Up]]/Query1[[#This Row],[Adj Close]], N1399))</f>
        <v>3443.7835895075805</v>
      </c>
      <c r="P1400" s="2">
        <f>IF(ROW()&lt;3, Query1[[#This Row],[Shares]], IF(Query1[[#This Row],[Month]]&lt;&gt;H1399, P1399+Query1[[#This Row],[Enhanced top up]]/Query1[[#This Row],[Adj Close]], P1399))</f>
        <v>3441.9086679591742</v>
      </c>
      <c r="Q1400" s="2">
        <f>IFERROR(AVERAGE(
  IF(ROW()&gt;20, INDEX(G:G, ROW()-20), 0) :
  INDEX(G:G, ROW())
),0)</f>
        <v>502.62516130719865</v>
      </c>
    </row>
    <row r="1401" spans="1:17" x14ac:dyDescent="0.4">
      <c r="A1401" s="1">
        <v>45867</v>
      </c>
      <c r="B1401">
        <v>515.530029296875</v>
      </c>
      <c r="C1401">
        <v>517.6199951171875</v>
      </c>
      <c r="D1401">
        <v>511.55999755859375</v>
      </c>
      <c r="E1401">
        <v>512.57000732421875</v>
      </c>
      <c r="F1401">
        <v>16469200</v>
      </c>
      <c r="G1401">
        <v>511.728759765625</v>
      </c>
      <c r="H1401" s="2">
        <f>MONTH(Query1[[#This Row],[Date]])</f>
        <v>7</v>
      </c>
      <c r="I1401" s="3">
        <f>Query1[[#This Row],[Shares]]*Query1[[#This Row],[Adj Close]]</f>
        <v>1838282.6943410514</v>
      </c>
      <c r="J1401" s="3">
        <f>IF(ROW()&lt;3, Dashboard!$E$7, IF(Query1[[#This Row],[Month]]&lt;&gt;H1400,J1400*(1+Dashboard!$E$4)+Dashboard!$E$5,J1400))</f>
        <v>1149922.1071392654</v>
      </c>
      <c r="K1401">
        <f>IF(ROW()&lt;3, 0,IF(Query1[[#This Row],[Month]]&lt;&gt;H1400,IF((J1401-I1401&gt;0),J1401-I1401,0),0))</f>
        <v>0</v>
      </c>
      <c r="L1401" s="2">
        <f t="shared" si="21"/>
        <v>3592.2989655359538</v>
      </c>
      <c r="N1401" s="2">
        <f>IF(ROW()&lt;3, Query1[[#This Row],[Shares]], IF(Query1[[#This Row],[Month]]&lt;&gt;H1400, N1400+Query1[[#This Row],[Fix Top Up]]/Query1[[#This Row],[Adj Close]], N1400))</f>
        <v>3443.7835895075805</v>
      </c>
      <c r="P1401" s="2">
        <f>IF(ROW()&lt;3, Query1[[#This Row],[Shares]], IF(Query1[[#This Row],[Month]]&lt;&gt;H1400, P1400+Query1[[#This Row],[Enhanced top up]]/Query1[[#This Row],[Adj Close]], P1400))</f>
        <v>3441.9086679591742</v>
      </c>
      <c r="Q1401" s="2">
        <f>IFERROR(AVERAGE(
  IF(ROW()&gt;20, INDEX(G:G, ROW()-20), 0) :
  INDEX(G:G, ROW())
),0)</f>
        <v>503.41576567150298</v>
      </c>
    </row>
    <row r="1402" spans="1:17" x14ac:dyDescent="0.4">
      <c r="A1402" s="1">
        <v>45868</v>
      </c>
      <c r="B1402">
        <v>515.16998291015625</v>
      </c>
      <c r="C1402">
        <v>515.95001220703125</v>
      </c>
      <c r="D1402">
        <v>509.44000244140625</v>
      </c>
      <c r="E1402">
        <v>513.239990234375</v>
      </c>
      <c r="F1402">
        <v>26380400</v>
      </c>
      <c r="G1402">
        <v>512.39764404296875</v>
      </c>
      <c r="H1402" s="2">
        <f>MONTH(Query1[[#This Row],[Date]])</f>
        <v>7</v>
      </c>
      <c r="I1402" s="3">
        <f>Query1[[#This Row],[Shares]]*Query1[[#This Row],[Adj Close]]</f>
        <v>1840685.5266386166</v>
      </c>
      <c r="J1402" s="3">
        <f>IF(ROW()&lt;3, Dashboard!$E$7, IF(Query1[[#This Row],[Month]]&lt;&gt;H1401,J1401*(1+Dashboard!$E$4)+Dashboard!$E$5,J1401))</f>
        <v>1149922.1071392654</v>
      </c>
      <c r="K1402">
        <f>IF(ROW()&lt;3, 0,IF(Query1[[#This Row],[Month]]&lt;&gt;H1401,IF((J1402-I1402&gt;0),J1402-I1402,0),0))</f>
        <v>0</v>
      </c>
      <c r="L1402" s="2">
        <f t="shared" si="21"/>
        <v>3592.2989655359538</v>
      </c>
      <c r="N1402" s="2">
        <f>IF(ROW()&lt;3, Query1[[#This Row],[Shares]], IF(Query1[[#This Row],[Month]]&lt;&gt;H1401, N1401+Query1[[#This Row],[Fix Top Up]]/Query1[[#This Row],[Adj Close]], N1401))</f>
        <v>3443.7835895075805</v>
      </c>
      <c r="P1402" s="2">
        <f>IF(ROW()&lt;3, Query1[[#This Row],[Shares]], IF(Query1[[#This Row],[Month]]&lt;&gt;H1401, P1401+Query1[[#This Row],[Enhanced top up]]/Query1[[#This Row],[Adj Close]], P1401))</f>
        <v>3441.9086679591742</v>
      </c>
      <c r="Q1402" s="2">
        <f>IFERROR(AVERAGE(
  IF(ROW()&gt;20, INDEX(G:G, ROW()-20), 0) :
  INDEX(G:G, ROW())
),0)</f>
        <v>504.16833641415553</v>
      </c>
    </row>
    <row r="1403" spans="1:17" x14ac:dyDescent="0.4">
      <c r="A1403" s="1">
        <v>45869</v>
      </c>
      <c r="B1403">
        <v>555.22998046875</v>
      </c>
      <c r="C1403">
        <v>555.45001220703125</v>
      </c>
      <c r="D1403">
        <v>531.9000244140625</v>
      </c>
      <c r="E1403">
        <v>533.5</v>
      </c>
      <c r="F1403">
        <v>51617300</v>
      </c>
      <c r="G1403">
        <v>532.6243896484375</v>
      </c>
      <c r="H1403" s="2">
        <f>MONTH(Query1[[#This Row],[Date]])</f>
        <v>7</v>
      </c>
      <c r="I1403" s="3">
        <f>Query1[[#This Row],[Shares]]*Query1[[#This Row],[Adj Close]]</f>
        <v>1913346.0439533009</v>
      </c>
      <c r="J1403" s="3">
        <f>IF(ROW()&lt;3, Dashboard!$E$7, IF(Query1[[#This Row],[Month]]&lt;&gt;H1402,J1402*(1+Dashboard!$E$4)+Dashboard!$E$5,J1402))</f>
        <v>1149922.1071392654</v>
      </c>
      <c r="K1403">
        <f>IF(ROW()&lt;3, 0,IF(Query1[[#This Row],[Month]]&lt;&gt;H1402,IF((J1403-I1403&gt;0),J1403-I1403,0),0))</f>
        <v>0</v>
      </c>
      <c r="L1403" s="2">
        <f t="shared" si="21"/>
        <v>3592.2989655359538</v>
      </c>
      <c r="N1403" s="2">
        <f>IF(ROW()&lt;3, Query1[[#This Row],[Shares]], IF(Query1[[#This Row],[Month]]&lt;&gt;H1402, N1402+Query1[[#This Row],[Fix Top Up]]/Query1[[#This Row],[Adj Close]], N1402))</f>
        <v>3443.7835895075805</v>
      </c>
      <c r="P1403" s="2">
        <f>IF(ROW()&lt;3, Query1[[#This Row],[Shares]], IF(Query1[[#This Row],[Month]]&lt;&gt;H1402, P1402+Query1[[#This Row],[Enhanced top up]]/Query1[[#This Row],[Adj Close]], P1402))</f>
        <v>3441.9086679591742</v>
      </c>
      <c r="Q1403" s="2">
        <f>IFERROR(AVERAGE(
  IF(ROW()&gt;20, INDEX(G:G, ROW()-20), 0) :
  INDEX(G:G, ROW())
),0)</f>
        <v>506.13890584309894</v>
      </c>
    </row>
    <row r="1404" spans="1:17" x14ac:dyDescent="0.4">
      <c r="A1404" s="1">
        <v>45870</v>
      </c>
      <c r="B1404">
        <v>535</v>
      </c>
      <c r="C1404">
        <v>535.79998779296875</v>
      </c>
      <c r="D1404">
        <v>520.8599853515625</v>
      </c>
      <c r="E1404">
        <v>524.1099853515625</v>
      </c>
      <c r="F1404">
        <v>28977600</v>
      </c>
      <c r="G1404">
        <v>523.24981689453125</v>
      </c>
      <c r="H1404" s="2">
        <f>MONTH(Query1[[#This Row],[Date]])</f>
        <v>8</v>
      </c>
      <c r="I1404" s="3">
        <f>Query1[[#This Row],[Shares]]*Query1[[#This Row],[Adj Close]]</f>
        <v>1879669.7759471019</v>
      </c>
      <c r="J1404" s="3">
        <f>IF(ROW()&lt;3, Dashboard!$E$7, IF(Query1[[#This Row],[Month]]&lt;&gt;H1403,J1403*(1+Dashboard!$E$4)+Dashboard!$E$5,J1403))</f>
        <v>1163421.3282106582</v>
      </c>
      <c r="K1404">
        <f>IF(ROW()&lt;3, 0,IF(Query1[[#This Row],[Month]]&lt;&gt;H1403,IF((J1404-I1404&gt;0),J1404-I1404,0),0))</f>
        <v>0</v>
      </c>
      <c r="L1404" s="2">
        <f t="shared" si="21"/>
        <v>3592.2989655359538</v>
      </c>
      <c r="N1404" s="2">
        <f>IF(ROW()&lt;3, Query1[[#This Row],[Shares]], IF(Query1[[#This Row],[Month]]&lt;&gt;H1403, N1403+Query1[[#This Row],[Fix Top Up]]/Query1[[#This Row],[Adj Close]], N1403))</f>
        <v>3443.7835895075805</v>
      </c>
      <c r="P1404" s="2">
        <f>IF(ROW()&lt;3, Query1[[#This Row],[Shares]], IF(Query1[[#This Row],[Month]]&lt;&gt;H1403, P1403+Query1[[#This Row],[Enhanced top up]]/Query1[[#This Row],[Adj Close]], P1403))</f>
        <v>3441.9086679591742</v>
      </c>
      <c r="Q1404" s="2">
        <f>IFERROR(AVERAGE(
  IF(ROW()&gt;20, INDEX(G:G, ROW()-20), 0) :
  INDEX(G:G, ROW())
),0)</f>
        <v>507.70870535714283</v>
      </c>
    </row>
    <row r="1405" spans="1:17" x14ac:dyDescent="0.4">
      <c r="A1405" s="1">
        <v>45873</v>
      </c>
      <c r="B1405">
        <v>528.27001953125</v>
      </c>
      <c r="C1405">
        <v>538.25</v>
      </c>
      <c r="D1405">
        <v>528.1300048828125</v>
      </c>
      <c r="E1405">
        <v>535.6400146484375</v>
      </c>
      <c r="F1405">
        <v>25349000</v>
      </c>
      <c r="G1405">
        <v>534.76092529296875</v>
      </c>
      <c r="H1405" s="2">
        <f>MONTH(Query1[[#This Row],[Date]])</f>
        <v>8</v>
      </c>
      <c r="I1405" s="3">
        <f>Query1[[#This Row],[Shares]]*Query1[[#This Row],[Adj Close]]</f>
        <v>1921021.1187389812</v>
      </c>
      <c r="J1405" s="3">
        <f>IF(ROW()&lt;3, Dashboard!$E$7, IF(Query1[[#This Row],[Month]]&lt;&gt;H1404,J1404*(1+Dashboard!$E$4)+Dashboard!$E$5,J1404))</f>
        <v>1163421.3282106582</v>
      </c>
      <c r="K1405">
        <f>IF(ROW()&lt;3, 0,IF(Query1[[#This Row],[Month]]&lt;&gt;H1404,IF((J1405-I1405&gt;0),J1405-I1405,0),0))</f>
        <v>0</v>
      </c>
      <c r="L1405" s="2">
        <f t="shared" si="21"/>
        <v>3592.2989655359538</v>
      </c>
      <c r="N1405" s="2">
        <f>IF(ROW()&lt;3, Query1[[#This Row],[Shares]], IF(Query1[[#This Row],[Month]]&lt;&gt;H1404, N1404+Query1[[#This Row],[Fix Top Up]]/Query1[[#This Row],[Adj Close]], N1404))</f>
        <v>3443.7835895075805</v>
      </c>
      <c r="P1405" s="2">
        <f>IF(ROW()&lt;3, Query1[[#This Row],[Shares]], IF(Query1[[#This Row],[Month]]&lt;&gt;H1404, P1404+Query1[[#This Row],[Enhanced top up]]/Query1[[#This Row],[Adj Close]], P1404))</f>
        <v>3441.9086679591742</v>
      </c>
      <c r="Q1405" s="2">
        <f>IFERROR(AVERAGE(
  IF(ROW()&gt;20, INDEX(G:G, ROW()-20), 0) :
  INDEX(G:G, ROW())
),0)</f>
        <v>509.45821126302081</v>
      </c>
    </row>
    <row r="1406" spans="1:17" x14ac:dyDescent="0.4">
      <c r="A1406" s="1">
        <v>45874</v>
      </c>
      <c r="B1406">
        <v>537.17999267578125</v>
      </c>
      <c r="C1406">
        <v>537.29998779296875</v>
      </c>
      <c r="D1406">
        <v>527.239990234375</v>
      </c>
      <c r="E1406">
        <v>527.75</v>
      </c>
      <c r="F1406">
        <v>19171600</v>
      </c>
      <c r="G1406">
        <v>526.88385009765625</v>
      </c>
      <c r="H1406" s="2">
        <f>MONTH(Query1[[#This Row],[Date]])</f>
        <v>8</v>
      </c>
      <c r="I1406" s="3">
        <f>Query1[[#This Row],[Shares]]*Query1[[#This Row],[Adj Close]]</f>
        <v>1892724.309663411</v>
      </c>
      <c r="J1406" s="3">
        <f>IF(ROW()&lt;3, Dashboard!$E$7, IF(Query1[[#This Row],[Month]]&lt;&gt;H1405,J1405*(1+Dashboard!$E$4)+Dashboard!$E$5,J1405))</f>
        <v>1163421.3282106582</v>
      </c>
      <c r="K1406">
        <f>IF(ROW()&lt;3, 0,IF(Query1[[#This Row],[Month]]&lt;&gt;H1405,IF((J1406-I1406&gt;0),J1406-I1406,0),0))</f>
        <v>0</v>
      </c>
      <c r="L1406" s="2">
        <f t="shared" si="21"/>
        <v>3592.2989655359538</v>
      </c>
      <c r="N1406" s="2">
        <f>IF(ROW()&lt;3, Query1[[#This Row],[Shares]], IF(Query1[[#This Row],[Month]]&lt;&gt;H1405, N1405+Query1[[#This Row],[Fix Top Up]]/Query1[[#This Row],[Adj Close]], N1405))</f>
        <v>3443.7835895075805</v>
      </c>
      <c r="P1406" s="2">
        <f>IF(ROW()&lt;3, Query1[[#This Row],[Shares]], IF(Query1[[#This Row],[Month]]&lt;&gt;H1405, P1405+Query1[[#This Row],[Enhanced top up]]/Query1[[#This Row],[Adj Close]], P1405))</f>
        <v>3441.9086679591742</v>
      </c>
      <c r="Q1406" s="2">
        <f>IFERROR(AVERAGE(
  IF(ROW()&gt;20, INDEX(G:G, ROW()-20), 0) :
  INDEX(G:G, ROW())
),0)</f>
        <v>510.8858642578125</v>
      </c>
    </row>
    <row r="1407" spans="1:17" x14ac:dyDescent="0.4">
      <c r="A1407" s="1">
        <v>45875</v>
      </c>
      <c r="B1407">
        <v>530.9000244140625</v>
      </c>
      <c r="C1407">
        <v>531.70001220703125</v>
      </c>
      <c r="D1407">
        <v>524.030029296875</v>
      </c>
      <c r="E1407">
        <v>524.94000244140625</v>
      </c>
      <c r="F1407">
        <v>21355700</v>
      </c>
      <c r="G1407">
        <v>524.0784912109375</v>
      </c>
      <c r="H1407" s="2">
        <f>MONTH(Query1[[#This Row],[Date]])</f>
        <v>8</v>
      </c>
      <c r="I1407" s="3">
        <f>Query1[[#This Row],[Shares]]*Query1[[#This Row],[Adj Close]]</f>
        <v>1882646.6218366942</v>
      </c>
      <c r="J1407" s="3">
        <f>IF(ROW()&lt;3, Dashboard!$E$7, IF(Query1[[#This Row],[Month]]&lt;&gt;H1406,J1406*(1+Dashboard!$E$4)+Dashboard!$E$5,J1406))</f>
        <v>1163421.3282106582</v>
      </c>
      <c r="K1407">
        <f>IF(ROW()&lt;3, 0,IF(Query1[[#This Row],[Month]]&lt;&gt;H1406,IF((J1407-I1407&gt;0),J1407-I1407,0),0))</f>
        <v>0</v>
      </c>
      <c r="L1407" s="2">
        <f t="shared" si="21"/>
        <v>3592.2989655359538</v>
      </c>
      <c r="N1407" s="2">
        <f>IF(ROW()&lt;3, Query1[[#This Row],[Shares]], IF(Query1[[#This Row],[Month]]&lt;&gt;H1406, N1406+Query1[[#This Row],[Fix Top Up]]/Query1[[#This Row],[Adj Close]], N1406))</f>
        <v>3443.7835895075805</v>
      </c>
      <c r="P1407" s="2">
        <f>IF(ROW()&lt;3, Query1[[#This Row],[Shares]], IF(Query1[[#This Row],[Month]]&lt;&gt;H1406, P1406+Query1[[#This Row],[Enhanced top up]]/Query1[[#This Row],[Adj Close]], P1406))</f>
        <v>3441.9086679591742</v>
      </c>
      <c r="Q1407" s="2">
        <f>IFERROR(AVERAGE(
  IF(ROW()&gt;20, INDEX(G:G, ROW()-20), 0) :
  INDEX(G:G, ROW())
),0)</f>
        <v>512.23222423735115</v>
      </c>
    </row>
    <row r="1408" spans="1:17" x14ac:dyDescent="0.4">
      <c r="A1408" s="1">
        <v>45876</v>
      </c>
      <c r="B1408">
        <v>526.79998779296875</v>
      </c>
      <c r="C1408">
        <v>528.09002685546875</v>
      </c>
      <c r="D1408">
        <v>517.54998779296875</v>
      </c>
      <c r="E1408">
        <v>520.84002685546875</v>
      </c>
      <c r="F1408">
        <v>16079100</v>
      </c>
      <c r="G1408">
        <v>519.9852294921875</v>
      </c>
      <c r="H1408" s="2">
        <f>MONTH(Query1[[#This Row],[Date]])</f>
        <v>8</v>
      </c>
      <c r="I1408" s="3">
        <f>Query1[[#This Row],[Shares]]*Query1[[#This Row],[Adj Close]]</f>
        <v>1867942.4019987606</v>
      </c>
      <c r="J1408" s="3">
        <f>IF(ROW()&lt;3, Dashboard!$E$7, IF(Query1[[#This Row],[Month]]&lt;&gt;H1407,J1407*(1+Dashboard!$E$4)+Dashboard!$E$5,J1407))</f>
        <v>1163421.3282106582</v>
      </c>
      <c r="K1408">
        <f>IF(ROW()&lt;3, 0,IF(Query1[[#This Row],[Month]]&lt;&gt;H1407,IF((J1408-I1408&gt;0),J1408-I1408,0),0))</f>
        <v>0</v>
      </c>
      <c r="L1408" s="2">
        <f t="shared" si="21"/>
        <v>3592.2989655359538</v>
      </c>
      <c r="N1408" s="2">
        <f>IF(ROW()&lt;3, Query1[[#This Row],[Shares]], IF(Query1[[#This Row],[Month]]&lt;&gt;H1407, N1407+Query1[[#This Row],[Fix Top Up]]/Query1[[#This Row],[Adj Close]], N1407))</f>
        <v>3443.7835895075805</v>
      </c>
      <c r="P1408" s="2">
        <f>IF(ROW()&lt;3, Query1[[#This Row],[Shares]], IF(Query1[[#This Row],[Month]]&lt;&gt;H1407, P1407+Query1[[#This Row],[Enhanced top up]]/Query1[[#This Row],[Adj Close]], P1407))</f>
        <v>3441.9086679591742</v>
      </c>
      <c r="Q1408" s="2">
        <f>IFERROR(AVERAGE(
  IF(ROW()&gt;20, INDEX(G:G, ROW()-20), 0) :
  INDEX(G:G, ROW())
),0)</f>
        <v>513.05610874720981</v>
      </c>
    </row>
    <row r="1409" spans="1:17" x14ac:dyDescent="0.4">
      <c r="A1409" s="1">
        <v>45877</v>
      </c>
      <c r="B1409">
        <v>522.5999755859375</v>
      </c>
      <c r="C1409">
        <v>524.65997314453125</v>
      </c>
      <c r="D1409">
        <v>519.40997314453125</v>
      </c>
      <c r="E1409">
        <v>522.03997802734375</v>
      </c>
      <c r="F1409">
        <v>15531000</v>
      </c>
      <c r="G1409">
        <v>521.1832275390625</v>
      </c>
      <c r="H1409" s="2">
        <f>MONTH(Query1[[#This Row],[Date]])</f>
        <v>8</v>
      </c>
      <c r="I1409" s="3">
        <f>Query1[[#This Row],[Shares]]*Query1[[#This Row],[Adj Close]]</f>
        <v>1872245.9691432638</v>
      </c>
      <c r="J1409" s="3">
        <f>IF(ROW()&lt;3, Dashboard!$E$7, IF(Query1[[#This Row],[Month]]&lt;&gt;H1408,J1408*(1+Dashboard!$E$4)+Dashboard!$E$5,J1408))</f>
        <v>1163421.3282106582</v>
      </c>
      <c r="K1409">
        <f>IF(ROW()&lt;3, 0,IF(Query1[[#This Row],[Month]]&lt;&gt;H1408,IF((J1409-I1409&gt;0),J1409-I1409,0),0))</f>
        <v>0</v>
      </c>
      <c r="L1409" s="2">
        <f t="shared" si="21"/>
        <v>3592.2989655359538</v>
      </c>
      <c r="N1409" s="2">
        <f>IF(ROW()&lt;3, Query1[[#This Row],[Shares]], IF(Query1[[#This Row],[Month]]&lt;&gt;H1408, N1408+Query1[[#This Row],[Fix Top Up]]/Query1[[#This Row],[Adj Close]], N1408))</f>
        <v>3443.7835895075805</v>
      </c>
      <c r="P1409" s="2">
        <f>IF(ROW()&lt;3, Query1[[#This Row],[Shares]], IF(Query1[[#This Row],[Month]]&lt;&gt;H1408, P1408+Query1[[#This Row],[Enhanced top up]]/Query1[[#This Row],[Adj Close]], P1408))</f>
        <v>3441.9086679591742</v>
      </c>
      <c r="Q1409" s="2">
        <f>IFERROR(AVERAGE(
  IF(ROW()&gt;20, INDEX(G:G, ROW()-20), 0) :
  INDEX(G:G, ROW())
),0)</f>
        <v>514.03354899088538</v>
      </c>
    </row>
    <row r="1410" spans="1:17" x14ac:dyDescent="0.4">
      <c r="A1410" s="1">
        <v>45880</v>
      </c>
      <c r="B1410">
        <v>522.29998779296875</v>
      </c>
      <c r="C1410">
        <v>527.59002685546875</v>
      </c>
      <c r="D1410">
        <v>519.719970703125</v>
      </c>
      <c r="E1410">
        <v>521.77001953125</v>
      </c>
      <c r="F1410">
        <v>20194400</v>
      </c>
      <c r="G1410">
        <v>520.9136962890625</v>
      </c>
      <c r="H1410" s="2">
        <f>MONTH(Query1[[#This Row],[Date]])</f>
        <v>8</v>
      </c>
      <c r="I1410" s="3">
        <f>Query1[[#This Row],[Shares]]*Query1[[#This Row],[Adj Close]]</f>
        <v>1871277.7323127093</v>
      </c>
      <c r="J1410" s="3">
        <f>IF(ROW()&lt;3, Dashboard!$E$7, IF(Query1[[#This Row],[Month]]&lt;&gt;H1409,J1409*(1+Dashboard!$E$4)+Dashboard!$E$5,J1409))</f>
        <v>1163421.3282106582</v>
      </c>
      <c r="K1410">
        <f>IF(ROW()&lt;3, 0,IF(Query1[[#This Row],[Month]]&lt;&gt;H1409,IF((J1410-I1410&gt;0),J1410-I1410,0),0))</f>
        <v>0</v>
      </c>
      <c r="L1410" s="2">
        <f t="shared" ref="L1410:L1440" si="22">IF(ROW()&lt;3, J1410/G1410, L1409+K1409/G1409)</f>
        <v>3592.2989655359538</v>
      </c>
      <c r="N1410" s="2">
        <f>IF(ROW()&lt;3, Query1[[#This Row],[Shares]], IF(Query1[[#This Row],[Month]]&lt;&gt;H1409, N1409+Query1[[#This Row],[Fix Top Up]]/Query1[[#This Row],[Adj Close]], N1409))</f>
        <v>3443.7835895075805</v>
      </c>
      <c r="P1410" s="2">
        <f>IF(ROW()&lt;3, Query1[[#This Row],[Shares]], IF(Query1[[#This Row],[Month]]&lt;&gt;H1409, P1409+Query1[[#This Row],[Enhanced top up]]/Query1[[#This Row],[Adj Close]], P1409))</f>
        <v>3441.9086679591742</v>
      </c>
      <c r="Q1410" s="2">
        <f>IFERROR(AVERAGE(
  IF(ROW()&gt;20, INDEX(G:G, ROW()-20), 0) :
  INDEX(G:G, ROW())
),0)</f>
        <v>514.91067940848211</v>
      </c>
    </row>
    <row r="1411" spans="1:17" x14ac:dyDescent="0.4">
      <c r="A1411" s="1">
        <v>45881</v>
      </c>
      <c r="B1411">
        <v>523.75</v>
      </c>
      <c r="C1411">
        <v>530.97998046875</v>
      </c>
      <c r="D1411">
        <v>522.70001220703125</v>
      </c>
      <c r="E1411">
        <v>529.239990234375</v>
      </c>
      <c r="F1411">
        <v>18667000</v>
      </c>
      <c r="G1411">
        <v>528.37139892578125</v>
      </c>
      <c r="H1411" s="2">
        <f>MONTH(Query1[[#This Row],[Date]])</f>
        <v>8</v>
      </c>
      <c r="I1411" s="3">
        <f>Query1[[#This Row],[Shares]]*Query1[[#This Row],[Adj Close]]</f>
        <v>1898068.0297798687</v>
      </c>
      <c r="J1411" s="3">
        <f>IF(ROW()&lt;3, Dashboard!$E$7, IF(Query1[[#This Row],[Month]]&lt;&gt;H1410,J1410*(1+Dashboard!$E$4)+Dashboard!$E$5,J1410))</f>
        <v>1163421.3282106582</v>
      </c>
      <c r="K1411">
        <f>IF(ROW()&lt;3, 0,IF(Query1[[#This Row],[Month]]&lt;&gt;H1410,IF((J1411-I1411&gt;0),J1411-I1411,0),0))</f>
        <v>0</v>
      </c>
      <c r="L1411" s="2">
        <f t="shared" si="22"/>
        <v>3592.2989655359538</v>
      </c>
      <c r="N1411" s="2">
        <f>IF(ROW()&lt;3, Query1[[#This Row],[Shares]], IF(Query1[[#This Row],[Month]]&lt;&gt;H1410, N1410+Query1[[#This Row],[Fix Top Up]]/Query1[[#This Row],[Adj Close]], N1410))</f>
        <v>3443.7835895075805</v>
      </c>
      <c r="P1411" s="2">
        <f>IF(ROW()&lt;3, Query1[[#This Row],[Shares]], IF(Query1[[#This Row],[Month]]&lt;&gt;H1410, P1410+Query1[[#This Row],[Enhanced top up]]/Query1[[#This Row],[Adj Close]], P1410))</f>
        <v>3441.9086679591742</v>
      </c>
      <c r="Q1411" s="2">
        <f>IFERROR(AVERAGE(
  IF(ROW()&gt;20, INDEX(G:G, ROW()-20), 0) :
  INDEX(G:G, ROW())
),0)</f>
        <v>516.15720185779389</v>
      </c>
    </row>
    <row r="1412" spans="1:17" x14ac:dyDescent="0.4">
      <c r="A1412" s="1">
        <v>45882</v>
      </c>
      <c r="B1412">
        <v>532.1099853515625</v>
      </c>
      <c r="C1412">
        <v>532.70001220703125</v>
      </c>
      <c r="D1412">
        <v>519.3699951171875</v>
      </c>
      <c r="E1412">
        <v>520.58001708984375</v>
      </c>
      <c r="F1412">
        <v>19619200</v>
      </c>
      <c r="G1412">
        <v>519.72564697265625</v>
      </c>
      <c r="H1412" s="2">
        <f>MONTH(Query1[[#This Row],[Date]])</f>
        <v>8</v>
      </c>
      <c r="I1412" s="3">
        <f>Query1[[#This Row],[Shares]]*Query1[[#This Row],[Adj Close]]</f>
        <v>1867009.9039823774</v>
      </c>
      <c r="J1412" s="3">
        <f>IF(ROW()&lt;3, Dashboard!$E$7, IF(Query1[[#This Row],[Month]]&lt;&gt;H1411,J1411*(1+Dashboard!$E$4)+Dashboard!$E$5,J1411))</f>
        <v>1163421.3282106582</v>
      </c>
      <c r="K1412">
        <f>IF(ROW()&lt;3, 0,IF(Query1[[#This Row],[Month]]&lt;&gt;H1411,IF((J1412-I1412&gt;0),J1412-I1412,0),0))</f>
        <v>0</v>
      </c>
      <c r="L1412" s="2">
        <f t="shared" si="22"/>
        <v>3592.2989655359538</v>
      </c>
      <c r="N1412" s="2">
        <f>IF(ROW()&lt;3, Query1[[#This Row],[Shares]], IF(Query1[[#This Row],[Month]]&lt;&gt;H1411, N1411+Query1[[#This Row],[Fix Top Up]]/Query1[[#This Row],[Adj Close]], N1411))</f>
        <v>3443.7835895075805</v>
      </c>
      <c r="P1412" s="2">
        <f>IF(ROW()&lt;3, Query1[[#This Row],[Shares]], IF(Query1[[#This Row],[Month]]&lt;&gt;H1411, P1411+Query1[[#This Row],[Enhanced top up]]/Query1[[#This Row],[Adj Close]], P1411))</f>
        <v>3441.9086679591742</v>
      </c>
      <c r="Q1412" s="2">
        <f>IFERROR(AVERAGE(
  IF(ROW()&gt;20, INDEX(G:G, ROW()-20), 0) :
  INDEX(G:G, ROW())
),0)</f>
        <v>516.85890706380212</v>
      </c>
    </row>
    <row r="1413" spans="1:17" x14ac:dyDescent="0.4">
      <c r="A1413" s="1">
        <v>45883</v>
      </c>
      <c r="B1413">
        <v>522.55999755859375</v>
      </c>
      <c r="C1413">
        <v>525.95001220703125</v>
      </c>
      <c r="D1413">
        <v>520.1400146484375</v>
      </c>
      <c r="E1413">
        <v>522.47998046875</v>
      </c>
      <c r="F1413">
        <v>20269100</v>
      </c>
      <c r="G1413">
        <v>521.62249755859375</v>
      </c>
      <c r="H1413" s="2">
        <f>MONTH(Query1[[#This Row],[Date]])</f>
        <v>8</v>
      </c>
      <c r="I1413" s="3">
        <f>Query1[[#This Row],[Shares]]*Query1[[#This Row],[Adj Close]]</f>
        <v>1873823.958380017</v>
      </c>
      <c r="J1413" s="3">
        <f>IF(ROW()&lt;3, Dashboard!$E$7, IF(Query1[[#This Row],[Month]]&lt;&gt;H1412,J1412*(1+Dashboard!$E$4)+Dashboard!$E$5,J1412))</f>
        <v>1163421.3282106582</v>
      </c>
      <c r="K1413">
        <f>IF(ROW()&lt;3, 0,IF(Query1[[#This Row],[Month]]&lt;&gt;H1412,IF((J1413-I1413&gt;0),J1413-I1413,0),0))</f>
        <v>0</v>
      </c>
      <c r="L1413" s="2">
        <f t="shared" si="22"/>
        <v>3592.2989655359538</v>
      </c>
      <c r="N1413" s="2">
        <f>IF(ROW()&lt;3, Query1[[#This Row],[Shares]], IF(Query1[[#This Row],[Month]]&lt;&gt;H1412, N1412+Query1[[#This Row],[Fix Top Up]]/Query1[[#This Row],[Adj Close]], N1412))</f>
        <v>3443.7835895075805</v>
      </c>
      <c r="P1413" s="2">
        <f>IF(ROW()&lt;3, Query1[[#This Row],[Shares]], IF(Query1[[#This Row],[Month]]&lt;&gt;H1412, P1412+Query1[[#This Row],[Enhanced top up]]/Query1[[#This Row],[Adj Close]], P1412))</f>
        <v>3441.9086679591742</v>
      </c>
      <c r="Q1413" s="2">
        <f>IFERROR(AVERAGE(
  IF(ROW()&gt;20, INDEX(G:G, ROW()-20), 0) :
  INDEX(G:G, ROW())
),0)</f>
        <v>517.66044689360115</v>
      </c>
    </row>
    <row r="1414" spans="1:17" x14ac:dyDescent="0.4">
      <c r="A1414" s="1">
        <v>45884</v>
      </c>
      <c r="B1414">
        <v>522.77001953125</v>
      </c>
      <c r="C1414">
        <v>526.0999755859375</v>
      </c>
      <c r="D1414">
        <v>519.08001708984375</v>
      </c>
      <c r="E1414">
        <v>520.16998291015625</v>
      </c>
      <c r="F1414">
        <v>25213300</v>
      </c>
      <c r="G1414">
        <v>519.3162841796875</v>
      </c>
      <c r="H1414" s="2">
        <f>MONTH(Query1[[#This Row],[Date]])</f>
        <v>8</v>
      </c>
      <c r="I1414" s="3">
        <f>Query1[[#This Row],[Shares]]*Query1[[#This Row],[Adj Close]]</f>
        <v>1865539.3504446668</v>
      </c>
      <c r="J1414" s="3">
        <f>IF(ROW()&lt;3, Dashboard!$E$7, IF(Query1[[#This Row],[Month]]&lt;&gt;H1413,J1413*(1+Dashboard!$E$4)+Dashboard!$E$5,J1413))</f>
        <v>1163421.3282106582</v>
      </c>
      <c r="K1414">
        <f>IF(ROW()&lt;3, 0,IF(Query1[[#This Row],[Month]]&lt;&gt;H1413,IF((J1414-I1414&gt;0),J1414-I1414,0),0))</f>
        <v>0</v>
      </c>
      <c r="L1414" s="2">
        <f t="shared" si="22"/>
        <v>3592.2989655359538</v>
      </c>
      <c r="N1414" s="2">
        <f>IF(ROW()&lt;3, Query1[[#This Row],[Shares]], IF(Query1[[#This Row],[Month]]&lt;&gt;H1413, N1413+Query1[[#This Row],[Fix Top Up]]/Query1[[#This Row],[Adj Close]], N1413))</f>
        <v>3443.7835895075805</v>
      </c>
      <c r="P1414" s="2">
        <f>IF(ROW()&lt;3, Query1[[#This Row],[Shares]], IF(Query1[[#This Row],[Month]]&lt;&gt;H1413, P1413+Query1[[#This Row],[Enhanced top up]]/Query1[[#This Row],[Adj Close]], P1413))</f>
        <v>3441.9086679591742</v>
      </c>
      <c r="Q1414" s="2">
        <f>IFERROR(AVERAGE(
  IF(ROW()&gt;20, INDEX(G:G, ROW()-20), 0) :
  INDEX(G:G, ROW())
),0)</f>
        <v>518.06311761765255</v>
      </c>
    </row>
    <row r="1415" spans="1:17" x14ac:dyDescent="0.4">
      <c r="A1415" s="1">
        <v>45887</v>
      </c>
      <c r="B1415">
        <v>521.59002685546875</v>
      </c>
      <c r="C1415">
        <v>522.82000732421875</v>
      </c>
      <c r="D1415">
        <v>514.02001953125</v>
      </c>
      <c r="E1415">
        <v>517.0999755859375</v>
      </c>
      <c r="F1415">
        <v>23760600</v>
      </c>
      <c r="G1415">
        <v>516.25128173828125</v>
      </c>
      <c r="H1415" s="2">
        <f>MONTH(Query1[[#This Row],[Date]])</f>
        <v>8</v>
      </c>
      <c r="I1415" s="3">
        <f>Query1[[#This Row],[Shares]]*Query1[[#This Row],[Adj Close]]</f>
        <v>1854528.9453450381</v>
      </c>
      <c r="J1415" s="3">
        <f>IF(ROW()&lt;3, Dashboard!$E$7, IF(Query1[[#This Row],[Month]]&lt;&gt;H1414,J1414*(1+Dashboard!$E$4)+Dashboard!$E$5,J1414))</f>
        <v>1163421.3282106582</v>
      </c>
      <c r="K1415">
        <f>IF(ROW()&lt;3, 0,IF(Query1[[#This Row],[Month]]&lt;&gt;H1414,IF((J1415-I1415&gt;0),J1415-I1415,0),0))</f>
        <v>0</v>
      </c>
      <c r="L1415" s="2">
        <f t="shared" si="22"/>
        <v>3592.2989655359538</v>
      </c>
      <c r="N1415" s="2">
        <f>IF(ROW()&lt;3, Query1[[#This Row],[Shares]], IF(Query1[[#This Row],[Month]]&lt;&gt;H1414, N1414+Query1[[#This Row],[Fix Top Up]]/Query1[[#This Row],[Adj Close]], N1414))</f>
        <v>3443.7835895075805</v>
      </c>
      <c r="P1415" s="2">
        <f>IF(ROW()&lt;3, Query1[[#This Row],[Shares]], IF(Query1[[#This Row],[Month]]&lt;&gt;H1414, P1414+Query1[[#This Row],[Enhanced top up]]/Query1[[#This Row],[Adj Close]], P1414))</f>
        <v>3441.9086679591742</v>
      </c>
      <c r="Q1415" s="2">
        <f>IFERROR(AVERAGE(
  IF(ROW()&gt;20, INDEX(G:G, ROW()-20), 0) :
  INDEX(G:G, ROW())
),0)</f>
        <v>518.39827909923736</v>
      </c>
    </row>
    <row r="1416" spans="1:17" x14ac:dyDescent="0.4">
      <c r="A1416" s="1">
        <v>45888</v>
      </c>
      <c r="B1416">
        <v>515</v>
      </c>
      <c r="C1416">
        <v>515.15997314453125</v>
      </c>
      <c r="D1416">
        <v>508.54998779296875</v>
      </c>
      <c r="E1416">
        <v>509.76998901367188</v>
      </c>
      <c r="F1416">
        <v>21481000</v>
      </c>
      <c r="G1416">
        <v>508.933349609375</v>
      </c>
      <c r="H1416" s="2">
        <f>MONTH(Query1[[#This Row],[Date]])</f>
        <v>8</v>
      </c>
      <c r="I1416" s="3">
        <f>Query1[[#This Row],[Shares]]*Query1[[#This Row],[Adj Close]]</f>
        <v>1828240.7453285058</v>
      </c>
      <c r="J1416" s="3">
        <f>IF(ROW()&lt;3, Dashboard!$E$7, IF(Query1[[#This Row],[Month]]&lt;&gt;H1415,J1415*(1+Dashboard!$E$4)+Dashboard!$E$5,J1415))</f>
        <v>1163421.3282106582</v>
      </c>
      <c r="K1416">
        <f>IF(ROW()&lt;3, 0,IF(Query1[[#This Row],[Month]]&lt;&gt;H1415,IF((J1416-I1416&gt;0),J1416-I1416,0),0))</f>
        <v>0</v>
      </c>
      <c r="L1416" s="2">
        <f t="shared" si="22"/>
        <v>3592.2989655359538</v>
      </c>
      <c r="N1416" s="2">
        <f>IF(ROW()&lt;3, Query1[[#This Row],[Shares]], IF(Query1[[#This Row],[Month]]&lt;&gt;H1415, N1415+Query1[[#This Row],[Fix Top Up]]/Query1[[#This Row],[Adj Close]], N1415))</f>
        <v>3443.7835895075805</v>
      </c>
      <c r="P1416" s="2">
        <f>IF(ROW()&lt;3, Query1[[#This Row],[Shares]], IF(Query1[[#This Row],[Month]]&lt;&gt;H1415, P1415+Query1[[#This Row],[Enhanced top up]]/Query1[[#This Row],[Adj Close]], P1415))</f>
        <v>3441.9086679591742</v>
      </c>
      <c r="Q1416" s="2">
        <f>IFERROR(AVERAGE(
  IF(ROW()&gt;20, INDEX(G:G, ROW()-20), 0) :
  INDEX(G:G, ROW())
),0)</f>
        <v>518.38449242001491</v>
      </c>
    </row>
    <row r="1417" spans="1:17" x14ac:dyDescent="0.4">
      <c r="A1417" s="1">
        <v>45889</v>
      </c>
      <c r="B1417">
        <v>509.8699951171875</v>
      </c>
      <c r="C1417">
        <v>511</v>
      </c>
      <c r="D1417">
        <v>504.44000244140625</v>
      </c>
      <c r="E1417">
        <v>505.72000122070313</v>
      </c>
      <c r="F1417">
        <v>27723000</v>
      </c>
      <c r="G1417">
        <v>504.8900146484375</v>
      </c>
      <c r="H1417" s="2">
        <f>MONTH(Query1[[#This Row],[Date]])</f>
        <v>8</v>
      </c>
      <c r="I1417" s="3">
        <f>Query1[[#This Row],[Shares]]*Query1[[#This Row],[Adj Close]]</f>
        <v>1813715.8773310145</v>
      </c>
      <c r="J1417" s="3">
        <f>IF(ROW()&lt;3, Dashboard!$E$7, IF(Query1[[#This Row],[Month]]&lt;&gt;H1416,J1416*(1+Dashboard!$E$4)+Dashboard!$E$5,J1416))</f>
        <v>1163421.3282106582</v>
      </c>
      <c r="K1417">
        <f>IF(ROW()&lt;3, 0,IF(Query1[[#This Row],[Month]]&lt;&gt;H1416,IF((J1417-I1417&gt;0),J1417-I1417,0),0))</f>
        <v>0</v>
      </c>
      <c r="L1417" s="2">
        <f t="shared" si="22"/>
        <v>3592.2989655359538</v>
      </c>
      <c r="N1417" s="2">
        <f>IF(ROW()&lt;3, Query1[[#This Row],[Shares]], IF(Query1[[#This Row],[Month]]&lt;&gt;H1416, N1416+Query1[[#This Row],[Fix Top Up]]/Query1[[#This Row],[Adj Close]], N1416))</f>
        <v>3443.7835895075805</v>
      </c>
      <c r="P1417" s="2">
        <f>IF(ROW()&lt;3, Query1[[#This Row],[Shares]], IF(Query1[[#This Row],[Month]]&lt;&gt;H1416, P1416+Query1[[#This Row],[Enhanced top up]]/Query1[[#This Row],[Adj Close]], P1416))</f>
        <v>3441.9086679591742</v>
      </c>
      <c r="Q1417" s="2">
        <f>IFERROR(AVERAGE(
  IF(ROW()&gt;20, INDEX(G:G, ROW()-20), 0) :
  INDEX(G:G, ROW())
),0)</f>
        <v>518.40588669549857</v>
      </c>
    </row>
    <row r="1418" spans="1:17" x14ac:dyDescent="0.4">
      <c r="A1418" s="1">
        <v>45890</v>
      </c>
      <c r="B1418">
        <v>503.69000244140625</v>
      </c>
      <c r="C1418">
        <v>507.6300048828125</v>
      </c>
      <c r="D1418">
        <v>502.72000122070313</v>
      </c>
      <c r="E1418">
        <v>504.239990234375</v>
      </c>
      <c r="F1418">
        <v>18443300</v>
      </c>
      <c r="G1418">
        <v>504.239990234375</v>
      </c>
      <c r="H1418" s="2">
        <f>MONTH(Query1[[#This Row],[Date]])</f>
        <v>8</v>
      </c>
      <c r="I1418" s="3">
        <f>Query1[[#This Row],[Shares]]*Query1[[#This Row],[Adj Close]]</f>
        <v>1811380.7953008048</v>
      </c>
      <c r="J1418" s="3">
        <f>IF(ROW()&lt;3, Dashboard!$E$7, IF(Query1[[#This Row],[Month]]&lt;&gt;H1417,J1417*(1+Dashboard!$E$4)+Dashboard!$E$5,J1417))</f>
        <v>1163421.3282106582</v>
      </c>
      <c r="K1418">
        <f>IF(ROW()&lt;3, 0,IF(Query1[[#This Row],[Month]]&lt;&gt;H1417,IF((J1418-I1418&gt;0),J1418-I1418,0),0))</f>
        <v>0</v>
      </c>
      <c r="L1418" s="2">
        <f t="shared" si="22"/>
        <v>3592.2989655359538</v>
      </c>
      <c r="N1418" s="2">
        <f>IF(ROW()&lt;3, Query1[[#This Row],[Shares]], IF(Query1[[#This Row],[Month]]&lt;&gt;H1417, N1417+Query1[[#This Row],[Fix Top Up]]/Query1[[#This Row],[Adj Close]], N1417))</f>
        <v>3443.7835895075805</v>
      </c>
      <c r="P1418" s="2">
        <f>IF(ROW()&lt;3, Query1[[#This Row],[Shares]], IF(Query1[[#This Row],[Month]]&lt;&gt;H1417, P1417+Query1[[#This Row],[Enhanced top up]]/Query1[[#This Row],[Adj Close]], P1417))</f>
        <v>3441.9086679591742</v>
      </c>
      <c r="Q1418" s="2">
        <f>IFERROR(AVERAGE(
  IF(ROW()&gt;20, INDEX(G:G, ROW()-20), 0) :
  INDEX(G:G, ROW())
),0)</f>
        <v>518.36780221121649</v>
      </c>
    </row>
    <row r="1419" spans="1:17" x14ac:dyDescent="0.4">
      <c r="A1419" s="1">
        <v>45891</v>
      </c>
      <c r="B1419">
        <v>504.25</v>
      </c>
      <c r="C1419">
        <v>510.73001098632813</v>
      </c>
      <c r="D1419">
        <v>502.41000366210938</v>
      </c>
      <c r="E1419">
        <v>507.23001098632813</v>
      </c>
      <c r="F1419">
        <v>24324200</v>
      </c>
      <c r="G1419">
        <v>507.23001098632813</v>
      </c>
      <c r="H1419" s="2">
        <f>MONTH(Query1[[#This Row],[Date]])</f>
        <v>8</v>
      </c>
      <c r="I1419" s="3">
        <f>Query1[[#This Row],[Shares]]*Query1[[#This Row],[Adj Close]]</f>
        <v>1822121.843754977</v>
      </c>
      <c r="J1419" s="3">
        <f>IF(ROW()&lt;3, Dashboard!$E$7, IF(Query1[[#This Row],[Month]]&lt;&gt;H1418,J1418*(1+Dashboard!$E$4)+Dashboard!$E$5,J1418))</f>
        <v>1163421.3282106582</v>
      </c>
      <c r="K1419">
        <f>IF(ROW()&lt;3, 0,IF(Query1[[#This Row],[Month]]&lt;&gt;H1418,IF((J1419-I1419&gt;0),J1419-I1419,0),0))</f>
        <v>0</v>
      </c>
      <c r="L1419" s="2">
        <f t="shared" si="22"/>
        <v>3592.2989655359538</v>
      </c>
      <c r="N1419" s="2">
        <f>IF(ROW()&lt;3, Query1[[#This Row],[Shares]], IF(Query1[[#This Row],[Month]]&lt;&gt;H1418, N1418+Query1[[#This Row],[Fix Top Up]]/Query1[[#This Row],[Adj Close]], N1418))</f>
        <v>3443.7835895075805</v>
      </c>
      <c r="P1419" s="2">
        <f>IF(ROW()&lt;3, Query1[[#This Row],[Shares]], IF(Query1[[#This Row],[Month]]&lt;&gt;H1418, P1418+Query1[[#This Row],[Enhanced top up]]/Query1[[#This Row],[Adj Close]], P1418))</f>
        <v>3441.9086679591742</v>
      </c>
      <c r="Q1419" s="2">
        <f>IFERROR(AVERAGE(
  IF(ROW()&gt;20, INDEX(G:G, ROW()-20), 0) :
  INDEX(G:G, ROW())
),0)</f>
        <v>518.23392014276419</v>
      </c>
    </row>
    <row r="1420" spans="1:17" x14ac:dyDescent="0.4">
      <c r="A1420" s="1">
        <v>45894</v>
      </c>
      <c r="B1420">
        <v>506.6300048828125</v>
      </c>
      <c r="C1420">
        <v>508.19000244140625</v>
      </c>
      <c r="D1420">
        <v>504.1199951171875</v>
      </c>
      <c r="E1420">
        <v>504.260009765625</v>
      </c>
      <c r="F1420">
        <v>21638600</v>
      </c>
      <c r="G1420">
        <v>504.260009765625</v>
      </c>
      <c r="H1420" s="2">
        <f>MONTH(Query1[[#This Row],[Date]])</f>
        <v>8</v>
      </c>
      <c r="I1420" s="3">
        <f>Query1[[#This Row],[Shares]]*Query1[[#This Row],[Adj Close]]</f>
        <v>1811452.7114422047</v>
      </c>
      <c r="J1420" s="3">
        <f>IF(ROW()&lt;3, Dashboard!$E$7, IF(Query1[[#This Row],[Month]]&lt;&gt;H1419,J1419*(1+Dashboard!$E$4)+Dashboard!$E$5,J1419))</f>
        <v>1163421.3282106582</v>
      </c>
      <c r="K1420">
        <f>IF(ROW()&lt;3, 0,IF(Query1[[#This Row],[Month]]&lt;&gt;H1419,IF((J1420-I1420&gt;0),J1420-I1420,0),0))</f>
        <v>0</v>
      </c>
      <c r="L1420" s="2">
        <f t="shared" si="22"/>
        <v>3592.2989655359538</v>
      </c>
      <c r="N1420" s="2">
        <f>IF(ROW()&lt;3, Query1[[#This Row],[Shares]], IF(Query1[[#This Row],[Month]]&lt;&gt;H1419, N1419+Query1[[#This Row],[Fix Top Up]]/Query1[[#This Row],[Adj Close]], N1419))</f>
        <v>3443.7835895075805</v>
      </c>
      <c r="P1420" s="2">
        <f>IF(ROW()&lt;3, Query1[[#This Row],[Shares]], IF(Query1[[#This Row],[Month]]&lt;&gt;H1419, P1419+Query1[[#This Row],[Enhanced top up]]/Query1[[#This Row],[Adj Close]], P1419))</f>
        <v>3441.9086679591742</v>
      </c>
      <c r="Q1420" s="2">
        <f>IFERROR(AVERAGE(
  IF(ROW()&gt;20, INDEX(G:G, ROW()-20), 0) :
  INDEX(G:G, ROW())
),0)</f>
        <v>517.82406616210938</v>
      </c>
    </row>
    <row r="1421" spans="1:17" x14ac:dyDescent="0.4">
      <c r="A1421" s="1">
        <v>45895</v>
      </c>
      <c r="B1421">
        <v>504.3599853515625</v>
      </c>
      <c r="C1421">
        <v>504.98001098632813</v>
      </c>
      <c r="D1421">
        <v>498.510009765625</v>
      </c>
      <c r="E1421">
        <v>502.04000854492188</v>
      </c>
      <c r="F1421">
        <v>30835700</v>
      </c>
      <c r="G1421">
        <v>502.04000854492188</v>
      </c>
      <c r="H1421" s="2">
        <f>MONTH(Query1[[#This Row],[Date]])</f>
        <v>8</v>
      </c>
      <c r="I1421" s="3">
        <f>Query1[[#This Row],[Shares]]*Query1[[#This Row],[Adj Close]]</f>
        <v>1803477.8033535844</v>
      </c>
      <c r="J1421" s="3">
        <f>IF(ROW()&lt;3, Dashboard!$E$7, IF(Query1[[#This Row],[Month]]&lt;&gt;H1420,J1420*(1+Dashboard!$E$4)+Dashboard!$E$5,J1420))</f>
        <v>1163421.3282106582</v>
      </c>
      <c r="K1421">
        <f>IF(ROW()&lt;3, 0,IF(Query1[[#This Row],[Month]]&lt;&gt;H1420,IF((J1421-I1421&gt;0),J1421-I1421,0),0))</f>
        <v>0</v>
      </c>
      <c r="L1421" s="2">
        <f t="shared" si="22"/>
        <v>3592.2989655359538</v>
      </c>
      <c r="N1421" s="2">
        <f>IF(ROW()&lt;3, Query1[[#This Row],[Shares]], IF(Query1[[#This Row],[Month]]&lt;&gt;H1420, N1420+Query1[[#This Row],[Fix Top Up]]/Query1[[#This Row],[Adj Close]], N1420))</f>
        <v>3443.7835895075805</v>
      </c>
      <c r="P1421" s="2">
        <f>IF(ROW()&lt;3, Query1[[#This Row],[Shares]], IF(Query1[[#This Row],[Month]]&lt;&gt;H1420, P1420+Query1[[#This Row],[Enhanced top up]]/Query1[[#This Row],[Adj Close]], P1420))</f>
        <v>3441.9086679591742</v>
      </c>
      <c r="Q1421" s="2">
        <f>IFERROR(AVERAGE(
  IF(ROW()&gt;20, INDEX(G:G, ROW()-20), 0) :
  INDEX(G:G, ROW())
),0)</f>
        <v>517.36602492559518</v>
      </c>
    </row>
    <row r="1422" spans="1:17" x14ac:dyDescent="0.4">
      <c r="A1422" s="1">
        <v>45896</v>
      </c>
      <c r="B1422">
        <v>502</v>
      </c>
      <c r="C1422">
        <v>507.29000854492188</v>
      </c>
      <c r="D1422">
        <v>499.89999389648438</v>
      </c>
      <c r="E1422">
        <v>506.739990234375</v>
      </c>
      <c r="F1422">
        <v>17277900</v>
      </c>
      <c r="G1422">
        <v>506.739990234375</v>
      </c>
      <c r="H1422" s="2">
        <f>MONTH(Query1[[#This Row],[Date]])</f>
        <v>8</v>
      </c>
      <c r="I1422" s="3">
        <f>Query1[[#This Row],[Shares]]*Query1[[#This Row],[Adj Close]]</f>
        <v>1820361.5427146447</v>
      </c>
      <c r="J1422" s="3">
        <f>IF(ROW()&lt;3, Dashboard!$E$7, IF(Query1[[#This Row],[Month]]&lt;&gt;H1421,J1421*(1+Dashboard!$E$4)+Dashboard!$E$5,J1421))</f>
        <v>1163421.3282106582</v>
      </c>
      <c r="K1422">
        <f>IF(ROW()&lt;3, 0,IF(Query1[[#This Row],[Month]]&lt;&gt;H1421,IF((J1422-I1422&gt;0),J1422-I1422,0),0))</f>
        <v>0</v>
      </c>
      <c r="L1422" s="2">
        <f t="shared" si="22"/>
        <v>3592.2989655359538</v>
      </c>
      <c r="N1422" s="2">
        <f>IF(ROW()&lt;3, Query1[[#This Row],[Shares]], IF(Query1[[#This Row],[Month]]&lt;&gt;H1421, N1421+Query1[[#This Row],[Fix Top Up]]/Query1[[#This Row],[Adj Close]], N1421))</f>
        <v>3443.7835895075805</v>
      </c>
      <c r="P1422" s="2">
        <f>IF(ROW()&lt;3, Query1[[#This Row],[Shares]], IF(Query1[[#This Row],[Month]]&lt;&gt;H1421, P1421+Query1[[#This Row],[Enhanced top up]]/Query1[[#This Row],[Adj Close]], P1421))</f>
        <v>3441.9086679591742</v>
      </c>
      <c r="Q1422" s="2">
        <f>IFERROR(AVERAGE(
  IF(ROW()&gt;20, INDEX(G:G, ROW()-20), 0) :
  INDEX(G:G, ROW())
),0)</f>
        <v>517.12846447172615</v>
      </c>
    </row>
    <row r="1423" spans="1:17" x14ac:dyDescent="0.4">
      <c r="A1423" s="1">
        <v>45897</v>
      </c>
      <c r="B1423">
        <v>507.08999633789063</v>
      </c>
      <c r="C1423">
        <v>511.08999633789063</v>
      </c>
      <c r="D1423">
        <v>505.5</v>
      </c>
      <c r="E1423">
        <v>509.6400146484375</v>
      </c>
      <c r="F1423">
        <v>18015600</v>
      </c>
      <c r="G1423">
        <v>509.6400146484375</v>
      </c>
      <c r="H1423" s="2">
        <f>MONTH(Query1[[#This Row],[Date]])</f>
        <v>8</v>
      </c>
      <c r="I1423" s="3">
        <f>Query1[[#This Row],[Shares]]*Query1[[#This Row],[Adj Close]]</f>
        <v>1830779.2974173103</v>
      </c>
      <c r="J1423" s="3">
        <f>IF(ROW()&lt;3, Dashboard!$E$7, IF(Query1[[#This Row],[Month]]&lt;&gt;H1422,J1422*(1+Dashboard!$E$4)+Dashboard!$E$5,J1422))</f>
        <v>1163421.3282106582</v>
      </c>
      <c r="K1423">
        <f>IF(ROW()&lt;3, 0,IF(Query1[[#This Row],[Month]]&lt;&gt;H1422,IF((J1423-I1423&gt;0),J1423-I1423,0),0))</f>
        <v>0</v>
      </c>
      <c r="L1423" s="2">
        <f t="shared" si="22"/>
        <v>3592.2989655359538</v>
      </c>
      <c r="N1423" s="2">
        <f>IF(ROW()&lt;3, Query1[[#This Row],[Shares]], IF(Query1[[#This Row],[Month]]&lt;&gt;H1422, N1422+Query1[[#This Row],[Fix Top Up]]/Query1[[#This Row],[Adj Close]], N1422))</f>
        <v>3443.7835895075805</v>
      </c>
      <c r="P1423" s="2">
        <f>IF(ROW()&lt;3, Query1[[#This Row],[Shares]], IF(Query1[[#This Row],[Month]]&lt;&gt;H1422, P1422+Query1[[#This Row],[Enhanced top up]]/Query1[[#This Row],[Adj Close]], P1422))</f>
        <v>3441.9086679591742</v>
      </c>
      <c r="Q1423" s="2">
        <f>IFERROR(AVERAGE(
  IF(ROW()&gt;20, INDEX(G:G, ROW()-20), 0) :
  INDEX(G:G, ROW())
),0)</f>
        <v>516.99714878627231</v>
      </c>
    </row>
    <row r="1424" spans="1:17" x14ac:dyDescent="0.4">
      <c r="A1424" s="1">
        <v>45898</v>
      </c>
      <c r="B1424">
        <v>508.66000366210938</v>
      </c>
      <c r="C1424">
        <v>509.60000610351563</v>
      </c>
      <c r="D1424">
        <v>504.489990234375</v>
      </c>
      <c r="E1424">
        <v>506.69000244140625</v>
      </c>
      <c r="F1424">
        <v>20961600</v>
      </c>
      <c r="G1424">
        <v>506.69000244140625</v>
      </c>
      <c r="H1424" s="2">
        <f>MONTH(Query1[[#This Row],[Date]])</f>
        <v>8</v>
      </c>
      <c r="I1424" s="3">
        <f>Query1[[#This Row],[Shares]]*Query1[[#This Row],[Adj Close]]</f>
        <v>1820181.9716176735</v>
      </c>
      <c r="J1424" s="3">
        <f>IF(ROW()&lt;3, Dashboard!$E$7, IF(Query1[[#This Row],[Month]]&lt;&gt;H1423,J1423*(1+Dashboard!$E$4)+Dashboard!$E$5,J1423))</f>
        <v>1163421.3282106582</v>
      </c>
      <c r="K1424">
        <f>IF(ROW()&lt;3, 0,IF(Query1[[#This Row],[Month]]&lt;&gt;H1423,IF((J1424-I1424&gt;0),J1424-I1424,0),0))</f>
        <v>0</v>
      </c>
      <c r="L1424" s="2">
        <f t="shared" si="22"/>
        <v>3592.2989655359538</v>
      </c>
      <c r="N1424" s="2">
        <f>IF(ROW()&lt;3, Query1[[#This Row],[Shares]], IF(Query1[[#This Row],[Month]]&lt;&gt;H1423, N1423+Query1[[#This Row],[Fix Top Up]]/Query1[[#This Row],[Adj Close]], N1423))</f>
        <v>3443.7835895075805</v>
      </c>
      <c r="P1424" s="2">
        <f>IF(ROW()&lt;3, Query1[[#This Row],[Shares]], IF(Query1[[#This Row],[Month]]&lt;&gt;H1423, P1423+Query1[[#This Row],[Enhanced top up]]/Query1[[#This Row],[Adj Close]], P1423))</f>
        <v>3441.9086679591742</v>
      </c>
      <c r="Q1424" s="2">
        <f>IFERROR(AVERAGE(
  IF(ROW()&gt;20, INDEX(G:G, ROW()-20), 0) :
  INDEX(G:G, ROW())
),0)</f>
        <v>515.76217796688991</v>
      </c>
    </row>
    <row r="1425" spans="1:17" x14ac:dyDescent="0.4">
      <c r="A1425" s="1">
        <v>45902</v>
      </c>
      <c r="B1425">
        <v>500.47000122070313</v>
      </c>
      <c r="C1425">
        <v>506</v>
      </c>
      <c r="D1425">
        <v>496.80999755859375</v>
      </c>
      <c r="E1425">
        <v>505.1199951171875</v>
      </c>
      <c r="F1425">
        <v>18128000</v>
      </c>
      <c r="G1425">
        <v>505.1199951171875</v>
      </c>
      <c r="H1425" s="2">
        <f>MONTH(Query1[[#This Row],[Date]])</f>
        <v>9</v>
      </c>
      <c r="I1425" s="3">
        <f>Query1[[#This Row],[Shares]]*Query1[[#This Row],[Adj Close]]</f>
        <v>1814542.0359309986</v>
      </c>
      <c r="J1425" s="3">
        <f>IF(ROW()&lt;3, Dashboard!$E$7, IF(Query1[[#This Row],[Month]]&lt;&gt;H1424,J1424*(1+Dashboard!$E$4)+Dashboard!$E$5,J1424))</f>
        <v>1177055.5414927648</v>
      </c>
      <c r="K1425">
        <f>IF(ROW()&lt;3, 0,IF(Query1[[#This Row],[Month]]&lt;&gt;H1424,IF((J1425-I1425&gt;0),J1425-I1425,0),0))</f>
        <v>0</v>
      </c>
      <c r="L1425" s="2">
        <f t="shared" si="22"/>
        <v>3592.2989655359538</v>
      </c>
      <c r="N1425" s="2">
        <f>IF(ROW()&lt;3, Query1[[#This Row],[Shares]], IF(Query1[[#This Row],[Month]]&lt;&gt;H1424, N1424+Query1[[#This Row],[Fix Top Up]]/Query1[[#This Row],[Adj Close]], N1424))</f>
        <v>3443.7835895075805</v>
      </c>
      <c r="P1425" s="2">
        <f>IF(ROW()&lt;3, Query1[[#This Row],[Shares]], IF(Query1[[#This Row],[Month]]&lt;&gt;H1424, P1424+Query1[[#This Row],[Enhanced top up]]/Query1[[#This Row],[Adj Close]], P1424))</f>
        <v>3441.9086679591742</v>
      </c>
      <c r="Q1425" s="2">
        <f>IFERROR(AVERAGE(
  IF(ROW()&gt;20, INDEX(G:G, ROW()-20), 0) :
  INDEX(G:G, ROW())
),0)</f>
        <v>514.89885312034971</v>
      </c>
    </row>
    <row r="1426" spans="1:17" x14ac:dyDescent="0.4">
      <c r="A1426" s="1">
        <v>45903</v>
      </c>
      <c r="B1426">
        <v>503.79000854492188</v>
      </c>
      <c r="C1426">
        <v>507.79000854492188</v>
      </c>
      <c r="D1426">
        <v>502.32000732421875</v>
      </c>
      <c r="E1426">
        <v>505.35000610351563</v>
      </c>
      <c r="F1426">
        <v>16345100</v>
      </c>
      <c r="G1426">
        <v>505.35000610351563</v>
      </c>
      <c r="H1426" s="2">
        <f>MONTH(Query1[[#This Row],[Date]])</f>
        <v>9</v>
      </c>
      <c r="I1426" s="3">
        <f>Query1[[#This Row],[Shares]]*Query1[[#This Row],[Adj Close]]</f>
        <v>1815368.3041592471</v>
      </c>
      <c r="J1426" s="3">
        <f>IF(ROW()&lt;3, Dashboard!$E$7, IF(Query1[[#This Row],[Month]]&lt;&gt;H1425,J1425*(1+Dashboard!$E$4)+Dashboard!$E$5,J1425))</f>
        <v>1177055.5414927648</v>
      </c>
      <c r="K1426">
        <f>IF(ROW()&lt;3, 0,IF(Query1[[#This Row],[Month]]&lt;&gt;H1425,IF((J1426-I1426&gt;0),J1426-I1426,0),0))</f>
        <v>0</v>
      </c>
      <c r="L1426" s="2">
        <f t="shared" si="22"/>
        <v>3592.2989655359538</v>
      </c>
      <c r="N1426" s="2">
        <f>IF(ROW()&lt;3, Query1[[#This Row],[Shares]], IF(Query1[[#This Row],[Month]]&lt;&gt;H1425, N1425+Query1[[#This Row],[Fix Top Up]]/Query1[[#This Row],[Adj Close]], N1425))</f>
        <v>3443.7835895075805</v>
      </c>
      <c r="P1426" s="2">
        <f>IF(ROW()&lt;3, Query1[[#This Row],[Shares]], IF(Query1[[#This Row],[Month]]&lt;&gt;H1425, P1425+Query1[[#This Row],[Enhanced top up]]/Query1[[#This Row],[Adj Close]], P1425))</f>
        <v>3441.9086679591742</v>
      </c>
      <c r="Q1426" s="2">
        <f>IFERROR(AVERAGE(
  IF(ROW()&gt;20, INDEX(G:G, ROW()-20), 0) :
  INDEX(G:G, ROW())
),0)</f>
        <v>513.49833315894716</v>
      </c>
    </row>
    <row r="1427" spans="1:17" x14ac:dyDescent="0.4">
      <c r="A1427" s="1">
        <v>45904</v>
      </c>
      <c r="B1427">
        <v>504.29998779296875</v>
      </c>
      <c r="C1427">
        <v>508.14999389648438</v>
      </c>
      <c r="D1427">
        <v>503.14999389648438</v>
      </c>
      <c r="E1427">
        <v>507.97000122070313</v>
      </c>
      <c r="F1427">
        <v>15509500</v>
      </c>
      <c r="G1427">
        <v>507.97000122070313</v>
      </c>
      <c r="H1427" s="2">
        <f>MONTH(Query1[[#This Row],[Date]])</f>
        <v>9</v>
      </c>
      <c r="I1427" s="3">
        <f>Query1[[#This Row],[Shares]]*Query1[[#This Row],[Adj Close]]</f>
        <v>1824780.109908429</v>
      </c>
      <c r="J1427" s="3">
        <f>IF(ROW()&lt;3, Dashboard!$E$7, IF(Query1[[#This Row],[Month]]&lt;&gt;H1426,J1426*(1+Dashboard!$E$4)+Dashboard!$E$5,J1426))</f>
        <v>1177055.5414927648</v>
      </c>
      <c r="K1427">
        <f>IF(ROW()&lt;3, 0,IF(Query1[[#This Row],[Month]]&lt;&gt;H1426,IF((J1427-I1427&gt;0),J1427-I1427,0),0))</f>
        <v>0</v>
      </c>
      <c r="L1427" s="2">
        <f t="shared" si="22"/>
        <v>3592.2989655359538</v>
      </c>
      <c r="N1427" s="2">
        <f>IF(ROW()&lt;3, Query1[[#This Row],[Shares]], IF(Query1[[#This Row],[Month]]&lt;&gt;H1426, N1426+Query1[[#This Row],[Fix Top Up]]/Query1[[#This Row],[Adj Close]], N1426))</f>
        <v>3443.7835895075805</v>
      </c>
      <c r="P1427" s="2">
        <f>IF(ROW()&lt;3, Query1[[#This Row],[Shares]], IF(Query1[[#This Row],[Month]]&lt;&gt;H1426, P1426+Query1[[#This Row],[Enhanced top up]]/Query1[[#This Row],[Adj Close]], P1426))</f>
        <v>3441.9086679591742</v>
      </c>
      <c r="Q1427" s="2">
        <f>IFERROR(AVERAGE(
  IF(ROW()&gt;20, INDEX(G:G, ROW()-20), 0) :
  INDEX(G:G, ROW())
),0)</f>
        <v>512.59767368861606</v>
      </c>
    </row>
    <row r="1428" spans="1:17" x14ac:dyDescent="0.4">
      <c r="A1428" s="1">
        <v>45905</v>
      </c>
      <c r="B1428">
        <v>509.07000732421875</v>
      </c>
      <c r="C1428">
        <v>511.97000122070313</v>
      </c>
      <c r="D1428">
        <v>492.3699951171875</v>
      </c>
      <c r="E1428">
        <v>495</v>
      </c>
      <c r="F1428">
        <v>31994800</v>
      </c>
      <c r="G1428">
        <v>495</v>
      </c>
      <c r="H1428" s="2">
        <f>MONTH(Query1[[#This Row],[Date]])</f>
        <v>9</v>
      </c>
      <c r="I1428" s="3">
        <f>Query1[[#This Row],[Shares]]*Query1[[#This Row],[Adj Close]]</f>
        <v>1778187.9879402972</v>
      </c>
      <c r="J1428" s="3">
        <f>IF(ROW()&lt;3, Dashboard!$E$7, IF(Query1[[#This Row],[Month]]&lt;&gt;H1427,J1427*(1+Dashboard!$E$4)+Dashboard!$E$5,J1427))</f>
        <v>1177055.5414927648</v>
      </c>
      <c r="K1428">
        <f>IF(ROW()&lt;3, 0,IF(Query1[[#This Row],[Month]]&lt;&gt;H1427,IF((J1428-I1428&gt;0),J1428-I1428,0),0))</f>
        <v>0</v>
      </c>
      <c r="L1428" s="2">
        <f t="shared" si="22"/>
        <v>3592.2989655359538</v>
      </c>
      <c r="N1428" s="2">
        <f>IF(ROW()&lt;3, Query1[[#This Row],[Shares]], IF(Query1[[#This Row],[Month]]&lt;&gt;H1427, N1427+Query1[[#This Row],[Fix Top Up]]/Query1[[#This Row],[Adj Close]], N1427))</f>
        <v>3443.7835895075805</v>
      </c>
      <c r="P1428" s="2">
        <f>IF(ROW()&lt;3, Query1[[#This Row],[Shares]], IF(Query1[[#This Row],[Month]]&lt;&gt;H1427, P1427+Query1[[#This Row],[Enhanced top up]]/Query1[[#This Row],[Adj Close]], P1427))</f>
        <v>3441.9086679591742</v>
      </c>
      <c r="Q1428" s="2">
        <f>IFERROR(AVERAGE(
  IF(ROW()&gt;20, INDEX(G:G, ROW()-20), 0) :
  INDEX(G:G, ROW())
),0)</f>
        <v>511.21298363095241</v>
      </c>
    </row>
    <row r="1429" spans="1:17" x14ac:dyDescent="0.4">
      <c r="A1429" s="1">
        <v>45908</v>
      </c>
      <c r="B1429">
        <v>498.1099853515625</v>
      </c>
      <c r="C1429">
        <v>501.20001220703125</v>
      </c>
      <c r="D1429">
        <v>495.02999877929688</v>
      </c>
      <c r="E1429">
        <v>498.20001220703125</v>
      </c>
      <c r="F1429">
        <v>16771000</v>
      </c>
      <c r="G1429">
        <v>498.20001220703125</v>
      </c>
      <c r="H1429" s="2">
        <f>MONTH(Query1[[#This Row],[Date]])</f>
        <v>9</v>
      </c>
      <c r="I1429" s="3">
        <f>Query1[[#This Row],[Shares]]*Query1[[#This Row],[Adj Close]]</f>
        <v>1789683.388481318</v>
      </c>
      <c r="J1429" s="3">
        <f>IF(ROW()&lt;3, Dashboard!$E$7, IF(Query1[[#This Row],[Month]]&lt;&gt;H1428,J1428*(1+Dashboard!$E$4)+Dashboard!$E$5,J1428))</f>
        <v>1177055.5414927648</v>
      </c>
      <c r="K1429">
        <f>IF(ROW()&lt;3, 0,IF(Query1[[#This Row],[Month]]&lt;&gt;H1428,IF((J1429-I1429&gt;0),J1429-I1429,0),0))</f>
        <v>0</v>
      </c>
      <c r="L1429" s="2">
        <f t="shared" si="22"/>
        <v>3592.2989655359538</v>
      </c>
      <c r="N1429" s="2">
        <f>IF(ROW()&lt;3, Query1[[#This Row],[Shares]], IF(Query1[[#This Row],[Month]]&lt;&gt;H1428, N1428+Query1[[#This Row],[Fix Top Up]]/Query1[[#This Row],[Adj Close]], N1428))</f>
        <v>3443.7835895075805</v>
      </c>
      <c r="P1429" s="2">
        <f>IF(ROW()&lt;3, Query1[[#This Row],[Shares]], IF(Query1[[#This Row],[Month]]&lt;&gt;H1428, P1428+Query1[[#This Row],[Enhanced top up]]/Query1[[#This Row],[Adj Close]], P1428))</f>
        <v>3441.9086679591742</v>
      </c>
      <c r="Q1429" s="2">
        <f>IFERROR(AVERAGE(
  IF(ROW()&gt;20, INDEX(G:G, ROW()-20), 0) :
  INDEX(G:G, ROW())
),0)</f>
        <v>510.17559233165923</v>
      </c>
    </row>
    <row r="1430" spans="1:17" x14ac:dyDescent="0.4">
      <c r="A1430" s="1">
        <v>45909</v>
      </c>
      <c r="B1430">
        <v>501.42999267578125</v>
      </c>
      <c r="C1430">
        <v>502.25</v>
      </c>
      <c r="D1430">
        <v>497.70001220703125</v>
      </c>
      <c r="E1430">
        <v>498.41000366210938</v>
      </c>
      <c r="F1430">
        <v>14410500</v>
      </c>
      <c r="G1430">
        <v>498.41000366210938</v>
      </c>
      <c r="H1430" s="2">
        <f>MONTH(Query1[[#This Row],[Date]])</f>
        <v>9</v>
      </c>
      <c r="I1430" s="3">
        <f>Query1[[#This Row],[Shares]]*Query1[[#This Row],[Adj Close]]</f>
        <v>1790437.7405681664</v>
      </c>
      <c r="J1430" s="3">
        <f>IF(ROW()&lt;3, Dashboard!$E$7, IF(Query1[[#This Row],[Month]]&lt;&gt;H1429,J1429*(1+Dashboard!$E$4)+Dashboard!$E$5,J1429))</f>
        <v>1177055.5414927648</v>
      </c>
      <c r="K1430">
        <f>IF(ROW()&lt;3, 0,IF(Query1[[#This Row],[Month]]&lt;&gt;H1429,IF((J1430-I1430&gt;0),J1430-I1430,0),0))</f>
        <v>0</v>
      </c>
      <c r="L1430" s="2">
        <f t="shared" si="22"/>
        <v>3592.2989655359538</v>
      </c>
      <c r="N1430" s="2">
        <f>IF(ROW()&lt;3, Query1[[#This Row],[Shares]], IF(Query1[[#This Row],[Month]]&lt;&gt;H1429, N1429+Query1[[#This Row],[Fix Top Up]]/Query1[[#This Row],[Adj Close]], N1429))</f>
        <v>3443.7835895075805</v>
      </c>
      <c r="P1430" s="2">
        <f>IF(ROW()&lt;3, Query1[[#This Row],[Shares]], IF(Query1[[#This Row],[Month]]&lt;&gt;H1429, P1429+Query1[[#This Row],[Enhanced top up]]/Query1[[#This Row],[Adj Close]], P1429))</f>
        <v>3441.9086679591742</v>
      </c>
      <c r="Q1430" s="2">
        <f>IFERROR(AVERAGE(
  IF(ROW()&gt;20, INDEX(G:G, ROW()-20), 0) :
  INDEX(G:G, ROW())
),0)</f>
        <v>509.09115309942337</v>
      </c>
    </row>
    <row r="1431" spans="1:17" x14ac:dyDescent="0.4">
      <c r="A1431" s="1">
        <v>45910</v>
      </c>
      <c r="B1431">
        <v>502.98001098632813</v>
      </c>
      <c r="C1431">
        <v>503.23001098632813</v>
      </c>
      <c r="D1431">
        <v>496.72000122070313</v>
      </c>
      <c r="E1431">
        <v>500.3699951171875</v>
      </c>
      <c r="F1431">
        <v>21611800</v>
      </c>
      <c r="G1431">
        <v>500.3699951171875</v>
      </c>
      <c r="H1431" s="2">
        <f>MONTH(Query1[[#This Row],[Date]])</f>
        <v>9</v>
      </c>
      <c r="I1431" s="3">
        <f>Query1[[#This Row],[Shares]]*Query1[[#This Row],[Adj Close]]</f>
        <v>1797478.6158447028</v>
      </c>
      <c r="J1431" s="3">
        <f>IF(ROW()&lt;3, Dashboard!$E$7, IF(Query1[[#This Row],[Month]]&lt;&gt;H1430,J1430*(1+Dashboard!$E$4)+Dashboard!$E$5,J1430))</f>
        <v>1177055.5414927648</v>
      </c>
      <c r="K1431">
        <f>IF(ROW()&lt;3, 0,IF(Query1[[#This Row],[Month]]&lt;&gt;H1430,IF((J1431-I1431&gt;0),J1431-I1431,0),0))</f>
        <v>0</v>
      </c>
      <c r="L1431" s="2">
        <f t="shared" si="22"/>
        <v>3592.2989655359538</v>
      </c>
      <c r="N1431" s="2">
        <f>IF(ROW()&lt;3, Query1[[#This Row],[Shares]], IF(Query1[[#This Row],[Month]]&lt;&gt;H1430, N1430+Query1[[#This Row],[Fix Top Up]]/Query1[[#This Row],[Adj Close]], N1430))</f>
        <v>3443.7835895075805</v>
      </c>
      <c r="P1431" s="2">
        <f>IF(ROW()&lt;3, Query1[[#This Row],[Shares]], IF(Query1[[#This Row],[Month]]&lt;&gt;H1430, P1430+Query1[[#This Row],[Enhanced top up]]/Query1[[#This Row],[Adj Close]], P1430))</f>
        <v>3441.9086679591742</v>
      </c>
      <c r="Q1431" s="2">
        <f>IFERROR(AVERAGE(
  IF(ROW()&gt;20, INDEX(G:G, ROW()-20), 0) :
  INDEX(G:G, ROW())
),0)</f>
        <v>508.11288161504837</v>
      </c>
    </row>
    <row r="1432" spans="1:17" x14ac:dyDescent="0.4">
      <c r="A1432" s="1">
        <v>45911</v>
      </c>
      <c r="B1432">
        <v>502.25</v>
      </c>
      <c r="C1432">
        <v>503.17001342773438</v>
      </c>
      <c r="D1432">
        <v>497.8800048828125</v>
      </c>
      <c r="E1432">
        <v>501.010009765625</v>
      </c>
      <c r="F1432">
        <v>18881600</v>
      </c>
      <c r="G1432">
        <v>501.010009765625</v>
      </c>
      <c r="H1432" s="2">
        <f>MONTH(Query1[[#This Row],[Date]])</f>
        <v>9</v>
      </c>
      <c r="I1432" s="3">
        <f>Query1[[#This Row],[Shares]]*Query1[[#This Row],[Adj Close]]</f>
        <v>1799777.7398042127</v>
      </c>
      <c r="J1432" s="3">
        <f>IF(ROW()&lt;3, Dashboard!$E$7, IF(Query1[[#This Row],[Month]]&lt;&gt;H1431,J1431*(1+Dashboard!$E$4)+Dashboard!$E$5,J1431))</f>
        <v>1177055.5414927648</v>
      </c>
      <c r="K1432">
        <f>IF(ROW()&lt;3, 0,IF(Query1[[#This Row],[Month]]&lt;&gt;H1431,IF((J1432-I1432&gt;0),J1432-I1432,0),0))</f>
        <v>0</v>
      </c>
      <c r="L1432" s="2">
        <f t="shared" si="22"/>
        <v>3592.2989655359538</v>
      </c>
      <c r="N1432" s="2">
        <f>IF(ROW()&lt;3, Query1[[#This Row],[Shares]], IF(Query1[[#This Row],[Month]]&lt;&gt;H1431, N1431+Query1[[#This Row],[Fix Top Up]]/Query1[[#This Row],[Adj Close]], N1431))</f>
        <v>3443.7835895075805</v>
      </c>
      <c r="P1432" s="2">
        <f>IF(ROW()&lt;3, Query1[[#This Row],[Shares]], IF(Query1[[#This Row],[Month]]&lt;&gt;H1431, P1431+Query1[[#This Row],[Enhanced top up]]/Query1[[#This Row],[Adj Close]], P1431))</f>
        <v>3441.9086679591742</v>
      </c>
      <c r="Q1432" s="2">
        <f>IFERROR(AVERAGE(
  IF(ROW()&gt;20, INDEX(G:G, ROW()-20), 0) :
  INDEX(G:G, ROW())
),0)</f>
        <v>506.8099583217076</v>
      </c>
    </row>
    <row r="1433" spans="1:17" x14ac:dyDescent="0.4">
      <c r="A1433" s="1">
        <v>45912</v>
      </c>
      <c r="B1433">
        <v>506.64999389648438</v>
      </c>
      <c r="C1433">
        <v>512.54998779296875</v>
      </c>
      <c r="D1433">
        <v>503.85000610351563</v>
      </c>
      <c r="E1433">
        <v>509.89999389648438</v>
      </c>
      <c r="F1433">
        <v>23624900</v>
      </c>
      <c r="G1433">
        <v>509.89999389648438</v>
      </c>
      <c r="H1433" s="2">
        <f>MONTH(Query1[[#This Row],[Date]])</f>
        <v>9</v>
      </c>
      <c r="I1433" s="3">
        <f>Query1[[#This Row],[Shares]]*Query1[[#This Row],[Adj Close]]</f>
        <v>1831713.22060113</v>
      </c>
      <c r="J1433" s="3">
        <f>IF(ROW()&lt;3, Dashboard!$E$7, IF(Query1[[#This Row],[Month]]&lt;&gt;H1432,J1432*(1+Dashboard!$E$4)+Dashboard!$E$5,J1432))</f>
        <v>1177055.5414927648</v>
      </c>
      <c r="K1433">
        <f>IF(ROW()&lt;3, 0,IF(Query1[[#This Row],[Month]]&lt;&gt;H1432,IF((J1433-I1433&gt;0),J1433-I1433,0),0))</f>
        <v>0</v>
      </c>
      <c r="L1433" s="2">
        <f t="shared" si="22"/>
        <v>3592.2989655359538</v>
      </c>
      <c r="N1433" s="2">
        <f>IF(ROW()&lt;3, Query1[[#This Row],[Shares]], IF(Query1[[#This Row],[Month]]&lt;&gt;H1432, N1432+Query1[[#This Row],[Fix Top Up]]/Query1[[#This Row],[Adj Close]], N1432))</f>
        <v>3443.7835895075805</v>
      </c>
      <c r="P1433" s="2">
        <f>IF(ROW()&lt;3, Query1[[#This Row],[Shares]], IF(Query1[[#This Row],[Month]]&lt;&gt;H1432, P1432+Query1[[#This Row],[Enhanced top up]]/Query1[[#This Row],[Adj Close]], P1432))</f>
        <v>3441.9086679591742</v>
      </c>
      <c r="Q1433" s="2">
        <f>IFERROR(AVERAGE(
  IF(ROW()&gt;20, INDEX(G:G, ROW()-20), 0) :
  INDEX(G:G, ROW())
),0)</f>
        <v>506.34207007998509</v>
      </c>
    </row>
    <row r="1434" spans="1:17" x14ac:dyDescent="0.4">
      <c r="A1434" s="1">
        <v>45915</v>
      </c>
      <c r="B1434">
        <v>508.79000854492188</v>
      </c>
      <c r="C1434">
        <v>515.469970703125</v>
      </c>
      <c r="D1434">
        <v>507</v>
      </c>
      <c r="E1434">
        <v>515.3599853515625</v>
      </c>
      <c r="F1434">
        <v>17143800</v>
      </c>
      <c r="G1434">
        <v>515.3599853515625</v>
      </c>
      <c r="H1434" s="2">
        <f>MONTH(Query1[[#This Row],[Date]])</f>
        <v>9</v>
      </c>
      <c r="I1434" s="3">
        <f>Query1[[#This Row],[Shares]]*Query1[[#This Row],[Adj Close]]</f>
        <v>1851327.1422570422</v>
      </c>
      <c r="J1434" s="3">
        <f>IF(ROW()&lt;3, Dashboard!$E$7, IF(Query1[[#This Row],[Month]]&lt;&gt;H1433,J1433*(1+Dashboard!$E$4)+Dashboard!$E$5,J1433))</f>
        <v>1177055.5414927648</v>
      </c>
      <c r="K1434">
        <f>IF(ROW()&lt;3, 0,IF(Query1[[#This Row],[Month]]&lt;&gt;H1433,IF((J1434-I1434&gt;0),J1434-I1434,0),0))</f>
        <v>0</v>
      </c>
      <c r="L1434" s="2">
        <f t="shared" si="22"/>
        <v>3592.2989655359538</v>
      </c>
      <c r="N1434" s="2">
        <f>IF(ROW()&lt;3, Query1[[#This Row],[Shares]], IF(Query1[[#This Row],[Month]]&lt;&gt;H1433, N1433+Query1[[#This Row],[Fix Top Up]]/Query1[[#This Row],[Adj Close]], N1433))</f>
        <v>3443.7835895075805</v>
      </c>
      <c r="P1434" s="2">
        <f>IF(ROW()&lt;3, Query1[[#This Row],[Shares]], IF(Query1[[#This Row],[Month]]&lt;&gt;H1433, P1433+Query1[[#This Row],[Enhanced top up]]/Query1[[#This Row],[Adj Close]], P1433))</f>
        <v>3441.9086679591742</v>
      </c>
      <c r="Q1434" s="2">
        <f>IFERROR(AVERAGE(
  IF(ROW()&gt;20, INDEX(G:G, ROW()-20), 0) :
  INDEX(G:G, ROW())
),0)</f>
        <v>506.04385521298366</v>
      </c>
    </row>
    <row r="1435" spans="1:17" x14ac:dyDescent="0.4">
      <c r="A1435" s="1">
        <v>45916</v>
      </c>
      <c r="B1435">
        <v>516.8800048828125</v>
      </c>
      <c r="C1435">
        <v>517.22998046875</v>
      </c>
      <c r="D1435">
        <v>508.60000610351563</v>
      </c>
      <c r="E1435">
        <v>509.04000854492188</v>
      </c>
      <c r="F1435">
        <v>19711900</v>
      </c>
      <c r="G1435">
        <v>509.04000854492188</v>
      </c>
      <c r="H1435" s="2">
        <f>MONTH(Query1[[#This Row],[Date]])</f>
        <v>9</v>
      </c>
      <c r="I1435" s="3">
        <f>Query1[[#This Row],[Shares]]*Query1[[#This Row],[Adj Close]]</f>
        <v>1828623.8961123358</v>
      </c>
      <c r="J1435" s="3">
        <f>IF(ROW()&lt;3, Dashboard!$E$7, IF(Query1[[#This Row],[Month]]&lt;&gt;H1434,J1434*(1+Dashboard!$E$4)+Dashboard!$E$5,J1434))</f>
        <v>1177055.5414927648</v>
      </c>
      <c r="K1435">
        <f>IF(ROW()&lt;3, 0,IF(Query1[[#This Row],[Month]]&lt;&gt;H1434,IF((J1435-I1435&gt;0),J1435-I1435,0),0))</f>
        <v>0</v>
      </c>
      <c r="L1435" s="2">
        <f t="shared" si="22"/>
        <v>3592.2989655359538</v>
      </c>
      <c r="N1435" s="2">
        <f>IF(ROW()&lt;3, Query1[[#This Row],[Shares]], IF(Query1[[#This Row],[Month]]&lt;&gt;H1434, N1434+Query1[[#This Row],[Fix Top Up]]/Query1[[#This Row],[Adj Close]], N1434))</f>
        <v>3443.7835895075805</v>
      </c>
      <c r="P1435" s="2">
        <f>IF(ROW()&lt;3, Query1[[#This Row],[Shares]], IF(Query1[[#This Row],[Month]]&lt;&gt;H1434, P1434+Query1[[#This Row],[Enhanced top up]]/Query1[[#This Row],[Adj Close]], P1434))</f>
        <v>3441.9086679591742</v>
      </c>
      <c r="Q1435" s="2">
        <f>IFERROR(AVERAGE(
  IF(ROW()&gt;20, INDEX(G:G, ROW()-20), 0) :
  INDEX(G:G, ROW())
),0)</f>
        <v>505.55450875418529</v>
      </c>
    </row>
    <row r="1436" spans="1:17" x14ac:dyDescent="0.4">
      <c r="A1436" s="1">
        <v>45917</v>
      </c>
      <c r="B1436">
        <v>510.6199951171875</v>
      </c>
      <c r="C1436">
        <v>511.29000854492188</v>
      </c>
      <c r="D1436">
        <v>505.92999267578125</v>
      </c>
      <c r="E1436">
        <v>510.01998901367188</v>
      </c>
      <c r="F1436">
        <v>15816600</v>
      </c>
      <c r="G1436">
        <v>510.01998901367188</v>
      </c>
      <c r="H1436" s="2">
        <f>MONTH(Query1[[#This Row],[Date]])</f>
        <v>9</v>
      </c>
      <c r="I1436" s="3">
        <f>Query1[[#This Row],[Shares]]*Query1[[#This Row],[Adj Close]]</f>
        <v>1832144.278936472</v>
      </c>
      <c r="J1436" s="3">
        <f>IF(ROW()&lt;3, Dashboard!$E$7, IF(Query1[[#This Row],[Month]]&lt;&gt;H1435,J1435*(1+Dashboard!$E$4)+Dashboard!$E$5,J1435))</f>
        <v>1177055.5414927648</v>
      </c>
      <c r="K1436">
        <f>IF(ROW()&lt;3, 0,IF(Query1[[#This Row],[Month]]&lt;&gt;H1435,IF((J1436-I1436&gt;0),J1436-I1436,0),0))</f>
        <v>0</v>
      </c>
      <c r="L1436" s="2">
        <f t="shared" si="22"/>
        <v>3592.2989655359538</v>
      </c>
      <c r="N1436" s="2">
        <f>IF(ROW()&lt;3, Query1[[#This Row],[Shares]], IF(Query1[[#This Row],[Month]]&lt;&gt;H1435, N1435+Query1[[#This Row],[Fix Top Up]]/Query1[[#This Row],[Adj Close]], N1435))</f>
        <v>3443.7835895075805</v>
      </c>
      <c r="P1436" s="2">
        <f>IF(ROW()&lt;3, Query1[[#This Row],[Shares]], IF(Query1[[#This Row],[Month]]&lt;&gt;H1435, P1435+Query1[[#This Row],[Enhanced top up]]/Query1[[#This Row],[Adj Close]], P1435))</f>
        <v>3441.9086679591742</v>
      </c>
      <c r="Q1436" s="2">
        <f>IFERROR(AVERAGE(
  IF(ROW()&gt;20, INDEX(G:G, ROW()-20), 0) :
  INDEX(G:G, ROW())
),0)</f>
        <v>505.25778052920384</v>
      </c>
    </row>
    <row r="1437" spans="1:17" x14ac:dyDescent="0.4">
      <c r="A1437" s="1">
        <v>45918</v>
      </c>
      <c r="B1437">
        <v>511.489990234375</v>
      </c>
      <c r="C1437">
        <v>513.07000732421875</v>
      </c>
      <c r="D1437">
        <v>507.66000366210938</v>
      </c>
      <c r="E1437">
        <v>508.45001220703125</v>
      </c>
      <c r="F1437">
        <v>18913700</v>
      </c>
      <c r="G1437">
        <v>508.45001220703125</v>
      </c>
      <c r="H1437" s="2">
        <f>MONTH(Query1[[#This Row],[Date]])</f>
        <v>9</v>
      </c>
      <c r="I1437" s="3">
        <f>Query1[[#This Row],[Shares]]*Query1[[#This Row],[Adj Close]]</f>
        <v>1826504.4528780614</v>
      </c>
      <c r="J1437" s="3">
        <f>IF(ROW()&lt;3, Dashboard!$E$7, IF(Query1[[#This Row],[Month]]&lt;&gt;H1436,J1436*(1+Dashboard!$E$4)+Dashboard!$E$5,J1436))</f>
        <v>1177055.5414927648</v>
      </c>
      <c r="K1437">
        <f>IF(ROW()&lt;3, 0,IF(Query1[[#This Row],[Month]]&lt;&gt;H1436,IF((J1437-I1437&gt;0),J1437-I1437,0),0))</f>
        <v>0</v>
      </c>
      <c r="L1437" s="2">
        <f t="shared" si="22"/>
        <v>3592.2989655359538</v>
      </c>
      <c r="N1437" s="2">
        <f>IF(ROW()&lt;3, Query1[[#This Row],[Shares]], IF(Query1[[#This Row],[Month]]&lt;&gt;H1436, N1436+Query1[[#This Row],[Fix Top Up]]/Query1[[#This Row],[Adj Close]], N1436))</f>
        <v>3443.7835895075805</v>
      </c>
      <c r="P1437" s="2">
        <f>IF(ROW()&lt;3, Query1[[#This Row],[Shares]], IF(Query1[[#This Row],[Month]]&lt;&gt;H1436, P1436+Query1[[#This Row],[Enhanced top up]]/Query1[[#This Row],[Adj Close]], P1436))</f>
        <v>3441.9086679591742</v>
      </c>
      <c r="Q1437" s="2">
        <f>IFERROR(AVERAGE(
  IF(ROW()&gt;20, INDEX(G:G, ROW()-20), 0) :
  INDEX(G:G, ROW())
),0)</f>
        <v>505.23476446242557</v>
      </c>
    </row>
    <row r="1438" spans="1:17" x14ac:dyDescent="0.4">
      <c r="A1438" s="1">
        <v>45919</v>
      </c>
      <c r="B1438">
        <v>510.55999755859375</v>
      </c>
      <c r="C1438">
        <v>519.29998779296875</v>
      </c>
      <c r="D1438">
        <v>510.30999755859375</v>
      </c>
      <c r="E1438">
        <v>517.92999267578125</v>
      </c>
      <c r="F1438">
        <v>52474100</v>
      </c>
      <c r="G1438">
        <v>517.92999267578125</v>
      </c>
      <c r="H1438" s="2">
        <f>MONTH(Query1[[#This Row],[Date]])</f>
        <v>9</v>
      </c>
      <c r="I1438" s="3">
        <f>Query1[[#This Row],[Shares]]*Query1[[#This Row],[Adj Close]]</f>
        <v>1860559.3769092532</v>
      </c>
      <c r="J1438" s="3">
        <f>IF(ROW()&lt;3, Dashboard!$E$7, IF(Query1[[#This Row],[Month]]&lt;&gt;H1437,J1437*(1+Dashboard!$E$4)+Dashboard!$E$5,J1437))</f>
        <v>1177055.5414927648</v>
      </c>
      <c r="K1438">
        <f>IF(ROW()&lt;3, 0,IF(Query1[[#This Row],[Month]]&lt;&gt;H1437,IF((J1438-I1438&gt;0),J1438-I1438,0),0))</f>
        <v>0</v>
      </c>
      <c r="L1438" s="2">
        <f t="shared" si="22"/>
        <v>3592.2989655359538</v>
      </c>
      <c r="N1438" s="2">
        <f>IF(ROW()&lt;3, Query1[[#This Row],[Shares]], IF(Query1[[#This Row],[Month]]&lt;&gt;H1437, N1437+Query1[[#This Row],[Fix Top Up]]/Query1[[#This Row],[Adj Close]], N1437))</f>
        <v>3443.7835895075805</v>
      </c>
      <c r="P1438" s="2">
        <f>IF(ROW()&lt;3, Query1[[#This Row],[Shares]], IF(Query1[[#This Row],[Month]]&lt;&gt;H1437, P1437+Query1[[#This Row],[Enhanced top up]]/Query1[[#This Row],[Adj Close]], P1437))</f>
        <v>3441.9086679591742</v>
      </c>
      <c r="Q1438" s="2">
        <f>IFERROR(AVERAGE(
  IF(ROW()&gt;20, INDEX(G:G, ROW()-20), 0) :
  INDEX(G:G, ROW())
),0)</f>
        <v>505.85571579706101</v>
      </c>
    </row>
    <row r="1439" spans="1:17" x14ac:dyDescent="0.4">
      <c r="A1439" s="1">
        <v>45922</v>
      </c>
      <c r="B1439">
        <v>515.59002685546875</v>
      </c>
      <c r="C1439">
        <v>517.739990234375</v>
      </c>
      <c r="D1439">
        <v>512.53997802734375</v>
      </c>
      <c r="E1439">
        <v>514.45001220703125</v>
      </c>
      <c r="F1439">
        <v>20009300</v>
      </c>
      <c r="G1439">
        <v>514.45001220703125</v>
      </c>
      <c r="H1439" s="2">
        <f>MONTH(Query1[[#This Row],[Date]])</f>
        <v>9</v>
      </c>
      <c r="I1439" s="3">
        <f>Query1[[#This Row],[Shares]]*Query1[[#This Row],[Adj Close]]</f>
        <v>1848058.2466712771</v>
      </c>
      <c r="J1439" s="3">
        <f>IF(ROW()&lt;3, Dashboard!$E$7, IF(Query1[[#This Row],[Month]]&lt;&gt;H1438,J1438*(1+Dashboard!$E$4)+Dashboard!$E$5,J1438))</f>
        <v>1177055.5414927648</v>
      </c>
      <c r="K1439">
        <f>IF(ROW()&lt;3, 0,IF(Query1[[#This Row],[Month]]&lt;&gt;H1438,IF((J1439-I1439&gt;0),J1439-I1439,0),0))</f>
        <v>0</v>
      </c>
      <c r="L1439" s="2">
        <f t="shared" si="22"/>
        <v>3592.2989655359538</v>
      </c>
      <c r="N1439" s="2">
        <f>IF(ROW()&lt;3, Query1[[#This Row],[Shares]], IF(Query1[[#This Row],[Month]]&lt;&gt;H1438, N1438+Query1[[#This Row],[Fix Top Up]]/Query1[[#This Row],[Adj Close]], N1438))</f>
        <v>3443.7835895075805</v>
      </c>
      <c r="P1439" s="2">
        <f>IF(ROW()&lt;3, Query1[[#This Row],[Shares]], IF(Query1[[#This Row],[Month]]&lt;&gt;H1438, P1438+Query1[[#This Row],[Enhanced top up]]/Query1[[#This Row],[Adj Close]], P1438))</f>
        <v>3441.9086679591742</v>
      </c>
      <c r="Q1439" s="2">
        <f>IFERROR(AVERAGE(
  IF(ROW()&gt;20, INDEX(G:G, ROW()-20), 0) :
  INDEX(G:G, ROW())
),0)</f>
        <v>506.34190731956846</v>
      </c>
    </row>
    <row r="1440" spans="1:17" x14ac:dyDescent="0.4">
      <c r="A1440" s="1">
        <v>45923</v>
      </c>
      <c r="B1440">
        <v>513.79998779296875</v>
      </c>
      <c r="C1440">
        <v>514.59002685546875</v>
      </c>
      <c r="D1440">
        <v>507.30999755859375</v>
      </c>
      <c r="E1440">
        <v>509.23001098632813</v>
      </c>
      <c r="F1440">
        <v>19788300</v>
      </c>
      <c r="G1440">
        <v>509.23001098632813</v>
      </c>
      <c r="H1440" s="2">
        <f>MONTH(Query1[[#This Row],[Date]])</f>
        <v>9</v>
      </c>
      <c r="I1440" s="3">
        <f>Query1[[#This Row],[Shares]]*Query1[[#This Row],[Adj Close]]</f>
        <v>1829306.4416860489</v>
      </c>
      <c r="J1440" s="3">
        <f>IF(ROW()&lt;3, Dashboard!$E$7, IF(Query1[[#This Row],[Month]]&lt;&gt;H1439,J1439*(1+Dashboard!$E$4)+Dashboard!$E$5,J1439))</f>
        <v>1177055.5414927648</v>
      </c>
      <c r="K1440">
        <f>IF(ROW()&lt;3, 0,IF(Query1[[#This Row],[Month]]&lt;&gt;H1439,IF((J1440-I1440&gt;0),J1440-I1440,0),0))</f>
        <v>0</v>
      </c>
      <c r="L1440" s="2">
        <f t="shared" si="22"/>
        <v>3592.2989655359538</v>
      </c>
      <c r="M1440">
        <f>IF(ROW()&lt;3, 0, IF(Query1[[#This Row],[Month]]&lt;&gt;H1250, Dashboard!$J$5,0))</f>
        <v>773.47399999999971</v>
      </c>
      <c r="N1440" s="2">
        <f>IF(ROW()&lt;3, Query1[[#This Row],[Shares]], IF(Query1[[#This Row],[Month]]&lt;&gt;H1439, N1439+Query1[[#This Row],[Fix Top Up]]/Query1[[#This Row],[Adj Close]], N1439))</f>
        <v>3443.7835895075805</v>
      </c>
      <c r="O1440">
        <f>IF(AND(Query1[[#This Row],[avg]]&gt;0, Query1[[#This Row],[Month]]&lt;&gt;H1250),
    IF(Query1[[#This Row],[Adj Close]]&gt;Query1[[#This Row],[avg]],
       Dashboard!$L$5-Dashboard!$E$6,
       Dashboard!$L$5+Dashboard!$E$6
    ), 0
)</f>
        <v>390.14066666666668</v>
      </c>
      <c r="P1440" s="2">
        <f>IF(ROW()&lt;3, Query1[[#This Row],[Shares]], IF(Query1[[#This Row],[Month]]&lt;&gt;H1439, P1439+Query1[[#This Row],[Enhanced top up]]/Query1[[#This Row],[Adj Close]], P1439))</f>
        <v>3441.9086679591742</v>
      </c>
      <c r="Q1440" s="2">
        <f>IFERROR(AVERAGE(
  IF(ROW()&gt;20, INDEX(G:G, ROW()-20), 0) :
  INDEX(G:G, ROW())
),0)</f>
        <v>506.43714541480654</v>
      </c>
    </row>
    <row r="1445" spans="9:9" x14ac:dyDescent="0.4">
      <c r="I1445" cm="1">
        <f t="array" ref="I1445">LOOKUP(2,1/(RAW!G:G&lt;&gt;""),RAW!G:G)</f>
        <v>509.23001098632813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DCD43-35F2-4496-A776-F2F86DCE8EF9}">
  <sheetPr codeName="Sheet2"/>
  <dimension ref="B4:N8"/>
  <sheetViews>
    <sheetView tabSelected="1" workbookViewId="0">
      <selection activeCell="H16" sqref="H16"/>
    </sheetView>
  </sheetViews>
  <sheetFormatPr defaultRowHeight="14.6" x14ac:dyDescent="0.4"/>
  <cols>
    <col min="3" max="3" width="12.07421875" customWidth="1"/>
    <col min="4" max="4" width="25.921875" bestFit="1" customWidth="1"/>
    <col min="5" max="5" width="9.53515625" bestFit="1" customWidth="1"/>
    <col min="6" max="6" width="2.15234375" customWidth="1"/>
    <col min="7" max="7" width="10.84375" bestFit="1" customWidth="1"/>
    <col min="8" max="8" width="21.23046875" customWidth="1"/>
    <col min="9" max="9" width="10.84375" bestFit="1" customWidth="1"/>
    <col min="10" max="10" width="19.4609375" bestFit="1" customWidth="1"/>
    <col min="11" max="11" width="10.84375" bestFit="1" customWidth="1"/>
    <col min="12" max="12" width="21.53515625" bestFit="1" customWidth="1"/>
  </cols>
  <sheetData>
    <row r="4" spans="2:14" x14ac:dyDescent="0.4">
      <c r="B4" s="4"/>
      <c r="C4" s="4"/>
      <c r="D4" s="4" t="s">
        <v>16</v>
      </c>
      <c r="E4" s="5">
        <v>0.01</v>
      </c>
      <c r="F4" s="6"/>
      <c r="G4" s="4"/>
      <c r="H4" s="4" t="s">
        <v>17</v>
      </c>
      <c r="I4" s="4"/>
      <c r="J4" s="4" t="s">
        <v>18</v>
      </c>
      <c r="K4" s="4"/>
      <c r="L4" s="4" t="s">
        <v>19</v>
      </c>
      <c r="M4" s="4"/>
      <c r="N4" s="4"/>
    </row>
    <row r="5" spans="2:14" x14ac:dyDescent="0.4">
      <c r="B5" s="4" t="s">
        <v>28</v>
      </c>
      <c r="C5" s="13" t="s">
        <v>32</v>
      </c>
      <c r="D5" s="4" t="s">
        <v>20</v>
      </c>
      <c r="E5" s="7">
        <v>2000</v>
      </c>
      <c r="F5" s="6"/>
      <c r="G5" s="4"/>
      <c r="H5" s="8"/>
      <c r="I5" s="9" t="s">
        <v>21</v>
      </c>
      <c r="J5" s="7">
        <v>773.47399999999971</v>
      </c>
      <c r="K5" s="9" t="s">
        <v>22</v>
      </c>
      <c r="L5" s="7">
        <v>890.14066666666668</v>
      </c>
      <c r="M5" s="4"/>
      <c r="N5" s="4"/>
    </row>
    <row r="6" spans="2:14" x14ac:dyDescent="0.4">
      <c r="B6" s="4" t="s">
        <v>29</v>
      </c>
      <c r="C6" s="12">
        <v>43831</v>
      </c>
      <c r="D6" s="4" t="s">
        <v>23</v>
      </c>
      <c r="E6" s="7">
        <v>500</v>
      </c>
      <c r="F6" s="6"/>
      <c r="G6" s="4" t="s">
        <v>24</v>
      </c>
      <c r="H6" s="7">
        <f>SUM(Query1[Top Up])</f>
        <v>46408.441647673666</v>
      </c>
      <c r="I6" s="4"/>
      <c r="J6" s="7">
        <f>SUM(Query1[Fix Top Up])</f>
        <v>46408.44</v>
      </c>
      <c r="K6" s="4"/>
      <c r="L6" s="7">
        <f>SUM(Query1[Enhanced top up])</f>
        <v>46408.439999999981</v>
      </c>
      <c r="M6" s="4"/>
      <c r="N6" s="4"/>
    </row>
    <row r="7" spans="2:14" x14ac:dyDescent="0.4">
      <c r="B7" s="4" t="s">
        <v>30</v>
      </c>
      <c r="C7" s="12">
        <v>45924</v>
      </c>
      <c r="D7" s="6" t="s">
        <v>25</v>
      </c>
      <c r="E7" s="7">
        <v>500000</v>
      </c>
      <c r="F7" s="6"/>
      <c r="G7" s="6" t="s">
        <v>26</v>
      </c>
      <c r="H7" s="6">
        <f>COUNTIF(Query1[Top Up],"&gt;0")</f>
        <v>1</v>
      </c>
      <c r="I7" s="6"/>
      <c r="J7" s="6">
        <f>COUNTIF(Query1[Fix Top Up],"&gt;0")</f>
        <v>60</v>
      </c>
      <c r="K7" s="6"/>
      <c r="L7" s="6">
        <f>COUNTIF(Query1[Enhanced top up],"&gt;0")</f>
        <v>60</v>
      </c>
      <c r="M7" s="6"/>
      <c r="N7" s="4"/>
    </row>
    <row r="8" spans="2:14" x14ac:dyDescent="0.4">
      <c r="F8" s="6"/>
      <c r="G8" s="4" t="s">
        <v>27</v>
      </c>
      <c r="H8" s="10" cm="1">
        <f t="array" ref="H8">LOOKUP(2,1/(RAW!G:G&lt;&gt;""),RAW!G:G)*LOOKUP(2,1/(RAW!L:L&lt;&gt;""),RAW!L:L)</f>
        <v>1829306.4416860489</v>
      </c>
      <c r="I8" s="10"/>
      <c r="J8" s="10" cm="1">
        <f t="array" ref="J8">LOOKUP(2,1/(RAW!G:G&lt;&gt;""),RAW!G:G)*LOOKUP(2,1/(RAW!N:N&lt;&gt;""),RAW!N:N)</f>
        <v>1753677.9551194818</v>
      </c>
      <c r="K8" s="11"/>
      <c r="L8" s="10" cm="1">
        <f t="array" ref="L8">LOOKUP(2,1/(RAW!G:G&lt;&gt;""),RAW!G:G)*LOOKUP(2,1/(RAW!P:P&lt;&gt;""),RAW!P:P)</f>
        <v>1752723.1887987882</v>
      </c>
      <c r="M8" s="4"/>
      <c r="N8" s="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efresh">
                <anchor moveWithCells="1" sizeWithCells="1">
                  <from>
                    <xdr:col>1</xdr:col>
                    <xdr:colOff>125186</xdr:colOff>
                    <xdr:row>8</xdr:row>
                    <xdr:rowOff>76200</xdr:rowOff>
                  </from>
                  <to>
                    <xdr:col>2</xdr:col>
                    <xdr:colOff>489857</xdr:colOff>
                    <xdr:row>10</xdr:row>
                    <xdr:rowOff>146957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heet2.GoalSeek_m2">
                <anchor moveWithCells="1" sizeWithCells="1">
                  <from>
                    <xdr:col>9</xdr:col>
                    <xdr:colOff>228600</xdr:colOff>
                    <xdr:row>11</xdr:row>
                    <xdr:rowOff>27214</xdr:rowOff>
                  </from>
                  <to>
                    <xdr:col>9</xdr:col>
                    <xdr:colOff>1251857</xdr:colOff>
                    <xdr:row>13</xdr:row>
                    <xdr:rowOff>70757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heet2.GoalSeek_m3">
                <anchor moveWithCells="1" sizeWithCells="1">
                  <from>
                    <xdr:col>11</xdr:col>
                    <xdr:colOff>288471</xdr:colOff>
                    <xdr:row>10</xdr:row>
                    <xdr:rowOff>174171</xdr:rowOff>
                  </from>
                  <to>
                    <xdr:col>11</xdr:col>
                    <xdr:colOff>1311729</xdr:colOff>
                    <xdr:row>13</xdr:row>
                    <xdr:rowOff>32657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464A0DC-6659-4117-858D-94D6921B154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RAW</vt:lpstr>
      <vt:lpstr>Dashboard</vt:lpstr>
      <vt:lpstr>EndDate</vt:lpstr>
      <vt:lpstr>StartDate</vt:lpstr>
      <vt:lpstr>Ticker</vt:lpstr>
    </vt:vector>
  </TitlesOfParts>
  <Company>Alexandra Hospital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Xin Jin</dc:creator>
  <cp:lastModifiedBy>Xin Jin</cp:lastModifiedBy>
  <dcterms:created xsi:type="dcterms:W3CDTF">2025-09-24T03:02:40Z</dcterms:created>
  <dcterms:modified xsi:type="dcterms:W3CDTF">2025-09-24T09:13:45Z</dcterms:modified>
</cp:coreProperties>
</file>