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n Xin\My Drive\Financial\"/>
    </mc:Choice>
  </mc:AlternateContent>
  <xr:revisionPtr revIDLastSave="0" documentId="13_ncr:1_{FBC32720-FD96-492E-AAB0-486A0E6BBE74}" xr6:coauthVersionLast="47" xr6:coauthVersionMax="47" xr10:uidLastSave="{00000000-0000-0000-0000-000000000000}"/>
  <bookViews>
    <workbookView xWindow="-108" yWindow="-108" windowWidth="23256" windowHeight="12456" xr2:uid="{0D42FB5E-D111-4596-88F1-1655A416D3C1}"/>
  </bookViews>
  <sheets>
    <sheet name="RAW" sheetId="3" r:id="rId1"/>
    <sheet name="Dashboard" sheetId="1" r:id="rId2"/>
    <sheet name="IRR" sheetId="4" r:id="rId3"/>
  </sheets>
  <definedNames>
    <definedName name="EndDate">Dashboard!$C$7</definedName>
    <definedName name="ExternalData_1" localSheetId="0" hidden="1">RAW!$A$1:$G$434</definedName>
    <definedName name="solver_adj" localSheetId="1" hidden="1">Dashboard!$J$6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Dashboard!$J$7</definedName>
    <definedName name="solver_typ" localSheetId="1" hidden="1">3</definedName>
    <definedName name="solver_val" localSheetId="1" hidden="1">1247</definedName>
    <definedName name="solver_ver" localSheetId="1" hidden="1">3</definedName>
    <definedName name="StartDate">Dashboard!$C$6</definedName>
    <definedName name="Ticker">Dashboard!$C$5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3" l="1"/>
  <c r="H3" i="3"/>
  <c r="H4" i="3"/>
  <c r="K4" i="3" s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M21" i="3" s="1"/>
  <c r="H22" i="3"/>
  <c r="H23" i="3"/>
  <c r="H24" i="3"/>
  <c r="H25" i="3"/>
  <c r="H26" i="3"/>
  <c r="H27" i="3"/>
  <c r="H28" i="3"/>
  <c r="K28" i="3" s="1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M45" i="3" s="1"/>
  <c r="H46" i="3"/>
  <c r="H47" i="3"/>
  <c r="K47" i="3" s="1"/>
  <c r="H48" i="3"/>
  <c r="M48" i="3" s="1"/>
  <c r="H49" i="3"/>
  <c r="H50" i="3"/>
  <c r="H51" i="3"/>
  <c r="H52" i="3"/>
  <c r="M52" i="3" s="1"/>
  <c r="H53" i="3"/>
  <c r="H54" i="3"/>
  <c r="H55" i="3"/>
  <c r="H56" i="3"/>
  <c r="H57" i="3"/>
  <c r="K57" i="3" s="1"/>
  <c r="H58" i="3"/>
  <c r="K58" i="3" s="1"/>
  <c r="H59" i="3"/>
  <c r="H60" i="3"/>
  <c r="H61" i="3"/>
  <c r="H62" i="3"/>
  <c r="H63" i="3"/>
  <c r="H64" i="3"/>
  <c r="H65" i="3"/>
  <c r="H66" i="3"/>
  <c r="H67" i="3"/>
  <c r="H68" i="3"/>
  <c r="K68" i="3" s="1"/>
  <c r="H69" i="3"/>
  <c r="M69" i="3" s="1"/>
  <c r="H70" i="3"/>
  <c r="K70" i="3" s="1"/>
  <c r="H71" i="3"/>
  <c r="K71" i="3" s="1"/>
  <c r="H72" i="3"/>
  <c r="H73" i="3"/>
  <c r="H74" i="3"/>
  <c r="H75" i="3"/>
  <c r="H76" i="3"/>
  <c r="M76" i="3" s="1"/>
  <c r="H77" i="3"/>
  <c r="H78" i="3"/>
  <c r="H79" i="3"/>
  <c r="H80" i="3"/>
  <c r="H81" i="3"/>
  <c r="H82" i="3"/>
  <c r="H83" i="3"/>
  <c r="H84" i="3"/>
  <c r="H85" i="3"/>
  <c r="H86" i="3"/>
  <c r="H87" i="3"/>
  <c r="K87" i="3" s="1"/>
  <c r="H88" i="3"/>
  <c r="M88" i="3" s="1"/>
  <c r="H89" i="3"/>
  <c r="M89" i="3" s="1"/>
  <c r="H90" i="3"/>
  <c r="H91" i="3"/>
  <c r="K91" i="3" s="1"/>
  <c r="H92" i="3"/>
  <c r="K92" i="3" s="1"/>
  <c r="H93" i="3"/>
  <c r="M93" i="3" s="1"/>
  <c r="H94" i="3"/>
  <c r="K94" i="3" s="1"/>
  <c r="H95" i="3"/>
  <c r="K95" i="3" s="1"/>
  <c r="H96" i="3"/>
  <c r="H97" i="3"/>
  <c r="H98" i="3"/>
  <c r="H99" i="3"/>
  <c r="H100" i="3"/>
  <c r="K100" i="3" s="1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M115" i="3" s="1"/>
  <c r="H116" i="3"/>
  <c r="K116" i="3" s="1"/>
  <c r="H117" i="3"/>
  <c r="M117" i="3" s="1"/>
  <c r="H118" i="3"/>
  <c r="H119" i="3"/>
  <c r="K119" i="3" s="1"/>
  <c r="H120" i="3"/>
  <c r="H121" i="3"/>
  <c r="H122" i="3"/>
  <c r="H123" i="3"/>
  <c r="H124" i="3"/>
  <c r="K124" i="3" s="1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M141" i="3" s="1"/>
  <c r="H142" i="3"/>
  <c r="H143" i="3"/>
  <c r="K143" i="3" s="1"/>
  <c r="H144" i="3"/>
  <c r="M144" i="3" s="1"/>
  <c r="H145" i="3"/>
  <c r="H146" i="3"/>
  <c r="H147" i="3"/>
  <c r="H148" i="3"/>
  <c r="M148" i="3" s="1"/>
  <c r="H149" i="3"/>
  <c r="H150" i="3"/>
  <c r="H151" i="3"/>
  <c r="H152" i="3"/>
  <c r="K152" i="3" s="1"/>
  <c r="H153" i="3"/>
  <c r="K153" i="3" s="1"/>
  <c r="H154" i="3"/>
  <c r="H155" i="3"/>
  <c r="H156" i="3"/>
  <c r="H157" i="3"/>
  <c r="H158" i="3"/>
  <c r="H159" i="3"/>
  <c r="H160" i="3"/>
  <c r="H161" i="3"/>
  <c r="H162" i="3"/>
  <c r="H163" i="3"/>
  <c r="H164" i="3"/>
  <c r="K164" i="3" s="1"/>
  <c r="H165" i="3"/>
  <c r="M165" i="3" s="1"/>
  <c r="H166" i="3"/>
  <c r="H167" i="3"/>
  <c r="K167" i="3" s="1"/>
  <c r="H168" i="3"/>
  <c r="H169" i="3"/>
  <c r="H170" i="3"/>
  <c r="H171" i="3"/>
  <c r="H172" i="3"/>
  <c r="M172" i="3" s="1"/>
  <c r="H173" i="3"/>
  <c r="H174" i="3"/>
  <c r="H175" i="3"/>
  <c r="H176" i="3"/>
  <c r="H177" i="3"/>
  <c r="H178" i="3"/>
  <c r="H179" i="3"/>
  <c r="H180" i="3"/>
  <c r="H181" i="3"/>
  <c r="H182" i="3"/>
  <c r="K182" i="3" s="1"/>
  <c r="H183" i="3"/>
  <c r="K183" i="3" s="1"/>
  <c r="H184" i="3"/>
  <c r="H185" i="3"/>
  <c r="H186" i="3"/>
  <c r="H187" i="3"/>
  <c r="K187" i="3" s="1"/>
  <c r="H188" i="3"/>
  <c r="K188" i="3" s="1"/>
  <c r="H189" i="3"/>
  <c r="M189" i="3" s="1"/>
  <c r="H190" i="3"/>
  <c r="H191" i="3"/>
  <c r="K191" i="3" s="1"/>
  <c r="H192" i="3"/>
  <c r="H193" i="3"/>
  <c r="H194" i="3"/>
  <c r="H195" i="3"/>
  <c r="H196" i="3"/>
  <c r="K196" i="3" s="1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K212" i="3" s="1"/>
  <c r="H213" i="3"/>
  <c r="M213" i="3" s="1"/>
  <c r="H214" i="3"/>
  <c r="K214" i="3" s="1"/>
  <c r="H215" i="3"/>
  <c r="K215" i="3" s="1"/>
  <c r="H216" i="3"/>
  <c r="H217" i="3"/>
  <c r="H218" i="3"/>
  <c r="H219" i="3"/>
  <c r="H220" i="3"/>
  <c r="K220" i="3" s="1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M237" i="3" s="1"/>
  <c r="H238" i="3"/>
  <c r="H239" i="3"/>
  <c r="K239" i="3" s="1"/>
  <c r="H240" i="3"/>
  <c r="M240" i="3" s="1"/>
  <c r="H241" i="3"/>
  <c r="H242" i="3"/>
  <c r="H243" i="3"/>
  <c r="H244" i="3"/>
  <c r="M244" i="3" s="1"/>
  <c r="H245" i="3"/>
  <c r="H246" i="3"/>
  <c r="K246" i="3" s="1"/>
  <c r="H247" i="3"/>
  <c r="K247" i="3" s="1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K260" i="3" s="1"/>
  <c r="H261" i="3"/>
  <c r="M261" i="3" s="1"/>
  <c r="H262" i="3"/>
  <c r="H263" i="3"/>
  <c r="K263" i="3" s="1"/>
  <c r="H264" i="3"/>
  <c r="H265" i="3"/>
  <c r="H266" i="3"/>
  <c r="H267" i="3"/>
  <c r="H268" i="3"/>
  <c r="M268" i="3" s="1"/>
  <c r="H269" i="3"/>
  <c r="H270" i="3"/>
  <c r="H271" i="3"/>
  <c r="H272" i="3"/>
  <c r="H273" i="3"/>
  <c r="H274" i="3"/>
  <c r="H275" i="3"/>
  <c r="H276" i="3"/>
  <c r="K276" i="3" s="1"/>
  <c r="H277" i="3"/>
  <c r="K277" i="3" s="1"/>
  <c r="H278" i="3"/>
  <c r="H279" i="3"/>
  <c r="H280" i="3"/>
  <c r="M280" i="3" s="1"/>
  <c r="H281" i="3"/>
  <c r="M281" i="3" s="1"/>
  <c r="H282" i="3"/>
  <c r="H283" i="3"/>
  <c r="K283" i="3" s="1"/>
  <c r="H284" i="3"/>
  <c r="K284" i="3" s="1"/>
  <c r="H285" i="3"/>
  <c r="M285" i="3" s="1"/>
  <c r="H286" i="3"/>
  <c r="H287" i="3"/>
  <c r="K287" i="3" s="1"/>
  <c r="H288" i="3"/>
  <c r="H289" i="3"/>
  <c r="H290" i="3"/>
  <c r="H291" i="3"/>
  <c r="H292" i="3"/>
  <c r="M292" i="3" s="1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K307" i="3" s="1"/>
  <c r="H308" i="3"/>
  <c r="K308" i="3" s="1"/>
  <c r="H309" i="3"/>
  <c r="M309" i="3" s="1"/>
  <c r="H310" i="3"/>
  <c r="H311" i="3"/>
  <c r="K311" i="3" s="1"/>
  <c r="H312" i="3"/>
  <c r="H313" i="3"/>
  <c r="H314" i="3"/>
  <c r="H315" i="3"/>
  <c r="H316" i="3"/>
  <c r="K317" i="3" s="1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K332" i="3" s="1"/>
  <c r="H333" i="3"/>
  <c r="K333" i="3" s="1"/>
  <c r="H334" i="3"/>
  <c r="H335" i="3"/>
  <c r="M335" i="3" s="1"/>
  <c r="H336" i="3"/>
  <c r="H337" i="3"/>
  <c r="H338" i="3"/>
  <c r="H339" i="3"/>
  <c r="H340" i="3"/>
  <c r="M340" i="3" s="1"/>
  <c r="H341" i="3"/>
  <c r="H342" i="3"/>
  <c r="H343" i="3"/>
  <c r="H344" i="3"/>
  <c r="H345" i="3"/>
  <c r="K345" i="3" s="1"/>
  <c r="H346" i="3"/>
  <c r="K346" i="3" s="1"/>
  <c r="H347" i="3"/>
  <c r="H348" i="3"/>
  <c r="H349" i="3"/>
  <c r="H350" i="3"/>
  <c r="H351" i="3"/>
  <c r="H352" i="3"/>
  <c r="H353" i="3"/>
  <c r="H354" i="3"/>
  <c r="H355" i="3"/>
  <c r="H356" i="3"/>
  <c r="H357" i="3"/>
  <c r="K357" i="3" s="1"/>
  <c r="H358" i="3"/>
  <c r="H359" i="3"/>
  <c r="K359" i="3" s="1"/>
  <c r="H360" i="3"/>
  <c r="M360" i="3" s="1"/>
  <c r="H361" i="3"/>
  <c r="H362" i="3"/>
  <c r="H363" i="3"/>
  <c r="H364" i="3"/>
  <c r="M365" i="3" s="1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K377" i="3" s="1"/>
  <c r="H378" i="3"/>
  <c r="K378" i="3" s="1"/>
  <c r="H379" i="3"/>
  <c r="H380" i="3"/>
  <c r="K380" i="3" s="1"/>
  <c r="H381" i="3"/>
  <c r="K381" i="3" s="1"/>
  <c r="H382" i="3"/>
  <c r="H383" i="3"/>
  <c r="K383" i="3" s="1"/>
  <c r="H384" i="3"/>
  <c r="H385" i="3"/>
  <c r="H386" i="3"/>
  <c r="H387" i="3"/>
  <c r="H388" i="3"/>
  <c r="M388" i="3" s="1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K405" i="3" s="1"/>
  <c r="H406" i="3"/>
  <c r="H407" i="3"/>
  <c r="M407" i="3" s="1"/>
  <c r="H408" i="3"/>
  <c r="H409" i="3"/>
  <c r="H410" i="3"/>
  <c r="H411" i="3"/>
  <c r="H412" i="3"/>
  <c r="K412" i="3" s="1"/>
  <c r="H413" i="3"/>
  <c r="K413" i="3" s="1"/>
  <c r="H414" i="3"/>
  <c r="K414" i="3" s="1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K428" i="3" s="1"/>
  <c r="H429" i="3"/>
  <c r="M429" i="3" s="1"/>
  <c r="H430" i="3"/>
  <c r="K430" i="3" s="1"/>
  <c r="H431" i="3"/>
  <c r="M431" i="3" s="1"/>
  <c r="H432" i="3"/>
  <c r="H433" i="3"/>
  <c r="H434" i="3"/>
  <c r="J2" i="3"/>
  <c r="J3" i="3" s="1"/>
  <c r="K2" i="3"/>
  <c r="L3" i="3" s="1"/>
  <c r="K3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7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4" i="3"/>
  <c r="K45" i="3"/>
  <c r="K46" i="3"/>
  <c r="K51" i="3"/>
  <c r="K54" i="3"/>
  <c r="K55" i="3"/>
  <c r="K56" i="3"/>
  <c r="K59" i="3"/>
  <c r="K60" i="3"/>
  <c r="K61" i="3"/>
  <c r="K62" i="3"/>
  <c r="K64" i="3"/>
  <c r="K65" i="3"/>
  <c r="K66" i="3"/>
  <c r="K67" i="3"/>
  <c r="K75" i="3"/>
  <c r="K78" i="3"/>
  <c r="K79" i="3"/>
  <c r="K80" i="3"/>
  <c r="K81" i="3"/>
  <c r="K82" i="3"/>
  <c r="K83" i="3"/>
  <c r="K84" i="3"/>
  <c r="K86" i="3"/>
  <c r="K89" i="3"/>
  <c r="K90" i="3"/>
  <c r="K99" i="3"/>
  <c r="K102" i="3"/>
  <c r="K103" i="3"/>
  <c r="K104" i="3"/>
  <c r="K105" i="3"/>
  <c r="K106" i="3"/>
  <c r="K108" i="3"/>
  <c r="K109" i="3"/>
  <c r="K110" i="3"/>
  <c r="K111" i="3"/>
  <c r="K112" i="3"/>
  <c r="K113" i="3"/>
  <c r="K114" i="3"/>
  <c r="K115" i="3"/>
  <c r="K123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7" i="3"/>
  <c r="K150" i="3"/>
  <c r="K151" i="3"/>
  <c r="K154" i="3"/>
  <c r="K155" i="3"/>
  <c r="K156" i="3"/>
  <c r="K157" i="3"/>
  <c r="K158" i="3"/>
  <c r="K159" i="3"/>
  <c r="K160" i="3"/>
  <c r="K161" i="3"/>
  <c r="K162" i="3"/>
  <c r="K163" i="3"/>
  <c r="K171" i="3"/>
  <c r="K174" i="3"/>
  <c r="K175" i="3"/>
  <c r="K176" i="3"/>
  <c r="K177" i="3"/>
  <c r="K178" i="3"/>
  <c r="K179" i="3"/>
  <c r="K180" i="3"/>
  <c r="K181" i="3"/>
  <c r="K184" i="3"/>
  <c r="K185" i="3"/>
  <c r="K186" i="3"/>
  <c r="K195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9" i="3"/>
  <c r="K222" i="3"/>
  <c r="K223" i="3"/>
  <c r="K224" i="3"/>
  <c r="K225" i="3"/>
  <c r="K226" i="3"/>
  <c r="K227" i="3"/>
  <c r="K228" i="3"/>
  <c r="K229" i="3"/>
  <c r="K230" i="3"/>
  <c r="K231" i="3"/>
  <c r="K232" i="3"/>
  <c r="K234" i="3"/>
  <c r="K235" i="3"/>
  <c r="K236" i="3"/>
  <c r="K237" i="3"/>
  <c r="K238" i="3"/>
  <c r="K243" i="3"/>
  <c r="K248" i="3"/>
  <c r="K249" i="3"/>
  <c r="K250" i="3"/>
  <c r="K251" i="3"/>
  <c r="K252" i="3"/>
  <c r="K253" i="3"/>
  <c r="K255" i="3"/>
  <c r="K256" i="3"/>
  <c r="K257" i="3"/>
  <c r="K258" i="3"/>
  <c r="K259" i="3"/>
  <c r="K267" i="3"/>
  <c r="K270" i="3"/>
  <c r="K271" i="3"/>
  <c r="K272" i="3"/>
  <c r="K273" i="3"/>
  <c r="K275" i="3"/>
  <c r="K278" i="3"/>
  <c r="K279" i="3"/>
  <c r="K280" i="3"/>
  <c r="K281" i="3"/>
  <c r="K282" i="3"/>
  <c r="K291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15" i="3"/>
  <c r="K316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9" i="3"/>
  <c r="K342" i="3"/>
  <c r="K343" i="3"/>
  <c r="K344" i="3"/>
  <c r="K347" i="3"/>
  <c r="K348" i="3"/>
  <c r="K349" i="3"/>
  <c r="K350" i="3"/>
  <c r="K351" i="3"/>
  <c r="K352" i="3"/>
  <c r="K353" i="3"/>
  <c r="K354" i="3"/>
  <c r="K355" i="3"/>
  <c r="K363" i="3"/>
  <c r="K366" i="3"/>
  <c r="K367" i="3"/>
  <c r="K368" i="3"/>
  <c r="K369" i="3"/>
  <c r="K370" i="3"/>
  <c r="K371" i="3"/>
  <c r="K372" i="3"/>
  <c r="K373" i="3"/>
  <c r="K374" i="3"/>
  <c r="K375" i="3"/>
  <c r="K379" i="3"/>
  <c r="K387" i="3"/>
  <c r="K390" i="3"/>
  <c r="K391" i="3"/>
  <c r="K392" i="3"/>
  <c r="K393" i="3"/>
  <c r="K394" i="3"/>
  <c r="K395" i="3"/>
  <c r="K396" i="3"/>
  <c r="K397" i="3"/>
  <c r="K399" i="3"/>
  <c r="K400" i="3"/>
  <c r="K401" i="3"/>
  <c r="K402" i="3"/>
  <c r="K403" i="3"/>
  <c r="K404" i="3"/>
  <c r="K406" i="3"/>
  <c r="K411" i="3"/>
  <c r="K415" i="3"/>
  <c r="K416" i="3"/>
  <c r="K417" i="3"/>
  <c r="K418" i="3"/>
  <c r="K420" i="3"/>
  <c r="K421" i="3"/>
  <c r="K422" i="3"/>
  <c r="K423" i="3"/>
  <c r="K424" i="3"/>
  <c r="K425" i="3"/>
  <c r="K426" i="3"/>
  <c r="K427" i="3"/>
  <c r="L2" i="3"/>
  <c r="I2" i="3" s="1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2" i="3"/>
  <c r="M23" i="3"/>
  <c r="M24" i="3"/>
  <c r="M27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6" i="3"/>
  <c r="M47" i="3"/>
  <c r="M51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70" i="3"/>
  <c r="M71" i="3"/>
  <c r="M72" i="3"/>
  <c r="M75" i="3"/>
  <c r="M78" i="3"/>
  <c r="M79" i="3"/>
  <c r="M80" i="3"/>
  <c r="M81" i="3"/>
  <c r="M82" i="3"/>
  <c r="M83" i="3"/>
  <c r="M84" i="3"/>
  <c r="M85" i="3"/>
  <c r="M86" i="3"/>
  <c r="M87" i="3"/>
  <c r="M90" i="3"/>
  <c r="M91" i="3"/>
  <c r="M92" i="3"/>
  <c r="M94" i="3"/>
  <c r="M95" i="3"/>
  <c r="M96" i="3"/>
  <c r="M99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8" i="3"/>
  <c r="M119" i="3"/>
  <c r="M120" i="3"/>
  <c r="M123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2" i="3"/>
  <c r="M147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6" i="3"/>
  <c r="M167" i="3"/>
  <c r="M168" i="3"/>
  <c r="M171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90" i="3"/>
  <c r="M191" i="3"/>
  <c r="M192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4" i="3"/>
  <c r="M215" i="3"/>
  <c r="M216" i="3"/>
  <c r="M219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43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3" i="3"/>
  <c r="M264" i="3"/>
  <c r="M267" i="3"/>
  <c r="M270" i="3"/>
  <c r="M271" i="3"/>
  <c r="M272" i="3"/>
  <c r="M273" i="3"/>
  <c r="M274" i="3"/>
  <c r="M275" i="3"/>
  <c r="M276" i="3"/>
  <c r="M277" i="3"/>
  <c r="M278" i="3"/>
  <c r="M279" i="3"/>
  <c r="M282" i="3"/>
  <c r="M283" i="3"/>
  <c r="M284" i="3"/>
  <c r="M287" i="3"/>
  <c r="M288" i="3"/>
  <c r="M291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10" i="3"/>
  <c r="M311" i="3"/>
  <c r="M312" i="3"/>
  <c r="M315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6" i="3"/>
  <c r="M339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3" i="3"/>
  <c r="M364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7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8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30" i="3"/>
  <c r="M432" i="3"/>
  <c r="N2" i="3"/>
  <c r="N3" i="3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O11" i="3"/>
  <c r="O22" i="3"/>
  <c r="O23" i="3"/>
  <c r="O24" i="3"/>
  <c r="O47" i="3"/>
  <c r="O114" i="3"/>
  <c r="O119" i="3"/>
  <c r="O166" i="3"/>
  <c r="O168" i="3"/>
  <c r="O170" i="3"/>
  <c r="O195" i="3"/>
  <c r="O312" i="3"/>
  <c r="O341" i="3"/>
  <c r="P2" i="3"/>
  <c r="P3" i="3"/>
  <c r="Q2" i="3"/>
  <c r="O2" i="3" s="1"/>
  <c r="Q3" i="3"/>
  <c r="O3" i="3" s="1"/>
  <c r="Q4" i="3"/>
  <c r="Q5" i="3"/>
  <c r="Q6" i="3"/>
  <c r="O6" i="3" s="1"/>
  <c r="Q7" i="3"/>
  <c r="O7" i="3" s="1"/>
  <c r="Q8" i="3"/>
  <c r="O8" i="3" s="1"/>
  <c r="Q9" i="3"/>
  <c r="O9" i="3" s="1"/>
  <c r="Q10" i="3"/>
  <c r="O10" i="3" s="1"/>
  <c r="Q11" i="3"/>
  <c r="Q12" i="3"/>
  <c r="O12" i="3" s="1"/>
  <c r="Q13" i="3"/>
  <c r="O13" i="3" s="1"/>
  <c r="Q14" i="3"/>
  <c r="O14" i="3" s="1"/>
  <c r="Q15" i="3"/>
  <c r="O15" i="3" s="1"/>
  <c r="Q16" i="3"/>
  <c r="O16" i="3" s="1"/>
  <c r="Q17" i="3"/>
  <c r="O17" i="3" s="1"/>
  <c r="Q18" i="3"/>
  <c r="O18" i="3" s="1"/>
  <c r="Q19" i="3"/>
  <c r="O19" i="3" s="1"/>
  <c r="Q20" i="3"/>
  <c r="O20" i="3" s="1"/>
  <c r="Q21" i="3"/>
  <c r="O21" i="3" s="1"/>
  <c r="Q22" i="3"/>
  <c r="Q23" i="3"/>
  <c r="Q24" i="3"/>
  <c r="Q25" i="3"/>
  <c r="O25" i="3" s="1"/>
  <c r="Q26" i="3"/>
  <c r="O26" i="3" s="1"/>
  <c r="Q27" i="3"/>
  <c r="O27" i="3" s="1"/>
  <c r="Q28" i="3"/>
  <c r="Q29" i="3"/>
  <c r="Q30" i="3"/>
  <c r="O30" i="3" s="1"/>
  <c r="Q31" i="3"/>
  <c r="O31" i="3" s="1"/>
  <c r="Q32" i="3"/>
  <c r="O32" i="3" s="1"/>
  <c r="Q33" i="3"/>
  <c r="O33" i="3" s="1"/>
  <c r="Q34" i="3"/>
  <c r="O34" i="3" s="1"/>
  <c r="Q35" i="3"/>
  <c r="O35" i="3" s="1"/>
  <c r="Q36" i="3"/>
  <c r="O36" i="3" s="1"/>
  <c r="Q37" i="3"/>
  <c r="O37" i="3" s="1"/>
  <c r="Q38" i="3"/>
  <c r="O38" i="3" s="1"/>
  <c r="Q39" i="3"/>
  <c r="O39" i="3" s="1"/>
  <c r="Q40" i="3"/>
  <c r="O40" i="3" s="1"/>
  <c r="Q41" i="3"/>
  <c r="O41" i="3" s="1"/>
  <c r="Q42" i="3"/>
  <c r="O42" i="3" s="1"/>
  <c r="Q43" i="3"/>
  <c r="O43" i="3" s="1"/>
  <c r="Q44" i="3"/>
  <c r="O44" i="3" s="1"/>
  <c r="Q45" i="3"/>
  <c r="O45" i="3" s="1"/>
  <c r="Q46" i="3"/>
  <c r="O46" i="3" s="1"/>
  <c r="Q47" i="3"/>
  <c r="Q48" i="3"/>
  <c r="O48" i="3" s="1"/>
  <c r="Q49" i="3"/>
  <c r="O49" i="3" s="1"/>
  <c r="Q50" i="3"/>
  <c r="O50" i="3" s="1"/>
  <c r="Q51" i="3"/>
  <c r="O51" i="3" s="1"/>
  <c r="Q52" i="3"/>
  <c r="O52" i="3" s="1"/>
  <c r="Q53" i="3"/>
  <c r="Q54" i="3"/>
  <c r="O54" i="3" s="1"/>
  <c r="Q55" i="3"/>
  <c r="O55" i="3" s="1"/>
  <c r="Q56" i="3"/>
  <c r="O56" i="3" s="1"/>
  <c r="Q57" i="3"/>
  <c r="O57" i="3" s="1"/>
  <c r="Q58" i="3"/>
  <c r="O58" i="3" s="1"/>
  <c r="Q59" i="3"/>
  <c r="O59" i="3" s="1"/>
  <c r="Q60" i="3"/>
  <c r="O60" i="3" s="1"/>
  <c r="Q61" i="3"/>
  <c r="O61" i="3" s="1"/>
  <c r="Q62" i="3"/>
  <c r="O62" i="3" s="1"/>
  <c r="Q63" i="3"/>
  <c r="O63" i="3" s="1"/>
  <c r="Q64" i="3"/>
  <c r="O64" i="3" s="1"/>
  <c r="Q65" i="3"/>
  <c r="O65" i="3" s="1"/>
  <c r="Q66" i="3"/>
  <c r="O66" i="3" s="1"/>
  <c r="Q67" i="3"/>
  <c r="O67" i="3" s="1"/>
  <c r="Q68" i="3"/>
  <c r="O68" i="3" s="1"/>
  <c r="Q69" i="3"/>
  <c r="O69" i="3" s="1"/>
  <c r="Q70" i="3"/>
  <c r="O70" i="3" s="1"/>
  <c r="Q71" i="3"/>
  <c r="O71" i="3" s="1"/>
  <c r="Q72" i="3"/>
  <c r="O72" i="3" s="1"/>
  <c r="Q73" i="3"/>
  <c r="O73" i="3" s="1"/>
  <c r="Q74" i="3"/>
  <c r="O74" i="3" s="1"/>
  <c r="Q75" i="3"/>
  <c r="O75" i="3" s="1"/>
  <c r="Q76" i="3"/>
  <c r="O76" i="3" s="1"/>
  <c r="Q77" i="3"/>
  <c r="Q78" i="3"/>
  <c r="O78" i="3" s="1"/>
  <c r="Q79" i="3"/>
  <c r="O79" i="3" s="1"/>
  <c r="Q80" i="3"/>
  <c r="O80" i="3" s="1"/>
  <c r="Q81" i="3"/>
  <c r="O81" i="3" s="1"/>
  <c r="Q82" i="3"/>
  <c r="O82" i="3" s="1"/>
  <c r="Q83" i="3"/>
  <c r="O83" i="3" s="1"/>
  <c r="Q84" i="3"/>
  <c r="O84" i="3" s="1"/>
  <c r="Q85" i="3"/>
  <c r="O85" i="3" s="1"/>
  <c r="Q86" i="3"/>
  <c r="O86" i="3" s="1"/>
  <c r="Q87" i="3"/>
  <c r="O87" i="3" s="1"/>
  <c r="Q88" i="3"/>
  <c r="O88" i="3" s="1"/>
  <c r="Q89" i="3"/>
  <c r="O89" i="3" s="1"/>
  <c r="Q90" i="3"/>
  <c r="O90" i="3" s="1"/>
  <c r="Q91" i="3"/>
  <c r="O91" i="3" s="1"/>
  <c r="Q92" i="3"/>
  <c r="O92" i="3" s="1"/>
  <c r="Q93" i="3"/>
  <c r="O93" i="3" s="1"/>
  <c r="Q94" i="3"/>
  <c r="O94" i="3" s="1"/>
  <c r="Q95" i="3"/>
  <c r="O95" i="3" s="1"/>
  <c r="Q96" i="3"/>
  <c r="O96" i="3" s="1"/>
  <c r="Q97" i="3"/>
  <c r="O97" i="3" s="1"/>
  <c r="Q98" i="3"/>
  <c r="O98" i="3" s="1"/>
  <c r="Q99" i="3"/>
  <c r="O99" i="3" s="1"/>
  <c r="Q100" i="3"/>
  <c r="O100" i="3" s="1"/>
  <c r="Q101" i="3"/>
  <c r="Q102" i="3"/>
  <c r="O102" i="3" s="1"/>
  <c r="Q103" i="3"/>
  <c r="O103" i="3" s="1"/>
  <c r="Q104" i="3"/>
  <c r="O104" i="3" s="1"/>
  <c r="Q105" i="3"/>
  <c r="O105" i="3" s="1"/>
  <c r="Q106" i="3"/>
  <c r="O106" i="3" s="1"/>
  <c r="Q107" i="3"/>
  <c r="O107" i="3" s="1"/>
  <c r="Q108" i="3"/>
  <c r="O108" i="3" s="1"/>
  <c r="Q109" i="3"/>
  <c r="O109" i="3" s="1"/>
  <c r="Q110" i="3"/>
  <c r="O110" i="3" s="1"/>
  <c r="Q111" i="3"/>
  <c r="O111" i="3" s="1"/>
  <c r="Q112" i="3"/>
  <c r="O112" i="3" s="1"/>
  <c r="Q113" i="3"/>
  <c r="O113" i="3" s="1"/>
  <c r="Q114" i="3"/>
  <c r="Q115" i="3"/>
  <c r="O115" i="3" s="1"/>
  <c r="Q116" i="3"/>
  <c r="O116" i="3" s="1"/>
  <c r="Q117" i="3"/>
  <c r="O117" i="3" s="1"/>
  <c r="Q118" i="3"/>
  <c r="O118" i="3" s="1"/>
  <c r="Q119" i="3"/>
  <c r="Q120" i="3"/>
  <c r="O120" i="3" s="1"/>
  <c r="Q121" i="3"/>
  <c r="O121" i="3" s="1"/>
  <c r="Q122" i="3"/>
  <c r="O122" i="3" s="1"/>
  <c r="Q123" i="3"/>
  <c r="O123" i="3" s="1"/>
  <c r="Q124" i="3"/>
  <c r="O124" i="3" s="1"/>
  <c r="Q125" i="3"/>
  <c r="Q126" i="3"/>
  <c r="O126" i="3" s="1"/>
  <c r="Q127" i="3"/>
  <c r="O127" i="3" s="1"/>
  <c r="Q128" i="3"/>
  <c r="O128" i="3" s="1"/>
  <c r="Q129" i="3"/>
  <c r="O129" i="3" s="1"/>
  <c r="Q130" i="3"/>
  <c r="O130" i="3" s="1"/>
  <c r="Q131" i="3"/>
  <c r="O131" i="3" s="1"/>
  <c r="Q132" i="3"/>
  <c r="O132" i="3" s="1"/>
  <c r="Q133" i="3"/>
  <c r="O133" i="3" s="1"/>
  <c r="Q134" i="3"/>
  <c r="O134" i="3" s="1"/>
  <c r="Q135" i="3"/>
  <c r="O135" i="3" s="1"/>
  <c r="Q136" i="3"/>
  <c r="O136" i="3" s="1"/>
  <c r="Q137" i="3"/>
  <c r="O137" i="3" s="1"/>
  <c r="Q138" i="3"/>
  <c r="O138" i="3" s="1"/>
  <c r="Q139" i="3"/>
  <c r="O139" i="3" s="1"/>
  <c r="Q140" i="3"/>
  <c r="O140" i="3" s="1"/>
  <c r="Q141" i="3"/>
  <c r="O141" i="3" s="1"/>
  <c r="Q142" i="3"/>
  <c r="O142" i="3" s="1"/>
  <c r="Q143" i="3"/>
  <c r="O143" i="3" s="1"/>
  <c r="Q144" i="3"/>
  <c r="O144" i="3" s="1"/>
  <c r="Q145" i="3"/>
  <c r="O145" i="3" s="1"/>
  <c r="Q146" i="3"/>
  <c r="O146" i="3" s="1"/>
  <c r="Q147" i="3"/>
  <c r="O147" i="3" s="1"/>
  <c r="Q148" i="3"/>
  <c r="O148" i="3" s="1"/>
  <c r="Q149" i="3"/>
  <c r="O149" i="3" s="1"/>
  <c r="Q150" i="3"/>
  <c r="O150" i="3" s="1"/>
  <c r="Q151" i="3"/>
  <c r="O151" i="3" s="1"/>
  <c r="Q152" i="3"/>
  <c r="O152" i="3" s="1"/>
  <c r="Q153" i="3"/>
  <c r="O153" i="3" s="1"/>
  <c r="Q154" i="3"/>
  <c r="O154" i="3" s="1"/>
  <c r="Q155" i="3"/>
  <c r="O155" i="3" s="1"/>
  <c r="Q156" i="3"/>
  <c r="O156" i="3" s="1"/>
  <c r="Q157" i="3"/>
  <c r="O157" i="3" s="1"/>
  <c r="Q158" i="3"/>
  <c r="O158" i="3" s="1"/>
  <c r="Q159" i="3"/>
  <c r="O159" i="3" s="1"/>
  <c r="Q160" i="3"/>
  <c r="O160" i="3" s="1"/>
  <c r="Q161" i="3"/>
  <c r="O161" i="3" s="1"/>
  <c r="Q162" i="3"/>
  <c r="O162" i="3" s="1"/>
  <c r="Q163" i="3"/>
  <c r="O163" i="3" s="1"/>
  <c r="Q164" i="3"/>
  <c r="O164" i="3" s="1"/>
  <c r="Q165" i="3"/>
  <c r="O165" i="3" s="1"/>
  <c r="Q166" i="3"/>
  <c r="Q167" i="3"/>
  <c r="O167" i="3" s="1"/>
  <c r="Q168" i="3"/>
  <c r="Q169" i="3"/>
  <c r="O169" i="3" s="1"/>
  <c r="Q170" i="3"/>
  <c r="Q171" i="3"/>
  <c r="O171" i="3" s="1"/>
  <c r="Q172" i="3"/>
  <c r="O172" i="3" s="1"/>
  <c r="Q173" i="3"/>
  <c r="O173" i="3" s="1"/>
  <c r="Q174" i="3"/>
  <c r="O174" i="3" s="1"/>
  <c r="Q175" i="3"/>
  <c r="O175" i="3" s="1"/>
  <c r="Q176" i="3"/>
  <c r="O176" i="3" s="1"/>
  <c r="Q177" i="3"/>
  <c r="O177" i="3" s="1"/>
  <c r="Q178" i="3"/>
  <c r="O178" i="3" s="1"/>
  <c r="Q179" i="3"/>
  <c r="O179" i="3" s="1"/>
  <c r="Q180" i="3"/>
  <c r="O180" i="3" s="1"/>
  <c r="Q181" i="3"/>
  <c r="O181" i="3" s="1"/>
  <c r="Q182" i="3"/>
  <c r="O182" i="3" s="1"/>
  <c r="Q183" i="3"/>
  <c r="O183" i="3" s="1"/>
  <c r="Q184" i="3"/>
  <c r="O184" i="3" s="1"/>
  <c r="Q185" i="3"/>
  <c r="O185" i="3" s="1"/>
  <c r="Q186" i="3"/>
  <c r="O186" i="3" s="1"/>
  <c r="Q187" i="3"/>
  <c r="O187" i="3" s="1"/>
  <c r="Q188" i="3"/>
  <c r="O188" i="3" s="1"/>
  <c r="Q189" i="3"/>
  <c r="O189" i="3" s="1"/>
  <c r="Q190" i="3"/>
  <c r="O190" i="3" s="1"/>
  <c r="Q191" i="3"/>
  <c r="O191" i="3" s="1"/>
  <c r="Q192" i="3"/>
  <c r="O192" i="3" s="1"/>
  <c r="Q193" i="3"/>
  <c r="O193" i="3" s="1"/>
  <c r="Q194" i="3"/>
  <c r="O194" i="3" s="1"/>
  <c r="Q195" i="3"/>
  <c r="Q196" i="3"/>
  <c r="O196" i="3" s="1"/>
  <c r="Q197" i="3"/>
  <c r="O197" i="3" s="1"/>
  <c r="Q198" i="3"/>
  <c r="O198" i="3" s="1"/>
  <c r="Q199" i="3"/>
  <c r="O199" i="3" s="1"/>
  <c r="Q200" i="3"/>
  <c r="O200" i="3" s="1"/>
  <c r="Q201" i="3"/>
  <c r="O201" i="3" s="1"/>
  <c r="Q202" i="3"/>
  <c r="O202" i="3" s="1"/>
  <c r="Q203" i="3"/>
  <c r="O203" i="3" s="1"/>
  <c r="Q204" i="3"/>
  <c r="O204" i="3" s="1"/>
  <c r="Q205" i="3"/>
  <c r="O205" i="3" s="1"/>
  <c r="Q206" i="3"/>
  <c r="O206" i="3" s="1"/>
  <c r="Q207" i="3"/>
  <c r="O207" i="3" s="1"/>
  <c r="Q208" i="3"/>
  <c r="O208" i="3" s="1"/>
  <c r="Q209" i="3"/>
  <c r="O209" i="3" s="1"/>
  <c r="Q210" i="3"/>
  <c r="O210" i="3" s="1"/>
  <c r="Q211" i="3"/>
  <c r="O211" i="3" s="1"/>
  <c r="Q212" i="3"/>
  <c r="O212" i="3" s="1"/>
  <c r="Q213" i="3"/>
  <c r="O213" i="3" s="1"/>
  <c r="Q214" i="3"/>
  <c r="O214" i="3" s="1"/>
  <c r="Q215" i="3"/>
  <c r="O215" i="3" s="1"/>
  <c r="Q216" i="3"/>
  <c r="O216" i="3" s="1"/>
  <c r="Q217" i="3"/>
  <c r="O217" i="3" s="1"/>
  <c r="Q218" i="3"/>
  <c r="O218" i="3" s="1"/>
  <c r="Q219" i="3"/>
  <c r="O219" i="3" s="1"/>
  <c r="Q220" i="3"/>
  <c r="O220" i="3" s="1"/>
  <c r="Q221" i="3"/>
  <c r="O221" i="3" s="1"/>
  <c r="Q222" i="3"/>
  <c r="O222" i="3" s="1"/>
  <c r="Q223" i="3"/>
  <c r="O223" i="3" s="1"/>
  <c r="Q224" i="3"/>
  <c r="O224" i="3" s="1"/>
  <c r="Q225" i="3"/>
  <c r="O225" i="3" s="1"/>
  <c r="Q226" i="3"/>
  <c r="O226" i="3" s="1"/>
  <c r="Q227" i="3"/>
  <c r="O227" i="3" s="1"/>
  <c r="Q228" i="3"/>
  <c r="O228" i="3" s="1"/>
  <c r="Q229" i="3"/>
  <c r="O229" i="3" s="1"/>
  <c r="Q230" i="3"/>
  <c r="O230" i="3" s="1"/>
  <c r="Q231" i="3"/>
  <c r="O231" i="3" s="1"/>
  <c r="Q232" i="3"/>
  <c r="O232" i="3" s="1"/>
  <c r="Q233" i="3"/>
  <c r="O233" i="3" s="1"/>
  <c r="Q234" i="3"/>
  <c r="O234" i="3" s="1"/>
  <c r="Q235" i="3"/>
  <c r="O235" i="3" s="1"/>
  <c r="Q236" i="3"/>
  <c r="O236" i="3" s="1"/>
  <c r="Q237" i="3"/>
  <c r="O237" i="3" s="1"/>
  <c r="Q238" i="3"/>
  <c r="O238" i="3" s="1"/>
  <c r="Q239" i="3"/>
  <c r="O239" i="3" s="1"/>
  <c r="Q240" i="3"/>
  <c r="O240" i="3" s="1"/>
  <c r="Q241" i="3"/>
  <c r="O241" i="3" s="1"/>
  <c r="Q242" i="3"/>
  <c r="O242" i="3" s="1"/>
  <c r="Q243" i="3"/>
  <c r="O243" i="3" s="1"/>
  <c r="Q244" i="3"/>
  <c r="O244" i="3" s="1"/>
  <c r="Q245" i="3"/>
  <c r="O245" i="3" s="1"/>
  <c r="Q246" i="3"/>
  <c r="O246" i="3" s="1"/>
  <c r="Q247" i="3"/>
  <c r="O247" i="3" s="1"/>
  <c r="Q248" i="3"/>
  <c r="O248" i="3" s="1"/>
  <c r="Q249" i="3"/>
  <c r="O249" i="3" s="1"/>
  <c r="Q250" i="3"/>
  <c r="O250" i="3" s="1"/>
  <c r="Q251" i="3"/>
  <c r="O251" i="3" s="1"/>
  <c r="Q252" i="3"/>
  <c r="O252" i="3" s="1"/>
  <c r="Q253" i="3"/>
  <c r="O253" i="3" s="1"/>
  <c r="Q254" i="3"/>
  <c r="O254" i="3" s="1"/>
  <c r="Q255" i="3"/>
  <c r="O255" i="3" s="1"/>
  <c r="Q256" i="3"/>
  <c r="O256" i="3" s="1"/>
  <c r="Q257" i="3"/>
  <c r="O257" i="3" s="1"/>
  <c r="Q258" i="3"/>
  <c r="O258" i="3" s="1"/>
  <c r="Q259" i="3"/>
  <c r="O259" i="3" s="1"/>
  <c r="Q260" i="3"/>
  <c r="O260" i="3" s="1"/>
  <c r="Q261" i="3"/>
  <c r="O261" i="3" s="1"/>
  <c r="Q262" i="3"/>
  <c r="O262" i="3" s="1"/>
  <c r="Q263" i="3"/>
  <c r="O263" i="3" s="1"/>
  <c r="Q264" i="3"/>
  <c r="O264" i="3" s="1"/>
  <c r="Q265" i="3"/>
  <c r="O265" i="3" s="1"/>
  <c r="Q266" i="3"/>
  <c r="O266" i="3" s="1"/>
  <c r="Q267" i="3"/>
  <c r="O267" i="3" s="1"/>
  <c r="Q268" i="3"/>
  <c r="O268" i="3" s="1"/>
  <c r="Q269" i="3"/>
  <c r="O269" i="3" s="1"/>
  <c r="Q270" i="3"/>
  <c r="O270" i="3" s="1"/>
  <c r="Q271" i="3"/>
  <c r="O271" i="3" s="1"/>
  <c r="Q272" i="3"/>
  <c r="O272" i="3" s="1"/>
  <c r="Q273" i="3"/>
  <c r="O273" i="3" s="1"/>
  <c r="Q274" i="3"/>
  <c r="O274" i="3" s="1"/>
  <c r="Q275" i="3"/>
  <c r="O275" i="3" s="1"/>
  <c r="Q276" i="3"/>
  <c r="O276" i="3" s="1"/>
  <c r="Q277" i="3"/>
  <c r="O277" i="3" s="1"/>
  <c r="Q278" i="3"/>
  <c r="O278" i="3" s="1"/>
  <c r="Q279" i="3"/>
  <c r="O279" i="3" s="1"/>
  <c r="Q280" i="3"/>
  <c r="O280" i="3" s="1"/>
  <c r="Q281" i="3"/>
  <c r="O281" i="3" s="1"/>
  <c r="Q282" i="3"/>
  <c r="O282" i="3" s="1"/>
  <c r="Q283" i="3"/>
  <c r="O283" i="3" s="1"/>
  <c r="Q284" i="3"/>
  <c r="O284" i="3" s="1"/>
  <c r="Q285" i="3"/>
  <c r="O285" i="3" s="1"/>
  <c r="Q286" i="3"/>
  <c r="O286" i="3" s="1"/>
  <c r="Q287" i="3"/>
  <c r="O287" i="3" s="1"/>
  <c r="Q288" i="3"/>
  <c r="O288" i="3" s="1"/>
  <c r="Q289" i="3"/>
  <c r="O289" i="3" s="1"/>
  <c r="Q290" i="3"/>
  <c r="O290" i="3" s="1"/>
  <c r="Q291" i="3"/>
  <c r="O291" i="3" s="1"/>
  <c r="Q292" i="3"/>
  <c r="O292" i="3" s="1"/>
  <c r="Q293" i="3"/>
  <c r="O293" i="3" s="1"/>
  <c r="Q294" i="3"/>
  <c r="O294" i="3" s="1"/>
  <c r="Q295" i="3"/>
  <c r="O295" i="3" s="1"/>
  <c r="Q296" i="3"/>
  <c r="O296" i="3" s="1"/>
  <c r="Q297" i="3"/>
  <c r="O297" i="3" s="1"/>
  <c r="Q298" i="3"/>
  <c r="O298" i="3" s="1"/>
  <c r="Q299" i="3"/>
  <c r="O299" i="3" s="1"/>
  <c r="Q300" i="3"/>
  <c r="O300" i="3" s="1"/>
  <c r="Q301" i="3"/>
  <c r="O301" i="3" s="1"/>
  <c r="Q302" i="3"/>
  <c r="O302" i="3" s="1"/>
  <c r="Q303" i="3"/>
  <c r="O303" i="3" s="1"/>
  <c r="Q304" i="3"/>
  <c r="O304" i="3" s="1"/>
  <c r="Q305" i="3"/>
  <c r="O305" i="3" s="1"/>
  <c r="Q306" i="3"/>
  <c r="O306" i="3" s="1"/>
  <c r="Q307" i="3"/>
  <c r="O307" i="3" s="1"/>
  <c r="Q308" i="3"/>
  <c r="O308" i="3" s="1"/>
  <c r="Q309" i="3"/>
  <c r="O309" i="3" s="1"/>
  <c r="Q310" i="3"/>
  <c r="O310" i="3" s="1"/>
  <c r="Q311" i="3"/>
  <c r="O311" i="3" s="1"/>
  <c r="Q312" i="3"/>
  <c r="Q313" i="3"/>
  <c r="O313" i="3" s="1"/>
  <c r="Q314" i="3"/>
  <c r="O314" i="3" s="1"/>
  <c r="Q315" i="3"/>
  <c r="O315" i="3" s="1"/>
  <c r="Q316" i="3"/>
  <c r="O316" i="3" s="1"/>
  <c r="Q317" i="3"/>
  <c r="O317" i="3" s="1"/>
  <c r="Q318" i="3"/>
  <c r="O318" i="3" s="1"/>
  <c r="Q319" i="3"/>
  <c r="O319" i="3" s="1"/>
  <c r="Q320" i="3"/>
  <c r="O320" i="3" s="1"/>
  <c r="Q321" i="3"/>
  <c r="O321" i="3" s="1"/>
  <c r="Q322" i="3"/>
  <c r="O322" i="3" s="1"/>
  <c r="Q323" i="3"/>
  <c r="O323" i="3" s="1"/>
  <c r="Q324" i="3"/>
  <c r="O324" i="3" s="1"/>
  <c r="Q325" i="3"/>
  <c r="O325" i="3" s="1"/>
  <c r="Q326" i="3"/>
  <c r="O326" i="3" s="1"/>
  <c r="Q327" i="3"/>
  <c r="O327" i="3" s="1"/>
  <c r="Q328" i="3"/>
  <c r="O328" i="3" s="1"/>
  <c r="Q329" i="3"/>
  <c r="O329" i="3" s="1"/>
  <c r="Q330" i="3"/>
  <c r="O330" i="3" s="1"/>
  <c r="Q331" i="3"/>
  <c r="O331" i="3" s="1"/>
  <c r="Q332" i="3"/>
  <c r="O332" i="3" s="1"/>
  <c r="Q333" i="3"/>
  <c r="O333" i="3" s="1"/>
  <c r="Q334" i="3"/>
  <c r="O334" i="3" s="1"/>
  <c r="Q335" i="3"/>
  <c r="O335" i="3" s="1"/>
  <c r="Q336" i="3"/>
  <c r="O336" i="3" s="1"/>
  <c r="Q337" i="3"/>
  <c r="O337" i="3" s="1"/>
  <c r="Q338" i="3"/>
  <c r="O338" i="3" s="1"/>
  <c r="Q339" i="3"/>
  <c r="O339" i="3" s="1"/>
  <c r="Q340" i="3"/>
  <c r="O340" i="3" s="1"/>
  <c r="Q341" i="3"/>
  <c r="Q342" i="3"/>
  <c r="O342" i="3" s="1"/>
  <c r="Q343" i="3"/>
  <c r="O343" i="3" s="1"/>
  <c r="Q344" i="3"/>
  <c r="O344" i="3" s="1"/>
  <c r="Q345" i="3"/>
  <c r="O345" i="3" s="1"/>
  <c r="Q346" i="3"/>
  <c r="O346" i="3" s="1"/>
  <c r="Q347" i="3"/>
  <c r="O347" i="3" s="1"/>
  <c r="Q348" i="3"/>
  <c r="O348" i="3" s="1"/>
  <c r="Q349" i="3"/>
  <c r="O349" i="3" s="1"/>
  <c r="Q350" i="3"/>
  <c r="O350" i="3" s="1"/>
  <c r="Q351" i="3"/>
  <c r="O351" i="3" s="1"/>
  <c r="Q352" i="3"/>
  <c r="O352" i="3" s="1"/>
  <c r="Q353" i="3"/>
  <c r="O353" i="3" s="1"/>
  <c r="Q354" i="3"/>
  <c r="O354" i="3" s="1"/>
  <c r="Q355" i="3"/>
  <c r="O355" i="3" s="1"/>
  <c r="Q356" i="3"/>
  <c r="O356" i="3" s="1"/>
  <c r="Q357" i="3"/>
  <c r="O357" i="3" s="1"/>
  <c r="Q358" i="3"/>
  <c r="O358" i="3" s="1"/>
  <c r="Q359" i="3"/>
  <c r="O359" i="3" s="1"/>
  <c r="Q360" i="3"/>
  <c r="O360" i="3" s="1"/>
  <c r="Q361" i="3"/>
  <c r="O361" i="3" s="1"/>
  <c r="Q362" i="3"/>
  <c r="O362" i="3" s="1"/>
  <c r="Q363" i="3"/>
  <c r="O363" i="3" s="1"/>
  <c r="Q364" i="3"/>
  <c r="O364" i="3" s="1"/>
  <c r="Q365" i="3"/>
  <c r="O365" i="3" s="1"/>
  <c r="Q366" i="3"/>
  <c r="O366" i="3" s="1"/>
  <c r="Q367" i="3"/>
  <c r="O367" i="3" s="1"/>
  <c r="Q368" i="3"/>
  <c r="O368" i="3" s="1"/>
  <c r="Q369" i="3"/>
  <c r="O369" i="3" s="1"/>
  <c r="Q370" i="3"/>
  <c r="O370" i="3" s="1"/>
  <c r="Q371" i="3"/>
  <c r="O371" i="3" s="1"/>
  <c r="Q372" i="3"/>
  <c r="O372" i="3" s="1"/>
  <c r="Q373" i="3"/>
  <c r="O373" i="3" s="1"/>
  <c r="Q374" i="3"/>
  <c r="O374" i="3" s="1"/>
  <c r="Q375" i="3"/>
  <c r="O375" i="3" s="1"/>
  <c r="Q376" i="3"/>
  <c r="O376" i="3" s="1"/>
  <c r="Q377" i="3"/>
  <c r="O377" i="3" s="1"/>
  <c r="Q378" i="3"/>
  <c r="O378" i="3" s="1"/>
  <c r="Q379" i="3"/>
  <c r="O379" i="3" s="1"/>
  <c r="Q380" i="3"/>
  <c r="O380" i="3" s="1"/>
  <c r="Q381" i="3"/>
  <c r="O381" i="3" s="1"/>
  <c r="Q382" i="3"/>
  <c r="O382" i="3" s="1"/>
  <c r="Q383" i="3"/>
  <c r="O383" i="3" s="1"/>
  <c r="Q384" i="3"/>
  <c r="O384" i="3" s="1"/>
  <c r="Q385" i="3"/>
  <c r="O385" i="3" s="1"/>
  <c r="Q386" i="3"/>
  <c r="O386" i="3" s="1"/>
  <c r="Q387" i="3"/>
  <c r="O387" i="3" s="1"/>
  <c r="Q388" i="3"/>
  <c r="O388" i="3" s="1"/>
  <c r="Q389" i="3"/>
  <c r="O389" i="3" s="1"/>
  <c r="Q390" i="3"/>
  <c r="O390" i="3" s="1"/>
  <c r="Q391" i="3"/>
  <c r="O391" i="3" s="1"/>
  <c r="Q392" i="3"/>
  <c r="O392" i="3" s="1"/>
  <c r="Q393" i="3"/>
  <c r="O393" i="3" s="1"/>
  <c r="Q394" i="3"/>
  <c r="O394" i="3" s="1"/>
  <c r="Q395" i="3"/>
  <c r="O395" i="3" s="1"/>
  <c r="Q396" i="3"/>
  <c r="O396" i="3" s="1"/>
  <c r="Q397" i="3"/>
  <c r="O397" i="3" s="1"/>
  <c r="Q398" i="3"/>
  <c r="O398" i="3" s="1"/>
  <c r="Q399" i="3"/>
  <c r="O399" i="3" s="1"/>
  <c r="Q400" i="3"/>
  <c r="O400" i="3" s="1"/>
  <c r="Q401" i="3"/>
  <c r="O401" i="3" s="1"/>
  <c r="Q402" i="3"/>
  <c r="O402" i="3" s="1"/>
  <c r="Q403" i="3"/>
  <c r="O403" i="3" s="1"/>
  <c r="Q404" i="3"/>
  <c r="O404" i="3" s="1"/>
  <c r="Q405" i="3"/>
  <c r="O405" i="3" s="1"/>
  <c r="Q406" i="3"/>
  <c r="O406" i="3" s="1"/>
  <c r="Q407" i="3"/>
  <c r="Q408" i="3"/>
  <c r="O408" i="3" s="1"/>
  <c r="Q409" i="3"/>
  <c r="O409" i="3" s="1"/>
  <c r="Q410" i="3"/>
  <c r="O410" i="3" s="1"/>
  <c r="Q411" i="3"/>
  <c r="O411" i="3" s="1"/>
  <c r="Q412" i="3"/>
  <c r="O412" i="3" s="1"/>
  <c r="Q413" i="3"/>
  <c r="O413" i="3" s="1"/>
  <c r="Q414" i="3"/>
  <c r="O414" i="3" s="1"/>
  <c r="Q415" i="3"/>
  <c r="O415" i="3" s="1"/>
  <c r="Q416" i="3"/>
  <c r="O416" i="3" s="1"/>
  <c r="Q417" i="3"/>
  <c r="O417" i="3" s="1"/>
  <c r="Q418" i="3"/>
  <c r="O418" i="3" s="1"/>
  <c r="Q419" i="3"/>
  <c r="O419" i="3" s="1"/>
  <c r="Q420" i="3"/>
  <c r="O420" i="3" s="1"/>
  <c r="Q421" i="3"/>
  <c r="O421" i="3" s="1"/>
  <c r="Q422" i="3"/>
  <c r="O422" i="3" s="1"/>
  <c r="Q423" i="3"/>
  <c r="O423" i="3" s="1"/>
  <c r="Q424" i="3"/>
  <c r="O424" i="3" s="1"/>
  <c r="Q425" i="3"/>
  <c r="O425" i="3" s="1"/>
  <c r="Q426" i="3"/>
  <c r="O426" i="3" s="1"/>
  <c r="Q427" i="3"/>
  <c r="O427" i="3" s="1"/>
  <c r="Q428" i="3"/>
  <c r="O428" i="3" s="1"/>
  <c r="Q429" i="3"/>
  <c r="O429" i="3" s="1"/>
  <c r="Q430" i="3"/>
  <c r="O430" i="3" s="1"/>
  <c r="Q431" i="3"/>
  <c r="Q432" i="3"/>
  <c r="O432" i="3" s="1"/>
  <c r="Q433" i="3"/>
  <c r="O433" i="3" s="1"/>
  <c r="Q434" i="3"/>
  <c r="O434" i="3" s="1"/>
  <c r="L8" i="1" a="1"/>
  <c r="L8" i="1" s="1"/>
  <c r="J8" i="1" a="1"/>
  <c r="J8" i="1" s="1"/>
  <c r="H8" i="1" a="1"/>
  <c r="H8" i="1" s="1"/>
  <c r="C8" i="1" a="1"/>
  <c r="C8" i="1" s="1"/>
  <c r="K245" i="3" l="1"/>
  <c r="K244" i="3"/>
  <c r="K149" i="3"/>
  <c r="K341" i="3"/>
  <c r="K53" i="3"/>
  <c r="K382" i="3"/>
  <c r="K358" i="3"/>
  <c r="K334" i="3"/>
  <c r="K310" i="3"/>
  <c r="K166" i="3"/>
  <c r="K340" i="3"/>
  <c r="K52" i="3"/>
  <c r="M220" i="3"/>
  <c r="M28" i="3"/>
  <c r="K269" i="3"/>
  <c r="K268" i="3"/>
  <c r="M53" i="3"/>
  <c r="K429" i="3"/>
  <c r="K262" i="3"/>
  <c r="K173" i="3"/>
  <c r="K77" i="3"/>
  <c r="K261" i="3"/>
  <c r="K172" i="3"/>
  <c r="K76" i="3"/>
  <c r="M269" i="3"/>
  <c r="M77" i="3"/>
  <c r="K365" i="3"/>
  <c r="O125" i="3"/>
  <c r="O101" i="3"/>
  <c r="O77" i="3"/>
  <c r="O53" i="3"/>
  <c r="O29" i="3"/>
  <c r="O5" i="3"/>
  <c r="M239" i="3"/>
  <c r="K364" i="3"/>
  <c r="O28" i="3"/>
  <c r="O4" i="3"/>
  <c r="M238" i="3"/>
  <c r="K69" i="3"/>
  <c r="M293" i="3"/>
  <c r="M101" i="3"/>
  <c r="K292" i="3"/>
  <c r="K101" i="3"/>
  <c r="M100" i="3"/>
  <c r="K197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P105" i="3" s="1"/>
  <c r="P106" i="3" s="1"/>
  <c r="P107" i="3" s="1"/>
  <c r="P108" i="3" s="1"/>
  <c r="P109" i="3" s="1"/>
  <c r="P110" i="3" s="1"/>
  <c r="P111" i="3" s="1"/>
  <c r="P112" i="3" s="1"/>
  <c r="P113" i="3" s="1"/>
  <c r="P114" i="3" s="1"/>
  <c r="P115" i="3" s="1"/>
  <c r="P116" i="3" s="1"/>
  <c r="P117" i="3" s="1"/>
  <c r="P118" i="3" s="1"/>
  <c r="P119" i="3" s="1"/>
  <c r="P120" i="3" s="1"/>
  <c r="P121" i="3" s="1"/>
  <c r="P122" i="3" s="1"/>
  <c r="P123" i="3" s="1"/>
  <c r="P124" i="3" s="1"/>
  <c r="P125" i="3" s="1"/>
  <c r="P126" i="3" s="1"/>
  <c r="P127" i="3" s="1"/>
  <c r="P128" i="3" s="1"/>
  <c r="P129" i="3" s="1"/>
  <c r="P130" i="3" s="1"/>
  <c r="P131" i="3" s="1"/>
  <c r="P132" i="3" s="1"/>
  <c r="P133" i="3" s="1"/>
  <c r="P134" i="3" s="1"/>
  <c r="P135" i="3" s="1"/>
  <c r="P136" i="3" s="1"/>
  <c r="P137" i="3" s="1"/>
  <c r="P138" i="3" s="1"/>
  <c r="P139" i="3" s="1"/>
  <c r="P140" i="3" s="1"/>
  <c r="P141" i="3" s="1"/>
  <c r="P142" i="3" s="1"/>
  <c r="P143" i="3" s="1"/>
  <c r="P144" i="3" s="1"/>
  <c r="P145" i="3" s="1"/>
  <c r="P146" i="3" s="1"/>
  <c r="P147" i="3" s="1"/>
  <c r="P148" i="3" s="1"/>
  <c r="P149" i="3" s="1"/>
  <c r="P150" i="3" s="1"/>
  <c r="P151" i="3" s="1"/>
  <c r="P152" i="3" s="1"/>
  <c r="P153" i="3" s="1"/>
  <c r="P154" i="3" s="1"/>
  <c r="P155" i="3" s="1"/>
  <c r="P156" i="3" s="1"/>
  <c r="P157" i="3" s="1"/>
  <c r="P158" i="3" s="1"/>
  <c r="P159" i="3" s="1"/>
  <c r="P160" i="3" s="1"/>
  <c r="P161" i="3" s="1"/>
  <c r="P162" i="3" s="1"/>
  <c r="P163" i="3" s="1"/>
  <c r="P164" i="3" s="1"/>
  <c r="P165" i="3" s="1"/>
  <c r="P166" i="3" s="1"/>
  <c r="P167" i="3" s="1"/>
  <c r="P168" i="3" s="1"/>
  <c r="P169" i="3" s="1"/>
  <c r="P170" i="3" s="1"/>
  <c r="P171" i="3" s="1"/>
  <c r="P172" i="3" s="1"/>
  <c r="P173" i="3" s="1"/>
  <c r="P174" i="3" s="1"/>
  <c r="P175" i="3" s="1"/>
  <c r="P176" i="3" s="1"/>
  <c r="P177" i="3" s="1"/>
  <c r="P178" i="3" s="1"/>
  <c r="P179" i="3" s="1"/>
  <c r="P180" i="3" s="1"/>
  <c r="P181" i="3" s="1"/>
  <c r="P182" i="3" s="1"/>
  <c r="P183" i="3" s="1"/>
  <c r="P184" i="3" s="1"/>
  <c r="P185" i="3" s="1"/>
  <c r="P186" i="3" s="1"/>
  <c r="P187" i="3" s="1"/>
  <c r="P188" i="3" s="1"/>
  <c r="P189" i="3" s="1"/>
  <c r="P190" i="3" s="1"/>
  <c r="P191" i="3" s="1"/>
  <c r="P192" i="3" s="1"/>
  <c r="P193" i="3" s="1"/>
  <c r="P194" i="3" s="1"/>
  <c r="P195" i="3" s="1"/>
  <c r="P196" i="3" s="1"/>
  <c r="P197" i="3" s="1"/>
  <c r="P198" i="3" s="1"/>
  <c r="P199" i="3" s="1"/>
  <c r="P200" i="3" s="1"/>
  <c r="P201" i="3" s="1"/>
  <c r="P202" i="3" s="1"/>
  <c r="P203" i="3" s="1"/>
  <c r="P204" i="3" s="1"/>
  <c r="P205" i="3" s="1"/>
  <c r="P206" i="3" s="1"/>
  <c r="P207" i="3" s="1"/>
  <c r="P208" i="3" s="1"/>
  <c r="P209" i="3" s="1"/>
  <c r="P210" i="3" s="1"/>
  <c r="P211" i="3" s="1"/>
  <c r="P212" i="3" s="1"/>
  <c r="P213" i="3" s="1"/>
  <c r="P214" i="3" s="1"/>
  <c r="P215" i="3" s="1"/>
  <c r="P216" i="3" s="1"/>
  <c r="P217" i="3" s="1"/>
  <c r="P218" i="3" s="1"/>
  <c r="P219" i="3" s="1"/>
  <c r="P220" i="3" s="1"/>
  <c r="P221" i="3" s="1"/>
  <c r="P222" i="3" s="1"/>
  <c r="P223" i="3" s="1"/>
  <c r="P224" i="3" s="1"/>
  <c r="P225" i="3" s="1"/>
  <c r="P226" i="3" s="1"/>
  <c r="P227" i="3" s="1"/>
  <c r="P228" i="3" s="1"/>
  <c r="P229" i="3" s="1"/>
  <c r="P230" i="3" s="1"/>
  <c r="P231" i="3" s="1"/>
  <c r="P232" i="3" s="1"/>
  <c r="P233" i="3" s="1"/>
  <c r="P234" i="3" s="1"/>
  <c r="P235" i="3" s="1"/>
  <c r="P236" i="3" s="1"/>
  <c r="P237" i="3" s="1"/>
  <c r="P238" i="3" s="1"/>
  <c r="P239" i="3" s="1"/>
  <c r="P240" i="3" s="1"/>
  <c r="P241" i="3" s="1"/>
  <c r="P242" i="3" s="1"/>
  <c r="P243" i="3" s="1"/>
  <c r="P244" i="3" s="1"/>
  <c r="P245" i="3" s="1"/>
  <c r="P246" i="3" s="1"/>
  <c r="P247" i="3" s="1"/>
  <c r="P248" i="3" s="1"/>
  <c r="P249" i="3" s="1"/>
  <c r="P250" i="3" s="1"/>
  <c r="P251" i="3" s="1"/>
  <c r="P252" i="3" s="1"/>
  <c r="P253" i="3" s="1"/>
  <c r="P254" i="3" s="1"/>
  <c r="P255" i="3" s="1"/>
  <c r="P256" i="3" s="1"/>
  <c r="P257" i="3" s="1"/>
  <c r="P258" i="3" s="1"/>
  <c r="P259" i="3" s="1"/>
  <c r="P260" i="3" s="1"/>
  <c r="P261" i="3" s="1"/>
  <c r="P262" i="3" s="1"/>
  <c r="P263" i="3" s="1"/>
  <c r="P264" i="3" s="1"/>
  <c r="P265" i="3" s="1"/>
  <c r="P266" i="3" s="1"/>
  <c r="P267" i="3" s="1"/>
  <c r="P268" i="3" s="1"/>
  <c r="P269" i="3" s="1"/>
  <c r="P270" i="3" s="1"/>
  <c r="P271" i="3" s="1"/>
  <c r="P272" i="3" s="1"/>
  <c r="P273" i="3" s="1"/>
  <c r="P274" i="3" s="1"/>
  <c r="P275" i="3" s="1"/>
  <c r="P276" i="3" s="1"/>
  <c r="P277" i="3" s="1"/>
  <c r="P278" i="3" s="1"/>
  <c r="P279" i="3" s="1"/>
  <c r="P280" i="3" s="1"/>
  <c r="P281" i="3" s="1"/>
  <c r="P282" i="3" s="1"/>
  <c r="P283" i="3" s="1"/>
  <c r="P284" i="3" s="1"/>
  <c r="P285" i="3" s="1"/>
  <c r="P286" i="3" s="1"/>
  <c r="P287" i="3" s="1"/>
  <c r="P288" i="3" s="1"/>
  <c r="P289" i="3" s="1"/>
  <c r="P290" i="3" s="1"/>
  <c r="P291" i="3" s="1"/>
  <c r="P292" i="3" s="1"/>
  <c r="P293" i="3" s="1"/>
  <c r="P294" i="3" s="1"/>
  <c r="P295" i="3" s="1"/>
  <c r="P296" i="3" s="1"/>
  <c r="P297" i="3" s="1"/>
  <c r="P298" i="3" s="1"/>
  <c r="P299" i="3" s="1"/>
  <c r="P300" i="3" s="1"/>
  <c r="P301" i="3" s="1"/>
  <c r="P302" i="3" s="1"/>
  <c r="P303" i="3" s="1"/>
  <c r="P304" i="3" s="1"/>
  <c r="P305" i="3" s="1"/>
  <c r="P306" i="3" s="1"/>
  <c r="P307" i="3" s="1"/>
  <c r="P308" i="3" s="1"/>
  <c r="P309" i="3" s="1"/>
  <c r="P310" i="3" s="1"/>
  <c r="P311" i="3" s="1"/>
  <c r="P312" i="3" s="1"/>
  <c r="P313" i="3" s="1"/>
  <c r="P314" i="3" s="1"/>
  <c r="P315" i="3" s="1"/>
  <c r="P316" i="3" s="1"/>
  <c r="P317" i="3" s="1"/>
  <c r="P318" i="3" s="1"/>
  <c r="P319" i="3" s="1"/>
  <c r="P320" i="3" s="1"/>
  <c r="P321" i="3" s="1"/>
  <c r="P322" i="3" s="1"/>
  <c r="P323" i="3" s="1"/>
  <c r="P324" i="3" s="1"/>
  <c r="P325" i="3" s="1"/>
  <c r="P326" i="3" s="1"/>
  <c r="P327" i="3" s="1"/>
  <c r="P328" i="3" s="1"/>
  <c r="P329" i="3" s="1"/>
  <c r="P330" i="3" s="1"/>
  <c r="P331" i="3" s="1"/>
  <c r="P332" i="3" s="1"/>
  <c r="P333" i="3" s="1"/>
  <c r="P334" i="3" s="1"/>
  <c r="P335" i="3" s="1"/>
  <c r="P336" i="3" s="1"/>
  <c r="P337" i="3" s="1"/>
  <c r="P338" i="3" s="1"/>
  <c r="P339" i="3" s="1"/>
  <c r="P340" i="3" s="1"/>
  <c r="P341" i="3" s="1"/>
  <c r="P342" i="3" s="1"/>
  <c r="P343" i="3" s="1"/>
  <c r="P344" i="3" s="1"/>
  <c r="P345" i="3" s="1"/>
  <c r="P346" i="3" s="1"/>
  <c r="P347" i="3" s="1"/>
  <c r="P348" i="3" s="1"/>
  <c r="P349" i="3" s="1"/>
  <c r="P350" i="3" s="1"/>
  <c r="P351" i="3" s="1"/>
  <c r="P352" i="3" s="1"/>
  <c r="P353" i="3" s="1"/>
  <c r="P354" i="3" s="1"/>
  <c r="P355" i="3" s="1"/>
  <c r="P356" i="3" s="1"/>
  <c r="P357" i="3" s="1"/>
  <c r="P358" i="3" s="1"/>
  <c r="P359" i="3" s="1"/>
  <c r="P360" i="3" s="1"/>
  <c r="P361" i="3" s="1"/>
  <c r="P362" i="3" s="1"/>
  <c r="P363" i="3" s="1"/>
  <c r="P364" i="3" s="1"/>
  <c r="P365" i="3" s="1"/>
  <c r="P366" i="3" s="1"/>
  <c r="P367" i="3" s="1"/>
  <c r="P368" i="3" s="1"/>
  <c r="P369" i="3" s="1"/>
  <c r="P370" i="3" s="1"/>
  <c r="P371" i="3" s="1"/>
  <c r="P372" i="3" s="1"/>
  <c r="P373" i="3" s="1"/>
  <c r="P374" i="3" s="1"/>
  <c r="P375" i="3" s="1"/>
  <c r="P376" i="3" s="1"/>
  <c r="P377" i="3" s="1"/>
  <c r="P378" i="3" s="1"/>
  <c r="P379" i="3" s="1"/>
  <c r="P380" i="3" s="1"/>
  <c r="P381" i="3" s="1"/>
  <c r="P382" i="3" s="1"/>
  <c r="P383" i="3" s="1"/>
  <c r="P384" i="3" s="1"/>
  <c r="P385" i="3" s="1"/>
  <c r="P386" i="3" s="1"/>
  <c r="P387" i="3" s="1"/>
  <c r="P388" i="3" s="1"/>
  <c r="P389" i="3" s="1"/>
  <c r="P390" i="3" s="1"/>
  <c r="P391" i="3" s="1"/>
  <c r="P392" i="3" s="1"/>
  <c r="P393" i="3" s="1"/>
  <c r="P394" i="3" s="1"/>
  <c r="P395" i="3" s="1"/>
  <c r="P396" i="3" s="1"/>
  <c r="P397" i="3" s="1"/>
  <c r="P398" i="3" s="1"/>
  <c r="P399" i="3" s="1"/>
  <c r="P400" i="3" s="1"/>
  <c r="P401" i="3" s="1"/>
  <c r="P402" i="3" s="1"/>
  <c r="P403" i="3" s="1"/>
  <c r="P404" i="3" s="1"/>
  <c r="P405" i="3" s="1"/>
  <c r="P406" i="3" s="1"/>
  <c r="P407" i="3" s="1"/>
  <c r="P408" i="3" s="1"/>
  <c r="P409" i="3" s="1"/>
  <c r="P410" i="3" s="1"/>
  <c r="P411" i="3" s="1"/>
  <c r="P412" i="3" s="1"/>
  <c r="P413" i="3" s="1"/>
  <c r="P414" i="3" s="1"/>
  <c r="P415" i="3" s="1"/>
  <c r="P416" i="3" s="1"/>
  <c r="P417" i="3" s="1"/>
  <c r="P418" i="3" s="1"/>
  <c r="P419" i="3" s="1"/>
  <c r="P420" i="3" s="1"/>
  <c r="P421" i="3" s="1"/>
  <c r="P422" i="3" s="1"/>
  <c r="P423" i="3" s="1"/>
  <c r="P424" i="3" s="1"/>
  <c r="P425" i="3" s="1"/>
  <c r="P426" i="3" s="1"/>
  <c r="P427" i="3" s="1"/>
  <c r="P428" i="3" s="1"/>
  <c r="P429" i="3" s="1"/>
  <c r="P430" i="3" s="1"/>
  <c r="P431" i="3" s="1"/>
  <c r="P432" i="3" s="1"/>
  <c r="P433" i="3" s="1"/>
  <c r="P434" i="3" s="1"/>
  <c r="M262" i="3"/>
  <c r="M317" i="3"/>
  <c r="M125" i="3"/>
  <c r="M316" i="3"/>
  <c r="M124" i="3"/>
  <c r="K93" i="3"/>
  <c r="M341" i="3"/>
  <c r="M286" i="3"/>
  <c r="K389" i="3"/>
  <c r="K5" i="3"/>
  <c r="M149" i="3"/>
  <c r="K388" i="3"/>
  <c r="K221" i="3"/>
  <c r="K125" i="3"/>
  <c r="M389" i="3"/>
  <c r="M308" i="3"/>
  <c r="M173" i="3"/>
  <c r="M116" i="3"/>
  <c r="K117" i="3"/>
  <c r="K88" i="3"/>
  <c r="K29" i="3"/>
  <c r="J4" i="3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M334" i="3"/>
  <c r="M307" i="3"/>
  <c r="M143" i="3"/>
  <c r="K434" i="3"/>
  <c r="K410" i="3"/>
  <c r="K409" i="3"/>
  <c r="K386" i="3"/>
  <c r="K385" i="3"/>
  <c r="K362" i="3"/>
  <c r="K361" i="3"/>
  <c r="K338" i="3"/>
  <c r="K337" i="3"/>
  <c r="K313" i="3"/>
  <c r="K290" i="3"/>
  <c r="K266" i="3"/>
  <c r="K265" i="3"/>
  <c r="K242" i="3"/>
  <c r="K218" i="3"/>
  <c r="K217" i="3"/>
  <c r="K194" i="3"/>
  <c r="K193" i="3"/>
  <c r="K169" i="3"/>
  <c r="K146" i="3"/>
  <c r="K145" i="3"/>
  <c r="K122" i="3"/>
  <c r="K121" i="3"/>
  <c r="K98" i="3"/>
  <c r="K97" i="3"/>
  <c r="K74" i="3"/>
  <c r="K73" i="3"/>
  <c r="K50" i="3"/>
  <c r="K26" i="3"/>
  <c r="K25" i="3"/>
  <c r="M26" i="3"/>
  <c r="N25" i="3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N364" i="3" s="1"/>
  <c r="N365" i="3" s="1"/>
  <c r="N366" i="3" s="1"/>
  <c r="N367" i="3" s="1"/>
  <c r="N368" i="3" s="1"/>
  <c r="N369" i="3" s="1"/>
  <c r="N370" i="3" s="1"/>
  <c r="N371" i="3" s="1"/>
  <c r="N372" i="3" s="1"/>
  <c r="N373" i="3" s="1"/>
  <c r="N374" i="3" s="1"/>
  <c r="N375" i="3" s="1"/>
  <c r="N376" i="3" s="1"/>
  <c r="N377" i="3" s="1"/>
  <c r="N378" i="3" s="1"/>
  <c r="N379" i="3" s="1"/>
  <c r="N380" i="3" s="1"/>
  <c r="N381" i="3" s="1"/>
  <c r="N382" i="3" s="1"/>
  <c r="N383" i="3" s="1"/>
  <c r="N384" i="3" s="1"/>
  <c r="N385" i="3" s="1"/>
  <c r="N386" i="3" s="1"/>
  <c r="N387" i="3" s="1"/>
  <c r="N388" i="3" s="1"/>
  <c r="N389" i="3" s="1"/>
  <c r="N390" i="3" s="1"/>
  <c r="N391" i="3" s="1"/>
  <c r="N392" i="3" s="1"/>
  <c r="N393" i="3" s="1"/>
  <c r="N394" i="3" s="1"/>
  <c r="N395" i="3" s="1"/>
  <c r="N396" i="3" s="1"/>
  <c r="N397" i="3" s="1"/>
  <c r="N398" i="3" s="1"/>
  <c r="N399" i="3" s="1"/>
  <c r="N400" i="3" s="1"/>
  <c r="N401" i="3" s="1"/>
  <c r="N402" i="3" s="1"/>
  <c r="N403" i="3" s="1"/>
  <c r="N404" i="3" s="1"/>
  <c r="N405" i="3" s="1"/>
  <c r="N406" i="3" s="1"/>
  <c r="N407" i="3" s="1"/>
  <c r="N408" i="3" s="1"/>
  <c r="N409" i="3" s="1"/>
  <c r="N410" i="3" s="1"/>
  <c r="N411" i="3" s="1"/>
  <c r="N412" i="3" s="1"/>
  <c r="N413" i="3" s="1"/>
  <c r="N414" i="3" s="1"/>
  <c r="N415" i="3" s="1"/>
  <c r="N416" i="3" s="1"/>
  <c r="N417" i="3" s="1"/>
  <c r="N418" i="3" s="1"/>
  <c r="N419" i="3" s="1"/>
  <c r="N420" i="3" s="1"/>
  <c r="N421" i="3" s="1"/>
  <c r="N422" i="3" s="1"/>
  <c r="N423" i="3" s="1"/>
  <c r="N424" i="3" s="1"/>
  <c r="N425" i="3" s="1"/>
  <c r="N426" i="3" s="1"/>
  <c r="N427" i="3" s="1"/>
  <c r="N428" i="3" s="1"/>
  <c r="N429" i="3" s="1"/>
  <c r="N430" i="3" s="1"/>
  <c r="N431" i="3" s="1"/>
  <c r="N432" i="3" s="1"/>
  <c r="N433" i="3" s="1"/>
  <c r="N434" i="3" s="1"/>
  <c r="K289" i="3"/>
  <c r="K431" i="3"/>
  <c r="K407" i="3"/>
  <c r="M25" i="3"/>
  <c r="M50" i="3"/>
  <c r="M74" i="3"/>
  <c r="M49" i="3"/>
  <c r="O407" i="3"/>
  <c r="M98" i="3"/>
  <c r="M73" i="3"/>
  <c r="I3" i="3"/>
  <c r="L4" i="3"/>
  <c r="O431" i="3"/>
  <c r="M122" i="3"/>
  <c r="M97" i="3"/>
  <c r="M146" i="3"/>
  <c r="M121" i="3"/>
  <c r="K433" i="3"/>
  <c r="K241" i="3"/>
  <c r="M170" i="3"/>
  <c r="M145" i="3"/>
  <c r="M194" i="3"/>
  <c r="M169" i="3"/>
  <c r="M218" i="3"/>
  <c r="M193" i="3"/>
  <c r="M242" i="3"/>
  <c r="M217" i="3"/>
  <c r="M266" i="3"/>
  <c r="M241" i="3"/>
  <c r="K49" i="3"/>
  <c r="M290" i="3"/>
  <c r="M265" i="3"/>
  <c r="M434" i="3"/>
  <c r="M410" i="3"/>
  <c r="M386" i="3"/>
  <c r="M362" i="3"/>
  <c r="M338" i="3"/>
  <c r="M314" i="3"/>
  <c r="M289" i="3"/>
  <c r="M433" i="3"/>
  <c r="M409" i="3"/>
  <c r="M385" i="3"/>
  <c r="M361" i="3"/>
  <c r="M337" i="3"/>
  <c r="M313" i="3"/>
  <c r="K432" i="3"/>
  <c r="K408" i="3"/>
  <c r="K384" i="3"/>
  <c r="K360" i="3"/>
  <c r="K336" i="3"/>
  <c r="K312" i="3"/>
  <c r="K288" i="3"/>
  <c r="K264" i="3"/>
  <c r="K240" i="3"/>
  <c r="K216" i="3"/>
  <c r="K192" i="3"/>
  <c r="K168" i="3"/>
  <c r="K144" i="3"/>
  <c r="K120" i="3"/>
  <c r="K96" i="3"/>
  <c r="K72" i="3"/>
  <c r="K48" i="3"/>
  <c r="K24" i="3"/>
  <c r="K286" i="3"/>
  <c r="K285" i="3"/>
  <c r="K118" i="3"/>
  <c r="K309" i="3"/>
  <c r="K142" i="3"/>
  <c r="K165" i="3"/>
  <c r="K189" i="3"/>
  <c r="J44" i="3" l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J62" i="3" s="1"/>
  <c r="J63" i="3" s="1"/>
  <c r="I4" i="3"/>
  <c r="L5" i="3"/>
  <c r="I5" i="3" l="1"/>
  <c r="L6" i="3"/>
  <c r="J64" i="3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C1396" i="4"/>
  <c r="D1396" i="4"/>
  <c r="L7" i="1"/>
  <c r="J7" i="1"/>
  <c r="J6" i="1"/>
  <c r="L6" i="1"/>
  <c r="J86" i="3" l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J105" i="3" s="1"/>
  <c r="J106" i="3" s="1"/>
  <c r="J107" i="3" s="1"/>
  <c r="I6" i="3"/>
  <c r="L7" i="3"/>
  <c r="L10" i="1" a="1"/>
  <c r="L10" i="1" s="1"/>
  <c r="J10" i="1" a="1"/>
  <c r="J10" i="1" s="1"/>
  <c r="I7" i="3" l="1"/>
  <c r="L8" i="3"/>
  <c r="J108" i="3"/>
  <c r="J109" i="3" s="1"/>
  <c r="J110" i="3" s="1"/>
  <c r="J111" i="3" s="1"/>
  <c r="J112" i="3" s="1"/>
  <c r="J113" i="3" s="1"/>
  <c r="J114" i="3" s="1"/>
  <c r="J115" i="3" s="1"/>
  <c r="J116" i="3" s="1"/>
  <c r="J117" i="3" s="1"/>
  <c r="J118" i="3" s="1"/>
  <c r="J119" i="3" s="1"/>
  <c r="J120" i="3" s="1"/>
  <c r="J121" i="3" s="1"/>
  <c r="J122" i="3" s="1"/>
  <c r="J123" i="3" s="1"/>
  <c r="J124" i="3" s="1"/>
  <c r="J125" i="3" s="1"/>
  <c r="J126" i="3" s="1"/>
  <c r="J127" i="3" l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J141" i="3" s="1"/>
  <c r="J142" i="3" s="1"/>
  <c r="J143" i="3" s="1"/>
  <c r="J144" i="3" s="1"/>
  <c r="J145" i="3" s="1"/>
  <c r="J146" i="3" s="1"/>
  <c r="J147" i="3" s="1"/>
  <c r="J148" i="3" s="1"/>
  <c r="I8" i="3"/>
  <c r="L9" i="3"/>
  <c r="I9" i="3" l="1"/>
  <c r="L10" i="3"/>
  <c r="J149" i="3"/>
  <c r="J150" i="3" s="1"/>
  <c r="J151" i="3" s="1"/>
  <c r="J152" i="3" s="1"/>
  <c r="J153" i="3" s="1"/>
  <c r="J154" i="3" s="1"/>
  <c r="J155" i="3" s="1"/>
  <c r="J156" i="3" s="1"/>
  <c r="J157" i="3" s="1"/>
  <c r="J158" i="3" s="1"/>
  <c r="J159" i="3" s="1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l="1"/>
  <c r="J172" i="3" s="1"/>
  <c r="J173" i="3" s="1"/>
  <c r="J174" i="3" s="1"/>
  <c r="J175" i="3" s="1"/>
  <c r="J176" i="3" s="1"/>
  <c r="J177" i="3" s="1"/>
  <c r="J178" i="3" s="1"/>
  <c r="J179" i="3" s="1"/>
  <c r="J180" i="3" s="1"/>
  <c r="J181" i="3" s="1"/>
  <c r="J182" i="3" s="1"/>
  <c r="J183" i="3" s="1"/>
  <c r="J184" i="3" s="1"/>
  <c r="J185" i="3" s="1"/>
  <c r="J186" i="3" s="1"/>
  <c r="J187" i="3" s="1"/>
  <c r="J188" i="3" s="1"/>
  <c r="J189" i="3" s="1"/>
  <c r="J190" i="3" s="1"/>
  <c r="I10" i="3"/>
  <c r="L11" i="3"/>
  <c r="I11" i="3" l="1"/>
  <c r="L12" i="3"/>
  <c r="J191" i="3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J202" i="3" s="1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l="1"/>
  <c r="J215" i="3" s="1"/>
  <c r="J216" i="3" s="1"/>
  <c r="J217" i="3" s="1"/>
  <c r="J218" i="3" s="1"/>
  <c r="J219" i="3" s="1"/>
  <c r="J220" i="3" s="1"/>
  <c r="J221" i="3" s="1"/>
  <c r="J222" i="3" s="1"/>
  <c r="J223" i="3" s="1"/>
  <c r="J224" i="3" s="1"/>
  <c r="J225" i="3" s="1"/>
  <c r="J226" i="3" s="1"/>
  <c r="J227" i="3" s="1"/>
  <c r="J228" i="3" s="1"/>
  <c r="J229" i="3" s="1"/>
  <c r="J230" i="3" s="1"/>
  <c r="J231" i="3" s="1"/>
  <c r="J232" i="3" s="1"/>
  <c r="J233" i="3" s="1"/>
  <c r="I12" i="3"/>
  <c r="L13" i="3"/>
  <c r="J234" i="3" l="1"/>
  <c r="J235" i="3" s="1"/>
  <c r="J236" i="3" s="1"/>
  <c r="J237" i="3" s="1"/>
  <c r="J238" i="3" s="1"/>
  <c r="J239" i="3" s="1"/>
  <c r="J240" i="3" s="1"/>
  <c r="J241" i="3" s="1"/>
  <c r="J242" i="3" s="1"/>
  <c r="J243" i="3" s="1"/>
  <c r="J244" i="3" s="1"/>
  <c r="J245" i="3" s="1"/>
  <c r="J246" i="3" s="1"/>
  <c r="J247" i="3" s="1"/>
  <c r="J248" i="3" s="1"/>
  <c r="J249" i="3" s="1"/>
  <c r="J250" i="3" s="1"/>
  <c r="J251" i="3" s="1"/>
  <c r="J252" i="3" s="1"/>
  <c r="J253" i="3" s="1"/>
  <c r="J254" i="3" s="1"/>
  <c r="I13" i="3"/>
  <c r="L14" i="3"/>
  <c r="I14" i="3" l="1"/>
  <c r="L15" i="3"/>
  <c r="J255" i="3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J266" i="3" s="1"/>
  <c r="J267" i="3" s="1"/>
  <c r="J268" i="3" s="1"/>
  <c r="J269" i="3" s="1"/>
  <c r="J270" i="3" s="1"/>
  <c r="J271" i="3" s="1"/>
  <c r="J272" i="3" s="1"/>
  <c r="J273" i="3" s="1"/>
  <c r="J274" i="3" s="1"/>
  <c r="J275" i="3" l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J287" i="3" s="1"/>
  <c r="J288" i="3" s="1"/>
  <c r="J289" i="3" s="1"/>
  <c r="J290" i="3" s="1"/>
  <c r="J291" i="3" s="1"/>
  <c r="J292" i="3" s="1"/>
  <c r="J293" i="3" s="1"/>
  <c r="I15" i="3"/>
  <c r="L16" i="3"/>
  <c r="J294" i="3" l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J307" i="3" s="1"/>
  <c r="J308" i="3" s="1"/>
  <c r="J309" i="3" s="1"/>
  <c r="J310" i="3" s="1"/>
  <c r="J311" i="3" s="1"/>
  <c r="J312" i="3" s="1"/>
  <c r="J313" i="3" s="1"/>
  <c r="J314" i="3" s="1"/>
  <c r="I16" i="3"/>
  <c r="L17" i="3"/>
  <c r="I17" i="3" l="1"/>
  <c r="L18" i="3"/>
  <c r="J315" i="3"/>
  <c r="J316" i="3" s="1"/>
  <c r="J317" i="3" s="1"/>
  <c r="J318" i="3" s="1"/>
  <c r="J319" i="3" s="1"/>
  <c r="J320" i="3" s="1"/>
  <c r="J321" i="3" s="1"/>
  <c r="J322" i="3" s="1"/>
  <c r="J323" i="3" s="1"/>
  <c r="J324" i="3" s="1"/>
  <c r="J325" i="3" s="1"/>
  <c r="J326" i="3" s="1"/>
  <c r="J327" i="3" s="1"/>
  <c r="J328" i="3" s="1"/>
  <c r="J329" i="3" s="1"/>
  <c r="J330" i="3" s="1"/>
  <c r="J331" i="3" s="1"/>
  <c r="J332" i="3" s="1"/>
  <c r="J333" i="3" s="1"/>
  <c r="J334" i="3" s="1"/>
  <c r="J335" i="3" s="1"/>
  <c r="J336" i="3" l="1"/>
  <c r="J337" i="3" s="1"/>
  <c r="J338" i="3" s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J349" i="3" s="1"/>
  <c r="J350" i="3" s="1"/>
  <c r="J351" i="3" s="1"/>
  <c r="J352" i="3" s="1"/>
  <c r="J353" i="3" s="1"/>
  <c r="J354" i="3" s="1"/>
  <c r="J355" i="3" s="1"/>
  <c r="J356" i="3" s="1"/>
  <c r="I18" i="3"/>
  <c r="L19" i="3"/>
  <c r="I19" i="3" l="1"/>
  <c r="L20" i="3"/>
  <c r="J357" i="3"/>
  <c r="J358" i="3" s="1"/>
  <c r="J359" i="3" s="1"/>
  <c r="J360" i="3" s="1"/>
  <c r="J361" i="3" s="1"/>
  <c r="J362" i="3" s="1"/>
  <c r="J363" i="3" s="1"/>
  <c r="J364" i="3" s="1"/>
  <c r="J365" i="3" s="1"/>
  <c r="J366" i="3" s="1"/>
  <c r="J367" i="3" s="1"/>
  <c r="J368" i="3" s="1"/>
  <c r="J369" i="3" s="1"/>
  <c r="J370" i="3" s="1"/>
  <c r="J371" i="3" s="1"/>
  <c r="J372" i="3" s="1"/>
  <c r="J373" i="3" s="1"/>
  <c r="J374" i="3" s="1"/>
  <c r="J375" i="3" s="1"/>
  <c r="J376" i="3" s="1"/>
  <c r="J377" i="3" l="1"/>
  <c r="J378" i="3" s="1"/>
  <c r="J379" i="3" s="1"/>
  <c r="J380" i="3" s="1"/>
  <c r="J381" i="3" s="1"/>
  <c r="J382" i="3" s="1"/>
  <c r="J383" i="3" s="1"/>
  <c r="J384" i="3" s="1"/>
  <c r="J385" i="3" s="1"/>
  <c r="J386" i="3" s="1"/>
  <c r="J387" i="3" s="1"/>
  <c r="J388" i="3" s="1"/>
  <c r="J389" i="3" s="1"/>
  <c r="J390" i="3" s="1"/>
  <c r="J391" i="3" s="1"/>
  <c r="J392" i="3" s="1"/>
  <c r="J393" i="3" s="1"/>
  <c r="J394" i="3" s="1"/>
  <c r="J395" i="3" s="1"/>
  <c r="J396" i="3" s="1"/>
  <c r="J397" i="3" s="1"/>
  <c r="J398" i="3" s="1"/>
  <c r="I20" i="3"/>
  <c r="L21" i="3"/>
  <c r="L22" i="3" l="1"/>
  <c r="I21" i="3"/>
  <c r="J399" i="3"/>
  <c r="J400" i="3" s="1"/>
  <c r="J401" i="3" s="1"/>
  <c r="J402" i="3" s="1"/>
  <c r="J403" i="3" s="1"/>
  <c r="J404" i="3" s="1"/>
  <c r="J405" i="3" s="1"/>
  <c r="J406" i="3" s="1"/>
  <c r="J407" i="3" s="1"/>
  <c r="J408" i="3" s="1"/>
  <c r="J409" i="3" s="1"/>
  <c r="J410" i="3" s="1"/>
  <c r="J411" i="3" s="1"/>
  <c r="J412" i="3" s="1"/>
  <c r="J413" i="3" s="1"/>
  <c r="J414" i="3" s="1"/>
  <c r="J415" i="3" s="1"/>
  <c r="J416" i="3" s="1"/>
  <c r="J417" i="3" s="1"/>
  <c r="J418" i="3" s="1"/>
  <c r="J419" i="3" s="1"/>
  <c r="J420" i="3" l="1"/>
  <c r="J421" i="3" s="1"/>
  <c r="J422" i="3" s="1"/>
  <c r="J423" i="3" s="1"/>
  <c r="J424" i="3" s="1"/>
  <c r="J425" i="3" s="1"/>
  <c r="J426" i="3" s="1"/>
  <c r="J427" i="3" s="1"/>
  <c r="J428" i="3" s="1"/>
  <c r="J429" i="3" s="1"/>
  <c r="J430" i="3" s="1"/>
  <c r="J431" i="3" s="1"/>
  <c r="J432" i="3" s="1"/>
  <c r="J433" i="3" s="1"/>
  <c r="J434" i="3" s="1"/>
  <c r="L23" i="3"/>
  <c r="I22" i="3"/>
  <c r="I23" i="3" l="1"/>
  <c r="K23" i="3" s="1"/>
  <c r="L24" i="3"/>
  <c r="L25" i="3" l="1"/>
  <c r="I24" i="3"/>
  <c r="I25" i="3" l="1"/>
  <c r="L26" i="3"/>
  <c r="I26" i="3" l="1"/>
  <c r="L27" i="3"/>
  <c r="I27" i="3" l="1"/>
  <c r="L28" i="3"/>
  <c r="I28" i="3" l="1"/>
  <c r="L29" i="3"/>
  <c r="I29" i="3" l="1"/>
  <c r="L30" i="3"/>
  <c r="I30" i="3" l="1"/>
  <c r="L31" i="3"/>
  <c r="I31" i="3" l="1"/>
  <c r="L32" i="3"/>
  <c r="I32" i="3" l="1"/>
  <c r="L33" i="3"/>
  <c r="I33" i="3" l="1"/>
  <c r="L34" i="3"/>
  <c r="I34" i="3" l="1"/>
  <c r="L35" i="3"/>
  <c r="I35" i="3" l="1"/>
  <c r="L36" i="3"/>
  <c r="I36" i="3" l="1"/>
  <c r="L37" i="3"/>
  <c r="I37" i="3" l="1"/>
  <c r="L38" i="3"/>
  <c r="I38" i="3" l="1"/>
  <c r="L39" i="3"/>
  <c r="I39" i="3" l="1"/>
  <c r="L40" i="3"/>
  <c r="I40" i="3" l="1"/>
  <c r="L41" i="3"/>
  <c r="I41" i="3" l="1"/>
  <c r="L42" i="3"/>
  <c r="I42" i="3" l="1"/>
  <c r="L43" i="3"/>
  <c r="I43" i="3" l="1"/>
  <c r="K43" i="3" s="1"/>
  <c r="L44" i="3" s="1"/>
  <c r="I44" i="3" l="1"/>
  <c r="L45" i="3"/>
  <c r="L46" i="3" l="1"/>
  <c r="I45" i="3"/>
  <c r="L47" i="3" l="1"/>
  <c r="I46" i="3"/>
  <c r="L48" i="3" l="1"/>
  <c r="I47" i="3"/>
  <c r="L49" i="3" l="1"/>
  <c r="I48" i="3"/>
  <c r="I49" i="3" l="1"/>
  <c r="L50" i="3"/>
  <c r="I50" i="3" l="1"/>
  <c r="L51" i="3"/>
  <c r="I51" i="3" l="1"/>
  <c r="L52" i="3"/>
  <c r="I52" i="3" l="1"/>
  <c r="L53" i="3"/>
  <c r="I53" i="3" l="1"/>
  <c r="L54" i="3"/>
  <c r="I54" i="3" l="1"/>
  <c r="L55" i="3"/>
  <c r="I55" i="3" l="1"/>
  <c r="L56" i="3"/>
  <c r="I56" i="3" l="1"/>
  <c r="L57" i="3"/>
  <c r="I57" i="3" l="1"/>
  <c r="L58" i="3"/>
  <c r="I58" i="3" l="1"/>
  <c r="L59" i="3"/>
  <c r="I59" i="3" l="1"/>
  <c r="L60" i="3"/>
  <c r="I60" i="3" l="1"/>
  <c r="L61" i="3"/>
  <c r="I61" i="3" l="1"/>
  <c r="L62" i="3"/>
  <c r="I62" i="3" l="1"/>
  <c r="L63" i="3"/>
  <c r="I63" i="3" l="1"/>
  <c r="K63" i="3" s="1"/>
  <c r="L64" i="3" s="1"/>
  <c r="I64" i="3" l="1"/>
  <c r="L65" i="3"/>
  <c r="L66" i="3" l="1"/>
  <c r="I65" i="3"/>
  <c r="L67" i="3" l="1"/>
  <c r="I66" i="3"/>
  <c r="L68" i="3" l="1"/>
  <c r="I67" i="3"/>
  <c r="L69" i="3" l="1"/>
  <c r="I68" i="3"/>
  <c r="L70" i="3" l="1"/>
  <c r="I69" i="3"/>
  <c r="L71" i="3" l="1"/>
  <c r="I70" i="3"/>
  <c r="L72" i="3" l="1"/>
  <c r="I71" i="3"/>
  <c r="L73" i="3" l="1"/>
  <c r="I72" i="3"/>
  <c r="I73" i="3" l="1"/>
  <c r="L74" i="3"/>
  <c r="I74" i="3" l="1"/>
  <c r="L75" i="3"/>
  <c r="I75" i="3" l="1"/>
  <c r="L76" i="3"/>
  <c r="I76" i="3" l="1"/>
  <c r="L77" i="3"/>
  <c r="I77" i="3" l="1"/>
  <c r="L78" i="3"/>
  <c r="I78" i="3" l="1"/>
  <c r="L79" i="3"/>
  <c r="I79" i="3" l="1"/>
  <c r="L80" i="3"/>
  <c r="I80" i="3" l="1"/>
  <c r="L81" i="3"/>
  <c r="I81" i="3" l="1"/>
  <c r="L82" i="3"/>
  <c r="I82" i="3" l="1"/>
  <c r="L83" i="3"/>
  <c r="I83" i="3" l="1"/>
  <c r="L84" i="3"/>
  <c r="I84" i="3" l="1"/>
  <c r="L85" i="3"/>
  <c r="I85" i="3" l="1"/>
  <c r="K85" i="3" s="1"/>
  <c r="L86" i="3" s="1"/>
  <c r="I86" i="3" l="1"/>
  <c r="L87" i="3"/>
  <c r="I87" i="3" l="1"/>
  <c r="L88" i="3"/>
  <c r="I88" i="3" l="1"/>
  <c r="L89" i="3"/>
  <c r="I89" i="3" l="1"/>
  <c r="L90" i="3"/>
  <c r="I90" i="3" l="1"/>
  <c r="L91" i="3"/>
  <c r="I91" i="3" l="1"/>
  <c r="L92" i="3"/>
  <c r="I92" i="3" l="1"/>
  <c r="L93" i="3"/>
  <c r="L94" i="3" l="1"/>
  <c r="I93" i="3"/>
  <c r="L95" i="3" l="1"/>
  <c r="I94" i="3"/>
  <c r="L96" i="3" l="1"/>
  <c r="I95" i="3"/>
  <c r="L97" i="3" l="1"/>
  <c r="I96" i="3"/>
  <c r="I97" i="3" l="1"/>
  <c r="L98" i="3"/>
  <c r="I98" i="3" l="1"/>
  <c r="L99" i="3"/>
  <c r="I99" i="3" l="1"/>
  <c r="L100" i="3"/>
  <c r="I100" i="3" l="1"/>
  <c r="L101" i="3"/>
  <c r="I101" i="3" l="1"/>
  <c r="L102" i="3"/>
  <c r="I102" i="3" l="1"/>
  <c r="L103" i="3"/>
  <c r="I103" i="3" l="1"/>
  <c r="L104" i="3"/>
  <c r="I104" i="3" l="1"/>
  <c r="L105" i="3"/>
  <c r="I105" i="3" l="1"/>
  <c r="L106" i="3"/>
  <c r="I106" i="3" l="1"/>
  <c r="L107" i="3"/>
  <c r="I107" i="3" l="1"/>
  <c r="K107" i="3" s="1"/>
  <c r="L108" i="3"/>
  <c r="I108" i="3" l="1"/>
  <c r="L109" i="3"/>
  <c r="I109" i="3" l="1"/>
  <c r="L110" i="3"/>
  <c r="I110" i="3" l="1"/>
  <c r="L111" i="3"/>
  <c r="I111" i="3" l="1"/>
  <c r="L112" i="3"/>
  <c r="I112" i="3" l="1"/>
  <c r="L113" i="3"/>
  <c r="I113" i="3" l="1"/>
  <c r="L114" i="3"/>
  <c r="I114" i="3" l="1"/>
  <c r="L115" i="3"/>
  <c r="L116" i="3" l="1"/>
  <c r="I115" i="3"/>
  <c r="L117" i="3" l="1"/>
  <c r="I116" i="3"/>
  <c r="L118" i="3" l="1"/>
  <c r="I117" i="3"/>
  <c r="L119" i="3" l="1"/>
  <c r="I118" i="3"/>
  <c r="L120" i="3" l="1"/>
  <c r="I119" i="3"/>
  <c r="L121" i="3" l="1"/>
  <c r="I120" i="3"/>
  <c r="I121" i="3" l="1"/>
  <c r="L122" i="3"/>
  <c r="I122" i="3" l="1"/>
  <c r="L123" i="3"/>
  <c r="I123" i="3" l="1"/>
  <c r="L124" i="3"/>
  <c r="I124" i="3" l="1"/>
  <c r="L125" i="3"/>
  <c r="I125" i="3" l="1"/>
  <c r="L126" i="3"/>
  <c r="I126" i="3" l="1"/>
  <c r="K126" i="3" s="1"/>
  <c r="L127" i="3"/>
  <c r="I127" i="3" l="1"/>
  <c r="L128" i="3"/>
  <c r="I128" i="3" l="1"/>
  <c r="L129" i="3"/>
  <c r="I129" i="3" l="1"/>
  <c r="L130" i="3"/>
  <c r="I130" i="3" l="1"/>
  <c r="L131" i="3"/>
  <c r="I131" i="3" l="1"/>
  <c r="L132" i="3"/>
  <c r="I132" i="3" l="1"/>
  <c r="L133" i="3"/>
  <c r="I133" i="3" l="1"/>
  <c r="L134" i="3"/>
  <c r="I134" i="3" l="1"/>
  <c r="L135" i="3"/>
  <c r="I135" i="3" l="1"/>
  <c r="L136" i="3"/>
  <c r="I136" i="3" l="1"/>
  <c r="L137" i="3"/>
  <c r="I137" i="3" l="1"/>
  <c r="L138" i="3"/>
  <c r="I138" i="3" l="1"/>
  <c r="L139" i="3"/>
  <c r="L140" i="3" l="1"/>
  <c r="I139" i="3"/>
  <c r="I140" i="3" l="1"/>
  <c r="L141" i="3"/>
  <c r="L142" i="3" l="1"/>
  <c r="I141" i="3"/>
  <c r="L143" i="3" l="1"/>
  <c r="I142" i="3"/>
  <c r="L144" i="3" l="1"/>
  <c r="I143" i="3"/>
  <c r="I144" i="3" l="1"/>
  <c r="L145" i="3"/>
  <c r="I145" i="3" l="1"/>
  <c r="L146" i="3"/>
  <c r="I146" i="3" l="1"/>
  <c r="L147" i="3"/>
  <c r="I147" i="3" l="1"/>
  <c r="L148" i="3"/>
  <c r="I148" i="3" l="1"/>
  <c r="K148" i="3" s="1"/>
  <c r="L149" i="3" s="1"/>
  <c r="I149" i="3" l="1"/>
  <c r="L150" i="3"/>
  <c r="I150" i="3" l="1"/>
  <c r="L151" i="3"/>
  <c r="I151" i="3" l="1"/>
  <c r="L152" i="3"/>
  <c r="I152" i="3" l="1"/>
  <c r="L153" i="3"/>
  <c r="I153" i="3" l="1"/>
  <c r="L154" i="3"/>
  <c r="I154" i="3" l="1"/>
  <c r="L155" i="3"/>
  <c r="I155" i="3" l="1"/>
  <c r="L156" i="3"/>
  <c r="I156" i="3" l="1"/>
  <c r="L157" i="3"/>
  <c r="I157" i="3" l="1"/>
  <c r="L158" i="3"/>
  <c r="I158" i="3" l="1"/>
  <c r="L159" i="3"/>
  <c r="I159" i="3" l="1"/>
  <c r="L160" i="3"/>
  <c r="I160" i="3" l="1"/>
  <c r="L161" i="3"/>
  <c r="I161" i="3" l="1"/>
  <c r="L162" i="3"/>
  <c r="I162" i="3" l="1"/>
  <c r="L163" i="3"/>
  <c r="I163" i="3" l="1"/>
  <c r="L164" i="3"/>
  <c r="I164" i="3" l="1"/>
  <c r="L165" i="3"/>
  <c r="L166" i="3" l="1"/>
  <c r="I165" i="3"/>
  <c r="L167" i="3" l="1"/>
  <c r="I166" i="3"/>
  <c r="I167" i="3" l="1"/>
  <c r="L168" i="3"/>
  <c r="I168" i="3" l="1"/>
  <c r="L169" i="3"/>
  <c r="I169" i="3" l="1"/>
  <c r="L170" i="3"/>
  <c r="I170" i="3" l="1"/>
  <c r="K170" i="3" s="1"/>
  <c r="L171" i="3"/>
  <c r="I171" i="3" l="1"/>
  <c r="L172" i="3"/>
  <c r="I172" i="3" l="1"/>
  <c r="L173" i="3"/>
  <c r="I173" i="3" l="1"/>
  <c r="L174" i="3"/>
  <c r="I174" i="3" l="1"/>
  <c r="L175" i="3"/>
  <c r="I175" i="3" l="1"/>
  <c r="L176" i="3"/>
  <c r="I176" i="3" l="1"/>
  <c r="L177" i="3"/>
  <c r="I177" i="3" l="1"/>
  <c r="L178" i="3"/>
  <c r="I178" i="3" l="1"/>
  <c r="L179" i="3"/>
  <c r="I179" i="3" l="1"/>
  <c r="L180" i="3"/>
  <c r="I180" i="3" l="1"/>
  <c r="L181" i="3"/>
  <c r="I181" i="3" l="1"/>
  <c r="L182" i="3"/>
  <c r="I182" i="3" l="1"/>
  <c r="L183" i="3"/>
  <c r="I183" i="3" l="1"/>
  <c r="L184" i="3"/>
  <c r="I184" i="3" l="1"/>
  <c r="L185" i="3"/>
  <c r="I185" i="3" l="1"/>
  <c r="L186" i="3"/>
  <c r="I186" i="3" l="1"/>
  <c r="L187" i="3"/>
  <c r="I187" i="3" l="1"/>
  <c r="L188" i="3"/>
  <c r="I188" i="3" l="1"/>
  <c r="L189" i="3"/>
  <c r="L190" i="3" l="1"/>
  <c r="I189" i="3"/>
  <c r="I190" i="3" l="1"/>
  <c r="K190" i="3" s="1"/>
  <c r="L191" i="3" l="1"/>
  <c r="I191" i="3" l="1"/>
  <c r="L192" i="3"/>
  <c r="I192" i="3" l="1"/>
  <c r="L193" i="3"/>
  <c r="I193" i="3" l="1"/>
  <c r="L194" i="3"/>
  <c r="I194" i="3" l="1"/>
  <c r="L195" i="3"/>
  <c r="I195" i="3" l="1"/>
  <c r="L196" i="3"/>
  <c r="I196" i="3" l="1"/>
  <c r="L197" i="3"/>
  <c r="I197" i="3" l="1"/>
  <c r="L198" i="3"/>
  <c r="I198" i="3" l="1"/>
  <c r="L199" i="3"/>
  <c r="I199" i="3" l="1"/>
  <c r="L200" i="3"/>
  <c r="I200" i="3" l="1"/>
  <c r="L201" i="3"/>
  <c r="I201" i="3" l="1"/>
  <c r="L202" i="3"/>
  <c r="I202" i="3" l="1"/>
  <c r="L203" i="3"/>
  <c r="I203" i="3" l="1"/>
  <c r="L204" i="3"/>
  <c r="I204" i="3" l="1"/>
  <c r="L205" i="3"/>
  <c r="I205" i="3" l="1"/>
  <c r="L206" i="3"/>
  <c r="I206" i="3" l="1"/>
  <c r="L207" i="3"/>
  <c r="I207" i="3" l="1"/>
  <c r="L208" i="3"/>
  <c r="I208" i="3" l="1"/>
  <c r="L209" i="3"/>
  <c r="L210" i="3" l="1"/>
  <c r="I209" i="3"/>
  <c r="L211" i="3" l="1"/>
  <c r="I210" i="3"/>
  <c r="L212" i="3" l="1"/>
  <c r="I211" i="3"/>
  <c r="I212" i="3" l="1"/>
  <c r="L213" i="3"/>
  <c r="I213" i="3" l="1"/>
  <c r="K213" i="3" s="1"/>
  <c r="L214" i="3" l="1"/>
  <c r="L215" i="3" l="1"/>
  <c r="I214" i="3"/>
  <c r="L216" i="3" l="1"/>
  <c r="I215" i="3"/>
  <c r="I216" i="3" l="1"/>
  <c r="L217" i="3"/>
  <c r="I217" i="3" l="1"/>
  <c r="L218" i="3"/>
  <c r="I218" i="3" l="1"/>
  <c r="L219" i="3"/>
  <c r="I219" i="3" l="1"/>
  <c r="L220" i="3"/>
  <c r="I220" i="3" l="1"/>
  <c r="L221" i="3"/>
  <c r="I221" i="3" l="1"/>
  <c r="L222" i="3"/>
  <c r="I222" i="3" l="1"/>
  <c r="L223" i="3"/>
  <c r="I223" i="3" l="1"/>
  <c r="L224" i="3"/>
  <c r="I224" i="3" l="1"/>
  <c r="L225" i="3"/>
  <c r="I225" i="3" l="1"/>
  <c r="L226" i="3"/>
  <c r="I226" i="3" l="1"/>
  <c r="L227" i="3"/>
  <c r="I227" i="3" l="1"/>
  <c r="L228" i="3"/>
  <c r="I228" i="3" l="1"/>
  <c r="L229" i="3"/>
  <c r="I229" i="3" l="1"/>
  <c r="L230" i="3"/>
  <c r="I230" i="3" l="1"/>
  <c r="L231" i="3"/>
  <c r="I231" i="3" l="1"/>
  <c r="L232" i="3"/>
  <c r="I232" i="3" l="1"/>
  <c r="L233" i="3"/>
  <c r="I233" i="3" l="1"/>
  <c r="K233" i="3" s="1"/>
  <c r="L234" i="3"/>
  <c r="I234" i="3" l="1"/>
  <c r="L235" i="3"/>
  <c r="I235" i="3" l="1"/>
  <c r="L236" i="3"/>
  <c r="I236" i="3" l="1"/>
  <c r="L237" i="3"/>
  <c r="L238" i="3" l="1"/>
  <c r="I237" i="3"/>
  <c r="L239" i="3" l="1"/>
  <c r="I238" i="3"/>
  <c r="I239" i="3" l="1"/>
  <c r="L240" i="3"/>
  <c r="I240" i="3" l="1"/>
  <c r="L241" i="3"/>
  <c r="I241" i="3" l="1"/>
  <c r="L242" i="3"/>
  <c r="I242" i="3" l="1"/>
  <c r="L243" i="3"/>
  <c r="I243" i="3" l="1"/>
  <c r="L244" i="3"/>
  <c r="I244" i="3" l="1"/>
  <c r="L245" i="3"/>
  <c r="I245" i="3" l="1"/>
  <c r="L246" i="3"/>
  <c r="I246" i="3" l="1"/>
  <c r="L247" i="3"/>
  <c r="I247" i="3" l="1"/>
  <c r="L248" i="3"/>
  <c r="I248" i="3" l="1"/>
  <c r="L249" i="3"/>
  <c r="I249" i="3" l="1"/>
  <c r="L250" i="3"/>
  <c r="I250" i="3" l="1"/>
  <c r="L251" i="3"/>
  <c r="I251" i="3" l="1"/>
  <c r="L252" i="3"/>
  <c r="I252" i="3" l="1"/>
  <c r="L253" i="3"/>
  <c r="I253" i="3" l="1"/>
  <c r="L254" i="3"/>
  <c r="I254" i="3" l="1"/>
  <c r="K254" i="3" s="1"/>
  <c r="L255" i="3"/>
  <c r="I255" i="3" l="1"/>
  <c r="L256" i="3"/>
  <c r="L257" i="3" l="1"/>
  <c r="I256" i="3"/>
  <c r="L258" i="3" l="1"/>
  <c r="I257" i="3"/>
  <c r="L259" i="3" l="1"/>
  <c r="I258" i="3"/>
  <c r="L260" i="3" l="1"/>
  <c r="I259" i="3"/>
  <c r="L261" i="3" l="1"/>
  <c r="I260" i="3"/>
  <c r="L262" i="3" l="1"/>
  <c r="I261" i="3"/>
  <c r="L263" i="3" l="1"/>
  <c r="I262" i="3"/>
  <c r="L264" i="3" l="1"/>
  <c r="I263" i="3"/>
  <c r="I264" i="3" l="1"/>
  <c r="L265" i="3"/>
  <c r="I265" i="3" l="1"/>
  <c r="L266" i="3"/>
  <c r="I266" i="3" l="1"/>
  <c r="L267" i="3"/>
  <c r="I267" i="3" l="1"/>
  <c r="L268" i="3"/>
  <c r="I268" i="3" l="1"/>
  <c r="L269" i="3"/>
  <c r="I269" i="3" l="1"/>
  <c r="L270" i="3"/>
  <c r="I270" i="3" l="1"/>
  <c r="L271" i="3"/>
  <c r="I271" i="3" l="1"/>
  <c r="L272" i="3"/>
  <c r="I272" i="3" l="1"/>
  <c r="L273" i="3"/>
  <c r="I273" i="3" l="1"/>
  <c r="L274" i="3"/>
  <c r="I274" i="3" l="1"/>
  <c r="K274" i="3" s="1"/>
  <c r="L275" i="3"/>
  <c r="I275" i="3" l="1"/>
  <c r="L276" i="3"/>
  <c r="I276" i="3" l="1"/>
  <c r="L277" i="3"/>
  <c r="I277" i="3" l="1"/>
  <c r="L278" i="3"/>
  <c r="I278" i="3" l="1"/>
  <c r="L279" i="3"/>
  <c r="I279" i="3" l="1"/>
  <c r="L280" i="3"/>
  <c r="L281" i="3" l="1"/>
  <c r="I280" i="3"/>
  <c r="L282" i="3" l="1"/>
  <c r="I281" i="3"/>
  <c r="L283" i="3" l="1"/>
  <c r="I282" i="3"/>
  <c r="L284" i="3" l="1"/>
  <c r="I283" i="3"/>
  <c r="L285" i="3" l="1"/>
  <c r="I284" i="3"/>
  <c r="L286" i="3" l="1"/>
  <c r="I285" i="3"/>
  <c r="L287" i="3" l="1"/>
  <c r="I286" i="3"/>
  <c r="I287" i="3" l="1"/>
  <c r="L288" i="3"/>
  <c r="I288" i="3" l="1"/>
  <c r="L289" i="3"/>
  <c r="I289" i="3" l="1"/>
  <c r="L290" i="3"/>
  <c r="I290" i="3" l="1"/>
  <c r="L291" i="3"/>
  <c r="I291" i="3" l="1"/>
  <c r="L292" i="3"/>
  <c r="I292" i="3" l="1"/>
  <c r="L293" i="3"/>
  <c r="I293" i="3" l="1"/>
  <c r="K293" i="3" s="1"/>
  <c r="L294" i="3"/>
  <c r="I294" i="3" l="1"/>
  <c r="L295" i="3"/>
  <c r="I295" i="3" l="1"/>
  <c r="L296" i="3"/>
  <c r="I296" i="3" l="1"/>
  <c r="L297" i="3"/>
  <c r="I297" i="3" l="1"/>
  <c r="L298" i="3"/>
  <c r="I298" i="3" l="1"/>
  <c r="L299" i="3"/>
  <c r="I299" i="3" l="1"/>
  <c r="L300" i="3"/>
  <c r="I300" i="3" l="1"/>
  <c r="L301" i="3"/>
  <c r="I301" i="3" l="1"/>
  <c r="L302" i="3"/>
  <c r="I302" i="3" l="1"/>
  <c r="L303" i="3"/>
  <c r="I303" i="3" l="1"/>
  <c r="L304" i="3"/>
  <c r="L305" i="3" l="1"/>
  <c r="I304" i="3"/>
  <c r="L306" i="3" l="1"/>
  <c r="I305" i="3"/>
  <c r="L307" i="3" l="1"/>
  <c r="I306" i="3"/>
  <c r="L308" i="3" l="1"/>
  <c r="I307" i="3"/>
  <c r="L309" i="3" l="1"/>
  <c r="I308" i="3"/>
  <c r="L310" i="3" l="1"/>
  <c r="I309" i="3"/>
  <c r="L311" i="3" l="1"/>
  <c r="I310" i="3"/>
  <c r="L312" i="3" l="1"/>
  <c r="I311" i="3"/>
  <c r="L313" i="3" l="1"/>
  <c r="I312" i="3"/>
  <c r="I313" i="3" l="1"/>
  <c r="L314" i="3"/>
  <c r="I314" i="3" l="1"/>
  <c r="K314" i="3" s="1"/>
  <c r="L315" i="3" l="1"/>
  <c r="I315" i="3"/>
  <c r="L316" i="3"/>
  <c r="I316" i="3" l="1"/>
  <c r="L317" i="3"/>
  <c r="I317" i="3" l="1"/>
  <c r="L318" i="3"/>
  <c r="I318" i="3" l="1"/>
  <c r="L319" i="3"/>
  <c r="I319" i="3" l="1"/>
  <c r="L320" i="3"/>
  <c r="I320" i="3" l="1"/>
  <c r="L321" i="3"/>
  <c r="I321" i="3" l="1"/>
  <c r="L322" i="3"/>
  <c r="I322" i="3" l="1"/>
  <c r="L323" i="3"/>
  <c r="I323" i="3" l="1"/>
  <c r="L324" i="3"/>
  <c r="I324" i="3" l="1"/>
  <c r="L325" i="3"/>
  <c r="I325" i="3" l="1"/>
  <c r="L326" i="3"/>
  <c r="I326" i="3" l="1"/>
  <c r="L327" i="3"/>
  <c r="I327" i="3" l="1"/>
  <c r="L328" i="3"/>
  <c r="L329" i="3" l="1"/>
  <c r="I328" i="3"/>
  <c r="L330" i="3" l="1"/>
  <c r="I329" i="3"/>
  <c r="L331" i="3" l="1"/>
  <c r="I330" i="3"/>
  <c r="L332" i="3" l="1"/>
  <c r="I331" i="3"/>
  <c r="L333" i="3" l="1"/>
  <c r="I332" i="3"/>
  <c r="L334" i="3" l="1"/>
  <c r="I333" i="3"/>
  <c r="L335" i="3" l="1"/>
  <c r="I334" i="3"/>
  <c r="I335" i="3" l="1"/>
  <c r="K335" i="3" s="1"/>
  <c r="L336" i="3" l="1"/>
  <c r="L337" i="3" l="1"/>
  <c r="I336" i="3"/>
  <c r="I337" i="3" l="1"/>
  <c r="L338" i="3"/>
  <c r="I338" i="3" l="1"/>
  <c r="L339" i="3"/>
  <c r="I339" i="3" l="1"/>
  <c r="L340" i="3"/>
  <c r="I340" i="3" l="1"/>
  <c r="L341" i="3"/>
  <c r="I341" i="3" l="1"/>
  <c r="L342" i="3"/>
  <c r="I342" i="3" l="1"/>
  <c r="L343" i="3"/>
  <c r="I343" i="3" l="1"/>
  <c r="L344" i="3"/>
  <c r="I344" i="3" l="1"/>
  <c r="L345" i="3"/>
  <c r="I345" i="3" l="1"/>
  <c r="L346" i="3"/>
  <c r="I346" i="3" l="1"/>
  <c r="L347" i="3"/>
  <c r="I347" i="3" l="1"/>
  <c r="L348" i="3"/>
  <c r="I348" i="3" l="1"/>
  <c r="L349" i="3"/>
  <c r="I349" i="3" l="1"/>
  <c r="L350" i="3"/>
  <c r="I350" i="3" l="1"/>
  <c r="L351" i="3"/>
  <c r="I351" i="3" l="1"/>
  <c r="L352" i="3"/>
  <c r="L353" i="3" l="1"/>
  <c r="I352" i="3"/>
  <c r="L354" i="3" l="1"/>
  <c r="I353" i="3"/>
  <c r="I354" i="3" l="1"/>
  <c r="L355" i="3"/>
  <c r="I355" i="3" l="1"/>
  <c r="L356" i="3"/>
  <c r="I356" i="3" l="1"/>
  <c r="K356" i="3" s="1"/>
  <c r="L357" i="3" l="1"/>
  <c r="L358" i="3" l="1"/>
  <c r="I357" i="3"/>
  <c r="L359" i="3" l="1"/>
  <c r="I358" i="3"/>
  <c r="L360" i="3" l="1"/>
  <c r="I359" i="3"/>
  <c r="L361" i="3" l="1"/>
  <c r="I360" i="3"/>
  <c r="I361" i="3" l="1"/>
  <c r="L362" i="3"/>
  <c r="I362" i="3" l="1"/>
  <c r="L363" i="3"/>
  <c r="I363" i="3" l="1"/>
  <c r="L364" i="3"/>
  <c r="I364" i="3" l="1"/>
  <c r="L365" i="3"/>
  <c r="I365" i="3" l="1"/>
  <c r="L366" i="3"/>
  <c r="I366" i="3" l="1"/>
  <c r="L367" i="3"/>
  <c r="I367" i="3" l="1"/>
  <c r="L368" i="3"/>
  <c r="I368" i="3" l="1"/>
  <c r="L369" i="3"/>
  <c r="I369" i="3" l="1"/>
  <c r="L370" i="3"/>
  <c r="I370" i="3" l="1"/>
  <c r="L371" i="3"/>
  <c r="I371" i="3" l="1"/>
  <c r="L372" i="3"/>
  <c r="I372" i="3" l="1"/>
  <c r="L373" i="3"/>
  <c r="I373" i="3" l="1"/>
  <c r="L374" i="3"/>
  <c r="I374" i="3" l="1"/>
  <c r="L375" i="3"/>
  <c r="I375" i="3" l="1"/>
  <c r="L376" i="3"/>
  <c r="I376" i="3" l="1"/>
  <c r="K376" i="3" s="1"/>
  <c r="L377" i="3" l="1"/>
  <c r="I377" i="3" l="1"/>
  <c r="L378" i="3"/>
  <c r="I378" i="3" l="1"/>
  <c r="L379" i="3"/>
  <c r="L380" i="3" l="1"/>
  <c r="I379" i="3"/>
  <c r="L381" i="3" l="1"/>
  <c r="I380" i="3"/>
  <c r="L382" i="3" l="1"/>
  <c r="I381" i="3"/>
  <c r="L383" i="3" l="1"/>
  <c r="I382" i="3"/>
  <c r="L384" i="3" l="1"/>
  <c r="I383" i="3"/>
  <c r="L385" i="3" l="1"/>
  <c r="I384" i="3"/>
  <c r="I385" i="3" l="1"/>
  <c r="L386" i="3"/>
  <c r="I386" i="3" l="1"/>
  <c r="L387" i="3"/>
  <c r="I387" i="3" l="1"/>
  <c r="L388" i="3"/>
  <c r="I388" i="3" l="1"/>
  <c r="L389" i="3"/>
  <c r="I389" i="3" l="1"/>
  <c r="L390" i="3"/>
  <c r="I390" i="3" l="1"/>
  <c r="L391" i="3"/>
  <c r="I391" i="3" l="1"/>
  <c r="L392" i="3"/>
  <c r="I392" i="3" l="1"/>
  <c r="L393" i="3"/>
  <c r="I393" i="3" l="1"/>
  <c r="L394" i="3"/>
  <c r="I394" i="3" l="1"/>
  <c r="L395" i="3"/>
  <c r="I395" i="3" l="1"/>
  <c r="L396" i="3"/>
  <c r="I396" i="3" l="1"/>
  <c r="L397" i="3"/>
  <c r="I397" i="3" l="1"/>
  <c r="L398" i="3"/>
  <c r="I398" i="3" l="1"/>
  <c r="K398" i="3" s="1"/>
  <c r="L399" i="3" l="1"/>
  <c r="I399" i="3" l="1"/>
  <c r="L400" i="3"/>
  <c r="I400" i="3" l="1"/>
  <c r="L401" i="3"/>
  <c r="L402" i="3" l="1"/>
  <c r="I401" i="3"/>
  <c r="I402" i="3" l="1"/>
  <c r="L403" i="3"/>
  <c r="L404" i="3" l="1"/>
  <c r="I403" i="3"/>
  <c r="L405" i="3" l="1"/>
  <c r="I404" i="3"/>
  <c r="L406" i="3" l="1"/>
  <c r="I405" i="3"/>
  <c r="L407" i="3" l="1"/>
  <c r="I406" i="3"/>
  <c r="L408" i="3" l="1"/>
  <c r="I407" i="3"/>
  <c r="L409" i="3" l="1"/>
  <c r="I408" i="3"/>
  <c r="I409" i="3" l="1"/>
  <c r="L410" i="3"/>
  <c r="I410" i="3" l="1"/>
  <c r="L411" i="3"/>
  <c r="I411" i="3" l="1"/>
  <c r="L412" i="3"/>
  <c r="I412" i="3" l="1"/>
  <c r="L413" i="3"/>
  <c r="I413" i="3" l="1"/>
  <c r="L414" i="3"/>
  <c r="I414" i="3" l="1"/>
  <c r="L415" i="3"/>
  <c r="I415" i="3" l="1"/>
  <c r="L416" i="3"/>
  <c r="I416" i="3" l="1"/>
  <c r="L417" i="3"/>
  <c r="I417" i="3" l="1"/>
  <c r="L418" i="3"/>
  <c r="I418" i="3" l="1"/>
  <c r="L419" i="3"/>
  <c r="I419" i="3" l="1"/>
  <c r="K419" i="3" s="1"/>
  <c r="L420" i="3"/>
  <c r="I420" i="3" l="1"/>
  <c r="L421" i="3"/>
  <c r="B1396" i="4"/>
  <c r="H7" i="1"/>
  <c r="H6" i="1"/>
  <c r="I421" i="3" l="1"/>
  <c r="L422" i="3"/>
  <c r="I422" i="3" l="1"/>
  <c r="L423" i="3"/>
  <c r="I423" i="3" l="1"/>
  <c r="L424" i="3"/>
  <c r="I424" i="3" l="1"/>
  <c r="L425" i="3"/>
  <c r="I425" i="3" l="1"/>
  <c r="L426" i="3"/>
  <c r="I426" i="3" l="1"/>
  <c r="L427" i="3"/>
  <c r="I427" i="3" l="1"/>
  <c r="L428" i="3"/>
  <c r="I428" i="3" l="1"/>
  <c r="L429" i="3"/>
  <c r="L430" i="3" l="1"/>
  <c r="I429" i="3"/>
  <c r="L431" i="3" l="1"/>
  <c r="I430" i="3"/>
  <c r="I431" i="3" l="1"/>
  <c r="L432" i="3"/>
  <c r="I432" i="3" l="1"/>
  <c r="L433" i="3"/>
  <c r="I433" i="3" l="1"/>
  <c r="L434" i="3"/>
  <c r="I434" i="3" l="1"/>
  <c r="H10" i="1" a="1"/>
  <c r="H1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0F0E49-AB77-4581-8F1D-097C7820C57D}" keepAlive="1" name="Query - Query1" description="Connection to the 'Query1' query in the workbook." type="5" refreshedVersion="7" background="1" saveData="1">
    <dbPr connection="Provider=Microsoft.Mashup.OleDb.1;Data Source=$Workbook$;Location=Query1;Extended Properties=&quot;&quot;" command="SELECT * FROM [Query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<sst xmlns="http://schemas.openxmlformats.org/spreadsheetml/2006/main" count="36" uniqueCount="36">
  <si>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Date</t>
  </si>
  <si>
    <t>Open</t>
  </si>
  <si>
    <t>High</t>
  </si>
  <si>
    <t>Low</t>
  </si>
  <si>
    <t>Close</t>
  </si>
  <si>
    <t>Volume</t>
  </si>
  <si>
    <t>Adj Close</t>
  </si>
  <si>
    <t>Month</t>
  </si>
  <si>
    <t>Value</t>
  </si>
  <si>
    <t>Target Value</t>
  </si>
  <si>
    <t>Top Up</t>
  </si>
  <si>
    <t>Shares</t>
  </si>
  <si>
    <t>Fix Top Up</t>
  </si>
  <si>
    <t>Fix  top up sharez</t>
  </si>
  <si>
    <t>Enhanced top up</t>
  </si>
  <si>
    <t>Enhanced  top up sharez</t>
  </si>
  <si>
    <t>预设月增长率 （法一）</t>
  </si>
  <si>
    <t>方法一 （目标价值法）</t>
  </si>
  <si>
    <t>方法二 （无脑定投）</t>
  </si>
  <si>
    <t>方法三 （增强型定投）</t>
  </si>
  <si>
    <t>预设每月定投 （法一）</t>
  </si>
  <si>
    <t>实际月定投</t>
  </si>
  <si>
    <t>月定投基数</t>
  </si>
  <si>
    <t>预设Delta （适用于方法三）</t>
  </si>
  <si>
    <t>后期总投入</t>
  </si>
  <si>
    <t xml:space="preserve">初始资金： </t>
  </si>
  <si>
    <t>总追加次数</t>
  </si>
  <si>
    <t>最终净值</t>
  </si>
  <si>
    <t>股票名称</t>
  </si>
  <si>
    <t>起始日期</t>
  </si>
  <si>
    <t>截止日期</t>
  </si>
  <si>
    <t>avg</t>
  </si>
  <si>
    <t>总月份数</t>
  </si>
  <si>
    <t>总投资月份数</t>
  </si>
  <si>
    <t>最终年化收益</t>
  </si>
  <si>
    <t>VOO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</si>
</sst>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232A3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0" fillId="0" borderId="0" xfId="0" applyNumberFormat="1"/>
    <xf numFmtId="3" fontId="0" fillId="0" borderId="0" xfId="0" applyNumberFormat="1"/>
    <xf numFmtId="0" fontId="0" fillId="0" borderId="1" xfId="0" applyBorder="1"/>
    <xf numFmtId="10" fontId="0" fillId="0" borderId="1" xfId="0" applyNumberFormat="1" applyBorder="1"/>
    <xf numFmtId="3" fontId="0" fillId="0" borderId="1" xfId="0" applyNumberFormat="1" applyBorder="1"/>
    <xf numFmtId="164" fontId="0" fillId="0" borderId="1" xfId="1" applyNumberFormat="1" applyFont="1" applyBorder="1"/>
    <xf numFmtId="14" fontId="0" fillId="0" borderId="1" xfId="0" applyNumberFormat="1" applyBorder="1" applyAlignment="1">
      <alignment horizontal="center"/>
    </xf>
    <xf numFmtId="0" fontId="3" fillId="0" borderId="0" xfId="0" applyFont="1" applyAlignment="1">
      <alignment vertical="center" wrapText="1"/>
    </xf>
    <xf numFmtId="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2" applyFont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2" fontId="2" fillId="0" borderId="1" xfId="1" applyNumberFormat="1" applyFont="1" applyBorder="1" applyAlignment="1">
      <alignment horizontal="center"/>
    </xf>
    <xf numFmtId="42" fontId="0" fillId="0" borderId="0" xfId="0" applyNumberFormat="1"/>
    <xf numFmtId="165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8</xdr:row>
          <xdr:rowOff>76200</xdr:rowOff>
        </xdr:from>
        <xdr:to>
          <xdr:col>2</xdr:col>
          <xdr:colOff>487680</xdr:colOff>
          <xdr:row>10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更新数据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11</xdr:row>
          <xdr:rowOff>30480</xdr:rowOff>
        </xdr:from>
        <xdr:to>
          <xdr:col>9</xdr:col>
          <xdr:colOff>1249680</xdr:colOff>
          <xdr:row>13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法二对齐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10</xdr:row>
          <xdr:rowOff>175260</xdr:rowOff>
        </xdr:from>
        <xdr:to>
          <xdr:col>11</xdr:col>
          <xdr:colOff>1310640</xdr:colOff>
          <xdr:row>13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法三对齐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E0BAFC4-FA9D-4539-9BF8-6012E9CDAAAA}" autoFormatId="16" applyNumberFormats="0" applyBorderFormats="0" applyFontFormats="0" applyPatternFormats="0" applyAlignmentFormats="0" applyWidthHeightFormats="0">
  <queryTableRefresh nextId="18" unboundColumnsRight="10">
    <queryTableFields count="1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Volume" tableColumnId="6"/>
      <queryTableField id="7" name="Adj Close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740D76-A555-4046-A82D-E45664600F0B}" name="Query1" displayName="Query1" ref="A1:Q434" tableType="queryTable" totalsRowShown="0">
  <autoFilter ref="A1:Q434" xr:uid="{84740D76-A555-4046-A82D-E45664600F0B}"/>
  <tableColumns count="17">
    <tableColumn id="1" xr3:uid="{2D52671C-2C3C-459E-A311-CB9DCA25D99E}" uniqueName="1" name="Date" queryTableFieldId="1" dataDxfId="7"/>
    <tableColumn id="2" xr3:uid="{66BE8C34-C9CF-4605-AAEA-11909F2E13E2}" uniqueName="2" name="Open" queryTableFieldId="2"/>
    <tableColumn id="3" xr3:uid="{D508C000-CE69-4C9A-85C6-5FF1A034CB56}" uniqueName="3" name="High" queryTableFieldId="3"/>
    <tableColumn id="4" xr3:uid="{EA932314-D626-4B83-A3B6-A94AD3F56B87}" uniqueName="4" name="Low" queryTableFieldId="4"/>
    <tableColumn id="5" xr3:uid="{2214B0B3-3B67-4AF8-9BAE-8A5DBB34285D}" uniqueName="5" name="Close" queryTableFieldId="5"/>
    <tableColumn id="6" xr3:uid="{EC595D1B-4331-420E-9D37-8902A30BFAE2}" uniqueName="6" name="Volume" queryTableFieldId="6"/>
    <tableColumn id="7" xr3:uid="{144C0BB7-DD57-4594-ACD2-E39A770CD481}" uniqueName="7" name="Adj Close" queryTableFieldId="7"/>
    <tableColumn id="8" xr3:uid="{5BA00375-C0D0-46B4-9F39-E627CDBA47ED}" uniqueName="8" name="Month" queryTableFieldId="8" dataDxfId="6">
      <calculatedColumnFormula>MONTH(Query1[[#This Row],[Date]])</calculatedColumnFormula>
    </tableColumn>
    <tableColumn id="9" xr3:uid="{451422D6-0168-4D55-8A64-D181784EFE1E}" uniqueName="9" name="Value" queryTableFieldId="9" dataDxfId="5">
      <calculatedColumnFormula>Query1[[#This Row],[Shares]]*Query1[[#This Row],[Adj Close]]</calculatedColumnFormula>
    </tableColumn>
    <tableColumn id="10" xr3:uid="{D32EE86E-70F8-462D-A708-9D600559FE62}" uniqueName="10" name="Target Value" queryTableFieldId="10" dataDxfId="4">
      <calculatedColumnFormula>IF(ROW()&lt;3, Dashboard!$E$7, IF(Query1[[#This Row],[Month]]&lt;&gt;H1,J1*(1+Dashboard!$E$4)+Dashboard!$E$5,J1))</calculatedColumnFormula>
    </tableColumn>
    <tableColumn id="11" xr3:uid="{341F2D0C-D97A-483C-AFE3-FDBB8B38EEE7}" uniqueName="11" name="Top Up" queryTableFieldId="11">
      <calculatedColumnFormula>IF(ROW()&lt;3, 0,IF(Query1[[#This Row],[Month]]&lt;&gt;H1,IF((J2-I2&gt;0),J2-I2,0),0))</calculatedColumnFormula>
    </tableColumn>
    <tableColumn id="12" xr3:uid="{59551E7C-C3D7-475D-B564-30EAC6C37815}" uniqueName="12" name="Shares" queryTableFieldId="12" dataDxfId="3">
      <calculatedColumnFormula>IF(ROW()&lt;3, J2/G2, L1+K1/G1)</calculatedColumnFormula>
    </tableColumn>
    <tableColumn id="13" xr3:uid="{769FF358-0C9B-4230-AF1B-02FF92456626}" uniqueName="13" name="Fix Top Up" queryTableFieldId="13">
      <calculatedColumnFormula>IF(ROW()&lt;3,0,IF(Query1[[#This Row],[Month]]&lt;&gt;OFFSET(Query1[[#This Row],[Month]],-1,0),Dashboard!$J$5,0))</calculatedColumnFormula>
    </tableColumn>
    <tableColumn id="14" xr3:uid="{5F5E5235-FD28-4CAC-8604-E0B23B6714A6}" uniqueName="14" name="Fix  top up sharez" queryTableFieldId="14" dataDxfId="2">
      <calculatedColumnFormula>IF(ROW()&lt;3, Query1[[#This Row],[Shares]], IF(Query1[[#This Row],[Month]]&lt;&gt;H1, N1+Query1[[#This Row],[Fix Top Up]]/Query1[[#This Row],[Adj Close]], N1))</calculatedColumnFormula>
    </tableColumn>
    <tableColumn id="15" xr3:uid="{B41923DD-3E57-47B7-BC62-862A422AC37C}" uniqueName="15" name="Enhanced top up" queryTableFieldId="15">
      <calculatedColumnFormula>IF(
  AND(Query1[[#This Row],[avg]]&gt;0, IFERROR(Query1[[#This Row],[Month]]&lt;&gt;OFFSET(Query1[[#This Row],[Month]],-1,0), FALSE)),
  IF(Query1[[#This Row],[Adj Close]]&gt;Query1[[#This Row],[avg]], Dashboard!$L$5-Dashboard!$E$6, Dashboard!$L$5+Dashboard!$E$6),
  0
)</calculatedColumnFormula>
    </tableColumn>
    <tableColumn id="16" xr3:uid="{DCA27BE7-1158-4D1D-B706-A59EB3C7B235}" uniqueName="16" name="Enhanced  top up sharez" queryTableFieldId="16" dataDxfId="1">
      <calculatedColumnFormula>IF(ROW()&lt;3, Query1[[#This Row],[Shares]], IF(Query1[[#This Row],[Month]]&lt;&gt;H1, P1+Query1[[#This Row],[Enhanced top up]]/Query1[[#This Row],[Adj Close]], P1))</calculatedColumnFormula>
    </tableColumn>
    <tableColumn id="17" xr3:uid="{CC49DFD7-86DD-4709-BCBE-32EEF9412A03}" uniqueName="17" name="avg" queryTableFieldId="17" dataDxfId="0">
      <calculatedColumnFormula>IFERROR(AVERAGE(
  IF(ROW()&gt;20, INDEX(G:G, ROW()-20), 0) :
  INDEX(G:G, ROW())
),0)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5CF5B-D9FB-4FBD-9AED-C9274613F54A}">
  <sheetPr codeName="Sheet1"/>
  <dimension ref="A1:Q434"/>
  <sheetViews>
    <sheetView tabSelected="1" workbookViewId="0">
      <selection activeCell="F22" sqref="F22"/>
    </sheetView>
  </sheetViews>
  <sheetFormatPr defaultRowHeight="14.4" x14ac:dyDescent="0.3"/>
  <cols>
    <col min="1" max="1" width="10.5546875" bestFit="1" customWidth="1"/>
    <col min="2" max="5" width="12" bestFit="1" customWidth="1"/>
    <col min="6" max="6" width="9.77734375" bestFit="1" customWidth="1"/>
    <col min="7" max="7" width="12" bestFit="1" customWidth="1"/>
    <col min="8" max="8" width="9" bestFit="1" customWidth="1"/>
    <col min="9" max="9" width="8" bestFit="1" customWidth="1"/>
    <col min="10" max="10" width="13.77734375" bestFit="1" customWidth="1"/>
    <col min="11" max="13" width="12" bestFit="1" customWidth="1"/>
    <col min="14" max="14" width="17.77734375" bestFit="1" customWidth="1"/>
    <col min="15" max="15" width="17.6640625" bestFit="1" customWidth="1"/>
    <col min="16" max="16" width="24.109375" bestFit="1" customWidth="1"/>
    <col min="17" max="17" width="12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3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31</v>
      </c>
    </row>
    <row r="2" spans="1:17" x14ac:dyDescent="0.3">
      <c r="A2" s="1">
        <v>45293</v>
      </c>
      <c r="B2">
        <v>433.91000366210938</v>
      </c>
      <c r="C2">
        <v>435.26998901367188</v>
      </c>
      <c r="D2">
        <v>432.3599853515625</v>
      </c>
      <c r="E2">
        <v>434.010009765625</v>
      </c>
      <c r="F2">
        <v>9076000</v>
      </c>
      <c r="G2">
        <v>425.58294677734375</v>
      </c>
      <c r="H2" s="2">
        <f>MONTH(Query1[[#This Row],[Date]])</f>
        <v>1</v>
      </c>
      <c r="I2" s="3">
        <f>Query1[[#This Row],[Shares]]*Query1[[#This Row],[Adj Close]]</f>
        <v>500000</v>
      </c>
      <c r="J2" s="3">
        <f>IF(ROW()&lt;3, Dashboard!$E$7, IF(Query1[[#This Row],[Month]]&lt;&gt;H1,J1*(1+Dashboard!$E$4)+Dashboard!$E$5,J1))</f>
        <v>500000</v>
      </c>
      <c r="K2">
        <f>IF(ROW()&lt;3, 0,IF(Query1[[#This Row],[Month]]&lt;&gt;H1,IF((J2-I2&gt;0),J2-I2,0),0))</f>
        <v>0</v>
      </c>
      <c r="L2" s="2">
        <f t="shared" ref="L2:L65" si="0">IF(ROW()&lt;3, J2/G2, L1+K1/G1)</f>
        <v>1174.8591051078693</v>
      </c>
      <c r="M2">
        <f ca="1">IF(ROW()&lt;3,0,IF(Query1[[#This Row],[Month]]&lt;&gt;OFFSET(Query1[[#This Row],[Month]],-1,0),Dashboard!$J$5,0))</f>
        <v>0</v>
      </c>
      <c r="N2" s="2">
        <f>IF(ROW()&lt;3, Query1[[#This Row],[Shares]], IF(Query1[[#This Row],[Month]]&lt;&gt;H1, N1+Query1[[#This Row],[Fix Top Up]]/Query1[[#This Row],[Adj Close]], N1))</f>
        <v>1174.8591051078693</v>
      </c>
      <c r="O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" s="2">
        <f>IF(ROW()&lt;3, Query1[[#This Row],[Shares]], IF(Query1[[#This Row],[Month]]&lt;&gt;H1, P1+Query1[[#This Row],[Enhanced top up]]/Query1[[#This Row],[Adj Close]], P1))</f>
        <v>1174.8591051078693</v>
      </c>
      <c r="Q2" s="2">
        <f>IFERROR(AVERAGE(
  IF(ROW()&gt;20, INDEX(G:G, ROW()-20), 0) :
  INDEX(G:G, ROW())
),0)</f>
        <v>0</v>
      </c>
    </row>
    <row r="3" spans="1:17" x14ac:dyDescent="0.3">
      <c r="A3" s="1">
        <v>45294</v>
      </c>
      <c r="B3">
        <v>432.32000732421875</v>
      </c>
      <c r="C3">
        <v>433</v>
      </c>
      <c r="D3">
        <v>430.25</v>
      </c>
      <c r="E3">
        <v>430.79000854492188</v>
      </c>
      <c r="F3">
        <v>4805000</v>
      </c>
      <c r="G3">
        <v>422.42544555664063</v>
      </c>
      <c r="H3" s="2">
        <f>MONTH(Query1[[#This Row],[Date]])</f>
        <v>1</v>
      </c>
      <c r="I3" s="3">
        <f>Query1[[#This Row],[Shares]]*Query1[[#This Row],[Adj Close]]</f>
        <v>496290.38094146777</v>
      </c>
      <c r="J3" s="3">
        <f>IF(ROW()&lt;3, Dashboard!$E$7, IF(Query1[[#This Row],[Month]]&lt;&gt;H2,J2*(1+Dashboard!$E$4)+Dashboard!$E$5,J2))</f>
        <v>500000</v>
      </c>
      <c r="K3">
        <f>IF(ROW()&lt;3, 0,IF(Query1[[#This Row],[Month]]&lt;&gt;H2,IF((J3-I3&gt;0),J3-I3,0),0))</f>
        <v>0</v>
      </c>
      <c r="L3" s="2">
        <f t="shared" si="0"/>
        <v>1174.8591051078693</v>
      </c>
      <c r="M3">
        <f ca="1">IF(ROW()&lt;3,0,IF(Query1[[#This Row],[Month]]&lt;&gt;OFFSET(Query1[[#This Row],[Month]],-1,0),Dashboard!$J$5,0))</f>
        <v>0</v>
      </c>
      <c r="N3" s="2">
        <f>IF(ROW()&lt;3, Query1[[#This Row],[Shares]], IF(Query1[[#This Row],[Month]]&lt;&gt;H2, N2+Query1[[#This Row],[Fix Top Up]]/Query1[[#This Row],[Adj Close]], N2))</f>
        <v>1174.8591051078693</v>
      </c>
      <c r="O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" s="2">
        <f>IF(ROW()&lt;3, Query1[[#This Row],[Shares]], IF(Query1[[#This Row],[Month]]&lt;&gt;H2, P2+Query1[[#This Row],[Enhanced top up]]/Query1[[#This Row],[Adj Close]], P2))</f>
        <v>1174.8591051078693</v>
      </c>
      <c r="Q3" s="2">
        <f>IFERROR(AVERAGE(
  IF(ROW()&gt;20, INDEX(G:G, ROW()-20), 0) :
  INDEX(G:G, ROW())
),0)</f>
        <v>0</v>
      </c>
    </row>
    <row r="4" spans="1:17" x14ac:dyDescent="0.3">
      <c r="A4" s="1">
        <v>45295</v>
      </c>
      <c r="B4">
        <v>430.32998657226563</v>
      </c>
      <c r="C4">
        <v>432.77999877929688</v>
      </c>
      <c r="D4">
        <v>429.20999145507813</v>
      </c>
      <c r="E4">
        <v>429.42999267578125</v>
      </c>
      <c r="F4">
        <v>3945300</v>
      </c>
      <c r="G4">
        <v>421.09188842773438</v>
      </c>
      <c r="H4" s="2">
        <f>MONTH(Query1[[#This Row],[Date]])</f>
        <v>1</v>
      </c>
      <c r="I4" s="3">
        <f>Query1[[#This Row],[Shares]]*Query1[[#This Row],[Adj Close]]</f>
        <v>494723.63920639071</v>
      </c>
      <c r="J4" s="3">
        <f>IF(ROW()&lt;3, Dashboard!$E$7, IF(Query1[[#This Row],[Month]]&lt;&gt;H3,J3*(1+Dashboard!$E$4)+Dashboard!$E$5,J3))</f>
        <v>500000</v>
      </c>
      <c r="K4">
        <f>IF(ROW()&lt;3, 0,IF(Query1[[#This Row],[Month]]&lt;&gt;H3,IF((J4-I4&gt;0),J4-I4,0),0))</f>
        <v>0</v>
      </c>
      <c r="L4" s="2">
        <f t="shared" si="0"/>
        <v>1174.8591051078693</v>
      </c>
      <c r="M4">
        <f ca="1">IF(ROW()&lt;3,0,IF(Query1[[#This Row],[Month]]&lt;&gt;OFFSET(Query1[[#This Row],[Month]],-1,0),Dashboard!$J$5,0))</f>
        <v>0</v>
      </c>
      <c r="N4" s="2">
        <f>IF(ROW()&lt;3, Query1[[#This Row],[Shares]], IF(Query1[[#This Row],[Month]]&lt;&gt;H3, N3+Query1[[#This Row],[Fix Top Up]]/Query1[[#This Row],[Adj Close]], N3))</f>
        <v>1174.8591051078693</v>
      </c>
      <c r="O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" s="2">
        <f>IF(ROW()&lt;3, Query1[[#This Row],[Shares]], IF(Query1[[#This Row],[Month]]&lt;&gt;H3, P3+Query1[[#This Row],[Enhanced top up]]/Query1[[#This Row],[Adj Close]], P3))</f>
        <v>1174.8591051078693</v>
      </c>
      <c r="Q4" s="2">
        <f>IFERROR(AVERAGE(
  IF(ROW()&gt;20, INDEX(G:G, ROW()-20), 0) :
  INDEX(G:G, ROW())
),0)</f>
        <v>0</v>
      </c>
    </row>
    <row r="5" spans="1:17" x14ac:dyDescent="0.3">
      <c r="A5" s="1">
        <v>45296</v>
      </c>
      <c r="B5">
        <v>429.58999633789063</v>
      </c>
      <c r="C5">
        <v>432.29998779296875</v>
      </c>
      <c r="D5">
        <v>428.6400146484375</v>
      </c>
      <c r="E5">
        <v>429.98001098632813</v>
      </c>
      <c r="F5">
        <v>5724600</v>
      </c>
      <c r="G5">
        <v>421.63116455078125</v>
      </c>
      <c r="H5" s="2">
        <f>MONTH(Query1[[#This Row],[Date]])</f>
        <v>1</v>
      </c>
      <c r="I5" s="3">
        <f>Query1[[#This Row],[Shares]]*Query1[[#This Row],[Adj Close]]</f>
        <v>495357.21266971965</v>
      </c>
      <c r="J5" s="3">
        <f>IF(ROW()&lt;3, Dashboard!$E$7, IF(Query1[[#This Row],[Month]]&lt;&gt;H4,J4*(1+Dashboard!$E$4)+Dashboard!$E$5,J4))</f>
        <v>500000</v>
      </c>
      <c r="K5">
        <f>IF(ROW()&lt;3, 0,IF(Query1[[#This Row],[Month]]&lt;&gt;H4,IF((J5-I5&gt;0),J5-I5,0),0))</f>
        <v>0</v>
      </c>
      <c r="L5" s="2">
        <f t="shared" si="0"/>
        <v>1174.8591051078693</v>
      </c>
      <c r="M5">
        <f ca="1">IF(ROW()&lt;3,0,IF(Query1[[#This Row],[Month]]&lt;&gt;OFFSET(Query1[[#This Row],[Month]],-1,0),Dashboard!$J$5,0))</f>
        <v>0</v>
      </c>
      <c r="N5" s="2">
        <f>IF(ROW()&lt;3, Query1[[#This Row],[Shares]], IF(Query1[[#This Row],[Month]]&lt;&gt;H4, N4+Query1[[#This Row],[Fix Top Up]]/Query1[[#This Row],[Adj Close]], N4))</f>
        <v>1174.8591051078693</v>
      </c>
      <c r="O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" s="2">
        <f>IF(ROW()&lt;3, Query1[[#This Row],[Shares]], IF(Query1[[#This Row],[Month]]&lt;&gt;H4, P4+Query1[[#This Row],[Enhanced top up]]/Query1[[#This Row],[Adj Close]], P4))</f>
        <v>1174.8591051078693</v>
      </c>
      <c r="Q5" s="2">
        <f>IFERROR(AVERAGE(
  IF(ROW()&gt;20, INDEX(G:G, ROW()-20), 0) :
  INDEX(G:G, ROW())
),0)</f>
        <v>0</v>
      </c>
    </row>
    <row r="6" spans="1:17" x14ac:dyDescent="0.3">
      <c r="A6" s="1">
        <v>45299</v>
      </c>
      <c r="B6">
        <v>430.45001220703125</v>
      </c>
      <c r="C6">
        <v>436.26998901367188</v>
      </c>
      <c r="D6">
        <v>430.3699951171875</v>
      </c>
      <c r="E6">
        <v>436.1300048828125</v>
      </c>
      <c r="F6">
        <v>7222400</v>
      </c>
      <c r="G6">
        <v>427.6617431640625</v>
      </c>
      <c r="H6" s="2">
        <f>MONTH(Query1[[#This Row],[Date]])</f>
        <v>1</v>
      </c>
      <c r="I6" s="3">
        <f>Query1[[#This Row],[Shares]]*Query1[[#This Row],[Adj Close]]</f>
        <v>502442.29286260187</v>
      </c>
      <c r="J6" s="3">
        <f>IF(ROW()&lt;3, Dashboard!$E$7, IF(Query1[[#This Row],[Month]]&lt;&gt;H5,J5*(1+Dashboard!$E$4)+Dashboard!$E$5,J5))</f>
        <v>500000</v>
      </c>
      <c r="K6">
        <f>IF(ROW()&lt;3, 0,IF(Query1[[#This Row],[Month]]&lt;&gt;H5,IF((J6-I6&gt;0),J6-I6,0),0))</f>
        <v>0</v>
      </c>
      <c r="L6" s="2">
        <f t="shared" si="0"/>
        <v>1174.8591051078693</v>
      </c>
      <c r="M6">
        <f ca="1">IF(ROW()&lt;3,0,IF(Query1[[#This Row],[Month]]&lt;&gt;OFFSET(Query1[[#This Row],[Month]],-1,0),Dashboard!$J$5,0))</f>
        <v>0</v>
      </c>
      <c r="N6" s="2">
        <f>IF(ROW()&lt;3, Query1[[#This Row],[Shares]], IF(Query1[[#This Row],[Month]]&lt;&gt;H5, N5+Query1[[#This Row],[Fix Top Up]]/Query1[[#This Row],[Adj Close]], N5))</f>
        <v>1174.8591051078693</v>
      </c>
      <c r="O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" s="2">
        <f>IF(ROW()&lt;3, Query1[[#This Row],[Shares]], IF(Query1[[#This Row],[Month]]&lt;&gt;H5, P5+Query1[[#This Row],[Enhanced top up]]/Query1[[#This Row],[Adj Close]], P5))</f>
        <v>1174.8591051078693</v>
      </c>
      <c r="Q6" s="2">
        <f>IFERROR(AVERAGE(
  IF(ROW()&gt;20, INDEX(G:G, ROW()-20), 0) :
  INDEX(G:G, ROW())
),0)</f>
        <v>0</v>
      </c>
    </row>
    <row r="7" spans="1:17" x14ac:dyDescent="0.3">
      <c r="A7" s="1">
        <v>45300</v>
      </c>
      <c r="B7">
        <v>433.6199951171875</v>
      </c>
      <c r="C7">
        <v>436.42999267578125</v>
      </c>
      <c r="D7">
        <v>433.16000366210938</v>
      </c>
      <c r="E7">
        <v>435.07000732421875</v>
      </c>
      <c r="F7">
        <v>7939600</v>
      </c>
      <c r="G7">
        <v>426.62234497070313</v>
      </c>
      <c r="H7" s="2">
        <f>MONTH(Query1[[#This Row],[Date]])</f>
        <v>1</v>
      </c>
      <c r="I7" s="3">
        <f>Query1[[#This Row],[Shares]]*Query1[[#This Row],[Adj Close]]</f>
        <v>501221.14643130096</v>
      </c>
      <c r="J7" s="3">
        <f>IF(ROW()&lt;3, Dashboard!$E$7, IF(Query1[[#This Row],[Month]]&lt;&gt;H6,J6*(1+Dashboard!$E$4)+Dashboard!$E$5,J6))</f>
        <v>500000</v>
      </c>
      <c r="K7">
        <f>IF(ROW()&lt;3, 0,IF(Query1[[#This Row],[Month]]&lt;&gt;H6,IF((J7-I7&gt;0),J7-I7,0),0))</f>
        <v>0</v>
      </c>
      <c r="L7" s="2">
        <f t="shared" si="0"/>
        <v>1174.8591051078693</v>
      </c>
      <c r="M7">
        <f ca="1">IF(ROW()&lt;3,0,IF(Query1[[#This Row],[Month]]&lt;&gt;OFFSET(Query1[[#This Row],[Month]],-1,0),Dashboard!$J$5,0))</f>
        <v>0</v>
      </c>
      <c r="N7" s="2">
        <f>IF(ROW()&lt;3, Query1[[#This Row],[Shares]], IF(Query1[[#This Row],[Month]]&lt;&gt;H6, N6+Query1[[#This Row],[Fix Top Up]]/Query1[[#This Row],[Adj Close]], N6))</f>
        <v>1174.8591051078693</v>
      </c>
      <c r="O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" s="2">
        <f>IF(ROW()&lt;3, Query1[[#This Row],[Shares]], IF(Query1[[#This Row],[Month]]&lt;&gt;H6, P6+Query1[[#This Row],[Enhanced top up]]/Query1[[#This Row],[Adj Close]], P6))</f>
        <v>1174.8591051078693</v>
      </c>
      <c r="Q7" s="2">
        <f>IFERROR(AVERAGE(
  IF(ROW()&gt;20, INDEX(G:G, ROW()-20), 0) :
  INDEX(G:G, ROW())
),0)</f>
        <v>0</v>
      </c>
    </row>
    <row r="8" spans="1:17" x14ac:dyDescent="0.3">
      <c r="A8" s="1">
        <v>45301</v>
      </c>
      <c r="B8">
        <v>435.76998901367188</v>
      </c>
      <c r="C8">
        <v>438.739990234375</v>
      </c>
      <c r="D8">
        <v>435.48001098632813</v>
      </c>
      <c r="E8">
        <v>437.94000244140625</v>
      </c>
      <c r="F8">
        <v>4278800</v>
      </c>
      <c r="G8">
        <v>429.43661499023438</v>
      </c>
      <c r="H8" s="2">
        <f>MONTH(Query1[[#This Row],[Date]])</f>
        <v>1</v>
      </c>
      <c r="I8" s="3">
        <f>Query1[[#This Row],[Shares]]*Query1[[#This Row],[Adj Close]]</f>
        <v>504527.51718797936</v>
      </c>
      <c r="J8" s="3">
        <f>IF(ROW()&lt;3, Dashboard!$E$7, IF(Query1[[#This Row],[Month]]&lt;&gt;H7,J7*(1+Dashboard!$E$4)+Dashboard!$E$5,J7))</f>
        <v>500000</v>
      </c>
      <c r="K8">
        <f>IF(ROW()&lt;3, 0,IF(Query1[[#This Row],[Month]]&lt;&gt;H7,IF((J8-I8&gt;0),J8-I8,0),0))</f>
        <v>0</v>
      </c>
      <c r="L8" s="2">
        <f t="shared" si="0"/>
        <v>1174.8591051078693</v>
      </c>
      <c r="M8">
        <f ca="1">IF(ROW()&lt;3,0,IF(Query1[[#This Row],[Month]]&lt;&gt;OFFSET(Query1[[#This Row],[Month]],-1,0),Dashboard!$J$5,0))</f>
        <v>0</v>
      </c>
      <c r="N8" s="2">
        <f>IF(ROW()&lt;3, Query1[[#This Row],[Shares]], IF(Query1[[#This Row],[Month]]&lt;&gt;H7, N7+Query1[[#This Row],[Fix Top Up]]/Query1[[#This Row],[Adj Close]], N7))</f>
        <v>1174.8591051078693</v>
      </c>
      <c r="O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" s="2">
        <f>IF(ROW()&lt;3, Query1[[#This Row],[Shares]], IF(Query1[[#This Row],[Month]]&lt;&gt;H7, P7+Query1[[#This Row],[Enhanced top up]]/Query1[[#This Row],[Adj Close]], P7))</f>
        <v>1174.8591051078693</v>
      </c>
      <c r="Q8" s="2">
        <f>IFERROR(AVERAGE(
  IF(ROW()&gt;20, INDEX(G:G, ROW()-20), 0) :
  INDEX(G:G, ROW())
),0)</f>
        <v>0</v>
      </c>
    </row>
    <row r="9" spans="1:17" x14ac:dyDescent="0.3">
      <c r="A9" s="1">
        <v>45302</v>
      </c>
      <c r="B9">
        <v>438.94000244140625</v>
      </c>
      <c r="C9">
        <v>439.3599853515625</v>
      </c>
      <c r="D9">
        <v>434</v>
      </c>
      <c r="E9">
        <v>437.79000854492188</v>
      </c>
      <c r="F9">
        <v>4796600</v>
      </c>
      <c r="G9">
        <v>429.28952026367188</v>
      </c>
      <c r="H9" s="2">
        <f>MONTH(Query1[[#This Row],[Date]])</f>
        <v>1</v>
      </c>
      <c r="I9" s="3">
        <f>Query1[[#This Row],[Shares]]*Query1[[#This Row],[Adj Close]]</f>
        <v>504354.70160916407</v>
      </c>
      <c r="J9" s="3">
        <f>IF(ROW()&lt;3, Dashboard!$E$7, IF(Query1[[#This Row],[Month]]&lt;&gt;H8,J8*(1+Dashboard!$E$4)+Dashboard!$E$5,J8))</f>
        <v>500000</v>
      </c>
      <c r="K9">
        <f>IF(ROW()&lt;3, 0,IF(Query1[[#This Row],[Month]]&lt;&gt;H8,IF((J9-I9&gt;0),J9-I9,0),0))</f>
        <v>0</v>
      </c>
      <c r="L9" s="2">
        <f t="shared" si="0"/>
        <v>1174.8591051078693</v>
      </c>
      <c r="M9">
        <f ca="1">IF(ROW()&lt;3,0,IF(Query1[[#This Row],[Month]]&lt;&gt;OFFSET(Query1[[#This Row],[Month]],-1,0),Dashboard!$J$5,0))</f>
        <v>0</v>
      </c>
      <c r="N9" s="2">
        <f>IF(ROW()&lt;3, Query1[[#This Row],[Shares]], IF(Query1[[#This Row],[Month]]&lt;&gt;H8, N8+Query1[[#This Row],[Fix Top Up]]/Query1[[#This Row],[Adj Close]], N8))</f>
        <v>1174.8591051078693</v>
      </c>
      <c r="O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" s="2">
        <f>IF(ROW()&lt;3, Query1[[#This Row],[Shares]], IF(Query1[[#This Row],[Month]]&lt;&gt;H8, P8+Query1[[#This Row],[Enhanced top up]]/Query1[[#This Row],[Adj Close]], P8))</f>
        <v>1174.8591051078693</v>
      </c>
      <c r="Q9" s="2">
        <f>IFERROR(AVERAGE(
  IF(ROW()&gt;20, INDEX(G:G, ROW()-20), 0) :
  INDEX(G:G, ROW())
),0)</f>
        <v>0</v>
      </c>
    </row>
    <row r="10" spans="1:17" x14ac:dyDescent="0.3">
      <c r="A10" s="1">
        <v>45303</v>
      </c>
      <c r="B10">
        <v>439.1099853515625</v>
      </c>
      <c r="C10">
        <v>439.79998779296875</v>
      </c>
      <c r="D10">
        <v>436.73001098632813</v>
      </c>
      <c r="E10">
        <v>437.989990234375</v>
      </c>
      <c r="F10">
        <v>5182700</v>
      </c>
      <c r="G10">
        <v>429.48565673828125</v>
      </c>
      <c r="H10" s="2">
        <f>MONTH(Query1[[#This Row],[Date]])</f>
        <v>1</v>
      </c>
      <c r="I10" s="3">
        <f>Query1[[#This Row],[Shares]]*Query1[[#This Row],[Adj Close]]</f>
        <v>504585.13433220261</v>
      </c>
      <c r="J10" s="3">
        <f>IF(ROW()&lt;3, Dashboard!$E$7, IF(Query1[[#This Row],[Month]]&lt;&gt;H9,J9*(1+Dashboard!$E$4)+Dashboard!$E$5,J9))</f>
        <v>500000</v>
      </c>
      <c r="K10">
        <f>IF(ROW()&lt;3, 0,IF(Query1[[#This Row],[Month]]&lt;&gt;H9,IF((J10-I10&gt;0),J10-I10,0),0))</f>
        <v>0</v>
      </c>
      <c r="L10" s="2">
        <f t="shared" si="0"/>
        <v>1174.8591051078693</v>
      </c>
      <c r="M10">
        <f ca="1">IF(ROW()&lt;3,0,IF(Query1[[#This Row],[Month]]&lt;&gt;OFFSET(Query1[[#This Row],[Month]],-1,0),Dashboard!$J$5,0))</f>
        <v>0</v>
      </c>
      <c r="N10" s="2">
        <f>IF(ROW()&lt;3, Query1[[#This Row],[Shares]], IF(Query1[[#This Row],[Month]]&lt;&gt;H9, N9+Query1[[#This Row],[Fix Top Up]]/Query1[[#This Row],[Adj Close]], N9))</f>
        <v>1174.8591051078693</v>
      </c>
      <c r="O1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" s="2">
        <f>IF(ROW()&lt;3, Query1[[#This Row],[Shares]], IF(Query1[[#This Row],[Month]]&lt;&gt;H9, P9+Query1[[#This Row],[Enhanced top up]]/Query1[[#This Row],[Adj Close]], P9))</f>
        <v>1174.8591051078693</v>
      </c>
      <c r="Q10" s="2">
        <f>IFERROR(AVERAGE(
  IF(ROW()&gt;20, INDEX(G:G, ROW()-20), 0) :
  INDEX(G:G, ROW())
),0)</f>
        <v>0</v>
      </c>
    </row>
    <row r="11" spans="1:17" x14ac:dyDescent="0.3">
      <c r="A11" s="1">
        <v>45307</v>
      </c>
      <c r="B11">
        <v>436.79000854492188</v>
      </c>
      <c r="C11">
        <v>437.98001098632813</v>
      </c>
      <c r="D11">
        <v>434.739990234375</v>
      </c>
      <c r="E11">
        <v>436.5</v>
      </c>
      <c r="F11">
        <v>5730800</v>
      </c>
      <c r="G11">
        <v>428.02459716796875</v>
      </c>
      <c r="H11" s="2">
        <f>MONTH(Query1[[#This Row],[Date]])</f>
        <v>1</v>
      </c>
      <c r="I11" s="3">
        <f>Query1[[#This Row],[Shares]]*Query1[[#This Row],[Adj Close]]</f>
        <v>502868.59519291599</v>
      </c>
      <c r="J11" s="3">
        <f>IF(ROW()&lt;3, Dashboard!$E$7, IF(Query1[[#This Row],[Month]]&lt;&gt;H10,J10*(1+Dashboard!$E$4)+Dashboard!$E$5,J10))</f>
        <v>500000</v>
      </c>
      <c r="K11">
        <f>IF(ROW()&lt;3, 0,IF(Query1[[#This Row],[Month]]&lt;&gt;H10,IF((J11-I11&gt;0),J11-I11,0),0))</f>
        <v>0</v>
      </c>
      <c r="L11" s="2">
        <f t="shared" si="0"/>
        <v>1174.8591051078693</v>
      </c>
      <c r="M11">
        <f ca="1">IF(ROW()&lt;3,0,IF(Query1[[#This Row],[Month]]&lt;&gt;OFFSET(Query1[[#This Row],[Month]],-1,0),Dashboard!$J$5,0))</f>
        <v>0</v>
      </c>
      <c r="N11" s="2">
        <f>IF(ROW()&lt;3, Query1[[#This Row],[Shares]], IF(Query1[[#This Row],[Month]]&lt;&gt;H10, N10+Query1[[#This Row],[Fix Top Up]]/Query1[[#This Row],[Adj Close]], N10))</f>
        <v>1174.8591051078693</v>
      </c>
      <c r="O1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" s="2">
        <f>IF(ROW()&lt;3, Query1[[#This Row],[Shares]], IF(Query1[[#This Row],[Month]]&lt;&gt;H10, P10+Query1[[#This Row],[Enhanced top up]]/Query1[[#This Row],[Adj Close]], P10))</f>
        <v>1174.8591051078693</v>
      </c>
      <c r="Q11" s="2">
        <f>IFERROR(AVERAGE(
  IF(ROW()&gt;20, INDEX(G:G, ROW()-20), 0) :
  INDEX(G:G, ROW())
),0)</f>
        <v>0</v>
      </c>
    </row>
    <row r="12" spans="1:17" x14ac:dyDescent="0.3">
      <c r="A12" s="1">
        <v>45308</v>
      </c>
      <c r="B12">
        <v>433.60000610351563</v>
      </c>
      <c r="C12">
        <v>434.48001098632813</v>
      </c>
      <c r="D12">
        <v>431.80999755859375</v>
      </c>
      <c r="E12">
        <v>434.07000732421875</v>
      </c>
      <c r="F12">
        <v>6044600</v>
      </c>
      <c r="G12">
        <v>425.64178466796875</v>
      </c>
      <c r="H12" s="2">
        <f>MONTH(Query1[[#This Row],[Date]])</f>
        <v>1</v>
      </c>
      <c r="I12" s="3">
        <f>Query1[[#This Row],[Shares]]*Query1[[#This Row],[Adj Close]]</f>
        <v>500069.12623152614</v>
      </c>
      <c r="J12" s="3">
        <f>IF(ROW()&lt;3, Dashboard!$E$7, IF(Query1[[#This Row],[Month]]&lt;&gt;H11,J11*(1+Dashboard!$E$4)+Dashboard!$E$5,J11))</f>
        <v>500000</v>
      </c>
      <c r="K12">
        <f>IF(ROW()&lt;3, 0,IF(Query1[[#This Row],[Month]]&lt;&gt;H11,IF((J12-I12&gt;0),J12-I12,0),0))</f>
        <v>0</v>
      </c>
      <c r="L12" s="2">
        <f t="shared" si="0"/>
        <v>1174.8591051078693</v>
      </c>
      <c r="M12">
        <f ca="1">IF(ROW()&lt;3,0,IF(Query1[[#This Row],[Month]]&lt;&gt;OFFSET(Query1[[#This Row],[Month]],-1,0),Dashboard!$J$5,0))</f>
        <v>0</v>
      </c>
      <c r="N12" s="2">
        <f>IF(ROW()&lt;3, Query1[[#This Row],[Shares]], IF(Query1[[#This Row],[Month]]&lt;&gt;H11, N11+Query1[[#This Row],[Fix Top Up]]/Query1[[#This Row],[Adj Close]], N11))</f>
        <v>1174.8591051078693</v>
      </c>
      <c r="O1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" s="2">
        <f>IF(ROW()&lt;3, Query1[[#This Row],[Shares]], IF(Query1[[#This Row],[Month]]&lt;&gt;H11, P11+Query1[[#This Row],[Enhanced top up]]/Query1[[#This Row],[Adj Close]], P11))</f>
        <v>1174.8591051078693</v>
      </c>
      <c r="Q12" s="2">
        <f>IFERROR(AVERAGE(
  IF(ROW()&gt;20, INDEX(G:G, ROW()-20), 0) :
  INDEX(G:G, ROW())
),0)</f>
        <v>0</v>
      </c>
    </row>
    <row r="13" spans="1:17" x14ac:dyDescent="0.3">
      <c r="A13" s="1">
        <v>45309</v>
      </c>
      <c r="B13">
        <v>435.57998657226563</v>
      </c>
      <c r="C13">
        <v>438.3900146484375</v>
      </c>
      <c r="D13">
        <v>434.16000366210938</v>
      </c>
      <c r="E13">
        <v>437.92999267578125</v>
      </c>
      <c r="F13">
        <v>4331300</v>
      </c>
      <c r="G13">
        <v>429.42681884765625</v>
      </c>
      <c r="H13" s="2">
        <f>MONTH(Query1[[#This Row],[Date]])</f>
        <v>1</v>
      </c>
      <c r="I13" s="3">
        <f>Query1[[#This Row],[Shares]]*Query1[[#This Row],[Adj Close]]</f>
        <v>504516.00810067652</v>
      </c>
      <c r="J13" s="3">
        <f>IF(ROW()&lt;3, Dashboard!$E$7, IF(Query1[[#This Row],[Month]]&lt;&gt;H12,J12*(1+Dashboard!$E$4)+Dashboard!$E$5,J12))</f>
        <v>500000</v>
      </c>
      <c r="K13">
        <f>IF(ROW()&lt;3, 0,IF(Query1[[#This Row],[Month]]&lt;&gt;H12,IF((J13-I13&gt;0),J13-I13,0),0))</f>
        <v>0</v>
      </c>
      <c r="L13" s="2">
        <f t="shared" si="0"/>
        <v>1174.8591051078693</v>
      </c>
      <c r="M13">
        <f ca="1">IF(ROW()&lt;3,0,IF(Query1[[#This Row],[Month]]&lt;&gt;OFFSET(Query1[[#This Row],[Month]],-1,0),Dashboard!$J$5,0))</f>
        <v>0</v>
      </c>
      <c r="N13" s="2">
        <f>IF(ROW()&lt;3, Query1[[#This Row],[Shares]], IF(Query1[[#This Row],[Month]]&lt;&gt;H12, N12+Query1[[#This Row],[Fix Top Up]]/Query1[[#This Row],[Adj Close]], N12))</f>
        <v>1174.8591051078693</v>
      </c>
      <c r="O1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" s="2">
        <f>IF(ROW()&lt;3, Query1[[#This Row],[Shares]], IF(Query1[[#This Row],[Month]]&lt;&gt;H12, P12+Query1[[#This Row],[Enhanced top up]]/Query1[[#This Row],[Adj Close]], P12))</f>
        <v>1174.8591051078693</v>
      </c>
      <c r="Q13" s="2">
        <f>IFERROR(AVERAGE(
  IF(ROW()&gt;20, INDEX(G:G, ROW()-20), 0) :
  INDEX(G:G, ROW())
),0)</f>
        <v>0</v>
      </c>
    </row>
    <row r="14" spans="1:17" x14ac:dyDescent="0.3">
      <c r="A14" s="1">
        <v>45310</v>
      </c>
      <c r="B14">
        <v>439</v>
      </c>
      <c r="C14">
        <v>443.6099853515625</v>
      </c>
      <c r="D14">
        <v>438.30999755859375</v>
      </c>
      <c r="E14">
        <v>443.29000854492188</v>
      </c>
      <c r="F14">
        <v>4836800</v>
      </c>
      <c r="G14">
        <v>434.68280029296875</v>
      </c>
      <c r="H14" s="2">
        <f>MONTH(Query1[[#This Row],[Date]])</f>
        <v>1</v>
      </c>
      <c r="I14" s="3">
        <f>Query1[[#This Row],[Shares]]*Query1[[#This Row],[Adj Close]]</f>
        <v>510691.04575797991</v>
      </c>
      <c r="J14" s="3">
        <f>IF(ROW()&lt;3, Dashboard!$E$7, IF(Query1[[#This Row],[Month]]&lt;&gt;H13,J13*(1+Dashboard!$E$4)+Dashboard!$E$5,J13))</f>
        <v>500000</v>
      </c>
      <c r="K14">
        <f>IF(ROW()&lt;3, 0,IF(Query1[[#This Row],[Month]]&lt;&gt;H13,IF((J14-I14&gt;0),J14-I14,0),0))</f>
        <v>0</v>
      </c>
      <c r="L14" s="2">
        <f t="shared" si="0"/>
        <v>1174.8591051078693</v>
      </c>
      <c r="M14">
        <f ca="1">IF(ROW()&lt;3,0,IF(Query1[[#This Row],[Month]]&lt;&gt;OFFSET(Query1[[#This Row],[Month]],-1,0),Dashboard!$J$5,0))</f>
        <v>0</v>
      </c>
      <c r="N14" s="2">
        <f>IF(ROW()&lt;3, Query1[[#This Row],[Shares]], IF(Query1[[#This Row],[Month]]&lt;&gt;H13, N13+Query1[[#This Row],[Fix Top Up]]/Query1[[#This Row],[Adj Close]], N13))</f>
        <v>1174.8591051078693</v>
      </c>
      <c r="O1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" s="2">
        <f>IF(ROW()&lt;3, Query1[[#This Row],[Shares]], IF(Query1[[#This Row],[Month]]&lt;&gt;H13, P13+Query1[[#This Row],[Enhanced top up]]/Query1[[#This Row],[Adj Close]], P13))</f>
        <v>1174.8591051078693</v>
      </c>
      <c r="Q14" s="2">
        <f>IFERROR(AVERAGE(
  IF(ROW()&gt;20, INDEX(G:G, ROW()-20), 0) :
  INDEX(G:G, ROW())
),0)</f>
        <v>0</v>
      </c>
    </row>
    <row r="15" spans="1:17" x14ac:dyDescent="0.3">
      <c r="A15" s="1">
        <v>45313</v>
      </c>
      <c r="B15">
        <v>444.76998901367188</v>
      </c>
      <c r="C15">
        <v>445.92001342773438</v>
      </c>
      <c r="D15">
        <v>443.67999267578125</v>
      </c>
      <c r="E15">
        <v>444.29998779296875</v>
      </c>
      <c r="F15">
        <v>5870400</v>
      </c>
      <c r="G15">
        <v>435.673095703125</v>
      </c>
      <c r="H15" s="2">
        <f>MONTH(Query1[[#This Row],[Date]])</f>
        <v>1</v>
      </c>
      <c r="I15" s="3">
        <f>Query1[[#This Row],[Shares]]*Query1[[#This Row],[Adj Close]]</f>
        <v>511854.50333734852</v>
      </c>
      <c r="J15" s="3">
        <f>IF(ROW()&lt;3, Dashboard!$E$7, IF(Query1[[#This Row],[Month]]&lt;&gt;H14,J14*(1+Dashboard!$E$4)+Dashboard!$E$5,J14))</f>
        <v>500000</v>
      </c>
      <c r="K15">
        <f>IF(ROW()&lt;3, 0,IF(Query1[[#This Row],[Month]]&lt;&gt;H14,IF((J15-I15&gt;0),J15-I15,0),0))</f>
        <v>0</v>
      </c>
      <c r="L15" s="2">
        <f t="shared" si="0"/>
        <v>1174.8591051078693</v>
      </c>
      <c r="M15">
        <f ca="1">IF(ROW()&lt;3,0,IF(Query1[[#This Row],[Month]]&lt;&gt;OFFSET(Query1[[#This Row],[Month]],-1,0),Dashboard!$J$5,0))</f>
        <v>0</v>
      </c>
      <c r="N15" s="2">
        <f>IF(ROW()&lt;3, Query1[[#This Row],[Shares]], IF(Query1[[#This Row],[Month]]&lt;&gt;H14, N14+Query1[[#This Row],[Fix Top Up]]/Query1[[#This Row],[Adj Close]], N14))</f>
        <v>1174.8591051078693</v>
      </c>
      <c r="O1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" s="2">
        <f>IF(ROW()&lt;3, Query1[[#This Row],[Shares]], IF(Query1[[#This Row],[Month]]&lt;&gt;H14, P14+Query1[[#This Row],[Enhanced top up]]/Query1[[#This Row],[Adj Close]], P14))</f>
        <v>1174.8591051078693</v>
      </c>
      <c r="Q15" s="2">
        <f>IFERROR(AVERAGE(
  IF(ROW()&gt;20, INDEX(G:G, ROW()-20), 0) :
  INDEX(G:G, ROW())
),0)</f>
        <v>0</v>
      </c>
    </row>
    <row r="16" spans="1:17" x14ac:dyDescent="0.3">
      <c r="A16" s="1">
        <v>45314</v>
      </c>
      <c r="B16">
        <v>444.82998657226563</v>
      </c>
      <c r="C16">
        <v>445.82000732421875</v>
      </c>
      <c r="D16">
        <v>443.77999877929688</v>
      </c>
      <c r="E16">
        <v>445.6199951171875</v>
      </c>
      <c r="F16">
        <v>3251600</v>
      </c>
      <c r="G16">
        <v>436.96749877929688</v>
      </c>
      <c r="H16" s="2">
        <f>MONTH(Query1[[#This Row],[Date]])</f>
        <v>1</v>
      </c>
      <c r="I16" s="3">
        <f>Query1[[#This Row],[Shares]]*Query1[[#This Row],[Adj Close]]</f>
        <v>513375.24457706866</v>
      </c>
      <c r="J16" s="3">
        <f>IF(ROW()&lt;3, Dashboard!$E$7, IF(Query1[[#This Row],[Month]]&lt;&gt;H15,J15*(1+Dashboard!$E$4)+Dashboard!$E$5,J15))</f>
        <v>500000</v>
      </c>
      <c r="K16">
        <f>IF(ROW()&lt;3, 0,IF(Query1[[#This Row],[Month]]&lt;&gt;H15,IF((J16-I16&gt;0),J16-I16,0),0))</f>
        <v>0</v>
      </c>
      <c r="L16" s="2">
        <f t="shared" si="0"/>
        <v>1174.8591051078693</v>
      </c>
      <c r="M16">
        <f ca="1">IF(ROW()&lt;3,0,IF(Query1[[#This Row],[Month]]&lt;&gt;OFFSET(Query1[[#This Row],[Month]],-1,0),Dashboard!$J$5,0))</f>
        <v>0</v>
      </c>
      <c r="N16" s="2">
        <f>IF(ROW()&lt;3, Query1[[#This Row],[Shares]], IF(Query1[[#This Row],[Month]]&lt;&gt;H15, N15+Query1[[#This Row],[Fix Top Up]]/Query1[[#This Row],[Adj Close]], N15))</f>
        <v>1174.8591051078693</v>
      </c>
      <c r="O1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" s="2">
        <f>IF(ROW()&lt;3, Query1[[#This Row],[Shares]], IF(Query1[[#This Row],[Month]]&lt;&gt;H15, P15+Query1[[#This Row],[Enhanced top up]]/Query1[[#This Row],[Adj Close]], P15))</f>
        <v>1174.8591051078693</v>
      </c>
      <c r="Q16" s="2">
        <f>IFERROR(AVERAGE(
  IF(ROW()&gt;20, INDEX(G:G, ROW()-20), 0) :
  INDEX(G:G, ROW())
),0)</f>
        <v>0</v>
      </c>
    </row>
    <row r="17" spans="1:17" x14ac:dyDescent="0.3">
      <c r="A17" s="1">
        <v>45315</v>
      </c>
      <c r="B17">
        <v>448.32000732421875</v>
      </c>
      <c r="C17">
        <v>449.19000244140625</v>
      </c>
      <c r="D17">
        <v>445.75</v>
      </c>
      <c r="E17">
        <v>445.989990234375</v>
      </c>
      <c r="F17">
        <v>4568200</v>
      </c>
      <c r="G17">
        <v>437.33029174804688</v>
      </c>
      <c r="H17" s="2">
        <f>MONTH(Query1[[#This Row],[Date]])</f>
        <v>1</v>
      </c>
      <c r="I17" s="3">
        <f>Query1[[#This Row],[Shares]]*Query1[[#This Row],[Adj Close]]</f>
        <v>513801.47519967373</v>
      </c>
      <c r="J17" s="3">
        <f>IF(ROW()&lt;3, Dashboard!$E$7, IF(Query1[[#This Row],[Month]]&lt;&gt;H16,J16*(1+Dashboard!$E$4)+Dashboard!$E$5,J16))</f>
        <v>500000</v>
      </c>
      <c r="K17">
        <f>IF(ROW()&lt;3, 0,IF(Query1[[#This Row],[Month]]&lt;&gt;H16,IF((J17-I17&gt;0),J17-I17,0),0))</f>
        <v>0</v>
      </c>
      <c r="L17" s="2">
        <f t="shared" si="0"/>
        <v>1174.8591051078693</v>
      </c>
      <c r="M17">
        <f ca="1">IF(ROW()&lt;3,0,IF(Query1[[#This Row],[Month]]&lt;&gt;OFFSET(Query1[[#This Row],[Month]],-1,0),Dashboard!$J$5,0))</f>
        <v>0</v>
      </c>
      <c r="N17" s="2">
        <f>IF(ROW()&lt;3, Query1[[#This Row],[Shares]], IF(Query1[[#This Row],[Month]]&lt;&gt;H16, N16+Query1[[#This Row],[Fix Top Up]]/Query1[[#This Row],[Adj Close]], N16))</f>
        <v>1174.8591051078693</v>
      </c>
      <c r="O1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" s="2">
        <f>IF(ROW()&lt;3, Query1[[#This Row],[Shares]], IF(Query1[[#This Row],[Month]]&lt;&gt;H16, P16+Query1[[#This Row],[Enhanced top up]]/Query1[[#This Row],[Adj Close]], P16))</f>
        <v>1174.8591051078693</v>
      </c>
      <c r="Q17" s="2">
        <f>IFERROR(AVERAGE(
  IF(ROW()&gt;20, INDEX(G:G, ROW()-20), 0) :
  INDEX(G:G, ROW())
),0)</f>
        <v>0</v>
      </c>
    </row>
    <row r="18" spans="1:17" x14ac:dyDescent="0.3">
      <c r="A18" s="1">
        <v>45316</v>
      </c>
      <c r="B18">
        <v>448.1400146484375</v>
      </c>
      <c r="C18">
        <v>448.760009765625</v>
      </c>
      <c r="D18">
        <v>446.1099853515625</v>
      </c>
      <c r="E18">
        <v>448.5</v>
      </c>
      <c r="F18">
        <v>4167100</v>
      </c>
      <c r="G18">
        <v>439.79153442382813</v>
      </c>
      <c r="H18" s="2">
        <f>MONTH(Query1[[#This Row],[Date]])</f>
        <v>1</v>
      </c>
      <c r="I18" s="3">
        <f>Query1[[#This Row],[Shares]]*Query1[[#This Row],[Adj Close]]</f>
        <v>516693.0885671954</v>
      </c>
      <c r="J18" s="3">
        <f>IF(ROW()&lt;3, Dashboard!$E$7, IF(Query1[[#This Row],[Month]]&lt;&gt;H17,J17*(1+Dashboard!$E$4)+Dashboard!$E$5,J17))</f>
        <v>500000</v>
      </c>
      <c r="K18">
        <f>IF(ROW()&lt;3, 0,IF(Query1[[#This Row],[Month]]&lt;&gt;H17,IF((J18-I18&gt;0),J18-I18,0),0))</f>
        <v>0</v>
      </c>
      <c r="L18" s="2">
        <f t="shared" si="0"/>
        <v>1174.8591051078693</v>
      </c>
      <c r="M18">
        <f ca="1">IF(ROW()&lt;3,0,IF(Query1[[#This Row],[Month]]&lt;&gt;OFFSET(Query1[[#This Row],[Month]],-1,0),Dashboard!$J$5,0))</f>
        <v>0</v>
      </c>
      <c r="N18" s="2">
        <f>IF(ROW()&lt;3, Query1[[#This Row],[Shares]], IF(Query1[[#This Row],[Month]]&lt;&gt;H17, N17+Query1[[#This Row],[Fix Top Up]]/Query1[[#This Row],[Adj Close]], N17))</f>
        <v>1174.8591051078693</v>
      </c>
      <c r="O1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" s="2">
        <f>IF(ROW()&lt;3, Query1[[#This Row],[Shares]], IF(Query1[[#This Row],[Month]]&lt;&gt;H17, P17+Query1[[#This Row],[Enhanced top up]]/Query1[[#This Row],[Adj Close]], P17))</f>
        <v>1174.8591051078693</v>
      </c>
      <c r="Q18" s="2">
        <f>IFERROR(AVERAGE(
  IF(ROW()&gt;20, INDEX(G:G, ROW()-20), 0) :
  INDEX(G:G, ROW())
),0)</f>
        <v>0</v>
      </c>
    </row>
    <row r="19" spans="1:17" x14ac:dyDescent="0.3">
      <c r="A19" s="1">
        <v>45317</v>
      </c>
      <c r="B19">
        <v>448.10000610351563</v>
      </c>
      <c r="C19">
        <v>449.510009765625</v>
      </c>
      <c r="D19">
        <v>447.16000366210938</v>
      </c>
      <c r="E19">
        <v>448.23001098632813</v>
      </c>
      <c r="F19">
        <v>6404000</v>
      </c>
      <c r="G19">
        <v>439.52682495117188</v>
      </c>
      <c r="H19" s="2">
        <f>MONTH(Query1[[#This Row],[Date]])</f>
        <v>1</v>
      </c>
      <c r="I19" s="3">
        <f>Query1[[#This Row],[Shares]]*Query1[[#This Row],[Adj Close]]</f>
        <v>516382.09223303688</v>
      </c>
      <c r="J19" s="3">
        <f>IF(ROW()&lt;3, Dashboard!$E$7, IF(Query1[[#This Row],[Month]]&lt;&gt;H18,J18*(1+Dashboard!$E$4)+Dashboard!$E$5,J18))</f>
        <v>500000</v>
      </c>
      <c r="K19">
        <f>IF(ROW()&lt;3, 0,IF(Query1[[#This Row],[Month]]&lt;&gt;H18,IF((J19-I19&gt;0),J19-I19,0),0))</f>
        <v>0</v>
      </c>
      <c r="L19" s="2">
        <f t="shared" si="0"/>
        <v>1174.8591051078693</v>
      </c>
      <c r="M19">
        <f ca="1">IF(ROW()&lt;3,0,IF(Query1[[#This Row],[Month]]&lt;&gt;OFFSET(Query1[[#This Row],[Month]],-1,0),Dashboard!$J$5,0))</f>
        <v>0</v>
      </c>
      <c r="N19" s="2">
        <f>IF(ROW()&lt;3, Query1[[#This Row],[Shares]], IF(Query1[[#This Row],[Month]]&lt;&gt;H18, N18+Query1[[#This Row],[Fix Top Up]]/Query1[[#This Row],[Adj Close]], N18))</f>
        <v>1174.8591051078693</v>
      </c>
      <c r="O1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" s="2">
        <f>IF(ROW()&lt;3, Query1[[#This Row],[Shares]], IF(Query1[[#This Row],[Month]]&lt;&gt;H18, P18+Query1[[#This Row],[Enhanced top up]]/Query1[[#This Row],[Adj Close]], P18))</f>
        <v>1174.8591051078693</v>
      </c>
      <c r="Q19" s="2">
        <f>IFERROR(AVERAGE(
  IF(ROW()&gt;20, INDEX(G:G, ROW()-20), 0) :
  INDEX(G:G, ROW())
),0)</f>
        <v>0</v>
      </c>
    </row>
    <row r="20" spans="1:17" x14ac:dyDescent="0.3">
      <c r="A20" s="1">
        <v>45320</v>
      </c>
      <c r="B20">
        <v>448.23001098632813</v>
      </c>
      <c r="C20">
        <v>451.6099853515625</v>
      </c>
      <c r="D20">
        <v>447.70999145507813</v>
      </c>
      <c r="E20">
        <v>451.489990234375</v>
      </c>
      <c r="F20">
        <v>4543300</v>
      </c>
      <c r="G20">
        <v>442.7235107421875</v>
      </c>
      <c r="H20" s="2">
        <f>MONTH(Query1[[#This Row],[Date]])</f>
        <v>1</v>
      </c>
      <c r="I20" s="3">
        <f>Query1[[#This Row],[Shares]]*Query1[[#This Row],[Adj Close]]</f>
        <v>520137.74764078052</v>
      </c>
      <c r="J20" s="3">
        <f>IF(ROW()&lt;3, Dashboard!$E$7, IF(Query1[[#This Row],[Month]]&lt;&gt;H19,J19*(1+Dashboard!$E$4)+Dashboard!$E$5,J19))</f>
        <v>500000</v>
      </c>
      <c r="K20">
        <f>IF(ROW()&lt;3, 0,IF(Query1[[#This Row],[Month]]&lt;&gt;H19,IF((J20-I20&gt;0),J20-I20,0),0))</f>
        <v>0</v>
      </c>
      <c r="L20" s="2">
        <f t="shared" si="0"/>
        <v>1174.8591051078693</v>
      </c>
      <c r="M20">
        <f ca="1">IF(ROW()&lt;3,0,IF(Query1[[#This Row],[Month]]&lt;&gt;OFFSET(Query1[[#This Row],[Month]],-1,0),Dashboard!$J$5,0))</f>
        <v>0</v>
      </c>
      <c r="N20" s="2">
        <f>IF(ROW()&lt;3, Query1[[#This Row],[Shares]], IF(Query1[[#This Row],[Month]]&lt;&gt;H19, N19+Query1[[#This Row],[Fix Top Up]]/Query1[[#This Row],[Adj Close]], N19))</f>
        <v>1174.8591051078693</v>
      </c>
      <c r="O2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" s="2">
        <f>IF(ROW()&lt;3, Query1[[#This Row],[Shares]], IF(Query1[[#This Row],[Month]]&lt;&gt;H19, P19+Query1[[#This Row],[Enhanced top up]]/Query1[[#This Row],[Adj Close]], P19))</f>
        <v>1174.8591051078693</v>
      </c>
      <c r="Q20" s="2">
        <f>IFERROR(AVERAGE(
  IF(ROW()&gt;20, INDEX(G:G, ROW()-20), 0) :
  INDEX(G:G, ROW())
),0)</f>
        <v>0</v>
      </c>
    </row>
    <row r="21" spans="1:17" x14ac:dyDescent="0.3">
      <c r="A21" s="1">
        <v>45321</v>
      </c>
      <c r="B21">
        <v>450.83999633789063</v>
      </c>
      <c r="C21">
        <v>451.80999755859375</v>
      </c>
      <c r="D21">
        <v>450.44000244140625</v>
      </c>
      <c r="E21">
        <v>451.17001342773438</v>
      </c>
      <c r="F21">
        <v>3410000</v>
      </c>
      <c r="G21">
        <v>442.40975952148438</v>
      </c>
      <c r="H21" s="2">
        <f>MONTH(Query1[[#This Row],[Date]])</f>
        <v>1</v>
      </c>
      <c r="I21" s="3">
        <f>Query1[[#This Row],[Shares]]*Query1[[#This Row],[Adj Close]]</f>
        <v>519769.13416239875</v>
      </c>
      <c r="J21" s="3">
        <f>IF(ROW()&lt;3, Dashboard!$E$7, IF(Query1[[#This Row],[Month]]&lt;&gt;H20,J20*(1+Dashboard!$E$4)+Dashboard!$E$5,J20))</f>
        <v>500000</v>
      </c>
      <c r="K21">
        <f>IF(ROW()&lt;3, 0,IF(Query1[[#This Row],[Month]]&lt;&gt;H20,IF((J21-I21&gt;0),J21-I21,0),0))</f>
        <v>0</v>
      </c>
      <c r="L21" s="2">
        <f t="shared" si="0"/>
        <v>1174.8591051078693</v>
      </c>
      <c r="M21">
        <f ca="1">IF(ROW()&lt;3,0,IF(Query1[[#This Row],[Month]]&lt;&gt;OFFSET(Query1[[#This Row],[Month]],-1,0),Dashboard!$J$5,0))</f>
        <v>0</v>
      </c>
      <c r="N21" s="2">
        <f>IF(ROW()&lt;3, Query1[[#This Row],[Shares]], IF(Query1[[#This Row],[Month]]&lt;&gt;H20, N20+Query1[[#This Row],[Fix Top Up]]/Query1[[#This Row],[Adj Close]], N20))</f>
        <v>1174.8591051078693</v>
      </c>
      <c r="O2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" s="2">
        <f>IF(ROW()&lt;3, Query1[[#This Row],[Shares]], IF(Query1[[#This Row],[Month]]&lt;&gt;H20, P20+Query1[[#This Row],[Enhanced top up]]/Query1[[#This Row],[Adj Close]], P20))</f>
        <v>1174.8591051078693</v>
      </c>
      <c r="Q21" s="2">
        <f>IFERROR(AVERAGE(
  IF(ROW()&gt;20, INDEX(G:G, ROW()-20), 0) :
  INDEX(G:G, ROW())
),0)</f>
        <v>431.27129211425779</v>
      </c>
    </row>
    <row r="22" spans="1:17" x14ac:dyDescent="0.3">
      <c r="A22" s="1">
        <v>45322</v>
      </c>
      <c r="B22">
        <v>449.04000854492188</v>
      </c>
      <c r="C22">
        <v>449.47000122070313</v>
      </c>
      <c r="D22">
        <v>443.75</v>
      </c>
      <c r="E22">
        <v>443.82000732421875</v>
      </c>
      <c r="F22">
        <v>7108000</v>
      </c>
      <c r="G22">
        <v>435.20245361328125</v>
      </c>
      <c r="H22" s="2">
        <f>MONTH(Query1[[#This Row],[Date]])</f>
        <v>1</v>
      </c>
      <c r="I22" s="3">
        <f>Query1[[#This Row],[Shares]]*Query1[[#This Row],[Adj Close]]</f>
        <v>511301.56519284862</v>
      </c>
      <c r="J22" s="3">
        <f>IF(ROW()&lt;3, Dashboard!$E$7, IF(Query1[[#This Row],[Month]]&lt;&gt;H21,J21*(1+Dashboard!$E$4)+Dashboard!$E$5,J21))</f>
        <v>500000</v>
      </c>
      <c r="K22">
        <f>IF(ROW()&lt;3, 0,IF(Query1[[#This Row],[Month]]&lt;&gt;H21,IF((J22-I22&gt;0),J22-I22,0),0))</f>
        <v>0</v>
      </c>
      <c r="L22" s="2">
        <f t="shared" si="0"/>
        <v>1174.8591051078693</v>
      </c>
      <c r="M22">
        <f ca="1">IF(ROW()&lt;3,0,IF(Query1[[#This Row],[Month]]&lt;&gt;OFFSET(Query1[[#This Row],[Month]],-1,0),Dashboard!$J$5,0))</f>
        <v>0</v>
      </c>
      <c r="N22" s="2">
        <f>IF(ROW()&lt;3, Query1[[#This Row],[Shares]], IF(Query1[[#This Row],[Month]]&lt;&gt;H21, N21+Query1[[#This Row],[Fix Top Up]]/Query1[[#This Row],[Adj Close]], N21))</f>
        <v>1174.8591051078693</v>
      </c>
      <c r="O2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" s="2">
        <f>IF(ROW()&lt;3, Query1[[#This Row],[Shares]], IF(Query1[[#This Row],[Month]]&lt;&gt;H21, P21+Query1[[#This Row],[Enhanced top up]]/Query1[[#This Row],[Adj Close]], P21))</f>
        <v>1174.8591051078693</v>
      </c>
      <c r="Q22" s="2">
        <f>IFERROR(AVERAGE(
  IF(ROW()&gt;20, INDEX(G:G, ROW()-20), 0) :
  INDEX(G:G, ROW())
),0)</f>
        <v>431.45849028087798</v>
      </c>
    </row>
    <row r="23" spans="1:17" x14ac:dyDescent="0.3">
      <c r="A23" s="1">
        <v>45323</v>
      </c>
      <c r="B23">
        <v>445.35000610351563</v>
      </c>
      <c r="C23">
        <v>449.66000366210938</v>
      </c>
      <c r="D23">
        <v>444.64999389648438</v>
      </c>
      <c r="E23">
        <v>449.66000366210938</v>
      </c>
      <c r="F23">
        <v>6138400</v>
      </c>
      <c r="G23">
        <v>440.92904663085938</v>
      </c>
      <c r="H23" s="2">
        <f>MONTH(Query1[[#This Row],[Date]])</f>
        <v>2</v>
      </c>
      <c r="I23" s="3">
        <f>Query1[[#This Row],[Shares]]*Query1[[#This Row],[Adj Close]]</f>
        <v>518029.50514079741</v>
      </c>
      <c r="J23" s="3">
        <f>IF(ROW()&lt;3, Dashboard!$E$7, IF(Query1[[#This Row],[Month]]&lt;&gt;H22,J22*(1+Dashboard!$E$4)+Dashboard!$E$5,J22))</f>
        <v>507000</v>
      </c>
      <c r="K23">
        <f>IF(ROW()&lt;3, 0,IF(Query1[[#This Row],[Month]]&lt;&gt;H22,IF((J23-I23&gt;0),J23-I23,0),0))</f>
        <v>0</v>
      </c>
      <c r="L23" s="2">
        <f t="shared" si="0"/>
        <v>1174.8591051078693</v>
      </c>
      <c r="M23">
        <f ca="1">IF(ROW()&lt;3,0,IF(Query1[[#This Row],[Month]]&lt;&gt;OFFSET(Query1[[#This Row],[Month]],-1,0),Dashboard!$J$5,0))</f>
        <v>979.40350000000024</v>
      </c>
      <c r="N23" s="2">
        <f ca="1">IF(ROW()&lt;3, Query1[[#This Row],[Shares]], IF(Query1[[#This Row],[Month]]&lt;&gt;H22, N22+Query1[[#This Row],[Fix Top Up]]/Query1[[#This Row],[Adj Close]], N22))</f>
        <v>1177.0803321000205</v>
      </c>
      <c r="O2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23" s="2">
        <f ca="1">IF(ROW()&lt;3, Query1[[#This Row],[Shares]], IF(Query1[[#This Row],[Month]]&lt;&gt;H22, P22+Query1[[#This Row],[Enhanced top up]]/Query1[[#This Row],[Adj Close]], P22))</f>
        <v>1176.2865535937635</v>
      </c>
      <c r="Q23" s="2">
        <f>IFERROR(AVERAGE(
  IF(ROW()&gt;20, INDEX(G:G, ROW()-20), 0) :
  INDEX(G:G, ROW())
),0)</f>
        <v>432.18925694056918</v>
      </c>
    </row>
    <row r="24" spans="1:17" x14ac:dyDescent="0.3">
      <c r="A24" s="1">
        <v>45324</v>
      </c>
      <c r="B24">
        <v>450.010009765625</v>
      </c>
      <c r="C24">
        <v>455.8800048828125</v>
      </c>
      <c r="D24">
        <v>449.69000244140625</v>
      </c>
      <c r="E24">
        <v>454.27999877929688</v>
      </c>
      <c r="F24">
        <v>6253500</v>
      </c>
      <c r="G24">
        <v>445.45932006835938</v>
      </c>
      <c r="H24" s="2">
        <f>MONTH(Query1[[#This Row],[Date]])</f>
        <v>2</v>
      </c>
      <c r="I24" s="3">
        <f>Query1[[#This Row],[Shares]]*Query1[[#This Row],[Adj Close]]</f>
        <v>523351.93813747261</v>
      </c>
      <c r="J24" s="3">
        <f>IF(ROW()&lt;3, Dashboard!$E$7, IF(Query1[[#This Row],[Month]]&lt;&gt;H23,J23*(1+Dashboard!$E$4)+Dashboard!$E$5,J23))</f>
        <v>507000</v>
      </c>
      <c r="K24">
        <f>IF(ROW()&lt;3, 0,IF(Query1[[#This Row],[Month]]&lt;&gt;H23,IF((J24-I24&gt;0),J24-I24,0),0))</f>
        <v>0</v>
      </c>
      <c r="L24" s="2">
        <f t="shared" si="0"/>
        <v>1174.8591051078693</v>
      </c>
      <c r="M24">
        <f ca="1">IF(ROW()&lt;3,0,IF(Query1[[#This Row],[Month]]&lt;&gt;OFFSET(Query1[[#This Row],[Month]],-1,0),Dashboard!$J$5,0))</f>
        <v>0</v>
      </c>
      <c r="N24" s="2">
        <f ca="1">IF(ROW()&lt;3, Query1[[#This Row],[Shares]], IF(Query1[[#This Row],[Month]]&lt;&gt;H23, N23+Query1[[#This Row],[Fix Top Up]]/Query1[[#This Row],[Adj Close]], N23))</f>
        <v>1177.0803321000205</v>
      </c>
      <c r="O2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" s="2">
        <f ca="1">IF(ROW()&lt;3, Query1[[#This Row],[Shares]], IF(Query1[[#This Row],[Month]]&lt;&gt;H23, P23+Query1[[#This Row],[Enhanced top up]]/Query1[[#This Row],[Adj Close]], P23))</f>
        <v>1176.2865535937635</v>
      </c>
      <c r="Q24" s="2">
        <f>IFERROR(AVERAGE(
  IF(ROW()&gt;20, INDEX(G:G, ROW()-20), 0) :
  INDEX(G:G, ROW())
),0)</f>
        <v>433.28610810779389</v>
      </c>
    </row>
    <row r="25" spans="1:17" x14ac:dyDescent="0.3">
      <c r="A25" s="1">
        <v>45327</v>
      </c>
      <c r="B25">
        <v>453.73001098632813</v>
      </c>
      <c r="C25">
        <v>454.14999389648438</v>
      </c>
      <c r="D25">
        <v>450.54000854492188</v>
      </c>
      <c r="E25">
        <v>452.6199951171875</v>
      </c>
      <c r="F25">
        <v>7101900</v>
      </c>
      <c r="G25">
        <v>443.83157348632813</v>
      </c>
      <c r="H25" s="2">
        <f>MONTH(Query1[[#This Row],[Date]])</f>
        <v>2</v>
      </c>
      <c r="I25" s="3">
        <f>Query1[[#This Row],[Shares]]*Query1[[#This Row],[Adj Close]]</f>
        <v>521439.56524476496</v>
      </c>
      <c r="J25" s="3">
        <f>IF(ROW()&lt;3, Dashboard!$E$7, IF(Query1[[#This Row],[Month]]&lt;&gt;H24,J24*(1+Dashboard!$E$4)+Dashboard!$E$5,J24))</f>
        <v>507000</v>
      </c>
      <c r="K25">
        <f>IF(ROW()&lt;3, 0,IF(Query1[[#This Row],[Month]]&lt;&gt;H24,IF((J25-I25&gt;0),J25-I25,0),0))</f>
        <v>0</v>
      </c>
      <c r="L25" s="2">
        <f t="shared" si="0"/>
        <v>1174.8591051078693</v>
      </c>
      <c r="M25">
        <f ca="1">IF(ROW()&lt;3,0,IF(Query1[[#This Row],[Month]]&lt;&gt;OFFSET(Query1[[#This Row],[Month]],-1,0),Dashboard!$J$5,0))</f>
        <v>0</v>
      </c>
      <c r="N25" s="2">
        <f ca="1">IF(ROW()&lt;3, Query1[[#This Row],[Shares]], IF(Query1[[#This Row],[Month]]&lt;&gt;H24, N24+Query1[[#This Row],[Fix Top Up]]/Query1[[#This Row],[Adj Close]], N24))</f>
        <v>1177.0803321000205</v>
      </c>
      <c r="O2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" s="2">
        <f ca="1">IF(ROW()&lt;3, Query1[[#This Row],[Shares]], IF(Query1[[#This Row],[Month]]&lt;&gt;H24, P24+Query1[[#This Row],[Enhanced top up]]/Query1[[#This Row],[Adj Close]], P24))</f>
        <v>1176.2865535937635</v>
      </c>
      <c r="Q25" s="2">
        <f>IFERROR(AVERAGE(
  IF(ROW()&gt;20, INDEX(G:G, ROW()-20), 0) :
  INDEX(G:G, ROW())
),0)</f>
        <v>434.3689502534412</v>
      </c>
    </row>
    <row r="26" spans="1:17" x14ac:dyDescent="0.3">
      <c r="A26" s="1">
        <v>45328</v>
      </c>
      <c r="B26">
        <v>453.57998657226563</v>
      </c>
      <c r="C26">
        <v>454.29000854492188</v>
      </c>
      <c r="D26">
        <v>452.20999145507813</v>
      </c>
      <c r="E26">
        <v>454.02999877929688</v>
      </c>
      <c r="F26">
        <v>4383600</v>
      </c>
      <c r="G26">
        <v>445.21420288085938</v>
      </c>
      <c r="H26" s="2">
        <f>MONTH(Query1[[#This Row],[Date]])</f>
        <v>2</v>
      </c>
      <c r="I26" s="3">
        <f>Query1[[#This Row],[Shares]]*Query1[[#This Row],[Adj Close]]</f>
        <v>523063.95997791982</v>
      </c>
      <c r="J26" s="3">
        <f>IF(ROW()&lt;3, Dashboard!$E$7, IF(Query1[[#This Row],[Month]]&lt;&gt;H25,J25*(1+Dashboard!$E$4)+Dashboard!$E$5,J25))</f>
        <v>507000</v>
      </c>
      <c r="K26">
        <f>IF(ROW()&lt;3, 0,IF(Query1[[#This Row],[Month]]&lt;&gt;H25,IF((J26-I26&gt;0),J26-I26,0),0))</f>
        <v>0</v>
      </c>
      <c r="L26" s="2">
        <f t="shared" si="0"/>
        <v>1174.8591051078693</v>
      </c>
      <c r="M26">
        <f ca="1">IF(ROW()&lt;3,0,IF(Query1[[#This Row],[Month]]&lt;&gt;OFFSET(Query1[[#This Row],[Month]],-1,0),Dashboard!$J$5,0))</f>
        <v>0</v>
      </c>
      <c r="N26" s="2">
        <f ca="1">IF(ROW()&lt;3, Query1[[#This Row],[Shares]], IF(Query1[[#This Row],[Month]]&lt;&gt;H25, N25+Query1[[#This Row],[Fix Top Up]]/Query1[[#This Row],[Adj Close]], N25))</f>
        <v>1177.0803321000205</v>
      </c>
      <c r="O2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" s="2">
        <f ca="1">IF(ROW()&lt;3, Query1[[#This Row],[Shares]], IF(Query1[[#This Row],[Month]]&lt;&gt;H25, P25+Query1[[#This Row],[Enhanced top up]]/Query1[[#This Row],[Adj Close]], P25))</f>
        <v>1176.2865535937635</v>
      </c>
      <c r="Q26" s="2">
        <f>IFERROR(AVERAGE(
  IF(ROW()&gt;20, INDEX(G:G, ROW()-20), 0) :
  INDEX(G:G, ROW())
),0)</f>
        <v>435.49195207868303</v>
      </c>
    </row>
    <row r="27" spans="1:17" x14ac:dyDescent="0.3">
      <c r="A27" s="1">
        <v>45329</v>
      </c>
      <c r="B27">
        <v>456.14999389648438</v>
      </c>
      <c r="C27">
        <v>458.17999267578125</v>
      </c>
      <c r="D27">
        <v>455.26998901367188</v>
      </c>
      <c r="E27">
        <v>457.760009765625</v>
      </c>
      <c r="F27">
        <v>6763400</v>
      </c>
      <c r="G27">
        <v>448.87179565429688</v>
      </c>
      <c r="H27" s="2">
        <f>MONTH(Query1[[#This Row],[Date]])</f>
        <v>2</v>
      </c>
      <c r="I27" s="3">
        <f>Query1[[#This Row],[Shares]]*Query1[[#This Row],[Adj Close]]</f>
        <v>527361.11615056964</v>
      </c>
      <c r="J27" s="3">
        <f>IF(ROW()&lt;3, Dashboard!$E$7, IF(Query1[[#This Row],[Month]]&lt;&gt;H26,J26*(1+Dashboard!$E$4)+Dashboard!$E$5,J26))</f>
        <v>507000</v>
      </c>
      <c r="K27">
        <f>IF(ROW()&lt;3, 0,IF(Query1[[#This Row],[Month]]&lt;&gt;H26,IF((J27-I27&gt;0),J27-I27,0),0))</f>
        <v>0</v>
      </c>
      <c r="L27" s="2">
        <f t="shared" si="0"/>
        <v>1174.8591051078693</v>
      </c>
      <c r="M27">
        <f ca="1">IF(ROW()&lt;3,0,IF(Query1[[#This Row],[Month]]&lt;&gt;OFFSET(Query1[[#This Row],[Month]],-1,0),Dashboard!$J$5,0))</f>
        <v>0</v>
      </c>
      <c r="N27" s="2">
        <f ca="1">IF(ROW()&lt;3, Query1[[#This Row],[Shares]], IF(Query1[[#This Row],[Month]]&lt;&gt;H26, N26+Query1[[#This Row],[Fix Top Up]]/Query1[[#This Row],[Adj Close]], N26))</f>
        <v>1177.0803321000205</v>
      </c>
      <c r="O2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" s="2">
        <f ca="1">IF(ROW()&lt;3, Query1[[#This Row],[Shares]], IF(Query1[[#This Row],[Month]]&lt;&gt;H26, P26+Query1[[#This Row],[Enhanced top up]]/Query1[[#This Row],[Adj Close]], P26))</f>
        <v>1176.2865535937635</v>
      </c>
      <c r="Q27" s="2">
        <f>IFERROR(AVERAGE(
  IF(ROW()&gt;20, INDEX(G:G, ROW()-20), 0) :
  INDEX(G:G, ROW())
),0)</f>
        <v>436.50195457821803</v>
      </c>
    </row>
    <row r="28" spans="1:17" x14ac:dyDescent="0.3">
      <c r="A28" s="1">
        <v>45330</v>
      </c>
      <c r="B28">
        <v>457.80999755859375</v>
      </c>
      <c r="C28">
        <v>458.32998657226563</v>
      </c>
      <c r="D28">
        <v>457.02999877929688</v>
      </c>
      <c r="E28">
        <v>458.07000732421875</v>
      </c>
      <c r="F28">
        <v>4184600</v>
      </c>
      <c r="G28">
        <v>449.17575073242188</v>
      </c>
      <c r="H28" s="2">
        <f>MONTH(Query1[[#This Row],[Date]])</f>
        <v>2</v>
      </c>
      <c r="I28" s="3">
        <f>Query1[[#This Row],[Shares]]*Query1[[#This Row],[Adj Close]]</f>
        <v>527718.22054164857</v>
      </c>
      <c r="J28" s="3">
        <f>IF(ROW()&lt;3, Dashboard!$E$7, IF(Query1[[#This Row],[Month]]&lt;&gt;H27,J27*(1+Dashboard!$E$4)+Dashboard!$E$5,J27))</f>
        <v>507000</v>
      </c>
      <c r="K28">
        <f>IF(ROW()&lt;3, 0,IF(Query1[[#This Row],[Month]]&lt;&gt;H27,IF((J28-I28&gt;0),J28-I28,0),0))</f>
        <v>0</v>
      </c>
      <c r="L28" s="2">
        <f t="shared" si="0"/>
        <v>1174.8591051078693</v>
      </c>
      <c r="M28">
        <f ca="1">IF(ROW()&lt;3,0,IF(Query1[[#This Row],[Month]]&lt;&gt;OFFSET(Query1[[#This Row],[Month]],-1,0),Dashboard!$J$5,0))</f>
        <v>0</v>
      </c>
      <c r="N28" s="2">
        <f ca="1">IF(ROW()&lt;3, Query1[[#This Row],[Shares]], IF(Query1[[#This Row],[Month]]&lt;&gt;H27, N27+Query1[[#This Row],[Fix Top Up]]/Query1[[#This Row],[Adj Close]], N27))</f>
        <v>1177.0803321000205</v>
      </c>
      <c r="O2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" s="2">
        <f ca="1">IF(ROW()&lt;3, Query1[[#This Row],[Shares]], IF(Query1[[#This Row],[Month]]&lt;&gt;H27, P27+Query1[[#This Row],[Enhanced top up]]/Query1[[#This Row],[Adj Close]], P27))</f>
        <v>1176.2865535937635</v>
      </c>
      <c r="Q28" s="2">
        <f>IFERROR(AVERAGE(
  IF(ROW()&gt;20, INDEX(G:G, ROW()-20), 0) :
  INDEX(G:G, ROW())
),0)</f>
        <v>437.57592628115697</v>
      </c>
    </row>
    <row r="29" spans="1:17" x14ac:dyDescent="0.3">
      <c r="A29" s="1">
        <v>45331</v>
      </c>
      <c r="B29">
        <v>458.54000854492188</v>
      </c>
      <c r="C29">
        <v>461.02999877929688</v>
      </c>
      <c r="D29">
        <v>458.17001342773438</v>
      </c>
      <c r="E29">
        <v>460.67001342773438</v>
      </c>
      <c r="F29">
        <v>4002600</v>
      </c>
      <c r="G29">
        <v>451.72528076171875</v>
      </c>
      <c r="H29" s="2">
        <f>MONTH(Query1[[#This Row],[Date]])</f>
        <v>2</v>
      </c>
      <c r="I29" s="3">
        <f>Query1[[#This Row],[Shares]]*Query1[[#This Row],[Adj Close]]</f>
        <v>530713.55911031389</v>
      </c>
      <c r="J29" s="3">
        <f>IF(ROW()&lt;3, Dashboard!$E$7, IF(Query1[[#This Row],[Month]]&lt;&gt;H28,J28*(1+Dashboard!$E$4)+Dashboard!$E$5,J28))</f>
        <v>507000</v>
      </c>
      <c r="K29">
        <f>IF(ROW()&lt;3, 0,IF(Query1[[#This Row],[Month]]&lt;&gt;H28,IF((J29-I29&gt;0),J29-I29,0),0))</f>
        <v>0</v>
      </c>
      <c r="L29" s="2">
        <f t="shared" si="0"/>
        <v>1174.8591051078693</v>
      </c>
      <c r="M29">
        <f ca="1">IF(ROW()&lt;3,0,IF(Query1[[#This Row],[Month]]&lt;&gt;OFFSET(Query1[[#This Row],[Month]],-1,0),Dashboard!$J$5,0))</f>
        <v>0</v>
      </c>
      <c r="N29" s="2">
        <f ca="1">IF(ROW()&lt;3, Query1[[#This Row],[Shares]], IF(Query1[[#This Row],[Month]]&lt;&gt;H28, N28+Query1[[#This Row],[Fix Top Up]]/Query1[[#This Row],[Adj Close]], N28))</f>
        <v>1177.0803321000205</v>
      </c>
      <c r="O2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" s="2">
        <f ca="1">IF(ROW()&lt;3, Query1[[#This Row],[Shares]], IF(Query1[[#This Row],[Month]]&lt;&gt;H28, P28+Query1[[#This Row],[Enhanced top up]]/Query1[[#This Row],[Adj Close]], P28))</f>
        <v>1176.2865535937635</v>
      </c>
      <c r="Q29" s="2">
        <f>IFERROR(AVERAGE(
  IF(ROW()&gt;20, INDEX(G:G, ROW()-20), 0) :
  INDEX(G:G, ROW())
),0)</f>
        <v>438.63729131789432</v>
      </c>
    </row>
    <row r="30" spans="1:17" x14ac:dyDescent="0.3">
      <c r="A30" s="1">
        <v>45334</v>
      </c>
      <c r="B30">
        <v>460.6099853515625</v>
      </c>
      <c r="C30">
        <v>462.739990234375</v>
      </c>
      <c r="D30">
        <v>459.75</v>
      </c>
      <c r="E30">
        <v>460.45999145507813</v>
      </c>
      <c r="F30">
        <v>4564200</v>
      </c>
      <c r="G30">
        <v>451.51934814453125</v>
      </c>
      <c r="H30" s="2">
        <f>MONTH(Query1[[#This Row],[Date]])</f>
        <v>2</v>
      </c>
      <c r="I30" s="3">
        <f>Query1[[#This Row],[Shares]]*Query1[[#This Row],[Adj Close]]</f>
        <v>530471.61729997245</v>
      </c>
      <c r="J30" s="3">
        <f>IF(ROW()&lt;3, Dashboard!$E$7, IF(Query1[[#This Row],[Month]]&lt;&gt;H29,J29*(1+Dashboard!$E$4)+Dashboard!$E$5,J29))</f>
        <v>507000</v>
      </c>
      <c r="K30">
        <f>IF(ROW()&lt;3, 0,IF(Query1[[#This Row],[Month]]&lt;&gt;H29,IF((J30-I30&gt;0),J30-I30,0),0))</f>
        <v>0</v>
      </c>
      <c r="L30" s="2">
        <f t="shared" si="0"/>
        <v>1174.8591051078693</v>
      </c>
      <c r="M30">
        <f ca="1">IF(ROW()&lt;3,0,IF(Query1[[#This Row],[Month]]&lt;&gt;OFFSET(Query1[[#This Row],[Month]],-1,0),Dashboard!$J$5,0))</f>
        <v>0</v>
      </c>
      <c r="N30" s="2">
        <f ca="1">IF(ROW()&lt;3, Query1[[#This Row],[Shares]], IF(Query1[[#This Row],[Month]]&lt;&gt;H29, N29+Query1[[#This Row],[Fix Top Up]]/Query1[[#This Row],[Adj Close]], N29))</f>
        <v>1177.0803321000205</v>
      </c>
      <c r="O3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" s="2">
        <f ca="1">IF(ROW()&lt;3, Query1[[#This Row],[Shares]], IF(Query1[[#This Row],[Month]]&lt;&gt;H29, P29+Query1[[#This Row],[Enhanced top up]]/Query1[[#This Row],[Adj Close]], P29))</f>
        <v>1176.2865535937635</v>
      </c>
      <c r="Q30" s="2">
        <f>IFERROR(AVERAGE(
  IF(ROW()&gt;20, INDEX(G:G, ROW()-20), 0) :
  INDEX(G:G, ROW())
),0)</f>
        <v>439.6958545503162</v>
      </c>
    </row>
    <row r="31" spans="1:17" x14ac:dyDescent="0.3">
      <c r="A31" s="1">
        <v>45335</v>
      </c>
      <c r="B31">
        <v>454.48001098632813</v>
      </c>
      <c r="C31">
        <v>455.70001220703125</v>
      </c>
      <c r="D31">
        <v>451</v>
      </c>
      <c r="E31">
        <v>453.97000122070313</v>
      </c>
      <c r="F31">
        <v>8152200</v>
      </c>
      <c r="G31">
        <v>445.15536499023438</v>
      </c>
      <c r="H31" s="2">
        <f>MONTH(Query1[[#This Row],[Date]])</f>
        <v>2</v>
      </c>
      <c r="I31" s="3">
        <f>Query1[[#This Row],[Shares]]*Query1[[#This Row],[Adj Close]]</f>
        <v>522994.83374639368</v>
      </c>
      <c r="J31" s="3">
        <f>IF(ROW()&lt;3, Dashboard!$E$7, IF(Query1[[#This Row],[Month]]&lt;&gt;H30,J30*(1+Dashboard!$E$4)+Dashboard!$E$5,J30))</f>
        <v>507000</v>
      </c>
      <c r="K31">
        <f>IF(ROW()&lt;3, 0,IF(Query1[[#This Row],[Month]]&lt;&gt;H30,IF((J31-I31&gt;0),J31-I31,0),0))</f>
        <v>0</v>
      </c>
      <c r="L31" s="2">
        <f t="shared" si="0"/>
        <v>1174.8591051078693</v>
      </c>
      <c r="M31">
        <f ca="1">IF(ROW()&lt;3,0,IF(Query1[[#This Row],[Month]]&lt;&gt;OFFSET(Query1[[#This Row],[Month]],-1,0),Dashboard!$J$5,0))</f>
        <v>0</v>
      </c>
      <c r="N31" s="2">
        <f ca="1">IF(ROW()&lt;3, Query1[[#This Row],[Shares]], IF(Query1[[#This Row],[Month]]&lt;&gt;H30, N30+Query1[[#This Row],[Fix Top Up]]/Query1[[#This Row],[Adj Close]], N30))</f>
        <v>1177.0803321000205</v>
      </c>
      <c r="O3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" s="2">
        <f ca="1">IF(ROW()&lt;3, Query1[[#This Row],[Shares]], IF(Query1[[#This Row],[Month]]&lt;&gt;H30, P30+Query1[[#This Row],[Enhanced top up]]/Query1[[#This Row],[Adj Close]], P30))</f>
        <v>1176.2865535937635</v>
      </c>
      <c r="Q31" s="2">
        <f>IFERROR(AVERAGE(
  IF(ROW()&gt;20, INDEX(G:G, ROW()-20), 0) :
  INDEX(G:G, ROW())
),0)</f>
        <v>440.44203113374255</v>
      </c>
    </row>
    <row r="32" spans="1:17" x14ac:dyDescent="0.3">
      <c r="A32" s="1">
        <v>45336</v>
      </c>
      <c r="B32">
        <v>456.57998657226563</v>
      </c>
      <c r="C32">
        <v>458.67001342773438</v>
      </c>
      <c r="D32">
        <v>454.39999389648438</v>
      </c>
      <c r="E32">
        <v>458.29000854492188</v>
      </c>
      <c r="F32">
        <v>5624000</v>
      </c>
      <c r="G32">
        <v>449.39151000976563</v>
      </c>
      <c r="H32" s="2">
        <f>MONTH(Query1[[#This Row],[Date]])</f>
        <v>2</v>
      </c>
      <c r="I32" s="3">
        <f>Query1[[#This Row],[Shares]]*Query1[[#This Row],[Adj Close]]</f>
        <v>527971.70729314734</v>
      </c>
      <c r="J32" s="3">
        <f>IF(ROW()&lt;3, Dashboard!$E$7, IF(Query1[[#This Row],[Month]]&lt;&gt;H31,J31*(1+Dashboard!$E$4)+Dashboard!$E$5,J31))</f>
        <v>507000</v>
      </c>
      <c r="K32">
        <f>IF(ROW()&lt;3, 0,IF(Query1[[#This Row],[Month]]&lt;&gt;H31,IF((J32-I32&gt;0),J32-I32,0),0))</f>
        <v>0</v>
      </c>
      <c r="L32" s="2">
        <f t="shared" si="0"/>
        <v>1174.8591051078693</v>
      </c>
      <c r="M32">
        <f ca="1">IF(ROW()&lt;3,0,IF(Query1[[#This Row],[Month]]&lt;&gt;OFFSET(Query1[[#This Row],[Month]],-1,0),Dashboard!$J$5,0))</f>
        <v>0</v>
      </c>
      <c r="N32" s="2">
        <f ca="1">IF(ROW()&lt;3, Query1[[#This Row],[Shares]], IF(Query1[[#This Row],[Month]]&lt;&gt;H31, N31+Query1[[#This Row],[Fix Top Up]]/Query1[[#This Row],[Adj Close]], N31))</f>
        <v>1177.0803321000205</v>
      </c>
      <c r="O3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" s="2">
        <f ca="1">IF(ROW()&lt;3, Query1[[#This Row],[Shares]], IF(Query1[[#This Row],[Month]]&lt;&gt;H31, P31+Query1[[#This Row],[Enhanced top up]]/Query1[[#This Row],[Adj Close]], P31))</f>
        <v>1176.2865535937635</v>
      </c>
      <c r="Q32" s="2">
        <f>IFERROR(AVERAGE(
  IF(ROW()&gt;20, INDEX(G:G, ROW()-20), 0) :
  INDEX(G:G, ROW())
),0)</f>
        <v>441.45950317382813</v>
      </c>
    </row>
    <row r="33" spans="1:17" x14ac:dyDescent="0.3">
      <c r="A33" s="1">
        <v>45337</v>
      </c>
      <c r="B33">
        <v>458.89999389648438</v>
      </c>
      <c r="C33">
        <v>461.54000854492188</v>
      </c>
      <c r="D33">
        <v>458.42999267578125</v>
      </c>
      <c r="E33">
        <v>461.3900146484375</v>
      </c>
      <c r="F33">
        <v>5695700</v>
      </c>
      <c r="G33">
        <v>452.4312744140625</v>
      </c>
      <c r="H33" s="2">
        <f>MONTH(Query1[[#This Row],[Date]])</f>
        <v>2</v>
      </c>
      <c r="I33" s="3">
        <f>Query1[[#This Row],[Shares]]*Query1[[#This Row],[Adj Close]]</f>
        <v>531543.00218091824</v>
      </c>
      <c r="J33" s="3">
        <f>IF(ROW()&lt;3, Dashboard!$E$7, IF(Query1[[#This Row],[Month]]&lt;&gt;H32,J32*(1+Dashboard!$E$4)+Dashboard!$E$5,J32))</f>
        <v>507000</v>
      </c>
      <c r="K33">
        <f>IF(ROW()&lt;3, 0,IF(Query1[[#This Row],[Month]]&lt;&gt;H32,IF((J33-I33&gt;0),J33-I33,0),0))</f>
        <v>0</v>
      </c>
      <c r="L33" s="2">
        <f t="shared" si="0"/>
        <v>1174.8591051078693</v>
      </c>
      <c r="M33">
        <f ca="1">IF(ROW()&lt;3,0,IF(Query1[[#This Row],[Month]]&lt;&gt;OFFSET(Query1[[#This Row],[Month]],-1,0),Dashboard!$J$5,0))</f>
        <v>0</v>
      </c>
      <c r="N33" s="2">
        <f ca="1">IF(ROW()&lt;3, Query1[[#This Row],[Shares]], IF(Query1[[#This Row],[Month]]&lt;&gt;H32, N32+Query1[[#This Row],[Fix Top Up]]/Query1[[#This Row],[Adj Close]], N32))</f>
        <v>1177.0803321000205</v>
      </c>
      <c r="O3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" s="2">
        <f ca="1">IF(ROW()&lt;3, Query1[[#This Row],[Shares]], IF(Query1[[#This Row],[Month]]&lt;&gt;H32, P32+Query1[[#This Row],[Enhanced top up]]/Query1[[#This Row],[Adj Close]], P32))</f>
        <v>1176.2865535937635</v>
      </c>
      <c r="Q33" s="2">
        <f>IFERROR(AVERAGE(
  IF(ROW()&gt;20, INDEX(G:G, ROW()-20), 0) :
  INDEX(G:G, ROW())
),0)</f>
        <v>442.73519316173736</v>
      </c>
    </row>
    <row r="34" spans="1:17" x14ac:dyDescent="0.3">
      <c r="A34" s="1">
        <v>45338</v>
      </c>
      <c r="B34">
        <v>461.07998657226563</v>
      </c>
      <c r="C34">
        <v>462.14999389648438</v>
      </c>
      <c r="D34">
        <v>458.39999389648438</v>
      </c>
      <c r="E34">
        <v>459.02999877929688</v>
      </c>
      <c r="F34">
        <v>5527900</v>
      </c>
      <c r="G34">
        <v>450.11712646484375</v>
      </c>
      <c r="H34" s="2">
        <f>MONTH(Query1[[#This Row],[Date]])</f>
        <v>2</v>
      </c>
      <c r="I34" s="3">
        <f>Query1[[#This Row],[Shares]]*Query1[[#This Row],[Adj Close]]</f>
        <v>528824.20439221198</v>
      </c>
      <c r="J34" s="3">
        <f>IF(ROW()&lt;3, Dashboard!$E$7, IF(Query1[[#This Row],[Month]]&lt;&gt;H33,J33*(1+Dashboard!$E$4)+Dashboard!$E$5,J33))</f>
        <v>507000</v>
      </c>
      <c r="K34">
        <f>IF(ROW()&lt;3, 0,IF(Query1[[#This Row],[Month]]&lt;&gt;H33,IF((J34-I34&gt;0),J34-I34,0),0))</f>
        <v>0</v>
      </c>
      <c r="L34" s="2">
        <f t="shared" si="0"/>
        <v>1174.8591051078693</v>
      </c>
      <c r="M34">
        <f ca="1">IF(ROW()&lt;3,0,IF(Query1[[#This Row],[Month]]&lt;&gt;OFFSET(Query1[[#This Row],[Month]],-1,0),Dashboard!$J$5,0))</f>
        <v>0</v>
      </c>
      <c r="N34" s="2">
        <f ca="1">IF(ROW()&lt;3, Query1[[#This Row],[Shares]], IF(Query1[[#This Row],[Month]]&lt;&gt;H33, N33+Query1[[#This Row],[Fix Top Up]]/Query1[[#This Row],[Adj Close]], N33))</f>
        <v>1177.0803321000205</v>
      </c>
      <c r="O3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" s="2">
        <f ca="1">IF(ROW()&lt;3, Query1[[#This Row],[Shares]], IF(Query1[[#This Row],[Month]]&lt;&gt;H33, P33+Query1[[#This Row],[Enhanced top up]]/Query1[[#This Row],[Adj Close]], P33))</f>
        <v>1176.2865535937635</v>
      </c>
      <c r="Q34" s="2">
        <f>IFERROR(AVERAGE(
  IF(ROW()&gt;20, INDEX(G:G, ROW()-20), 0) :
  INDEX(G:G, ROW())
),0)</f>
        <v>443.72044590541293</v>
      </c>
    </row>
    <row r="35" spans="1:17" x14ac:dyDescent="0.3">
      <c r="A35" s="1">
        <v>45342</v>
      </c>
      <c r="B35">
        <v>457.44000244140625</v>
      </c>
      <c r="C35">
        <v>458.05999755859375</v>
      </c>
      <c r="D35">
        <v>454.42999267578125</v>
      </c>
      <c r="E35">
        <v>456.510009765625</v>
      </c>
      <c r="F35">
        <v>5306800</v>
      </c>
      <c r="G35">
        <v>447.64605712890625</v>
      </c>
      <c r="H35" s="2">
        <f>MONTH(Query1[[#This Row],[Date]])</f>
        <v>2</v>
      </c>
      <c r="I35" s="3">
        <f>Query1[[#This Row],[Shares]]*Query1[[#This Row],[Adj Close]]</f>
        <v>525921.04608353286</v>
      </c>
      <c r="J35" s="3">
        <f>IF(ROW()&lt;3, Dashboard!$E$7, IF(Query1[[#This Row],[Month]]&lt;&gt;H34,J34*(1+Dashboard!$E$4)+Dashboard!$E$5,J34))</f>
        <v>507000</v>
      </c>
      <c r="K35">
        <f>IF(ROW()&lt;3, 0,IF(Query1[[#This Row],[Month]]&lt;&gt;H34,IF((J35-I35&gt;0),J35-I35,0),0))</f>
        <v>0</v>
      </c>
      <c r="L35" s="2">
        <f t="shared" si="0"/>
        <v>1174.8591051078693</v>
      </c>
      <c r="M35">
        <f ca="1">IF(ROW()&lt;3,0,IF(Query1[[#This Row],[Month]]&lt;&gt;OFFSET(Query1[[#This Row],[Month]],-1,0),Dashboard!$J$5,0))</f>
        <v>0</v>
      </c>
      <c r="N35" s="2">
        <f ca="1">IF(ROW()&lt;3, Query1[[#This Row],[Shares]], IF(Query1[[#This Row],[Month]]&lt;&gt;H34, N34+Query1[[#This Row],[Fix Top Up]]/Query1[[#This Row],[Adj Close]], N34))</f>
        <v>1177.0803321000205</v>
      </c>
      <c r="O3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" s="2">
        <f ca="1">IF(ROW()&lt;3, Query1[[#This Row],[Shares]], IF(Query1[[#This Row],[Month]]&lt;&gt;H34, P34+Query1[[#This Row],[Enhanced top up]]/Query1[[#This Row],[Adj Close]], P34))</f>
        <v>1176.2865535937635</v>
      </c>
      <c r="Q35" s="2">
        <f>IFERROR(AVERAGE(
  IF(ROW()&gt;20, INDEX(G:G, ROW()-20), 0) :
  INDEX(G:G, ROW())
),0)</f>
        <v>444.33774384998139</v>
      </c>
    </row>
    <row r="36" spans="1:17" x14ac:dyDescent="0.3">
      <c r="A36" s="1">
        <v>45343</v>
      </c>
      <c r="B36">
        <v>455.32000732421875</v>
      </c>
      <c r="C36">
        <v>457.1199951171875</v>
      </c>
      <c r="D36">
        <v>453.60000610351563</v>
      </c>
      <c r="E36">
        <v>456.97000122070313</v>
      </c>
      <c r="F36">
        <v>4208600</v>
      </c>
      <c r="G36">
        <v>448.09710693359375</v>
      </c>
      <c r="H36" s="2">
        <f>MONTH(Query1[[#This Row],[Date]])</f>
        <v>2</v>
      </c>
      <c r="I36" s="3">
        <f>Query1[[#This Row],[Shares]]*Query1[[#This Row],[Adj Close]]</f>
        <v>526450.9660534272</v>
      </c>
      <c r="J36" s="3">
        <f>IF(ROW()&lt;3, Dashboard!$E$7, IF(Query1[[#This Row],[Month]]&lt;&gt;H35,J35*(1+Dashboard!$E$4)+Dashboard!$E$5,J35))</f>
        <v>507000</v>
      </c>
      <c r="K36">
        <f>IF(ROW()&lt;3, 0,IF(Query1[[#This Row],[Month]]&lt;&gt;H35,IF((J36-I36&gt;0),J36-I36,0),0))</f>
        <v>0</v>
      </c>
      <c r="L36" s="2">
        <f t="shared" si="0"/>
        <v>1174.8591051078693</v>
      </c>
      <c r="M36">
        <f ca="1">IF(ROW()&lt;3,0,IF(Query1[[#This Row],[Month]]&lt;&gt;OFFSET(Query1[[#This Row],[Month]],-1,0),Dashboard!$J$5,0))</f>
        <v>0</v>
      </c>
      <c r="N36" s="2">
        <f ca="1">IF(ROW()&lt;3, Query1[[#This Row],[Shares]], IF(Query1[[#This Row],[Month]]&lt;&gt;H35, N35+Query1[[#This Row],[Fix Top Up]]/Query1[[#This Row],[Adj Close]], N35))</f>
        <v>1177.0803321000205</v>
      </c>
      <c r="O3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" s="2">
        <f ca="1">IF(ROW()&lt;3, Query1[[#This Row],[Shares]], IF(Query1[[#This Row],[Month]]&lt;&gt;H35, P35+Query1[[#This Row],[Enhanced top up]]/Query1[[#This Row],[Adj Close]], P35))</f>
        <v>1176.2865535937635</v>
      </c>
      <c r="Q36" s="2">
        <f>IFERROR(AVERAGE(
  IF(ROW()&gt;20, INDEX(G:G, ROW()-20), 0) :
  INDEX(G:G, ROW())
),0)</f>
        <v>444.92936343238466</v>
      </c>
    </row>
    <row r="37" spans="1:17" x14ac:dyDescent="0.3">
      <c r="A37" s="1">
        <v>45344</v>
      </c>
      <c r="B37">
        <v>463.22000122070313</v>
      </c>
      <c r="C37">
        <v>467.32998657226563</v>
      </c>
      <c r="D37">
        <v>462.32000732421875</v>
      </c>
      <c r="E37">
        <v>466.57000732421875</v>
      </c>
      <c r="F37">
        <v>4328500</v>
      </c>
      <c r="G37">
        <v>457.51071166992188</v>
      </c>
      <c r="H37" s="2">
        <f>MONTH(Query1[[#This Row],[Date]])</f>
        <v>2</v>
      </c>
      <c r="I37" s="3">
        <f>Query1[[#This Row],[Shares]]*Query1[[#This Row],[Adj Close]]</f>
        <v>537510.62528978882</v>
      </c>
      <c r="J37" s="3">
        <f>IF(ROW()&lt;3, Dashboard!$E$7, IF(Query1[[#This Row],[Month]]&lt;&gt;H36,J36*(1+Dashboard!$E$4)+Dashboard!$E$5,J36))</f>
        <v>507000</v>
      </c>
      <c r="K37">
        <f>IF(ROW()&lt;3, 0,IF(Query1[[#This Row],[Month]]&lt;&gt;H36,IF((J37-I37&gt;0),J37-I37,0),0))</f>
        <v>0</v>
      </c>
      <c r="L37" s="2">
        <f t="shared" si="0"/>
        <v>1174.8591051078693</v>
      </c>
      <c r="M37">
        <f ca="1">IF(ROW()&lt;3,0,IF(Query1[[#This Row],[Month]]&lt;&gt;OFFSET(Query1[[#This Row],[Month]],-1,0),Dashboard!$J$5,0))</f>
        <v>0</v>
      </c>
      <c r="N37" s="2">
        <f ca="1">IF(ROW()&lt;3, Query1[[#This Row],[Shares]], IF(Query1[[#This Row],[Month]]&lt;&gt;H36, N36+Query1[[#This Row],[Fix Top Up]]/Query1[[#This Row],[Adj Close]], N36))</f>
        <v>1177.0803321000205</v>
      </c>
      <c r="O3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" s="2">
        <f ca="1">IF(ROW()&lt;3, Query1[[#This Row],[Shares]], IF(Query1[[#This Row],[Month]]&lt;&gt;H36, P36+Query1[[#This Row],[Enhanced top up]]/Query1[[#This Row],[Adj Close]], P36))</f>
        <v>1176.2865535937635</v>
      </c>
      <c r="Q37" s="2">
        <f>IFERROR(AVERAGE(
  IF(ROW()&gt;20, INDEX(G:G, ROW()-20), 0) :
  INDEX(G:G, ROW())
),0)</f>
        <v>445.90761166527159</v>
      </c>
    </row>
    <row r="38" spans="1:17" x14ac:dyDescent="0.3">
      <c r="A38" s="1">
        <v>45345</v>
      </c>
      <c r="B38">
        <v>468.08999633789063</v>
      </c>
      <c r="C38">
        <v>468.8699951171875</v>
      </c>
      <c r="D38">
        <v>466.08999633789063</v>
      </c>
      <c r="E38">
        <v>466.77999877929688</v>
      </c>
      <c r="F38">
        <v>4050600</v>
      </c>
      <c r="G38">
        <v>457.7166748046875</v>
      </c>
      <c r="H38" s="2">
        <f>MONTH(Query1[[#This Row],[Date]])</f>
        <v>2</v>
      </c>
      <c r="I38" s="3">
        <f>Query1[[#This Row],[Shares]]*Query1[[#This Row],[Adj Close]]</f>
        <v>537752.60295398475</v>
      </c>
      <c r="J38" s="3">
        <f>IF(ROW()&lt;3, Dashboard!$E$7, IF(Query1[[#This Row],[Month]]&lt;&gt;H37,J37*(1+Dashboard!$E$4)+Dashboard!$E$5,J37))</f>
        <v>507000</v>
      </c>
      <c r="K38">
        <f>IF(ROW()&lt;3, 0,IF(Query1[[#This Row],[Month]]&lt;&gt;H37,IF((J38-I38&gt;0),J38-I38,0),0))</f>
        <v>0</v>
      </c>
      <c r="L38" s="2">
        <f t="shared" si="0"/>
        <v>1174.8591051078693</v>
      </c>
      <c r="M38">
        <f ca="1">IF(ROW()&lt;3,0,IF(Query1[[#This Row],[Month]]&lt;&gt;OFFSET(Query1[[#This Row],[Month]],-1,0),Dashboard!$J$5,0))</f>
        <v>0</v>
      </c>
      <c r="N38" s="2">
        <f ca="1">IF(ROW()&lt;3, Query1[[#This Row],[Shares]], IF(Query1[[#This Row],[Month]]&lt;&gt;H37, N37+Query1[[#This Row],[Fix Top Up]]/Query1[[#This Row],[Adj Close]], N37))</f>
        <v>1177.0803321000205</v>
      </c>
      <c r="O3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" s="2">
        <f ca="1">IF(ROW()&lt;3, Query1[[#This Row],[Shares]], IF(Query1[[#This Row],[Month]]&lt;&gt;H37, P37+Query1[[#This Row],[Enhanced top up]]/Query1[[#This Row],[Adj Close]], P37))</f>
        <v>1176.2865535937635</v>
      </c>
      <c r="Q38" s="2">
        <f>IFERROR(AVERAGE(
  IF(ROW()&gt;20, INDEX(G:G, ROW()-20), 0) :
  INDEX(G:G, ROW())
),0)</f>
        <v>446.87839181082592</v>
      </c>
    </row>
    <row r="39" spans="1:17" x14ac:dyDescent="0.3">
      <c r="A39" s="1">
        <v>45348</v>
      </c>
      <c r="B39">
        <v>467.19000244140625</v>
      </c>
      <c r="C39">
        <v>467.58999633789063</v>
      </c>
      <c r="D39">
        <v>464.94000244140625</v>
      </c>
      <c r="E39">
        <v>465.07000732421875</v>
      </c>
      <c r="F39">
        <v>3450800</v>
      </c>
      <c r="G39">
        <v>456.03982543945313</v>
      </c>
      <c r="H39" s="2">
        <f>MONTH(Query1[[#This Row],[Date]])</f>
        <v>2</v>
      </c>
      <c r="I39" s="3">
        <f>Query1[[#This Row],[Shares]]*Query1[[#This Row],[Adj Close]]</f>
        <v>535782.54120934475</v>
      </c>
      <c r="J39" s="3">
        <f>IF(ROW()&lt;3, Dashboard!$E$7, IF(Query1[[#This Row],[Month]]&lt;&gt;H38,J38*(1+Dashboard!$E$4)+Dashboard!$E$5,J38))</f>
        <v>507000</v>
      </c>
      <c r="K39">
        <f>IF(ROW()&lt;3, 0,IF(Query1[[#This Row],[Month]]&lt;&gt;H38,IF((J39-I39&gt;0),J39-I39,0),0))</f>
        <v>0</v>
      </c>
      <c r="L39" s="2">
        <f t="shared" si="0"/>
        <v>1174.8591051078693</v>
      </c>
      <c r="M39">
        <f ca="1">IF(ROW()&lt;3,0,IF(Query1[[#This Row],[Month]]&lt;&gt;OFFSET(Query1[[#This Row],[Month]],-1,0),Dashboard!$J$5,0))</f>
        <v>0</v>
      </c>
      <c r="N39" s="2">
        <f ca="1">IF(ROW()&lt;3, Query1[[#This Row],[Shares]], IF(Query1[[#This Row],[Month]]&lt;&gt;H38, N38+Query1[[#This Row],[Fix Top Up]]/Query1[[#This Row],[Adj Close]], N38))</f>
        <v>1177.0803321000205</v>
      </c>
      <c r="O3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" s="2">
        <f ca="1">IF(ROW()&lt;3, Query1[[#This Row],[Shares]], IF(Query1[[#This Row],[Month]]&lt;&gt;H38, P38+Query1[[#This Row],[Enhanced top up]]/Query1[[#This Row],[Adj Close]], P38))</f>
        <v>1176.2865535937635</v>
      </c>
      <c r="Q39" s="2">
        <f>IFERROR(AVERAGE(
  IF(ROW()&gt;20, INDEX(G:G, ROW()-20), 0) :
  INDEX(G:G, ROW())
),0)</f>
        <v>447.65211995442706</v>
      </c>
    </row>
    <row r="40" spans="1:17" x14ac:dyDescent="0.3">
      <c r="A40" s="1">
        <v>45349</v>
      </c>
      <c r="B40">
        <v>465.70999145507813</v>
      </c>
      <c r="C40">
        <v>466.1199951171875</v>
      </c>
      <c r="D40">
        <v>463.91000366210938</v>
      </c>
      <c r="E40">
        <v>465.92999267578125</v>
      </c>
      <c r="F40">
        <v>3586900</v>
      </c>
      <c r="G40">
        <v>456.88314819335938</v>
      </c>
      <c r="H40" s="2">
        <f>MONTH(Query1[[#This Row],[Date]])</f>
        <v>2</v>
      </c>
      <c r="I40" s="3">
        <f>Query1[[#This Row],[Shares]]*Query1[[#This Row],[Adj Close]]</f>
        <v>536773.32662531617</v>
      </c>
      <c r="J40" s="3">
        <f>IF(ROW()&lt;3, Dashboard!$E$7, IF(Query1[[#This Row],[Month]]&lt;&gt;H39,J39*(1+Dashboard!$E$4)+Dashboard!$E$5,J39))</f>
        <v>507000</v>
      </c>
      <c r="K40">
        <f>IF(ROW()&lt;3, 0,IF(Query1[[#This Row],[Month]]&lt;&gt;H39,IF((J40-I40&gt;0),J40-I40,0),0))</f>
        <v>0</v>
      </c>
      <c r="L40" s="2">
        <f t="shared" si="0"/>
        <v>1174.8591051078693</v>
      </c>
      <c r="M40">
        <f ca="1">IF(ROW()&lt;3,0,IF(Query1[[#This Row],[Month]]&lt;&gt;OFFSET(Query1[[#This Row],[Month]],-1,0),Dashboard!$J$5,0))</f>
        <v>0</v>
      </c>
      <c r="N40" s="2">
        <f ca="1">IF(ROW()&lt;3, Query1[[#This Row],[Shares]], IF(Query1[[#This Row],[Month]]&lt;&gt;H39, N39+Query1[[#This Row],[Fix Top Up]]/Query1[[#This Row],[Adj Close]], N39))</f>
        <v>1177.0803321000205</v>
      </c>
      <c r="O4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" s="2">
        <f ca="1">IF(ROW()&lt;3, Query1[[#This Row],[Shares]], IF(Query1[[#This Row],[Month]]&lt;&gt;H39, P39+Query1[[#This Row],[Enhanced top up]]/Query1[[#This Row],[Adj Close]], P39))</f>
        <v>1176.2865535937635</v>
      </c>
      <c r="Q40" s="2">
        <f>IFERROR(AVERAGE(
  IF(ROW()&gt;20, INDEX(G:G, ROW()-20), 0) :
  INDEX(G:G, ROW())
),0)</f>
        <v>448.47861153738842</v>
      </c>
    </row>
    <row r="41" spans="1:17" x14ac:dyDescent="0.3">
      <c r="A41" s="1">
        <v>45350</v>
      </c>
      <c r="B41">
        <v>464.489990234375</v>
      </c>
      <c r="C41">
        <v>465.82998657226563</v>
      </c>
      <c r="D41">
        <v>464.1099853515625</v>
      </c>
      <c r="E41">
        <v>465.20999145507813</v>
      </c>
      <c r="F41">
        <v>2800600</v>
      </c>
      <c r="G41">
        <v>456.1771240234375</v>
      </c>
      <c r="H41" s="2">
        <f>MONTH(Query1[[#This Row],[Date]])</f>
        <v>2</v>
      </c>
      <c r="I41" s="3">
        <f>Query1[[#This Row],[Shares]]*Query1[[#This Row],[Adj Close]]</f>
        <v>535943.84770085732</v>
      </c>
      <c r="J41" s="3">
        <f>IF(ROW()&lt;3, Dashboard!$E$7, IF(Query1[[#This Row],[Month]]&lt;&gt;H40,J40*(1+Dashboard!$E$4)+Dashboard!$E$5,J40))</f>
        <v>507000</v>
      </c>
      <c r="K41">
        <f>IF(ROW()&lt;3, 0,IF(Query1[[#This Row],[Month]]&lt;&gt;H40,IF((J41-I41&gt;0),J41-I41,0),0))</f>
        <v>0</v>
      </c>
      <c r="L41" s="2">
        <f t="shared" si="0"/>
        <v>1174.8591051078693</v>
      </c>
      <c r="M41">
        <f ca="1">IF(ROW()&lt;3,0,IF(Query1[[#This Row],[Month]]&lt;&gt;OFFSET(Query1[[#This Row],[Month]],-1,0),Dashboard!$J$5,0))</f>
        <v>0</v>
      </c>
      <c r="N41" s="2">
        <f ca="1">IF(ROW()&lt;3, Query1[[#This Row],[Shares]], IF(Query1[[#This Row],[Month]]&lt;&gt;H40, N40+Query1[[#This Row],[Fix Top Up]]/Query1[[#This Row],[Adj Close]], N40))</f>
        <v>1177.0803321000205</v>
      </c>
      <c r="O4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" s="2">
        <f ca="1">IF(ROW()&lt;3, Query1[[#This Row],[Shares]], IF(Query1[[#This Row],[Month]]&lt;&gt;H40, P40+Query1[[#This Row],[Enhanced top up]]/Query1[[#This Row],[Adj Close]], P40))</f>
        <v>1176.2865535937635</v>
      </c>
      <c r="Q41" s="2">
        <f>IFERROR(AVERAGE(
  IF(ROW()&gt;20, INDEX(G:G, ROW()-20), 0) :
  INDEX(G:G, ROW())
),0)</f>
        <v>449.11925978887649</v>
      </c>
    </row>
    <row r="42" spans="1:17" x14ac:dyDescent="0.3">
      <c r="A42" s="1">
        <v>45351</v>
      </c>
      <c r="B42">
        <v>466.97000122070313</v>
      </c>
      <c r="C42">
        <v>468.489990234375</v>
      </c>
      <c r="D42">
        <v>464.47000122070313</v>
      </c>
      <c r="E42">
        <v>466.92999267578125</v>
      </c>
      <c r="F42">
        <v>7332900</v>
      </c>
      <c r="G42">
        <v>457.86370849609375</v>
      </c>
      <c r="H42" s="2">
        <f>MONTH(Query1[[#This Row],[Date]])</f>
        <v>2</v>
      </c>
      <c r="I42" s="3">
        <f>Query1[[#This Row],[Shares]]*Query1[[#This Row],[Adj Close]]</f>
        <v>537925.34682509105</v>
      </c>
      <c r="J42" s="3">
        <f>IF(ROW()&lt;3, Dashboard!$E$7, IF(Query1[[#This Row],[Month]]&lt;&gt;H41,J41*(1+Dashboard!$E$4)+Dashboard!$E$5,J41))</f>
        <v>507000</v>
      </c>
      <c r="K42">
        <f>IF(ROW()&lt;3, 0,IF(Query1[[#This Row],[Month]]&lt;&gt;H41,IF((J42-I42&gt;0),J42-I42,0),0))</f>
        <v>0</v>
      </c>
      <c r="L42" s="2">
        <f t="shared" si="0"/>
        <v>1174.8591051078693</v>
      </c>
      <c r="M42">
        <f ca="1">IF(ROW()&lt;3,0,IF(Query1[[#This Row],[Month]]&lt;&gt;OFFSET(Query1[[#This Row],[Month]],-1,0),Dashboard!$J$5,0))</f>
        <v>0</v>
      </c>
      <c r="N42" s="2">
        <f ca="1">IF(ROW()&lt;3, Query1[[#This Row],[Shares]], IF(Query1[[#This Row],[Month]]&lt;&gt;H41, N41+Query1[[#This Row],[Fix Top Up]]/Query1[[#This Row],[Adj Close]], N41))</f>
        <v>1177.0803321000205</v>
      </c>
      <c r="O4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" s="2">
        <f ca="1">IF(ROW()&lt;3, Query1[[#This Row],[Shares]], IF(Query1[[#This Row],[Month]]&lt;&gt;H41, P41+Query1[[#This Row],[Enhanced top up]]/Query1[[#This Row],[Adj Close]], P41))</f>
        <v>1176.2865535937635</v>
      </c>
      <c r="Q42" s="2">
        <f>IFERROR(AVERAGE(
  IF(ROW()&gt;20, INDEX(G:G, ROW()-20), 0) :
  INDEX(G:G, ROW())
),0)</f>
        <v>449.85516212100072</v>
      </c>
    </row>
    <row r="43" spans="1:17" x14ac:dyDescent="0.3">
      <c r="A43" s="1">
        <v>45352</v>
      </c>
      <c r="B43">
        <v>467.82998657226563</v>
      </c>
      <c r="C43">
        <v>471.76998901367188</v>
      </c>
      <c r="D43">
        <v>467.42999267578125</v>
      </c>
      <c r="E43">
        <v>471.42999267578125</v>
      </c>
      <c r="F43">
        <v>4839400</v>
      </c>
      <c r="G43">
        <v>462.2763671875</v>
      </c>
      <c r="H43" s="2">
        <f>MONTH(Query1[[#This Row],[Date]])</f>
        <v>3</v>
      </c>
      <c r="I43" s="3">
        <f>Query1[[#This Row],[Shares]]*Query1[[#This Row],[Adj Close]]</f>
        <v>543109.59906642302</v>
      </c>
      <c r="J43" s="3">
        <f>IF(ROW()&lt;3, Dashboard!$E$7, IF(Query1[[#This Row],[Month]]&lt;&gt;H42,J42*(1+Dashboard!$E$4)+Dashboard!$E$5,J42))</f>
        <v>514070</v>
      </c>
      <c r="K43">
        <f>IF(ROW()&lt;3, 0,IF(Query1[[#This Row],[Month]]&lt;&gt;H42,IF((J43-I43&gt;0),J43-I43,0),0))</f>
        <v>0</v>
      </c>
      <c r="L43" s="2">
        <f t="shared" si="0"/>
        <v>1174.8591051078693</v>
      </c>
      <c r="M43">
        <f ca="1">IF(ROW()&lt;3,0,IF(Query1[[#This Row],[Month]]&lt;&gt;OFFSET(Query1[[#This Row],[Month]],-1,0),Dashboard!$J$5,0))</f>
        <v>979.40350000000024</v>
      </c>
      <c r="N43" s="2">
        <f ca="1">IF(ROW()&lt;3, Query1[[#This Row],[Shares]], IF(Query1[[#This Row],[Month]]&lt;&gt;H42, N42+Query1[[#This Row],[Fix Top Up]]/Query1[[#This Row],[Adj Close]], N42))</f>
        <v>1179.1989857226547</v>
      </c>
      <c r="O4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43" s="2">
        <f ca="1">IF(ROW()&lt;3, Query1[[#This Row],[Shares]], IF(Query1[[#This Row],[Month]]&lt;&gt;H42, P42+Query1[[#This Row],[Enhanced top up]]/Query1[[#This Row],[Adj Close]], P42))</f>
        <v>1177.648084367723</v>
      </c>
      <c r="Q43" s="2">
        <f>IFERROR(AVERAGE(
  IF(ROW()&gt;20, INDEX(G:G, ROW()-20), 0) :
  INDEX(G:G, ROW())
),0)</f>
        <v>451.14439610072543</v>
      </c>
    </row>
    <row r="44" spans="1:17" x14ac:dyDescent="0.3">
      <c r="A44" s="1">
        <v>45355</v>
      </c>
      <c r="B44">
        <v>470.6099853515625</v>
      </c>
      <c r="C44">
        <v>472.60000610351563</v>
      </c>
      <c r="D44">
        <v>470.60000610351563</v>
      </c>
      <c r="E44">
        <v>470.8699951171875</v>
      </c>
      <c r="F44">
        <v>3970200</v>
      </c>
      <c r="G44">
        <v>461.72720336914063</v>
      </c>
      <c r="H44" s="2">
        <f>MONTH(Query1[[#This Row],[Date]])</f>
        <v>3</v>
      </c>
      <c r="I44" s="3">
        <f>Query1[[#This Row],[Shares]]*Query1[[#This Row],[Adj Close]]</f>
        <v>542464.40895422769</v>
      </c>
      <c r="J44" s="3">
        <f>IF(ROW()&lt;3, Dashboard!$E$7, IF(Query1[[#This Row],[Month]]&lt;&gt;H43,J43*(1+Dashboard!$E$4)+Dashboard!$E$5,J43))</f>
        <v>514070</v>
      </c>
      <c r="K44">
        <f>IF(ROW()&lt;3, 0,IF(Query1[[#This Row],[Month]]&lt;&gt;H43,IF((J44-I44&gt;0),J44-I44,0),0))</f>
        <v>0</v>
      </c>
      <c r="L44" s="2">
        <f t="shared" si="0"/>
        <v>1174.8591051078693</v>
      </c>
      <c r="M44">
        <f ca="1">IF(ROW()&lt;3,0,IF(Query1[[#This Row],[Month]]&lt;&gt;OFFSET(Query1[[#This Row],[Month]],-1,0),Dashboard!$J$5,0))</f>
        <v>0</v>
      </c>
      <c r="N44" s="2">
        <f ca="1">IF(ROW()&lt;3, Query1[[#This Row],[Shares]], IF(Query1[[#This Row],[Month]]&lt;&gt;H43, N43+Query1[[#This Row],[Fix Top Up]]/Query1[[#This Row],[Adj Close]], N43))</f>
        <v>1179.1989857226547</v>
      </c>
      <c r="O4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4" s="2">
        <f ca="1">IF(ROW()&lt;3, Query1[[#This Row],[Shares]], IF(Query1[[#This Row],[Month]]&lt;&gt;H43, P43+Query1[[#This Row],[Enhanced top up]]/Query1[[#This Row],[Adj Close]], P43))</f>
        <v>1177.648084367723</v>
      </c>
      <c r="Q44" s="2">
        <f>IFERROR(AVERAGE(
  IF(ROW()&gt;20, INDEX(G:G, ROW()-20), 0) :
  INDEX(G:G, ROW())
),0)</f>
        <v>452.13478451683409</v>
      </c>
    </row>
    <row r="45" spans="1:17" x14ac:dyDescent="0.3">
      <c r="A45" s="1">
        <v>45356</v>
      </c>
      <c r="B45">
        <v>468.95001220703125</v>
      </c>
      <c r="C45">
        <v>469.3800048828125</v>
      </c>
      <c r="D45">
        <v>464.05999755859375</v>
      </c>
      <c r="E45">
        <v>466.14999389648438</v>
      </c>
      <c r="F45">
        <v>4616500</v>
      </c>
      <c r="G45">
        <v>457.09884643554688</v>
      </c>
      <c r="H45" s="2">
        <f>MONTH(Query1[[#This Row],[Date]])</f>
        <v>3</v>
      </c>
      <c r="I45" s="3">
        <f>Query1[[#This Row],[Shares]]*Query1[[#This Row],[Adj Close]]</f>
        <v>537026.74166910595</v>
      </c>
      <c r="J45" s="3">
        <f>IF(ROW()&lt;3, Dashboard!$E$7, IF(Query1[[#This Row],[Month]]&lt;&gt;H44,J44*(1+Dashboard!$E$4)+Dashboard!$E$5,J44))</f>
        <v>514070</v>
      </c>
      <c r="K45">
        <f>IF(ROW()&lt;3, 0,IF(Query1[[#This Row],[Month]]&lt;&gt;H44,IF((J45-I45&gt;0),J45-I45,0),0))</f>
        <v>0</v>
      </c>
      <c r="L45" s="2">
        <f t="shared" si="0"/>
        <v>1174.8591051078693</v>
      </c>
      <c r="M45">
        <f ca="1">IF(ROW()&lt;3,0,IF(Query1[[#This Row],[Month]]&lt;&gt;OFFSET(Query1[[#This Row],[Month]],-1,0),Dashboard!$J$5,0))</f>
        <v>0</v>
      </c>
      <c r="N45" s="2">
        <f ca="1">IF(ROW()&lt;3, Query1[[#This Row],[Shares]], IF(Query1[[#This Row],[Month]]&lt;&gt;H44, N44+Query1[[#This Row],[Fix Top Up]]/Query1[[#This Row],[Adj Close]], N44))</f>
        <v>1179.1989857226547</v>
      </c>
      <c r="O4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5" s="2">
        <f ca="1">IF(ROW()&lt;3, Query1[[#This Row],[Shares]], IF(Query1[[#This Row],[Month]]&lt;&gt;H44, P44+Query1[[#This Row],[Enhanced top up]]/Query1[[#This Row],[Adj Close]], P44))</f>
        <v>1177.648084367723</v>
      </c>
      <c r="Q45" s="2">
        <f>IFERROR(AVERAGE(
  IF(ROW()&gt;20, INDEX(G:G, ROW()-20), 0) :
  INDEX(G:G, ROW())
),0)</f>
        <v>452.68904767717635</v>
      </c>
    </row>
    <row r="46" spans="1:17" x14ac:dyDescent="0.3">
      <c r="A46" s="1">
        <v>45357</v>
      </c>
      <c r="B46">
        <v>469.25</v>
      </c>
      <c r="C46">
        <v>470.66000366210938</v>
      </c>
      <c r="D46">
        <v>467.32000732421875</v>
      </c>
      <c r="E46">
        <v>468.6199951171875</v>
      </c>
      <c r="F46">
        <v>5325100</v>
      </c>
      <c r="G46">
        <v>459.52090454101563</v>
      </c>
      <c r="H46" s="2">
        <f>MONTH(Query1[[#This Row],[Date]])</f>
        <v>3</v>
      </c>
      <c r="I46" s="3">
        <f>Query1[[#This Row],[Shares]]*Query1[[#This Row],[Adj Close]]</f>
        <v>539872.31868741626</v>
      </c>
      <c r="J46" s="3">
        <f>IF(ROW()&lt;3, Dashboard!$E$7, IF(Query1[[#This Row],[Month]]&lt;&gt;H45,J45*(1+Dashboard!$E$4)+Dashboard!$E$5,J45))</f>
        <v>514070</v>
      </c>
      <c r="K46">
        <f>IF(ROW()&lt;3, 0,IF(Query1[[#This Row],[Month]]&lt;&gt;H45,IF((J46-I46&gt;0),J46-I46,0),0))</f>
        <v>0</v>
      </c>
      <c r="L46" s="2">
        <f t="shared" si="0"/>
        <v>1174.8591051078693</v>
      </c>
      <c r="M46">
        <f ca="1">IF(ROW()&lt;3,0,IF(Query1[[#This Row],[Month]]&lt;&gt;OFFSET(Query1[[#This Row],[Month]],-1,0),Dashboard!$J$5,0))</f>
        <v>0</v>
      </c>
      <c r="N46" s="2">
        <f ca="1">IF(ROW()&lt;3, Query1[[#This Row],[Shares]], IF(Query1[[#This Row],[Month]]&lt;&gt;H45, N45+Query1[[#This Row],[Fix Top Up]]/Query1[[#This Row],[Adj Close]], N45))</f>
        <v>1179.1989857226547</v>
      </c>
      <c r="O4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6" s="2">
        <f ca="1">IF(ROW()&lt;3, Query1[[#This Row],[Shares]], IF(Query1[[#This Row],[Month]]&lt;&gt;H45, P45+Query1[[#This Row],[Enhanced top up]]/Query1[[#This Row],[Adj Close]], P45))</f>
        <v>1177.648084367723</v>
      </c>
      <c r="Q46" s="2">
        <f>IFERROR(AVERAGE(
  IF(ROW()&gt;20, INDEX(G:G, ROW()-20), 0) :
  INDEX(G:G, ROW())
),0)</f>
        <v>453.43615867978053</v>
      </c>
    </row>
    <row r="47" spans="1:17" x14ac:dyDescent="0.3">
      <c r="A47" s="1">
        <v>45358</v>
      </c>
      <c r="B47">
        <v>471.6300048828125</v>
      </c>
      <c r="C47">
        <v>474.19000244140625</v>
      </c>
      <c r="D47">
        <v>470.77999877929688</v>
      </c>
      <c r="E47">
        <v>473.260009765625</v>
      </c>
      <c r="F47">
        <v>7149800</v>
      </c>
      <c r="G47">
        <v>464.07083129882813</v>
      </c>
      <c r="H47" s="2">
        <f>MONTH(Query1[[#This Row],[Date]])</f>
        <v>3</v>
      </c>
      <c r="I47" s="3">
        <f>Query1[[#This Row],[Shares]]*Query1[[#This Row],[Adj Close]]</f>
        <v>545217.84156640619</v>
      </c>
      <c r="J47" s="3">
        <f>IF(ROW()&lt;3, Dashboard!$E$7, IF(Query1[[#This Row],[Month]]&lt;&gt;H46,J46*(1+Dashboard!$E$4)+Dashboard!$E$5,J46))</f>
        <v>514070</v>
      </c>
      <c r="K47">
        <f>IF(ROW()&lt;3, 0,IF(Query1[[#This Row],[Month]]&lt;&gt;H46,IF((J47-I47&gt;0),J47-I47,0),0))</f>
        <v>0</v>
      </c>
      <c r="L47" s="2">
        <f t="shared" si="0"/>
        <v>1174.8591051078693</v>
      </c>
      <c r="M47">
        <f ca="1">IF(ROW()&lt;3,0,IF(Query1[[#This Row],[Month]]&lt;&gt;OFFSET(Query1[[#This Row],[Month]],-1,0),Dashboard!$J$5,0))</f>
        <v>0</v>
      </c>
      <c r="N47" s="2">
        <f ca="1">IF(ROW()&lt;3, Query1[[#This Row],[Shares]], IF(Query1[[#This Row],[Month]]&lt;&gt;H46, N46+Query1[[#This Row],[Fix Top Up]]/Query1[[#This Row],[Adj Close]], N46))</f>
        <v>1179.1989857226547</v>
      </c>
      <c r="O4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7" s="2">
        <f ca="1">IF(ROW()&lt;3, Query1[[#This Row],[Shares]], IF(Query1[[#This Row],[Month]]&lt;&gt;H46, P46+Query1[[#This Row],[Enhanced top up]]/Query1[[#This Row],[Adj Close]], P46))</f>
        <v>1177.648084367723</v>
      </c>
      <c r="Q47" s="2">
        <f>IFERROR(AVERAGE(
  IF(ROW()&gt;20, INDEX(G:G, ROW()-20), 0) :
  INDEX(G:G, ROW())
),0)</f>
        <v>454.33409336635043</v>
      </c>
    </row>
    <row r="48" spans="1:17" x14ac:dyDescent="0.3">
      <c r="A48" s="1">
        <v>45359</v>
      </c>
      <c r="B48">
        <v>473.76998901367188</v>
      </c>
      <c r="C48">
        <v>476.29998779296875</v>
      </c>
      <c r="D48">
        <v>469.82000732421875</v>
      </c>
      <c r="E48">
        <v>470.3900146484375</v>
      </c>
      <c r="F48">
        <v>6285600</v>
      </c>
      <c r="G48">
        <v>461.256591796875</v>
      </c>
      <c r="H48" s="2">
        <f>MONTH(Query1[[#This Row],[Date]])</f>
        <v>3</v>
      </c>
      <c r="I48" s="3">
        <f>Query1[[#This Row],[Shares]]*Query1[[#This Row],[Adj Close]]</f>
        <v>541911.50666358229</v>
      </c>
      <c r="J48" s="3">
        <f>IF(ROW()&lt;3, Dashboard!$E$7, IF(Query1[[#This Row],[Month]]&lt;&gt;H47,J47*(1+Dashboard!$E$4)+Dashboard!$E$5,J47))</f>
        <v>514070</v>
      </c>
      <c r="K48">
        <f>IF(ROW()&lt;3, 0,IF(Query1[[#This Row],[Month]]&lt;&gt;H47,IF((J48-I48&gt;0),J48-I48,0),0))</f>
        <v>0</v>
      </c>
      <c r="L48" s="2">
        <f t="shared" si="0"/>
        <v>1174.8591051078693</v>
      </c>
      <c r="M48">
        <f ca="1">IF(ROW()&lt;3,0,IF(Query1[[#This Row],[Month]]&lt;&gt;OFFSET(Query1[[#This Row],[Month]],-1,0),Dashboard!$J$5,0))</f>
        <v>0</v>
      </c>
      <c r="N48" s="2">
        <f ca="1">IF(ROW()&lt;3, Query1[[#This Row],[Shares]], IF(Query1[[#This Row],[Month]]&lt;&gt;H47, N47+Query1[[#This Row],[Fix Top Up]]/Query1[[#This Row],[Adj Close]], N47))</f>
        <v>1179.1989857226547</v>
      </c>
      <c r="O4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8" s="2">
        <f ca="1">IF(ROW()&lt;3, Query1[[#This Row],[Shares]], IF(Query1[[#This Row],[Month]]&lt;&gt;H47, P47+Query1[[#This Row],[Enhanced top up]]/Query1[[#This Row],[Adj Close]], P47))</f>
        <v>1177.648084367723</v>
      </c>
      <c r="Q48" s="2">
        <f>IFERROR(AVERAGE(
  IF(ROW()&gt;20, INDEX(G:G, ROW()-20), 0) :
  INDEX(G:G, ROW())
),0)</f>
        <v>454.92384556361606</v>
      </c>
    </row>
    <row r="49" spans="1:17" x14ac:dyDescent="0.3">
      <c r="A49" s="1">
        <v>45362</v>
      </c>
      <c r="B49">
        <v>469.20001220703125</v>
      </c>
      <c r="C49">
        <v>470.45999145507813</v>
      </c>
      <c r="D49">
        <v>467.3900146484375</v>
      </c>
      <c r="E49">
        <v>470</v>
      </c>
      <c r="F49">
        <v>5323900</v>
      </c>
      <c r="G49">
        <v>460.87411499023438</v>
      </c>
      <c r="H49" s="2">
        <f>MONTH(Query1[[#This Row],[Date]])</f>
        <v>3</v>
      </c>
      <c r="I49" s="3">
        <f>Query1[[#This Row],[Shares]]*Query1[[#This Row],[Adj Close]]</f>
        <v>541462.15030480793</v>
      </c>
      <c r="J49" s="3">
        <f>IF(ROW()&lt;3, Dashboard!$E$7, IF(Query1[[#This Row],[Month]]&lt;&gt;H48,J48*(1+Dashboard!$E$4)+Dashboard!$E$5,J48))</f>
        <v>514070</v>
      </c>
      <c r="K49">
        <f>IF(ROW()&lt;3, 0,IF(Query1[[#This Row],[Month]]&lt;&gt;H48,IF((J49-I49&gt;0),J49-I49,0),0))</f>
        <v>0</v>
      </c>
      <c r="L49" s="2">
        <f t="shared" si="0"/>
        <v>1174.8591051078693</v>
      </c>
      <c r="M49">
        <f ca="1">IF(ROW()&lt;3,0,IF(Query1[[#This Row],[Month]]&lt;&gt;OFFSET(Query1[[#This Row],[Month]],-1,0),Dashboard!$J$5,0))</f>
        <v>0</v>
      </c>
      <c r="N49" s="2">
        <f ca="1">IF(ROW()&lt;3, Query1[[#This Row],[Shares]], IF(Query1[[#This Row],[Month]]&lt;&gt;H48, N48+Query1[[#This Row],[Fix Top Up]]/Query1[[#This Row],[Adj Close]], N48))</f>
        <v>1179.1989857226547</v>
      </c>
      <c r="O4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9" s="2">
        <f ca="1">IF(ROW()&lt;3, Query1[[#This Row],[Shares]], IF(Query1[[#This Row],[Month]]&lt;&gt;H48, P48+Query1[[#This Row],[Enhanced top up]]/Query1[[#This Row],[Adj Close]], P48))</f>
        <v>1177.648084367723</v>
      </c>
      <c r="Q49" s="2">
        <f>IFERROR(AVERAGE(
  IF(ROW()&gt;20, INDEX(G:G, ROW()-20), 0) :
  INDEX(G:G, ROW())
),0)</f>
        <v>455.4809105282738</v>
      </c>
    </row>
    <row r="50" spans="1:17" x14ac:dyDescent="0.3">
      <c r="A50" s="1">
        <v>45363</v>
      </c>
      <c r="B50">
        <v>471.92001342773438</v>
      </c>
      <c r="C50">
        <v>475.54998779296875</v>
      </c>
      <c r="D50">
        <v>469.57000732421875</v>
      </c>
      <c r="E50">
        <v>475.02999877929688</v>
      </c>
      <c r="F50">
        <v>4811000</v>
      </c>
      <c r="G50">
        <v>465.80648803710938</v>
      </c>
      <c r="H50" s="2">
        <f>MONTH(Query1[[#This Row],[Date]])</f>
        <v>3</v>
      </c>
      <c r="I50" s="3">
        <f>Query1[[#This Row],[Shares]]*Query1[[#This Row],[Adj Close]]</f>
        <v>547256.99368871772</v>
      </c>
      <c r="J50" s="3">
        <f>IF(ROW()&lt;3, Dashboard!$E$7, IF(Query1[[#This Row],[Month]]&lt;&gt;H49,J49*(1+Dashboard!$E$4)+Dashboard!$E$5,J49))</f>
        <v>514070</v>
      </c>
      <c r="K50">
        <f>IF(ROW()&lt;3, 0,IF(Query1[[#This Row],[Month]]&lt;&gt;H49,IF((J50-I50&gt;0),J50-I50,0),0))</f>
        <v>0</v>
      </c>
      <c r="L50" s="2">
        <f t="shared" si="0"/>
        <v>1174.8591051078693</v>
      </c>
      <c r="M50">
        <f ca="1">IF(ROW()&lt;3,0,IF(Query1[[#This Row],[Month]]&lt;&gt;OFFSET(Query1[[#This Row],[Month]],-1,0),Dashboard!$J$5,0))</f>
        <v>0</v>
      </c>
      <c r="N50" s="2">
        <f ca="1">IF(ROW()&lt;3, Query1[[#This Row],[Shares]], IF(Query1[[#This Row],[Month]]&lt;&gt;H49, N49+Query1[[#This Row],[Fix Top Up]]/Query1[[#This Row],[Adj Close]], N49))</f>
        <v>1179.1989857226547</v>
      </c>
      <c r="O5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0" s="2">
        <f ca="1">IF(ROW()&lt;3, Query1[[#This Row],[Shares]], IF(Query1[[#This Row],[Month]]&lt;&gt;H49, P49+Query1[[#This Row],[Enhanced top up]]/Query1[[#This Row],[Adj Close]], P49))</f>
        <v>1177.648084367723</v>
      </c>
      <c r="Q50" s="2">
        <f>IFERROR(AVERAGE(
  IF(ROW()&gt;20, INDEX(G:G, ROW()-20), 0) :
  INDEX(G:G, ROW())
),0)</f>
        <v>456.15144420805433</v>
      </c>
    </row>
    <row r="51" spans="1:17" x14ac:dyDescent="0.3">
      <c r="A51" s="1">
        <v>45364</v>
      </c>
      <c r="B51">
        <v>475.30999755859375</v>
      </c>
      <c r="C51">
        <v>475.47000122070313</v>
      </c>
      <c r="D51">
        <v>472.89999389648438</v>
      </c>
      <c r="E51">
        <v>474.30999755859375</v>
      </c>
      <c r="F51">
        <v>3544500</v>
      </c>
      <c r="G51">
        <v>465.10040283203125</v>
      </c>
      <c r="H51" s="2">
        <f>MONTH(Query1[[#This Row],[Date]])</f>
        <v>3</v>
      </c>
      <c r="I51" s="3">
        <f>Query1[[#This Row],[Shares]]*Query1[[#This Row],[Adj Close]]</f>
        <v>546427.44305654976</v>
      </c>
      <c r="J51" s="3">
        <f>IF(ROW()&lt;3, Dashboard!$E$7, IF(Query1[[#This Row],[Month]]&lt;&gt;H50,J50*(1+Dashboard!$E$4)+Dashboard!$E$5,J50))</f>
        <v>514070</v>
      </c>
      <c r="K51">
        <f>IF(ROW()&lt;3, 0,IF(Query1[[#This Row],[Month]]&lt;&gt;H50,IF((J51-I51&gt;0),J51-I51,0),0))</f>
        <v>0</v>
      </c>
      <c r="L51" s="2">
        <f t="shared" si="0"/>
        <v>1174.8591051078693</v>
      </c>
      <c r="M51">
        <f ca="1">IF(ROW()&lt;3,0,IF(Query1[[#This Row],[Month]]&lt;&gt;OFFSET(Query1[[#This Row],[Month]],-1,0),Dashboard!$J$5,0))</f>
        <v>0</v>
      </c>
      <c r="N51" s="2">
        <f ca="1">IF(ROW()&lt;3, Query1[[#This Row],[Shares]], IF(Query1[[#This Row],[Month]]&lt;&gt;H50, N50+Query1[[#This Row],[Fix Top Up]]/Query1[[#This Row],[Adj Close]], N50))</f>
        <v>1179.1989857226547</v>
      </c>
      <c r="O5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1" s="2">
        <f ca="1">IF(ROW()&lt;3, Query1[[#This Row],[Shares]], IF(Query1[[#This Row],[Month]]&lt;&gt;H50, P50+Query1[[#This Row],[Enhanced top up]]/Query1[[#This Row],[Adj Close]], P50))</f>
        <v>1177.648084367723</v>
      </c>
      <c r="Q51" s="2">
        <f>IFERROR(AVERAGE(
  IF(ROW()&gt;20, INDEX(G:G, ROW()-20), 0) :
  INDEX(G:G, ROW())
),0)</f>
        <v>456.79816109793529</v>
      </c>
    </row>
    <row r="52" spans="1:17" x14ac:dyDescent="0.3">
      <c r="A52" s="1">
        <v>45365</v>
      </c>
      <c r="B52">
        <v>475.16000366210938</v>
      </c>
      <c r="C52">
        <v>475.32998657226563</v>
      </c>
      <c r="D52">
        <v>470.45001220703125</v>
      </c>
      <c r="E52">
        <v>473.26998901367188</v>
      </c>
      <c r="F52">
        <v>5153000</v>
      </c>
      <c r="G52">
        <v>464.08062744140625</v>
      </c>
      <c r="H52" s="2">
        <f>MONTH(Query1[[#This Row],[Date]])</f>
        <v>3</v>
      </c>
      <c r="I52" s="3">
        <f>Query1[[#This Row],[Shares]]*Query1[[#This Row],[Adj Close]]</f>
        <v>545229.35065370903</v>
      </c>
      <c r="J52" s="3">
        <f>IF(ROW()&lt;3, Dashboard!$E$7, IF(Query1[[#This Row],[Month]]&lt;&gt;H51,J51*(1+Dashboard!$E$4)+Dashboard!$E$5,J51))</f>
        <v>514070</v>
      </c>
      <c r="K52">
        <f>IF(ROW()&lt;3, 0,IF(Query1[[#This Row],[Month]]&lt;&gt;H51,IF((J52-I52&gt;0),J52-I52,0),0))</f>
        <v>0</v>
      </c>
      <c r="L52" s="2">
        <f t="shared" si="0"/>
        <v>1174.8591051078693</v>
      </c>
      <c r="M52">
        <f ca="1">IF(ROW()&lt;3,0,IF(Query1[[#This Row],[Month]]&lt;&gt;OFFSET(Query1[[#This Row],[Month]],-1,0),Dashboard!$J$5,0))</f>
        <v>0</v>
      </c>
      <c r="N52" s="2">
        <f ca="1">IF(ROW()&lt;3, Query1[[#This Row],[Shares]], IF(Query1[[#This Row],[Month]]&lt;&gt;H51, N51+Query1[[#This Row],[Fix Top Up]]/Query1[[#This Row],[Adj Close]], N51))</f>
        <v>1179.1989857226547</v>
      </c>
      <c r="O5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2" s="2">
        <f ca="1">IF(ROW()&lt;3, Query1[[#This Row],[Shares]], IF(Query1[[#This Row],[Month]]&lt;&gt;H51, P51+Query1[[#This Row],[Enhanced top up]]/Query1[[#This Row],[Adj Close]], P51))</f>
        <v>1177.648084367723</v>
      </c>
      <c r="Q52" s="2">
        <f>IFERROR(AVERAGE(
  IF(ROW()&gt;20, INDEX(G:G, ROW()-20), 0) :
  INDEX(G:G, ROW())
),0)</f>
        <v>457.69936407180057</v>
      </c>
    </row>
    <row r="53" spans="1:17" x14ac:dyDescent="0.3">
      <c r="A53" s="1">
        <v>45366</v>
      </c>
      <c r="B53">
        <v>470.41000366210938</v>
      </c>
      <c r="C53">
        <v>471.77999877929688</v>
      </c>
      <c r="D53">
        <v>468.72000122070313</v>
      </c>
      <c r="E53">
        <v>470.010009765625</v>
      </c>
      <c r="F53">
        <v>6807100</v>
      </c>
      <c r="G53">
        <v>460.88394165039063</v>
      </c>
      <c r="H53" s="2">
        <f>MONTH(Query1[[#This Row],[Date]])</f>
        <v>3</v>
      </c>
      <c r="I53" s="3">
        <f>Query1[[#This Row],[Shares]]*Query1[[#This Row],[Adj Close]]</f>
        <v>541473.69524596538</v>
      </c>
      <c r="J53" s="3">
        <f>IF(ROW()&lt;3, Dashboard!$E$7, IF(Query1[[#This Row],[Month]]&lt;&gt;H52,J52*(1+Dashboard!$E$4)+Dashboard!$E$5,J52))</f>
        <v>514070</v>
      </c>
      <c r="K53">
        <f>IF(ROW()&lt;3, 0,IF(Query1[[#This Row],[Month]]&lt;&gt;H52,IF((J53-I53&gt;0),J53-I53,0),0))</f>
        <v>0</v>
      </c>
      <c r="L53" s="2">
        <f t="shared" si="0"/>
        <v>1174.8591051078693</v>
      </c>
      <c r="M53">
        <f ca="1">IF(ROW()&lt;3,0,IF(Query1[[#This Row],[Month]]&lt;&gt;OFFSET(Query1[[#This Row],[Month]],-1,0),Dashboard!$J$5,0))</f>
        <v>0</v>
      </c>
      <c r="N53" s="2">
        <f ca="1">IF(ROW()&lt;3, Query1[[#This Row],[Shares]], IF(Query1[[#This Row],[Month]]&lt;&gt;H52, N52+Query1[[#This Row],[Fix Top Up]]/Query1[[#This Row],[Adj Close]], N52))</f>
        <v>1179.1989857226547</v>
      </c>
      <c r="O5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3" s="2">
        <f ca="1">IF(ROW()&lt;3, Query1[[#This Row],[Shares]], IF(Query1[[#This Row],[Month]]&lt;&gt;H52, P52+Query1[[#This Row],[Enhanced top up]]/Query1[[#This Row],[Adj Close]], P52))</f>
        <v>1177.648084367723</v>
      </c>
      <c r="Q53" s="2">
        <f>IFERROR(AVERAGE(
  IF(ROW()&gt;20, INDEX(G:G, ROW()-20), 0) :
  INDEX(G:G, ROW())
),0)</f>
        <v>458.24662272135419</v>
      </c>
    </row>
    <row r="54" spans="1:17" x14ac:dyDescent="0.3">
      <c r="A54" s="1">
        <v>45369</v>
      </c>
      <c r="B54">
        <v>473.95001220703125</v>
      </c>
      <c r="C54">
        <v>475.27999877929688</v>
      </c>
      <c r="D54">
        <v>472.5</v>
      </c>
      <c r="E54">
        <v>472.95001220703125</v>
      </c>
      <c r="F54">
        <v>3939100</v>
      </c>
      <c r="G54">
        <v>463.766845703125</v>
      </c>
      <c r="H54" s="2">
        <f>MONTH(Query1[[#This Row],[Date]])</f>
        <v>3</v>
      </c>
      <c r="I54" s="3">
        <f>Query1[[#This Row],[Shares]]*Query1[[#This Row],[Adj Close]]</f>
        <v>544860.70132147276</v>
      </c>
      <c r="J54" s="3">
        <f>IF(ROW()&lt;3, Dashboard!$E$7, IF(Query1[[#This Row],[Month]]&lt;&gt;H53,J53*(1+Dashboard!$E$4)+Dashboard!$E$5,J53))</f>
        <v>514070</v>
      </c>
      <c r="K54">
        <f>IF(ROW()&lt;3, 0,IF(Query1[[#This Row],[Month]]&lt;&gt;H53,IF((J54-I54&gt;0),J54-I54,0),0))</f>
        <v>0</v>
      </c>
      <c r="L54" s="2">
        <f t="shared" si="0"/>
        <v>1174.8591051078693</v>
      </c>
      <c r="M54">
        <f ca="1">IF(ROW()&lt;3,0,IF(Query1[[#This Row],[Month]]&lt;&gt;OFFSET(Query1[[#This Row],[Month]],-1,0),Dashboard!$J$5,0))</f>
        <v>0</v>
      </c>
      <c r="N54" s="2">
        <f ca="1">IF(ROW()&lt;3, Query1[[#This Row],[Shares]], IF(Query1[[#This Row],[Month]]&lt;&gt;H53, N53+Query1[[#This Row],[Fix Top Up]]/Query1[[#This Row],[Adj Close]], N53))</f>
        <v>1179.1989857226547</v>
      </c>
      <c r="O5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4" s="2">
        <f ca="1">IF(ROW()&lt;3, Query1[[#This Row],[Shares]], IF(Query1[[#This Row],[Month]]&lt;&gt;H53, P53+Query1[[#This Row],[Enhanced top up]]/Query1[[#This Row],[Adj Close]], P53))</f>
        <v>1177.648084367723</v>
      </c>
      <c r="Q54" s="2">
        <f>IFERROR(AVERAGE(
  IF(ROW()&gt;20, INDEX(G:G, ROW()-20), 0) :
  INDEX(G:G, ROW())
),0)</f>
        <v>458.78641183035717</v>
      </c>
    </row>
    <row r="55" spans="1:17" x14ac:dyDescent="0.3">
      <c r="A55" s="1">
        <v>45370</v>
      </c>
      <c r="B55">
        <v>472.20001220703125</v>
      </c>
      <c r="C55">
        <v>475.739990234375</v>
      </c>
      <c r="D55">
        <v>471.29000854492188</v>
      </c>
      <c r="E55">
        <v>475.60000610351563</v>
      </c>
      <c r="F55">
        <v>4550200</v>
      </c>
      <c r="G55">
        <v>466.36541748046875</v>
      </c>
      <c r="H55" s="2">
        <f>MONTH(Query1[[#This Row],[Date]])</f>
        <v>3</v>
      </c>
      <c r="I55" s="3">
        <f>Query1[[#This Row],[Shares]]*Query1[[#This Row],[Adj Close]]</f>
        <v>547913.65703436139</v>
      </c>
      <c r="J55" s="3">
        <f>IF(ROW()&lt;3, Dashboard!$E$7, IF(Query1[[#This Row],[Month]]&lt;&gt;H54,J54*(1+Dashboard!$E$4)+Dashboard!$E$5,J54))</f>
        <v>514070</v>
      </c>
      <c r="K55">
        <f>IF(ROW()&lt;3, 0,IF(Query1[[#This Row],[Month]]&lt;&gt;H54,IF((J55-I55&gt;0),J55-I55,0),0))</f>
        <v>0</v>
      </c>
      <c r="L55" s="2">
        <f t="shared" si="0"/>
        <v>1174.8591051078693</v>
      </c>
      <c r="M55">
        <f ca="1">IF(ROW()&lt;3,0,IF(Query1[[#This Row],[Month]]&lt;&gt;OFFSET(Query1[[#This Row],[Month]],-1,0),Dashboard!$J$5,0))</f>
        <v>0</v>
      </c>
      <c r="N55" s="2">
        <f ca="1">IF(ROW()&lt;3, Query1[[#This Row],[Shares]], IF(Query1[[#This Row],[Month]]&lt;&gt;H54, N54+Query1[[#This Row],[Fix Top Up]]/Query1[[#This Row],[Adj Close]], N54))</f>
        <v>1179.1989857226547</v>
      </c>
      <c r="O5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5" s="2">
        <f ca="1">IF(ROW()&lt;3, Query1[[#This Row],[Shares]], IF(Query1[[#This Row],[Month]]&lt;&gt;H54, P54+Query1[[#This Row],[Enhanced top up]]/Query1[[#This Row],[Adj Close]], P54))</f>
        <v>1177.648084367723</v>
      </c>
      <c r="Q55" s="2">
        <f>IFERROR(AVERAGE(
  IF(ROW()&gt;20, INDEX(G:G, ROW()-20), 0) :
  INDEX(G:G, ROW())
),0)</f>
        <v>459.56013997395831</v>
      </c>
    </row>
    <row r="56" spans="1:17" x14ac:dyDescent="0.3">
      <c r="A56" s="1">
        <v>45371</v>
      </c>
      <c r="B56">
        <v>475.54000854492188</v>
      </c>
      <c r="C56">
        <v>480.01998901367188</v>
      </c>
      <c r="D56">
        <v>474.92999267578125</v>
      </c>
      <c r="E56">
        <v>479.75</v>
      </c>
      <c r="F56">
        <v>6179400</v>
      </c>
      <c r="G56">
        <v>470.434814453125</v>
      </c>
      <c r="H56" s="2">
        <f>MONTH(Query1[[#This Row],[Date]])</f>
        <v>3</v>
      </c>
      <c r="I56" s="3">
        <f>Query1[[#This Row],[Shares]]*Query1[[#This Row],[Adj Close]]</f>
        <v>552694.62511998496</v>
      </c>
      <c r="J56" s="3">
        <f>IF(ROW()&lt;3, Dashboard!$E$7, IF(Query1[[#This Row],[Month]]&lt;&gt;H55,J55*(1+Dashboard!$E$4)+Dashboard!$E$5,J55))</f>
        <v>514070</v>
      </c>
      <c r="K56">
        <f>IF(ROW()&lt;3, 0,IF(Query1[[#This Row],[Month]]&lt;&gt;H55,IF((J56-I56&gt;0),J56-I56,0),0))</f>
        <v>0</v>
      </c>
      <c r="L56" s="2">
        <f t="shared" si="0"/>
        <v>1174.8591051078693</v>
      </c>
      <c r="M56">
        <f ca="1">IF(ROW()&lt;3,0,IF(Query1[[#This Row],[Month]]&lt;&gt;OFFSET(Query1[[#This Row],[Month]],-1,0),Dashboard!$J$5,0))</f>
        <v>0</v>
      </c>
      <c r="N56" s="2">
        <f ca="1">IF(ROW()&lt;3, Query1[[#This Row],[Shares]], IF(Query1[[#This Row],[Month]]&lt;&gt;H55, N55+Query1[[#This Row],[Fix Top Up]]/Query1[[#This Row],[Adj Close]], N55))</f>
        <v>1179.1989857226547</v>
      </c>
      <c r="O5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6" s="2">
        <f ca="1">IF(ROW()&lt;3, Query1[[#This Row],[Shares]], IF(Query1[[#This Row],[Month]]&lt;&gt;H55, P55+Query1[[#This Row],[Enhanced top up]]/Query1[[#This Row],[Adj Close]], P55))</f>
        <v>1177.648084367723</v>
      </c>
      <c r="Q56" s="2">
        <f>IFERROR(AVERAGE(
  IF(ROW()&gt;20, INDEX(G:G, ROW()-20), 0) :
  INDEX(G:G, ROW())
),0)</f>
        <v>460.64531889415923</v>
      </c>
    </row>
    <row r="57" spans="1:17" x14ac:dyDescent="0.3">
      <c r="A57" s="1">
        <v>45372</v>
      </c>
      <c r="B57">
        <v>482.6199951171875</v>
      </c>
      <c r="C57">
        <v>483.239990234375</v>
      </c>
      <c r="D57">
        <v>481.20999145507813</v>
      </c>
      <c r="E57">
        <v>481.35000610351563</v>
      </c>
      <c r="F57">
        <v>5044700</v>
      </c>
      <c r="G57">
        <v>472.00372314453125</v>
      </c>
      <c r="H57" s="2">
        <f>MONTH(Query1[[#This Row],[Date]])</f>
        <v>3</v>
      </c>
      <c r="I57" s="3">
        <f>Query1[[#This Row],[Shares]]*Query1[[#This Row],[Adj Close]]</f>
        <v>554537.87178116641</v>
      </c>
      <c r="J57" s="3">
        <f>IF(ROW()&lt;3, Dashboard!$E$7, IF(Query1[[#This Row],[Month]]&lt;&gt;H56,J56*(1+Dashboard!$E$4)+Dashboard!$E$5,J56))</f>
        <v>514070</v>
      </c>
      <c r="K57">
        <f>IF(ROW()&lt;3, 0,IF(Query1[[#This Row],[Month]]&lt;&gt;H56,IF((J57-I57&gt;0),J57-I57,0),0))</f>
        <v>0</v>
      </c>
      <c r="L57" s="2">
        <f t="shared" si="0"/>
        <v>1174.8591051078693</v>
      </c>
      <c r="M57">
        <f ca="1">IF(ROW()&lt;3,0,IF(Query1[[#This Row],[Month]]&lt;&gt;OFFSET(Query1[[#This Row],[Month]],-1,0),Dashboard!$J$5,0))</f>
        <v>0</v>
      </c>
      <c r="N57" s="2">
        <f ca="1">IF(ROW()&lt;3, Query1[[#This Row],[Shares]], IF(Query1[[#This Row],[Month]]&lt;&gt;H56, N56+Query1[[#This Row],[Fix Top Up]]/Query1[[#This Row],[Adj Close]], N56))</f>
        <v>1179.1989857226547</v>
      </c>
      <c r="O5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7" s="2">
        <f ca="1">IF(ROW()&lt;3, Query1[[#This Row],[Shares]], IF(Query1[[#This Row],[Month]]&lt;&gt;H56, P56+Query1[[#This Row],[Enhanced top up]]/Query1[[#This Row],[Adj Close]], P56))</f>
        <v>1177.648084367723</v>
      </c>
      <c r="Q57" s="2">
        <f>IFERROR(AVERAGE(
  IF(ROW()&gt;20, INDEX(G:G, ROW()-20), 0) :
  INDEX(G:G, ROW())
),0)</f>
        <v>461.78372918991818</v>
      </c>
    </row>
    <row r="58" spans="1:17" x14ac:dyDescent="0.3">
      <c r="A58" s="1">
        <v>45373</v>
      </c>
      <c r="B58">
        <v>479.8699951171875</v>
      </c>
      <c r="C58">
        <v>480.32000732421875</v>
      </c>
      <c r="D58">
        <v>478.82000732421875</v>
      </c>
      <c r="E58">
        <v>479.17999267578125</v>
      </c>
      <c r="F58">
        <v>5881500</v>
      </c>
      <c r="G58">
        <v>471.38690185546875</v>
      </c>
      <c r="H58" s="2">
        <f>MONTH(Query1[[#This Row],[Date]])</f>
        <v>3</v>
      </c>
      <c r="I58" s="3">
        <f>Query1[[#This Row],[Shares]]*Query1[[#This Row],[Adj Close]]</f>
        <v>553813.19367348705</v>
      </c>
      <c r="J58" s="3">
        <f>IF(ROW()&lt;3, Dashboard!$E$7, IF(Query1[[#This Row],[Month]]&lt;&gt;H57,J57*(1+Dashboard!$E$4)+Dashboard!$E$5,J57))</f>
        <v>514070</v>
      </c>
      <c r="K58">
        <f>IF(ROW()&lt;3, 0,IF(Query1[[#This Row],[Month]]&lt;&gt;H57,IF((J58-I58&gt;0),J58-I58,0),0))</f>
        <v>0</v>
      </c>
      <c r="L58" s="2">
        <f t="shared" si="0"/>
        <v>1174.8591051078693</v>
      </c>
      <c r="M58">
        <f ca="1">IF(ROW()&lt;3,0,IF(Query1[[#This Row],[Month]]&lt;&gt;OFFSET(Query1[[#This Row],[Month]],-1,0),Dashboard!$J$5,0))</f>
        <v>0</v>
      </c>
      <c r="N58" s="2">
        <f ca="1">IF(ROW()&lt;3, Query1[[#This Row],[Shares]], IF(Query1[[#This Row],[Month]]&lt;&gt;H57, N57+Query1[[#This Row],[Fix Top Up]]/Query1[[#This Row],[Adj Close]], N57))</f>
        <v>1179.1989857226547</v>
      </c>
      <c r="O5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8" s="2">
        <f ca="1">IF(ROW()&lt;3, Query1[[#This Row],[Shares]], IF(Query1[[#This Row],[Month]]&lt;&gt;H57, P57+Query1[[#This Row],[Enhanced top up]]/Query1[[#This Row],[Adj Close]], P57))</f>
        <v>1177.648084367723</v>
      </c>
      <c r="Q58" s="2">
        <f>IFERROR(AVERAGE(
  IF(ROW()&gt;20, INDEX(G:G, ROW()-20), 0) :
  INDEX(G:G, ROW())
),0)</f>
        <v>462.44450015113466</v>
      </c>
    </row>
    <row r="59" spans="1:17" x14ac:dyDescent="0.3">
      <c r="A59" s="1">
        <v>45376</v>
      </c>
      <c r="B59">
        <v>477.73001098632813</v>
      </c>
      <c r="C59">
        <v>478.79000854492188</v>
      </c>
      <c r="D59">
        <v>477.54998779296875</v>
      </c>
      <c r="E59">
        <v>477.94000244140625</v>
      </c>
      <c r="F59">
        <v>6081300</v>
      </c>
      <c r="G59">
        <v>470.16705322265625</v>
      </c>
      <c r="H59" s="2">
        <f>MONTH(Query1[[#This Row],[Date]])</f>
        <v>3</v>
      </c>
      <c r="I59" s="3">
        <f>Query1[[#This Row],[Shares]]*Query1[[#This Row],[Adj Close]]</f>
        <v>552380.04340037389</v>
      </c>
      <c r="J59" s="3">
        <f>IF(ROW()&lt;3, Dashboard!$E$7, IF(Query1[[#This Row],[Month]]&lt;&gt;H58,J58*(1+Dashboard!$E$4)+Dashboard!$E$5,J58))</f>
        <v>514070</v>
      </c>
      <c r="K59">
        <f>IF(ROW()&lt;3, 0,IF(Query1[[#This Row],[Month]]&lt;&gt;H58,IF((J59-I59&gt;0),J59-I59,0),0))</f>
        <v>0</v>
      </c>
      <c r="L59" s="2">
        <f t="shared" si="0"/>
        <v>1174.8591051078693</v>
      </c>
      <c r="M59">
        <f ca="1">IF(ROW()&lt;3,0,IF(Query1[[#This Row],[Month]]&lt;&gt;OFFSET(Query1[[#This Row],[Month]],-1,0),Dashboard!$J$5,0))</f>
        <v>0</v>
      </c>
      <c r="N59" s="2">
        <f ca="1">IF(ROW()&lt;3, Query1[[#This Row],[Shares]], IF(Query1[[#This Row],[Month]]&lt;&gt;H58, N58+Query1[[#This Row],[Fix Top Up]]/Query1[[#This Row],[Adj Close]], N58))</f>
        <v>1179.1989857226547</v>
      </c>
      <c r="O5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59" s="2">
        <f ca="1">IF(ROW()&lt;3, Query1[[#This Row],[Shares]], IF(Query1[[#This Row],[Month]]&lt;&gt;H58, P58+Query1[[#This Row],[Enhanced top up]]/Query1[[#This Row],[Adj Close]], P58))</f>
        <v>1177.648084367723</v>
      </c>
      <c r="Q59" s="2">
        <f>IFERROR(AVERAGE(
  IF(ROW()&gt;20, INDEX(G:G, ROW()-20), 0) :
  INDEX(G:G, ROW())
),0)</f>
        <v>463.0373753138951</v>
      </c>
    </row>
    <row r="60" spans="1:17" x14ac:dyDescent="0.3">
      <c r="A60" s="1">
        <v>45377</v>
      </c>
      <c r="B60">
        <v>479.05999755859375</v>
      </c>
      <c r="C60">
        <v>479.3699951171875</v>
      </c>
      <c r="D60">
        <v>476.42999267578125</v>
      </c>
      <c r="E60">
        <v>476.60000610351563</v>
      </c>
      <c r="F60">
        <v>8073500</v>
      </c>
      <c r="G60">
        <v>468.848876953125</v>
      </c>
      <c r="H60" s="2">
        <f>MONTH(Query1[[#This Row],[Date]])</f>
        <v>3</v>
      </c>
      <c r="I60" s="3">
        <f>Query1[[#This Row],[Shares]]*Query1[[#This Row],[Adj Close]]</f>
        <v>550831.37200797792</v>
      </c>
      <c r="J60" s="3">
        <f>IF(ROW()&lt;3, Dashboard!$E$7, IF(Query1[[#This Row],[Month]]&lt;&gt;H59,J59*(1+Dashboard!$E$4)+Dashboard!$E$5,J59))</f>
        <v>514070</v>
      </c>
      <c r="K60">
        <f>IF(ROW()&lt;3, 0,IF(Query1[[#This Row],[Month]]&lt;&gt;H59,IF((J60-I60&gt;0),J60-I60,0),0))</f>
        <v>0</v>
      </c>
      <c r="L60" s="2">
        <f t="shared" si="0"/>
        <v>1174.8591051078693</v>
      </c>
      <c r="M60">
        <f ca="1">IF(ROW()&lt;3,0,IF(Query1[[#This Row],[Month]]&lt;&gt;OFFSET(Query1[[#This Row],[Month]],-1,0),Dashboard!$J$5,0))</f>
        <v>0</v>
      </c>
      <c r="N60" s="2">
        <f ca="1">IF(ROW()&lt;3, Query1[[#This Row],[Shares]], IF(Query1[[#This Row],[Month]]&lt;&gt;H59, N59+Query1[[#This Row],[Fix Top Up]]/Query1[[#This Row],[Adj Close]], N59))</f>
        <v>1179.1989857226547</v>
      </c>
      <c r="O6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0" s="2">
        <f ca="1">IF(ROW()&lt;3, Query1[[#This Row],[Shares]], IF(Query1[[#This Row],[Month]]&lt;&gt;H59, P59+Query1[[#This Row],[Enhanced top up]]/Query1[[#This Row],[Adj Close]], P59))</f>
        <v>1177.648084367723</v>
      </c>
      <c r="Q60" s="2">
        <f>IFERROR(AVERAGE(
  IF(ROW()&gt;20, INDEX(G:G, ROW()-20), 0) :
  INDEX(G:G, ROW())
),0)</f>
        <v>463.64733014787947</v>
      </c>
    </row>
    <row r="61" spans="1:17" x14ac:dyDescent="0.3">
      <c r="A61" s="1">
        <v>45378</v>
      </c>
      <c r="B61">
        <v>479.510009765625</v>
      </c>
      <c r="C61">
        <v>480.8699951171875</v>
      </c>
      <c r="D61">
        <v>477.45001220703125</v>
      </c>
      <c r="E61">
        <v>480.760009765625</v>
      </c>
      <c r="F61">
        <v>4951400</v>
      </c>
      <c r="G61">
        <v>472.94122314453125</v>
      </c>
      <c r="H61" s="2">
        <f>MONTH(Query1[[#This Row],[Date]])</f>
        <v>3</v>
      </c>
      <c r="I61" s="3">
        <f>Query1[[#This Row],[Shares]]*Query1[[#This Row],[Adj Close]]</f>
        <v>555639.3021922051</v>
      </c>
      <c r="J61" s="3">
        <f>IF(ROW()&lt;3, Dashboard!$E$7, IF(Query1[[#This Row],[Month]]&lt;&gt;H60,J60*(1+Dashboard!$E$4)+Dashboard!$E$5,J60))</f>
        <v>514070</v>
      </c>
      <c r="K61">
        <f>IF(ROW()&lt;3, 0,IF(Query1[[#This Row],[Month]]&lt;&gt;H60,IF((J61-I61&gt;0),J61-I61,0),0))</f>
        <v>0</v>
      </c>
      <c r="L61" s="2">
        <f t="shared" si="0"/>
        <v>1174.8591051078693</v>
      </c>
      <c r="M61">
        <f ca="1">IF(ROW()&lt;3,0,IF(Query1[[#This Row],[Month]]&lt;&gt;OFFSET(Query1[[#This Row],[Month]],-1,0),Dashboard!$J$5,0))</f>
        <v>0</v>
      </c>
      <c r="N61" s="2">
        <f ca="1">IF(ROW()&lt;3, Query1[[#This Row],[Shares]], IF(Query1[[#This Row],[Month]]&lt;&gt;H60, N60+Query1[[#This Row],[Fix Top Up]]/Query1[[#This Row],[Adj Close]], N60))</f>
        <v>1179.1989857226547</v>
      </c>
      <c r="O6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1" s="2">
        <f ca="1">IF(ROW()&lt;3, Query1[[#This Row],[Shares]], IF(Query1[[#This Row],[Month]]&lt;&gt;H60, P60+Query1[[#This Row],[Enhanced top up]]/Query1[[#This Row],[Adj Close]], P60))</f>
        <v>1177.648084367723</v>
      </c>
      <c r="Q61" s="2">
        <f>IFERROR(AVERAGE(
  IF(ROW()&gt;20, INDEX(G:G, ROW()-20), 0) :
  INDEX(G:G, ROW())
),0)</f>
        <v>464.41200038364957</v>
      </c>
    </row>
    <row r="62" spans="1:17" x14ac:dyDescent="0.3">
      <c r="A62" s="1">
        <v>45379</v>
      </c>
      <c r="B62">
        <v>480.8699951171875</v>
      </c>
      <c r="C62">
        <v>482.16000366210938</v>
      </c>
      <c r="D62">
        <v>480.5</v>
      </c>
      <c r="E62">
        <v>480.70001220703125</v>
      </c>
      <c r="F62">
        <v>4065000</v>
      </c>
      <c r="G62">
        <v>472.88223266601563</v>
      </c>
      <c r="H62" s="2">
        <f>MONTH(Query1[[#This Row],[Date]])</f>
        <v>3</v>
      </c>
      <c r="I62" s="3">
        <f>Query1[[#This Row],[Shares]]*Query1[[#This Row],[Adj Close]]</f>
        <v>555569.99669140636</v>
      </c>
      <c r="J62" s="3">
        <f>IF(ROW()&lt;3, Dashboard!$E$7, IF(Query1[[#This Row],[Month]]&lt;&gt;H61,J61*(1+Dashboard!$E$4)+Dashboard!$E$5,J61))</f>
        <v>514070</v>
      </c>
      <c r="K62">
        <f>IF(ROW()&lt;3, 0,IF(Query1[[#This Row],[Month]]&lt;&gt;H61,IF((J62-I62&gt;0),J62-I62,0),0))</f>
        <v>0</v>
      </c>
      <c r="L62" s="2">
        <f t="shared" si="0"/>
        <v>1174.8591051078693</v>
      </c>
      <c r="M62">
        <f ca="1">IF(ROW()&lt;3,0,IF(Query1[[#This Row],[Month]]&lt;&gt;OFFSET(Query1[[#This Row],[Month]],-1,0),Dashboard!$J$5,0))</f>
        <v>0</v>
      </c>
      <c r="N62" s="2">
        <f ca="1">IF(ROW()&lt;3, Query1[[#This Row],[Shares]], IF(Query1[[#This Row],[Month]]&lt;&gt;H61, N61+Query1[[#This Row],[Fix Top Up]]/Query1[[#This Row],[Adj Close]], N61))</f>
        <v>1179.1989857226547</v>
      </c>
      <c r="O6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2" s="2">
        <f ca="1">IF(ROW()&lt;3, Query1[[#This Row],[Shares]], IF(Query1[[#This Row],[Month]]&lt;&gt;H61, P61+Query1[[#This Row],[Enhanced top up]]/Query1[[#This Row],[Adj Close]], P61))</f>
        <v>1177.648084367723</v>
      </c>
      <c r="Q62" s="2">
        <f>IFERROR(AVERAGE(
  IF(ROW()&gt;20, INDEX(G:G, ROW()-20), 0) :
  INDEX(G:G, ROW())
),0)</f>
        <v>465.20748174758182</v>
      </c>
    </row>
    <row r="63" spans="1:17" x14ac:dyDescent="0.3">
      <c r="A63" s="1">
        <v>45383</v>
      </c>
      <c r="B63">
        <v>481.44000244140625</v>
      </c>
      <c r="C63">
        <v>481.95999145507813</v>
      </c>
      <c r="D63">
        <v>478.82998657226563</v>
      </c>
      <c r="E63">
        <v>480.07000732421875</v>
      </c>
      <c r="F63">
        <v>5734000</v>
      </c>
      <c r="G63">
        <v>472.262451171875</v>
      </c>
      <c r="H63" s="2">
        <f>MONTH(Query1[[#This Row],[Date]])</f>
        <v>4</v>
      </c>
      <c r="I63" s="3">
        <f>Query1[[#This Row],[Shares]]*Query1[[#This Row],[Adj Close]]</f>
        <v>554841.84075983788</v>
      </c>
      <c r="J63" s="3">
        <f>IF(ROW()&lt;3, Dashboard!$E$7, IF(Query1[[#This Row],[Month]]&lt;&gt;H62,J62*(1+Dashboard!$E$4)+Dashboard!$E$5,J62))</f>
        <v>521210.7</v>
      </c>
      <c r="K63">
        <f>IF(ROW()&lt;3, 0,IF(Query1[[#This Row],[Month]]&lt;&gt;H62,IF((J63-I63&gt;0),J63-I63,0),0))</f>
        <v>0</v>
      </c>
      <c r="L63" s="2">
        <f t="shared" si="0"/>
        <v>1174.8591051078693</v>
      </c>
      <c r="M63">
        <f ca="1">IF(ROW()&lt;3,0,IF(Query1[[#This Row],[Month]]&lt;&gt;OFFSET(Query1[[#This Row],[Month]],-1,0),Dashboard!$J$5,0))</f>
        <v>979.40350000000024</v>
      </c>
      <c r="N63" s="2">
        <f ca="1">IF(ROW()&lt;3, Query1[[#This Row],[Shares]], IF(Query1[[#This Row],[Month]]&lt;&gt;H62, N62+Query1[[#This Row],[Fix Top Up]]/Query1[[#This Row],[Adj Close]], N62))</f>
        <v>1181.2728399906994</v>
      </c>
      <c r="O6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63" s="2">
        <f ca="1">IF(ROW()&lt;3, Query1[[#This Row],[Shares]], IF(Query1[[#This Row],[Month]]&lt;&gt;H62, P62+Query1[[#This Row],[Enhanced top up]]/Query1[[#This Row],[Adj Close]], P62))</f>
        <v>1178.9808253011556</v>
      </c>
      <c r="Q63" s="2">
        <f>IFERROR(AVERAGE(
  IF(ROW()&gt;20, INDEX(G:G, ROW()-20), 0) :
  INDEX(G:G, ROW())
),0)</f>
        <v>465.89313616071428</v>
      </c>
    </row>
    <row r="64" spans="1:17" x14ac:dyDescent="0.3">
      <c r="A64" s="1">
        <v>45384</v>
      </c>
      <c r="B64">
        <v>476.32998657226563</v>
      </c>
      <c r="C64">
        <v>476.989990234375</v>
      </c>
      <c r="D64">
        <v>474.70999145507813</v>
      </c>
      <c r="E64">
        <v>476.92999267578125</v>
      </c>
      <c r="F64">
        <v>4817800</v>
      </c>
      <c r="G64">
        <v>469.17352294921875</v>
      </c>
      <c r="H64" s="2">
        <f>MONTH(Query1[[#This Row],[Date]])</f>
        <v>4</v>
      </c>
      <c r="I64" s="3">
        <f>Query1[[#This Row],[Shares]]*Query1[[#This Row],[Adj Close]]</f>
        <v>551212.78531242546</v>
      </c>
      <c r="J64" s="3">
        <f>IF(ROW()&lt;3, Dashboard!$E$7, IF(Query1[[#This Row],[Month]]&lt;&gt;H63,J63*(1+Dashboard!$E$4)+Dashboard!$E$5,J63))</f>
        <v>521210.7</v>
      </c>
      <c r="K64">
        <f>IF(ROW()&lt;3, 0,IF(Query1[[#This Row],[Month]]&lt;&gt;H63,IF((J64-I64&gt;0),J64-I64,0),0))</f>
        <v>0</v>
      </c>
      <c r="L64" s="2">
        <f t="shared" si="0"/>
        <v>1174.8591051078693</v>
      </c>
      <c r="M64">
        <f ca="1">IF(ROW()&lt;3,0,IF(Query1[[#This Row],[Month]]&lt;&gt;OFFSET(Query1[[#This Row],[Month]],-1,0),Dashboard!$J$5,0))</f>
        <v>0</v>
      </c>
      <c r="N64" s="2">
        <f ca="1">IF(ROW()&lt;3, Query1[[#This Row],[Shares]], IF(Query1[[#This Row],[Month]]&lt;&gt;H63, N63+Query1[[#This Row],[Fix Top Up]]/Query1[[#This Row],[Adj Close]], N63))</f>
        <v>1181.2728399906994</v>
      </c>
      <c r="O6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4" s="2">
        <f ca="1">IF(ROW()&lt;3, Query1[[#This Row],[Shares]], IF(Query1[[#This Row],[Month]]&lt;&gt;H63, P63+Query1[[#This Row],[Enhanced top up]]/Query1[[#This Row],[Adj Close]], P63))</f>
        <v>1178.9808253011556</v>
      </c>
      <c r="Q64" s="2">
        <f>IFERROR(AVERAGE(
  IF(ROW()&gt;20, INDEX(G:G, ROW()-20), 0) :
  INDEX(G:G, ROW())
),0)</f>
        <v>466.22157214936755</v>
      </c>
    </row>
    <row r="65" spans="1:17" x14ac:dyDescent="0.3">
      <c r="A65" s="1">
        <v>45385</v>
      </c>
      <c r="B65">
        <v>475.83999633789063</v>
      </c>
      <c r="C65">
        <v>478.79998779296875</v>
      </c>
      <c r="D65">
        <v>475.79000854492188</v>
      </c>
      <c r="E65">
        <v>477.3599853515625</v>
      </c>
      <c r="F65">
        <v>6224800</v>
      </c>
      <c r="G65">
        <v>469.59649658203125</v>
      </c>
      <c r="H65" s="2">
        <f>MONTH(Query1[[#This Row],[Date]])</f>
        <v>4</v>
      </c>
      <c r="I65" s="3">
        <f>Query1[[#This Row],[Shares]]*Query1[[#This Row],[Adj Close]]</f>
        <v>551709.71973615582</v>
      </c>
      <c r="J65" s="3">
        <f>IF(ROW()&lt;3, Dashboard!$E$7, IF(Query1[[#This Row],[Month]]&lt;&gt;H64,J64*(1+Dashboard!$E$4)+Dashboard!$E$5,J64))</f>
        <v>521210.7</v>
      </c>
      <c r="K65">
        <f>IF(ROW()&lt;3, 0,IF(Query1[[#This Row],[Month]]&lt;&gt;H64,IF((J65-I65&gt;0),J65-I65,0),0))</f>
        <v>0</v>
      </c>
      <c r="L65" s="2">
        <f t="shared" si="0"/>
        <v>1174.8591051078693</v>
      </c>
      <c r="M65">
        <f ca="1">IF(ROW()&lt;3,0,IF(Query1[[#This Row],[Month]]&lt;&gt;OFFSET(Query1[[#This Row],[Month]],-1,0),Dashboard!$J$5,0))</f>
        <v>0</v>
      </c>
      <c r="N65" s="2">
        <f ca="1">IF(ROW()&lt;3, Query1[[#This Row],[Shares]], IF(Query1[[#This Row],[Month]]&lt;&gt;H64, N64+Query1[[#This Row],[Fix Top Up]]/Query1[[#This Row],[Adj Close]], N64))</f>
        <v>1181.2728399906994</v>
      </c>
      <c r="O6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5" s="2">
        <f ca="1">IF(ROW()&lt;3, Query1[[#This Row],[Shares]], IF(Query1[[#This Row],[Month]]&lt;&gt;H64, P64+Query1[[#This Row],[Enhanced top up]]/Query1[[#This Row],[Adj Close]], P64))</f>
        <v>1178.9808253011556</v>
      </c>
      <c r="Q65" s="2">
        <f>IFERROR(AVERAGE(
  IF(ROW()&gt;20, INDEX(G:G, ROW()-20), 0) :
  INDEX(G:G, ROW())
),0)</f>
        <v>466.59630039760043</v>
      </c>
    </row>
    <row r="66" spans="1:17" x14ac:dyDescent="0.3">
      <c r="A66" s="1">
        <v>45386</v>
      </c>
      <c r="B66">
        <v>481.20001220703125</v>
      </c>
      <c r="C66">
        <v>481.48001098632813</v>
      </c>
      <c r="D66">
        <v>471.26998901367188</v>
      </c>
      <c r="E66">
        <v>471.48001098632813</v>
      </c>
      <c r="F66">
        <v>6871200</v>
      </c>
      <c r="G66">
        <v>463.81216430664063</v>
      </c>
      <c r="H66" s="2">
        <f>MONTH(Query1[[#This Row],[Date]])</f>
        <v>4</v>
      </c>
      <c r="I66" s="3">
        <f>Query1[[#This Row],[Shares]]*Query1[[#This Row],[Adj Close]]</f>
        <v>544913.94429544383</v>
      </c>
      <c r="J66" s="3">
        <f>IF(ROW()&lt;3, Dashboard!$E$7, IF(Query1[[#This Row],[Month]]&lt;&gt;H65,J65*(1+Dashboard!$E$4)+Dashboard!$E$5,J65))</f>
        <v>521210.7</v>
      </c>
      <c r="K66">
        <f>IF(ROW()&lt;3, 0,IF(Query1[[#This Row],[Month]]&lt;&gt;H65,IF((J66-I66&gt;0),J66-I66,0),0))</f>
        <v>0</v>
      </c>
      <c r="L66" s="2">
        <f t="shared" ref="L66:L129" si="1">IF(ROW()&lt;3, J66/G66, L65+K65/G65)</f>
        <v>1174.8591051078693</v>
      </c>
      <c r="M66">
        <f ca="1">IF(ROW()&lt;3,0,IF(Query1[[#This Row],[Month]]&lt;&gt;OFFSET(Query1[[#This Row],[Month]],-1,0),Dashboard!$J$5,0))</f>
        <v>0</v>
      </c>
      <c r="N66" s="2">
        <f ca="1">IF(ROW()&lt;3, Query1[[#This Row],[Shares]], IF(Query1[[#This Row],[Month]]&lt;&gt;H65, N65+Query1[[#This Row],[Fix Top Up]]/Query1[[#This Row],[Adj Close]], N65))</f>
        <v>1181.2728399906994</v>
      </c>
      <c r="O6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6" s="2">
        <f ca="1">IF(ROW()&lt;3, Query1[[#This Row],[Shares]], IF(Query1[[#This Row],[Month]]&lt;&gt;H65, P65+Query1[[#This Row],[Enhanced top up]]/Query1[[#This Row],[Adj Close]], P65))</f>
        <v>1178.9808253011556</v>
      </c>
      <c r="Q66" s="2">
        <f>IFERROR(AVERAGE(
  IF(ROW()&gt;20, INDEX(G:G, ROW()-20), 0) :
  INDEX(G:G, ROW())
),0)</f>
        <v>466.91598220098587</v>
      </c>
    </row>
    <row r="67" spans="1:17" x14ac:dyDescent="0.3">
      <c r="A67" s="1">
        <v>45387</v>
      </c>
      <c r="B67">
        <v>472.85000610351563</v>
      </c>
      <c r="C67">
        <v>478.32998657226563</v>
      </c>
      <c r="D67">
        <v>472.42001342773438</v>
      </c>
      <c r="E67">
        <v>476.489990234375</v>
      </c>
      <c r="F67">
        <v>5588200</v>
      </c>
      <c r="G67">
        <v>468.74063110351563</v>
      </c>
      <c r="H67" s="2">
        <f>MONTH(Query1[[#This Row],[Date]])</f>
        <v>4</v>
      </c>
      <c r="I67" s="3">
        <f>Query1[[#This Row],[Shares]]*Query1[[#This Row],[Adj Close]]</f>
        <v>550704.19838597428</v>
      </c>
      <c r="J67" s="3">
        <f>IF(ROW()&lt;3, Dashboard!$E$7, IF(Query1[[#This Row],[Month]]&lt;&gt;H66,J66*(1+Dashboard!$E$4)+Dashboard!$E$5,J66))</f>
        <v>521210.7</v>
      </c>
      <c r="K67">
        <f>IF(ROW()&lt;3, 0,IF(Query1[[#This Row],[Month]]&lt;&gt;H66,IF((J67-I67&gt;0),J67-I67,0),0))</f>
        <v>0</v>
      </c>
      <c r="L67" s="2">
        <f t="shared" si="1"/>
        <v>1174.8591051078693</v>
      </c>
      <c r="M67">
        <f ca="1">IF(ROW()&lt;3,0,IF(Query1[[#This Row],[Month]]&lt;&gt;OFFSET(Query1[[#This Row],[Month]],-1,0),Dashboard!$J$5,0))</f>
        <v>0</v>
      </c>
      <c r="N67" s="2">
        <f ca="1">IF(ROW()&lt;3, Query1[[#This Row],[Shares]], IF(Query1[[#This Row],[Month]]&lt;&gt;H66, N66+Query1[[#This Row],[Fix Top Up]]/Query1[[#This Row],[Adj Close]], N66))</f>
        <v>1181.2728399906994</v>
      </c>
      <c r="O6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7" s="2">
        <f ca="1">IF(ROW()&lt;3, Query1[[#This Row],[Shares]], IF(Query1[[#This Row],[Month]]&lt;&gt;H66, P66+Query1[[#This Row],[Enhanced top up]]/Query1[[#This Row],[Adj Close]], P66))</f>
        <v>1178.9808253011556</v>
      </c>
      <c r="Q67" s="2">
        <f>IFERROR(AVERAGE(
  IF(ROW()&gt;20, INDEX(G:G, ROW()-20), 0) :
  INDEX(G:G, ROW())
),0)</f>
        <v>467.35501679920014</v>
      </c>
    </row>
    <row r="68" spans="1:17" x14ac:dyDescent="0.3">
      <c r="A68" s="1">
        <v>45390</v>
      </c>
      <c r="B68">
        <v>477.14999389648438</v>
      </c>
      <c r="C68">
        <v>478.07000732421875</v>
      </c>
      <c r="D68">
        <v>475.97000122070313</v>
      </c>
      <c r="E68">
        <v>476.67999267578125</v>
      </c>
      <c r="F68">
        <v>4736800</v>
      </c>
      <c r="G68">
        <v>468.92755126953125</v>
      </c>
      <c r="H68" s="2">
        <f>MONTH(Query1[[#This Row],[Date]])</f>
        <v>4</v>
      </c>
      <c r="I68" s="3">
        <f>Query1[[#This Row],[Shares]]*Query1[[#This Row],[Adj Close]]</f>
        <v>550923.80324494594</v>
      </c>
      <c r="J68" s="3">
        <f>IF(ROW()&lt;3, Dashboard!$E$7, IF(Query1[[#This Row],[Month]]&lt;&gt;H67,J67*(1+Dashboard!$E$4)+Dashboard!$E$5,J67))</f>
        <v>521210.7</v>
      </c>
      <c r="K68">
        <f>IF(ROW()&lt;3, 0,IF(Query1[[#This Row],[Month]]&lt;&gt;H67,IF((J68-I68&gt;0),J68-I68,0),0))</f>
        <v>0</v>
      </c>
      <c r="L68" s="2">
        <f t="shared" si="1"/>
        <v>1174.8591051078693</v>
      </c>
      <c r="M68">
        <f ca="1">IF(ROW()&lt;3,0,IF(Query1[[#This Row],[Month]]&lt;&gt;OFFSET(Query1[[#This Row],[Month]],-1,0),Dashboard!$J$5,0))</f>
        <v>0</v>
      </c>
      <c r="N68" s="2">
        <f ca="1">IF(ROW()&lt;3, Query1[[#This Row],[Shares]], IF(Query1[[#This Row],[Month]]&lt;&gt;H67, N67+Query1[[#This Row],[Fix Top Up]]/Query1[[#This Row],[Adj Close]], N67))</f>
        <v>1181.2728399906994</v>
      </c>
      <c r="O6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8" s="2">
        <f ca="1">IF(ROW()&lt;3, Query1[[#This Row],[Shares]], IF(Query1[[#This Row],[Month]]&lt;&gt;H67, P67+Query1[[#This Row],[Enhanced top up]]/Query1[[#This Row],[Adj Close]], P67))</f>
        <v>1178.9808253011556</v>
      </c>
      <c r="Q68" s="2">
        <f>IFERROR(AVERAGE(
  IF(ROW()&gt;20, INDEX(G:G, ROW()-20), 0) :
  INDEX(G:G, ROW())
),0)</f>
        <v>467.58628917875745</v>
      </c>
    </row>
    <row r="69" spans="1:17" x14ac:dyDescent="0.3">
      <c r="A69" s="1">
        <v>45391</v>
      </c>
      <c r="B69">
        <v>478.3800048828125</v>
      </c>
      <c r="C69">
        <v>478.60000610351563</v>
      </c>
      <c r="D69">
        <v>472.739990234375</v>
      </c>
      <c r="E69">
        <v>477.26998901367188</v>
      </c>
      <c r="F69">
        <v>5250400</v>
      </c>
      <c r="G69">
        <v>469.50796508789063</v>
      </c>
      <c r="H69" s="2">
        <f>MONTH(Query1[[#This Row],[Date]])</f>
        <v>4</v>
      </c>
      <c r="I69" s="3">
        <f>Query1[[#This Row],[Shares]]*Query1[[#This Row],[Adj Close]]</f>
        <v>551605.70770417585</v>
      </c>
      <c r="J69" s="3">
        <f>IF(ROW()&lt;3, Dashboard!$E$7, IF(Query1[[#This Row],[Month]]&lt;&gt;H68,J68*(1+Dashboard!$E$4)+Dashboard!$E$5,J68))</f>
        <v>521210.7</v>
      </c>
      <c r="K69">
        <f>IF(ROW()&lt;3, 0,IF(Query1[[#This Row],[Month]]&lt;&gt;H68,IF((J69-I69&gt;0),J69-I69,0),0))</f>
        <v>0</v>
      </c>
      <c r="L69" s="2">
        <f t="shared" si="1"/>
        <v>1174.8591051078693</v>
      </c>
      <c r="M69">
        <f ca="1">IF(ROW()&lt;3,0,IF(Query1[[#This Row],[Month]]&lt;&gt;OFFSET(Query1[[#This Row],[Month]],-1,0),Dashboard!$J$5,0))</f>
        <v>0</v>
      </c>
      <c r="N69" s="2">
        <f ca="1">IF(ROW()&lt;3, Query1[[#This Row],[Shares]], IF(Query1[[#This Row],[Month]]&lt;&gt;H68, N68+Query1[[#This Row],[Fix Top Up]]/Query1[[#This Row],[Adj Close]], N68))</f>
        <v>1181.2728399906994</v>
      </c>
      <c r="O6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69" s="2">
        <f ca="1">IF(ROW()&lt;3, Query1[[#This Row],[Shares]], IF(Query1[[#This Row],[Month]]&lt;&gt;H68, P68+Query1[[#This Row],[Enhanced top up]]/Query1[[#This Row],[Adj Close]], P68))</f>
        <v>1178.9808253011556</v>
      </c>
      <c r="Q69" s="2">
        <f>IFERROR(AVERAGE(
  IF(ROW()&gt;20, INDEX(G:G, ROW()-20), 0) :
  INDEX(G:G, ROW())
),0)</f>
        <v>467.97921171642486</v>
      </c>
    </row>
    <row r="70" spans="1:17" x14ac:dyDescent="0.3">
      <c r="A70" s="1">
        <v>45392</v>
      </c>
      <c r="B70">
        <v>471.91000366210938</v>
      </c>
      <c r="C70">
        <v>474.3900146484375</v>
      </c>
      <c r="D70">
        <v>470.67001342773438</v>
      </c>
      <c r="E70">
        <v>472.64999389648438</v>
      </c>
      <c r="F70">
        <v>6933400</v>
      </c>
      <c r="G70">
        <v>464.963134765625</v>
      </c>
      <c r="H70" s="2">
        <f>MONTH(Query1[[#This Row],[Date]])</f>
        <v>4</v>
      </c>
      <c r="I70" s="3">
        <f>Query1[[#This Row],[Shares]]*Query1[[#This Row],[Adj Close]]</f>
        <v>546266.1724188918</v>
      </c>
      <c r="J70" s="3">
        <f>IF(ROW()&lt;3, Dashboard!$E$7, IF(Query1[[#This Row],[Month]]&lt;&gt;H69,J69*(1+Dashboard!$E$4)+Dashboard!$E$5,J69))</f>
        <v>521210.7</v>
      </c>
      <c r="K70">
        <f>IF(ROW()&lt;3, 0,IF(Query1[[#This Row],[Month]]&lt;&gt;H69,IF((J70-I70&gt;0),J70-I70,0),0))</f>
        <v>0</v>
      </c>
      <c r="L70" s="2">
        <f t="shared" si="1"/>
        <v>1174.8591051078693</v>
      </c>
      <c r="M70">
        <f ca="1">IF(ROW()&lt;3,0,IF(Query1[[#This Row],[Month]]&lt;&gt;OFFSET(Query1[[#This Row],[Month]],-1,0),Dashboard!$J$5,0))</f>
        <v>0</v>
      </c>
      <c r="N70" s="2">
        <f ca="1">IF(ROW()&lt;3, Query1[[#This Row],[Shares]], IF(Query1[[#This Row],[Month]]&lt;&gt;H69, N69+Query1[[#This Row],[Fix Top Up]]/Query1[[#This Row],[Adj Close]], N69))</f>
        <v>1181.2728399906994</v>
      </c>
      <c r="O7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0" s="2">
        <f ca="1">IF(ROW()&lt;3, Query1[[#This Row],[Shares]], IF(Query1[[#This Row],[Month]]&lt;&gt;H69, P69+Query1[[#This Row],[Enhanced top up]]/Query1[[#This Row],[Adj Close]], P69))</f>
        <v>1178.9808253011556</v>
      </c>
      <c r="Q70" s="2">
        <f>IFERROR(AVERAGE(
  IF(ROW()&gt;20, INDEX(G:G, ROW()-20), 0) :
  INDEX(G:G, ROW())
),0)</f>
        <v>468.17392694382443</v>
      </c>
    </row>
    <row r="71" spans="1:17" x14ac:dyDescent="0.3">
      <c r="A71" s="1">
        <v>45393</v>
      </c>
      <c r="B71">
        <v>473.98001098632813</v>
      </c>
      <c r="C71">
        <v>477.42999267578125</v>
      </c>
      <c r="D71">
        <v>470.67001342773438</v>
      </c>
      <c r="E71">
        <v>476.05999755859375</v>
      </c>
      <c r="F71">
        <v>5109900</v>
      </c>
      <c r="G71">
        <v>468.31768798828125</v>
      </c>
      <c r="H71" s="2">
        <f>MONTH(Query1[[#This Row],[Date]])</f>
        <v>4</v>
      </c>
      <c r="I71" s="3">
        <f>Query1[[#This Row],[Shares]]*Query1[[#This Row],[Adj Close]]</f>
        <v>550207.29981609841</v>
      </c>
      <c r="J71" s="3">
        <f>IF(ROW()&lt;3, Dashboard!$E$7, IF(Query1[[#This Row],[Month]]&lt;&gt;H70,J70*(1+Dashboard!$E$4)+Dashboard!$E$5,J70))</f>
        <v>521210.7</v>
      </c>
      <c r="K71">
        <f>IF(ROW()&lt;3, 0,IF(Query1[[#This Row],[Month]]&lt;&gt;H70,IF((J71-I71&gt;0),J71-I71,0),0))</f>
        <v>0</v>
      </c>
      <c r="L71" s="2">
        <f t="shared" si="1"/>
        <v>1174.8591051078693</v>
      </c>
      <c r="M71">
        <f ca="1">IF(ROW()&lt;3,0,IF(Query1[[#This Row],[Month]]&lt;&gt;OFFSET(Query1[[#This Row],[Month]],-1,0),Dashboard!$J$5,0))</f>
        <v>0</v>
      </c>
      <c r="N71" s="2">
        <f ca="1">IF(ROW()&lt;3, Query1[[#This Row],[Shares]], IF(Query1[[#This Row],[Month]]&lt;&gt;H70, N70+Query1[[#This Row],[Fix Top Up]]/Query1[[#This Row],[Adj Close]], N70))</f>
        <v>1181.2728399906994</v>
      </c>
      <c r="O7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1" s="2">
        <f ca="1">IF(ROW()&lt;3, Query1[[#This Row],[Shares]], IF(Query1[[#This Row],[Month]]&lt;&gt;H70, P70+Query1[[#This Row],[Enhanced top up]]/Query1[[#This Row],[Adj Close]], P70))</f>
        <v>1178.9808253011556</v>
      </c>
      <c r="Q71" s="2">
        <f>IFERROR(AVERAGE(
  IF(ROW()&gt;20, INDEX(G:G, ROW()-20), 0) :
  INDEX(G:G, ROW())
),0)</f>
        <v>468.29350789388019</v>
      </c>
    </row>
    <row r="72" spans="1:17" x14ac:dyDescent="0.3">
      <c r="A72" s="1">
        <v>45394</v>
      </c>
      <c r="B72">
        <v>472.76998901367188</v>
      </c>
      <c r="C72">
        <v>474.04998779296875</v>
      </c>
      <c r="D72">
        <v>467.91000366210938</v>
      </c>
      <c r="E72">
        <v>469.57000732421875</v>
      </c>
      <c r="F72">
        <v>6959700</v>
      </c>
      <c r="G72">
        <v>461.93319702148438</v>
      </c>
      <c r="H72" s="2">
        <f>MONTH(Query1[[#This Row],[Date]])</f>
        <v>4</v>
      </c>
      <c r="I72" s="3">
        <f>Query1[[#This Row],[Shares]]*Query1[[#This Row],[Adj Close]]</f>
        <v>542706.42247227824</v>
      </c>
      <c r="J72" s="3">
        <f>IF(ROW()&lt;3, Dashboard!$E$7, IF(Query1[[#This Row],[Month]]&lt;&gt;H71,J71*(1+Dashboard!$E$4)+Dashboard!$E$5,J71))</f>
        <v>521210.7</v>
      </c>
      <c r="K72">
        <f>IF(ROW()&lt;3, 0,IF(Query1[[#This Row],[Month]]&lt;&gt;H71,IF((J72-I72&gt;0),J72-I72,0),0))</f>
        <v>0</v>
      </c>
      <c r="L72" s="2">
        <f t="shared" si="1"/>
        <v>1174.8591051078693</v>
      </c>
      <c r="M72">
        <f ca="1">IF(ROW()&lt;3,0,IF(Query1[[#This Row],[Month]]&lt;&gt;OFFSET(Query1[[#This Row],[Month]],-1,0),Dashboard!$J$5,0))</f>
        <v>0</v>
      </c>
      <c r="N72" s="2">
        <f ca="1">IF(ROW()&lt;3, Query1[[#This Row],[Shares]], IF(Query1[[#This Row],[Month]]&lt;&gt;H71, N71+Query1[[#This Row],[Fix Top Up]]/Query1[[#This Row],[Adj Close]], N71))</f>
        <v>1181.2728399906994</v>
      </c>
      <c r="O7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2" s="2">
        <f ca="1">IF(ROW()&lt;3, Query1[[#This Row],[Shares]], IF(Query1[[#This Row],[Month]]&lt;&gt;H71, P71+Query1[[#This Row],[Enhanced top up]]/Query1[[#This Row],[Adj Close]], P71))</f>
        <v>1178.9808253011556</v>
      </c>
      <c r="Q72" s="2">
        <f>IFERROR(AVERAGE(
  IF(ROW()&gt;20, INDEX(G:G, ROW()-20), 0) :
  INDEX(G:G, ROW())
),0)</f>
        <v>468.14268856956846</v>
      </c>
    </row>
    <row r="73" spans="1:17" x14ac:dyDescent="0.3">
      <c r="A73" s="1">
        <v>45397</v>
      </c>
      <c r="B73">
        <v>473.47000122070313</v>
      </c>
      <c r="C73">
        <v>473.58999633789063</v>
      </c>
      <c r="D73">
        <v>462.85000610351563</v>
      </c>
      <c r="E73">
        <v>463.6099853515625</v>
      </c>
      <c r="F73">
        <v>9530000</v>
      </c>
      <c r="G73">
        <v>456.07009887695313</v>
      </c>
      <c r="H73" s="2">
        <f>MONTH(Query1[[#This Row],[Date]])</f>
        <v>4</v>
      </c>
      <c r="I73" s="3">
        <f>Query1[[#This Row],[Shares]]*Query1[[#This Row],[Adj Close]]</f>
        <v>535818.10823303461</v>
      </c>
      <c r="J73" s="3">
        <f>IF(ROW()&lt;3, Dashboard!$E$7, IF(Query1[[#This Row],[Month]]&lt;&gt;H72,J72*(1+Dashboard!$E$4)+Dashboard!$E$5,J72))</f>
        <v>521210.7</v>
      </c>
      <c r="K73">
        <f>IF(ROW()&lt;3, 0,IF(Query1[[#This Row],[Month]]&lt;&gt;H72,IF((J73-I73&gt;0),J73-I73,0),0))</f>
        <v>0</v>
      </c>
      <c r="L73" s="2">
        <f t="shared" si="1"/>
        <v>1174.8591051078693</v>
      </c>
      <c r="M73">
        <f ca="1">IF(ROW()&lt;3,0,IF(Query1[[#This Row],[Month]]&lt;&gt;OFFSET(Query1[[#This Row],[Month]],-1,0),Dashboard!$J$5,0))</f>
        <v>0</v>
      </c>
      <c r="N73" s="2">
        <f ca="1">IF(ROW()&lt;3, Query1[[#This Row],[Shares]], IF(Query1[[#This Row],[Month]]&lt;&gt;H72, N72+Query1[[#This Row],[Fix Top Up]]/Query1[[#This Row],[Adj Close]], N72))</f>
        <v>1181.2728399906994</v>
      </c>
      <c r="O7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3" s="2">
        <f ca="1">IF(ROW()&lt;3, Query1[[#This Row],[Shares]], IF(Query1[[#This Row],[Month]]&lt;&gt;H72, P72+Query1[[#This Row],[Enhanced top up]]/Query1[[#This Row],[Adj Close]], P72))</f>
        <v>1178.9808253011556</v>
      </c>
      <c r="Q73" s="2">
        <f>IFERROR(AVERAGE(
  IF(ROW()&gt;20, INDEX(G:G, ROW()-20), 0) :
  INDEX(G:G, ROW())
),0)</f>
        <v>467.76123482840404</v>
      </c>
    </row>
    <row r="74" spans="1:17" x14ac:dyDescent="0.3">
      <c r="A74" s="1">
        <v>45398</v>
      </c>
      <c r="B74">
        <v>464.04998779296875</v>
      </c>
      <c r="C74">
        <v>465.510009765625</v>
      </c>
      <c r="D74">
        <v>461.58999633789063</v>
      </c>
      <c r="E74">
        <v>462.77999877929688</v>
      </c>
      <c r="F74">
        <v>6761400</v>
      </c>
      <c r="G74">
        <v>455.25363159179688</v>
      </c>
      <c r="H74" s="2">
        <f>MONTH(Query1[[#This Row],[Date]])</f>
        <v>4</v>
      </c>
      <c r="I74" s="3">
        <f>Query1[[#This Row],[Shares]]*Query1[[#This Row],[Adj Close]]</f>
        <v>534858.87420904601</v>
      </c>
      <c r="J74" s="3">
        <f>IF(ROW()&lt;3, Dashboard!$E$7, IF(Query1[[#This Row],[Month]]&lt;&gt;H73,J73*(1+Dashboard!$E$4)+Dashboard!$E$5,J73))</f>
        <v>521210.7</v>
      </c>
      <c r="K74">
        <f>IF(ROW()&lt;3, 0,IF(Query1[[#This Row],[Month]]&lt;&gt;H73,IF((J74-I74&gt;0),J74-I74,0),0))</f>
        <v>0</v>
      </c>
      <c r="L74" s="2">
        <f t="shared" si="1"/>
        <v>1174.8591051078693</v>
      </c>
      <c r="M74">
        <f ca="1">IF(ROW()&lt;3,0,IF(Query1[[#This Row],[Month]]&lt;&gt;OFFSET(Query1[[#This Row],[Month]],-1,0),Dashboard!$J$5,0))</f>
        <v>0</v>
      </c>
      <c r="N74" s="2">
        <f ca="1">IF(ROW()&lt;3, Query1[[#This Row],[Shares]], IF(Query1[[#This Row],[Month]]&lt;&gt;H73, N73+Query1[[#This Row],[Fix Top Up]]/Query1[[#This Row],[Adj Close]], N73))</f>
        <v>1181.2728399906994</v>
      </c>
      <c r="O7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4" s="2">
        <f ca="1">IF(ROW()&lt;3, Query1[[#This Row],[Shares]], IF(Query1[[#This Row],[Month]]&lt;&gt;H73, P73+Query1[[#This Row],[Enhanced top up]]/Query1[[#This Row],[Adj Close]], P73))</f>
        <v>1178.9808253011556</v>
      </c>
      <c r="Q74" s="2">
        <f>IFERROR(AVERAGE(
  IF(ROW()&gt;20, INDEX(G:G, ROW()-20), 0) :
  INDEX(G:G, ROW())
),0)</f>
        <v>467.49312482561385</v>
      </c>
    </row>
    <row r="75" spans="1:17" x14ac:dyDescent="0.3">
      <c r="A75" s="1">
        <v>45399</v>
      </c>
      <c r="B75">
        <v>465.1099853515625</v>
      </c>
      <c r="C75">
        <v>465.239990234375</v>
      </c>
      <c r="D75">
        <v>458.73001098632813</v>
      </c>
      <c r="E75">
        <v>459.989990234375</v>
      </c>
      <c r="F75">
        <v>7156200</v>
      </c>
      <c r="G75">
        <v>452.50900268554688</v>
      </c>
      <c r="H75" s="2">
        <f>MONTH(Query1[[#This Row],[Date]])</f>
        <v>4</v>
      </c>
      <c r="I75" s="3">
        <f>Query1[[#This Row],[Shares]]*Query1[[#This Row],[Adj Close]]</f>
        <v>531634.32194839604</v>
      </c>
      <c r="J75" s="3">
        <f>IF(ROW()&lt;3, Dashboard!$E$7, IF(Query1[[#This Row],[Month]]&lt;&gt;H74,J74*(1+Dashboard!$E$4)+Dashboard!$E$5,J74))</f>
        <v>521210.7</v>
      </c>
      <c r="K75">
        <f>IF(ROW()&lt;3, 0,IF(Query1[[#This Row],[Month]]&lt;&gt;H74,IF((J75-I75&gt;0),J75-I75,0),0))</f>
        <v>0</v>
      </c>
      <c r="L75" s="2">
        <f t="shared" si="1"/>
        <v>1174.8591051078693</v>
      </c>
      <c r="M75">
        <f ca="1">IF(ROW()&lt;3,0,IF(Query1[[#This Row],[Month]]&lt;&gt;OFFSET(Query1[[#This Row],[Month]],-1,0),Dashboard!$J$5,0))</f>
        <v>0</v>
      </c>
      <c r="N75" s="2">
        <f ca="1">IF(ROW()&lt;3, Query1[[#This Row],[Shares]], IF(Query1[[#This Row],[Month]]&lt;&gt;H74, N74+Query1[[#This Row],[Fix Top Up]]/Query1[[#This Row],[Adj Close]], N74))</f>
        <v>1181.2728399906994</v>
      </c>
      <c r="O7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5" s="2">
        <f ca="1">IF(ROW()&lt;3, Query1[[#This Row],[Shares]], IF(Query1[[#This Row],[Month]]&lt;&gt;H74, P74+Query1[[#This Row],[Enhanced top up]]/Query1[[#This Row],[Adj Close]], P74))</f>
        <v>1178.9808253011556</v>
      </c>
      <c r="Q75" s="2">
        <f>IFERROR(AVERAGE(
  IF(ROW()&gt;20, INDEX(G:G, ROW()-20), 0) :
  INDEX(G:G, ROW())
),0)</f>
        <v>466.95703706287202</v>
      </c>
    </row>
    <row r="76" spans="1:17" x14ac:dyDescent="0.3">
      <c r="A76" s="1">
        <v>45400</v>
      </c>
      <c r="B76">
        <v>461.3599853515625</v>
      </c>
      <c r="C76">
        <v>463.29998779296875</v>
      </c>
      <c r="D76">
        <v>458.20999145507813</v>
      </c>
      <c r="E76">
        <v>458.94000244140625</v>
      </c>
      <c r="F76">
        <v>5637300</v>
      </c>
      <c r="G76">
        <v>451.47607421875</v>
      </c>
      <c r="H76" s="2">
        <f>MONTH(Query1[[#This Row],[Date]])</f>
        <v>4</v>
      </c>
      <c r="I76" s="3">
        <f>Query1[[#This Row],[Shares]]*Query1[[#This Row],[Adj Close]]</f>
        <v>530420.77653425455</v>
      </c>
      <c r="J76" s="3">
        <f>IF(ROW()&lt;3, Dashboard!$E$7, IF(Query1[[#This Row],[Month]]&lt;&gt;H75,J75*(1+Dashboard!$E$4)+Dashboard!$E$5,J75))</f>
        <v>521210.7</v>
      </c>
      <c r="K76">
        <f>IF(ROW()&lt;3, 0,IF(Query1[[#This Row],[Month]]&lt;&gt;H75,IF((J76-I76&gt;0),J76-I76,0),0))</f>
        <v>0</v>
      </c>
      <c r="L76" s="2">
        <f t="shared" si="1"/>
        <v>1174.8591051078693</v>
      </c>
      <c r="M76">
        <f ca="1">IF(ROW()&lt;3,0,IF(Query1[[#This Row],[Month]]&lt;&gt;OFFSET(Query1[[#This Row],[Month]],-1,0),Dashboard!$J$5,0))</f>
        <v>0</v>
      </c>
      <c r="N76" s="2">
        <f ca="1">IF(ROW()&lt;3, Query1[[#This Row],[Shares]], IF(Query1[[#This Row],[Month]]&lt;&gt;H75, N75+Query1[[#This Row],[Fix Top Up]]/Query1[[#This Row],[Adj Close]], N75))</f>
        <v>1181.2728399906994</v>
      </c>
      <c r="O7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6" s="2">
        <f ca="1">IF(ROW()&lt;3, Query1[[#This Row],[Shares]], IF(Query1[[#This Row],[Month]]&lt;&gt;H75, P75+Query1[[#This Row],[Enhanced top up]]/Query1[[#This Row],[Adj Close]], P75))</f>
        <v>1178.9808253011556</v>
      </c>
      <c r="Q76" s="2">
        <f>IFERROR(AVERAGE(
  IF(ROW()&gt;20, INDEX(G:G, ROW()-20), 0) :
  INDEX(G:G, ROW())
),0)</f>
        <v>466.24802071707592</v>
      </c>
    </row>
    <row r="77" spans="1:17" x14ac:dyDescent="0.3">
      <c r="A77" s="1">
        <v>45401</v>
      </c>
      <c r="B77">
        <v>458.989990234375</v>
      </c>
      <c r="C77">
        <v>459.94000244140625</v>
      </c>
      <c r="D77">
        <v>453.89999389648438</v>
      </c>
      <c r="E77">
        <v>455.10000610351563</v>
      </c>
      <c r="F77">
        <v>9787500</v>
      </c>
      <c r="G77">
        <v>447.69857788085938</v>
      </c>
      <c r="H77" s="2">
        <f>MONTH(Query1[[#This Row],[Date]])</f>
        <v>4</v>
      </c>
      <c r="I77" s="3">
        <f>Query1[[#This Row],[Shares]]*Query1[[#This Row],[Adj Close]]</f>
        <v>525982.75056717219</v>
      </c>
      <c r="J77" s="3">
        <f>IF(ROW()&lt;3, Dashboard!$E$7, IF(Query1[[#This Row],[Month]]&lt;&gt;H76,J76*(1+Dashboard!$E$4)+Dashboard!$E$5,J76))</f>
        <v>521210.7</v>
      </c>
      <c r="K77">
        <f>IF(ROW()&lt;3, 0,IF(Query1[[#This Row],[Month]]&lt;&gt;H76,IF((J77-I77&gt;0),J77-I77,0),0))</f>
        <v>0</v>
      </c>
      <c r="L77" s="2">
        <f t="shared" si="1"/>
        <v>1174.8591051078693</v>
      </c>
      <c r="M77">
        <f ca="1">IF(ROW()&lt;3,0,IF(Query1[[#This Row],[Month]]&lt;&gt;OFFSET(Query1[[#This Row],[Month]],-1,0),Dashboard!$J$5,0))</f>
        <v>0</v>
      </c>
      <c r="N77" s="2">
        <f ca="1">IF(ROW()&lt;3, Query1[[#This Row],[Shares]], IF(Query1[[#This Row],[Month]]&lt;&gt;H76, N76+Query1[[#This Row],[Fix Top Up]]/Query1[[#This Row],[Adj Close]], N76))</f>
        <v>1181.2728399906994</v>
      </c>
      <c r="O7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7" s="2">
        <f ca="1">IF(ROW()&lt;3, Query1[[#This Row],[Shares]], IF(Query1[[#This Row],[Month]]&lt;&gt;H76, P76+Query1[[#This Row],[Enhanced top up]]/Query1[[#This Row],[Adj Close]], P76))</f>
        <v>1178.9808253011556</v>
      </c>
      <c r="Q77" s="2">
        <f>IFERROR(AVERAGE(
  IF(ROW()&gt;20, INDEX(G:G, ROW()-20), 0) :
  INDEX(G:G, ROW())
),0)</f>
        <v>465.16534278506322</v>
      </c>
    </row>
    <row r="78" spans="1:17" x14ac:dyDescent="0.3">
      <c r="A78" s="1">
        <v>45404</v>
      </c>
      <c r="B78">
        <v>457.54998779296875</v>
      </c>
      <c r="C78">
        <v>461.73001098632813</v>
      </c>
      <c r="D78">
        <v>455.35000610351563</v>
      </c>
      <c r="E78">
        <v>459.04998779296875</v>
      </c>
      <c r="F78">
        <v>5818100</v>
      </c>
      <c r="G78">
        <v>451.58428955078125</v>
      </c>
      <c r="H78" s="2">
        <f>MONTH(Query1[[#This Row],[Date]])</f>
        <v>4</v>
      </c>
      <c r="I78" s="3">
        <f>Query1[[#This Row],[Shares]]*Query1[[#This Row],[Adj Close]]</f>
        <v>530547.91430240381</v>
      </c>
      <c r="J78" s="3">
        <f>IF(ROW()&lt;3, Dashboard!$E$7, IF(Query1[[#This Row],[Month]]&lt;&gt;H77,J77*(1+Dashboard!$E$4)+Dashboard!$E$5,J77))</f>
        <v>521210.7</v>
      </c>
      <c r="K78">
        <f>IF(ROW()&lt;3, 0,IF(Query1[[#This Row],[Month]]&lt;&gt;H77,IF((J78-I78&gt;0),J78-I78,0),0))</f>
        <v>0</v>
      </c>
      <c r="L78" s="2">
        <f t="shared" si="1"/>
        <v>1174.8591051078693</v>
      </c>
      <c r="M78">
        <f ca="1">IF(ROW()&lt;3,0,IF(Query1[[#This Row],[Month]]&lt;&gt;OFFSET(Query1[[#This Row],[Month]],-1,0),Dashboard!$J$5,0))</f>
        <v>0</v>
      </c>
      <c r="N78" s="2">
        <f ca="1">IF(ROW()&lt;3, Query1[[#This Row],[Shares]], IF(Query1[[#This Row],[Month]]&lt;&gt;H77, N77+Query1[[#This Row],[Fix Top Up]]/Query1[[#This Row],[Adj Close]], N77))</f>
        <v>1181.2728399906994</v>
      </c>
      <c r="O7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8" s="2">
        <f ca="1">IF(ROW()&lt;3, Query1[[#This Row],[Shares]], IF(Query1[[#This Row],[Month]]&lt;&gt;H77, P77+Query1[[#This Row],[Enhanced top up]]/Query1[[#This Row],[Adj Close]], P77))</f>
        <v>1178.9808253011556</v>
      </c>
      <c r="Q78" s="2">
        <f>IFERROR(AVERAGE(
  IF(ROW()&gt;20, INDEX(G:G, ROW()-20), 0) :
  INDEX(G:G, ROW())
),0)</f>
        <v>464.19298880440846</v>
      </c>
    </row>
    <row r="79" spans="1:17" x14ac:dyDescent="0.3">
      <c r="A79" s="1">
        <v>45405</v>
      </c>
      <c r="B79">
        <v>461.17999267578125</v>
      </c>
      <c r="C79">
        <v>465.1300048828125</v>
      </c>
      <c r="D79">
        <v>460.67001342773438</v>
      </c>
      <c r="E79">
        <v>464.83999633789063</v>
      </c>
      <c r="F79">
        <v>4257400</v>
      </c>
      <c r="G79">
        <v>457.2801513671875</v>
      </c>
      <c r="H79" s="2">
        <f>MONTH(Query1[[#This Row],[Date]])</f>
        <v>4</v>
      </c>
      <c r="I79" s="3">
        <f>Query1[[#This Row],[Shares]]*Query1[[#This Row],[Adj Close]]</f>
        <v>537239.74941884493</v>
      </c>
      <c r="J79" s="3">
        <f>IF(ROW()&lt;3, Dashboard!$E$7, IF(Query1[[#This Row],[Month]]&lt;&gt;H78,J78*(1+Dashboard!$E$4)+Dashboard!$E$5,J78))</f>
        <v>521210.7</v>
      </c>
      <c r="K79">
        <f>IF(ROW()&lt;3, 0,IF(Query1[[#This Row],[Month]]&lt;&gt;H78,IF((J79-I79&gt;0),J79-I79,0),0))</f>
        <v>0</v>
      </c>
      <c r="L79" s="2">
        <f t="shared" si="1"/>
        <v>1174.8591051078693</v>
      </c>
      <c r="M79">
        <f ca="1">IF(ROW()&lt;3,0,IF(Query1[[#This Row],[Month]]&lt;&gt;OFFSET(Query1[[#This Row],[Month]],-1,0),Dashboard!$J$5,0))</f>
        <v>0</v>
      </c>
      <c r="N79" s="2">
        <f ca="1">IF(ROW()&lt;3, Query1[[#This Row],[Shares]], IF(Query1[[#This Row],[Month]]&lt;&gt;H78, N78+Query1[[#This Row],[Fix Top Up]]/Query1[[#This Row],[Adj Close]], N78))</f>
        <v>1181.2728399906994</v>
      </c>
      <c r="O7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79" s="2">
        <f ca="1">IF(ROW()&lt;3, Query1[[#This Row],[Shares]], IF(Query1[[#This Row],[Month]]&lt;&gt;H78, P78+Query1[[#This Row],[Enhanced top up]]/Query1[[#This Row],[Adj Close]], P78))</f>
        <v>1178.9808253011556</v>
      </c>
      <c r="Q79" s="2">
        <f>IFERROR(AVERAGE(
  IF(ROW()&gt;20, INDEX(G:G, ROW()-20), 0) :
  INDEX(G:G, ROW())
),0)</f>
        <v>463.52123878115697</v>
      </c>
    </row>
    <row r="80" spans="1:17" x14ac:dyDescent="0.3">
      <c r="A80" s="1">
        <v>45406</v>
      </c>
      <c r="B80">
        <v>465.57000732421875</v>
      </c>
      <c r="C80">
        <v>466.30999755859375</v>
      </c>
      <c r="D80">
        <v>462.44000244140625</v>
      </c>
      <c r="E80">
        <v>464.5</v>
      </c>
      <c r="F80">
        <v>7687800</v>
      </c>
      <c r="G80">
        <v>456.94570922851563</v>
      </c>
      <c r="H80" s="2">
        <f>MONTH(Query1[[#This Row],[Date]])</f>
        <v>4</v>
      </c>
      <c r="I80" s="3">
        <f>Query1[[#This Row],[Shares]]*Query1[[#This Row],[Adj Close]]</f>
        <v>536846.82702709455</v>
      </c>
      <c r="J80" s="3">
        <f>IF(ROW()&lt;3, Dashboard!$E$7, IF(Query1[[#This Row],[Month]]&lt;&gt;H79,J79*(1+Dashboard!$E$4)+Dashboard!$E$5,J79))</f>
        <v>521210.7</v>
      </c>
      <c r="K80">
        <f>IF(ROW()&lt;3, 0,IF(Query1[[#This Row],[Month]]&lt;&gt;H79,IF((J80-I80&gt;0),J80-I80,0),0))</f>
        <v>0</v>
      </c>
      <c r="L80" s="2">
        <f t="shared" si="1"/>
        <v>1174.8591051078693</v>
      </c>
      <c r="M80">
        <f ca="1">IF(ROW()&lt;3,0,IF(Query1[[#This Row],[Month]]&lt;&gt;OFFSET(Query1[[#This Row],[Month]],-1,0),Dashboard!$J$5,0))</f>
        <v>0</v>
      </c>
      <c r="N80" s="2">
        <f ca="1">IF(ROW()&lt;3, Query1[[#This Row],[Shares]], IF(Query1[[#This Row],[Month]]&lt;&gt;H79, N79+Query1[[#This Row],[Fix Top Up]]/Query1[[#This Row],[Adj Close]], N79))</f>
        <v>1181.2728399906994</v>
      </c>
      <c r="O8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0" s="2">
        <f ca="1">IF(ROW()&lt;3, Query1[[#This Row],[Shares]], IF(Query1[[#This Row],[Month]]&lt;&gt;H79, P79+Query1[[#This Row],[Enhanced top up]]/Query1[[#This Row],[Adj Close]], P79))</f>
        <v>1178.9808253011556</v>
      </c>
      <c r="Q80" s="2">
        <f>IFERROR(AVERAGE(
  IF(ROW()&gt;20, INDEX(G:G, ROW()-20), 0) :
  INDEX(G:G, ROW())
),0)</f>
        <v>462.89165097191221</v>
      </c>
    </row>
    <row r="81" spans="1:17" x14ac:dyDescent="0.3">
      <c r="A81" s="1">
        <v>45407</v>
      </c>
      <c r="B81">
        <v>458.76998901367188</v>
      </c>
      <c r="C81">
        <v>463.45999145507813</v>
      </c>
      <c r="D81">
        <v>457.260009765625</v>
      </c>
      <c r="E81">
        <v>462.57998657226563</v>
      </c>
      <c r="F81">
        <v>4876200</v>
      </c>
      <c r="G81">
        <v>455.056884765625</v>
      </c>
      <c r="H81" s="2">
        <f>MONTH(Query1[[#This Row],[Date]])</f>
        <v>4</v>
      </c>
      <c r="I81" s="3">
        <f>Query1[[#This Row],[Shares]]*Query1[[#This Row],[Adj Close]]</f>
        <v>534627.72440891701</v>
      </c>
      <c r="J81" s="3">
        <f>IF(ROW()&lt;3, Dashboard!$E$7, IF(Query1[[#This Row],[Month]]&lt;&gt;H80,J80*(1+Dashboard!$E$4)+Dashboard!$E$5,J80))</f>
        <v>521210.7</v>
      </c>
      <c r="K81">
        <f>IF(ROW()&lt;3, 0,IF(Query1[[#This Row],[Month]]&lt;&gt;H80,IF((J81-I81&gt;0),J81-I81,0),0))</f>
        <v>0</v>
      </c>
      <c r="L81" s="2">
        <f t="shared" si="1"/>
        <v>1174.8591051078693</v>
      </c>
      <c r="M81">
        <f ca="1">IF(ROW()&lt;3,0,IF(Query1[[#This Row],[Month]]&lt;&gt;OFFSET(Query1[[#This Row],[Month]],-1,0),Dashboard!$J$5,0))</f>
        <v>0</v>
      </c>
      <c r="N81" s="2">
        <f ca="1">IF(ROW()&lt;3, Query1[[#This Row],[Shares]], IF(Query1[[#This Row],[Month]]&lt;&gt;H80, N80+Query1[[#This Row],[Fix Top Up]]/Query1[[#This Row],[Adj Close]], N80))</f>
        <v>1181.2728399906994</v>
      </c>
      <c r="O8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1" s="2">
        <f ca="1">IF(ROW()&lt;3, Query1[[#This Row],[Shares]], IF(Query1[[#This Row],[Month]]&lt;&gt;H80, P80+Query1[[#This Row],[Enhanced top up]]/Query1[[#This Row],[Adj Close]], P80))</f>
        <v>1178.9808253011556</v>
      </c>
      <c r="Q81" s="2">
        <f>IFERROR(AVERAGE(
  IF(ROW()&gt;20, INDEX(G:G, ROW()-20), 0) :
  INDEX(G:G, ROW())
),0)</f>
        <v>462.23488943917408</v>
      </c>
    </row>
    <row r="82" spans="1:17" x14ac:dyDescent="0.3">
      <c r="A82" s="1">
        <v>45408</v>
      </c>
      <c r="B82">
        <v>465.32998657226563</v>
      </c>
      <c r="C82">
        <v>468.6300048828125</v>
      </c>
      <c r="D82">
        <v>464.80999755859375</v>
      </c>
      <c r="E82">
        <v>467.20999145507813</v>
      </c>
      <c r="F82">
        <v>4907100</v>
      </c>
      <c r="G82">
        <v>459.611572265625</v>
      </c>
      <c r="H82" s="2">
        <f>MONTH(Query1[[#This Row],[Date]])</f>
        <v>4</v>
      </c>
      <c r="I82" s="3">
        <f>Query1[[#This Row],[Shares]]*Query1[[#This Row],[Adj Close]]</f>
        <v>539978.84048921301</v>
      </c>
      <c r="J82" s="3">
        <f>IF(ROW()&lt;3, Dashboard!$E$7, IF(Query1[[#This Row],[Month]]&lt;&gt;H81,J81*(1+Dashboard!$E$4)+Dashboard!$E$5,J81))</f>
        <v>521210.7</v>
      </c>
      <c r="K82">
        <f>IF(ROW()&lt;3, 0,IF(Query1[[#This Row],[Month]]&lt;&gt;H81,IF((J82-I82&gt;0),J82-I82,0),0))</f>
        <v>0</v>
      </c>
      <c r="L82" s="2">
        <f t="shared" si="1"/>
        <v>1174.8591051078693</v>
      </c>
      <c r="M82">
        <f ca="1">IF(ROW()&lt;3,0,IF(Query1[[#This Row],[Month]]&lt;&gt;OFFSET(Query1[[#This Row],[Month]],-1,0),Dashboard!$J$5,0))</f>
        <v>0</v>
      </c>
      <c r="N82" s="2">
        <f ca="1">IF(ROW()&lt;3, Query1[[#This Row],[Shares]], IF(Query1[[#This Row],[Month]]&lt;&gt;H81, N81+Query1[[#This Row],[Fix Top Up]]/Query1[[#This Row],[Adj Close]], N81))</f>
        <v>1181.2728399906994</v>
      </c>
      <c r="O8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2" s="2">
        <f ca="1">IF(ROW()&lt;3, Query1[[#This Row],[Shares]], IF(Query1[[#This Row],[Month]]&lt;&gt;H81, P81+Query1[[#This Row],[Enhanced top up]]/Query1[[#This Row],[Adj Close]], P81))</f>
        <v>1178.9808253011556</v>
      </c>
      <c r="Q82" s="2">
        <f>IFERROR(AVERAGE(
  IF(ROW()&gt;20, INDEX(G:G, ROW()-20), 0) :
  INDEX(G:G, ROW())
),0)</f>
        <v>461.6001441592262</v>
      </c>
    </row>
    <row r="83" spans="1:17" x14ac:dyDescent="0.3">
      <c r="A83" s="1">
        <v>45411</v>
      </c>
      <c r="B83">
        <v>468.83999633789063</v>
      </c>
      <c r="C83">
        <v>469.42001342773438</v>
      </c>
      <c r="D83">
        <v>466.20999145507813</v>
      </c>
      <c r="E83">
        <v>468.83999633789063</v>
      </c>
      <c r="F83">
        <v>3253200</v>
      </c>
      <c r="G83">
        <v>461.21502685546875</v>
      </c>
      <c r="H83" s="2">
        <f>MONTH(Query1[[#This Row],[Date]])</f>
        <v>4</v>
      </c>
      <c r="I83" s="3">
        <f>Query1[[#This Row],[Shares]]*Query1[[#This Row],[Adj Close]]</f>
        <v>541862.67371371796</v>
      </c>
      <c r="J83" s="3">
        <f>IF(ROW()&lt;3, Dashboard!$E$7, IF(Query1[[#This Row],[Month]]&lt;&gt;H82,J82*(1+Dashboard!$E$4)+Dashboard!$E$5,J82))</f>
        <v>521210.7</v>
      </c>
      <c r="K83">
        <f>IF(ROW()&lt;3, 0,IF(Query1[[#This Row],[Month]]&lt;&gt;H82,IF((J83-I83&gt;0),J83-I83,0),0))</f>
        <v>0</v>
      </c>
      <c r="L83" s="2">
        <f t="shared" si="1"/>
        <v>1174.8591051078693</v>
      </c>
      <c r="M83">
        <f ca="1">IF(ROW()&lt;3,0,IF(Query1[[#This Row],[Month]]&lt;&gt;OFFSET(Query1[[#This Row],[Month]],-1,0),Dashboard!$J$5,0))</f>
        <v>0</v>
      </c>
      <c r="N83" s="2">
        <f ca="1">IF(ROW()&lt;3, Query1[[#This Row],[Shares]], IF(Query1[[#This Row],[Month]]&lt;&gt;H82, N82+Query1[[#This Row],[Fix Top Up]]/Query1[[#This Row],[Adj Close]], N82))</f>
        <v>1181.2728399906994</v>
      </c>
      <c r="O8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3" s="2">
        <f ca="1">IF(ROW()&lt;3, Query1[[#This Row],[Shares]], IF(Query1[[#This Row],[Month]]&lt;&gt;H82, P82+Query1[[#This Row],[Enhanced top up]]/Query1[[#This Row],[Adj Close]], P82))</f>
        <v>1178.9808253011556</v>
      </c>
      <c r="Q83" s="2">
        <f>IFERROR(AVERAGE(
  IF(ROW()&gt;20, INDEX(G:G, ROW()-20), 0) :
  INDEX(G:G, ROW())
),0)</f>
        <v>461.04456293015255</v>
      </c>
    </row>
    <row r="84" spans="1:17" x14ac:dyDescent="0.3">
      <c r="A84" s="1">
        <v>45412</v>
      </c>
      <c r="B84">
        <v>467.42001342773438</v>
      </c>
      <c r="C84">
        <v>468.33999633789063</v>
      </c>
      <c r="D84">
        <v>461.3599853515625</v>
      </c>
      <c r="E84">
        <v>461.42999267578125</v>
      </c>
      <c r="F84">
        <v>4364800</v>
      </c>
      <c r="G84">
        <v>453.92559814453125</v>
      </c>
      <c r="H84" s="2">
        <f>MONTH(Query1[[#This Row],[Date]])</f>
        <v>4</v>
      </c>
      <c r="I84" s="3">
        <f>Query1[[#This Row],[Shares]]*Query1[[#This Row],[Adj Close]]</f>
        <v>533298.62202163821</v>
      </c>
      <c r="J84" s="3">
        <f>IF(ROW()&lt;3, Dashboard!$E$7, IF(Query1[[#This Row],[Month]]&lt;&gt;H83,J83*(1+Dashboard!$E$4)+Dashboard!$E$5,J83))</f>
        <v>521210.7</v>
      </c>
      <c r="K84">
        <f>IF(ROW()&lt;3, 0,IF(Query1[[#This Row],[Month]]&lt;&gt;H83,IF((J84-I84&gt;0),J84-I84,0),0))</f>
        <v>0</v>
      </c>
      <c r="L84" s="2">
        <f t="shared" si="1"/>
        <v>1174.8591051078693</v>
      </c>
      <c r="M84">
        <f ca="1">IF(ROW()&lt;3,0,IF(Query1[[#This Row],[Month]]&lt;&gt;OFFSET(Query1[[#This Row],[Month]],-1,0),Dashboard!$J$5,0))</f>
        <v>0</v>
      </c>
      <c r="N84" s="2">
        <f ca="1">IF(ROW()&lt;3, Query1[[#This Row],[Shares]], IF(Query1[[#This Row],[Month]]&lt;&gt;H83, N83+Query1[[#This Row],[Fix Top Up]]/Query1[[#This Row],[Adj Close]], N83))</f>
        <v>1181.2728399906994</v>
      </c>
      <c r="O8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4" s="2">
        <f ca="1">IF(ROW()&lt;3, Query1[[#This Row],[Shares]], IF(Query1[[#This Row],[Month]]&lt;&gt;H83, P83+Query1[[#This Row],[Enhanced top up]]/Query1[[#This Row],[Adj Close]], P83))</f>
        <v>1178.9808253011556</v>
      </c>
      <c r="Q84" s="2">
        <f>IFERROR(AVERAGE(
  IF(ROW()&gt;20, INDEX(G:G, ROW()-20), 0) :
  INDEX(G:G, ROW())
),0)</f>
        <v>460.17137945265995</v>
      </c>
    </row>
    <row r="85" spans="1:17" x14ac:dyDescent="0.3">
      <c r="A85" s="1">
        <v>45413</v>
      </c>
      <c r="B85">
        <v>460.76998901367188</v>
      </c>
      <c r="C85">
        <v>467.07000732421875</v>
      </c>
      <c r="D85">
        <v>459.44000244140625</v>
      </c>
      <c r="E85">
        <v>459.92999267578125</v>
      </c>
      <c r="F85">
        <v>6115400</v>
      </c>
      <c r="G85">
        <v>452.45001220703125</v>
      </c>
      <c r="H85" s="2">
        <f>MONTH(Query1[[#This Row],[Date]])</f>
        <v>5</v>
      </c>
      <c r="I85" s="3">
        <f>Query1[[#This Row],[Shares]]*Query1[[#This Row],[Adj Close]]</f>
        <v>531565.0164475973</v>
      </c>
      <c r="J85" s="3">
        <f>IF(ROW()&lt;3, Dashboard!$E$7, IF(Query1[[#This Row],[Month]]&lt;&gt;H84,J84*(1+Dashboard!$E$4)+Dashboard!$E$5,J84))</f>
        <v>528422.80700000003</v>
      </c>
      <c r="K85">
        <f>IF(ROW()&lt;3, 0,IF(Query1[[#This Row],[Month]]&lt;&gt;H84,IF((J85-I85&gt;0),J85-I85,0),0))</f>
        <v>0</v>
      </c>
      <c r="L85" s="2">
        <f t="shared" si="1"/>
        <v>1174.8591051078693</v>
      </c>
      <c r="M85">
        <f ca="1">IF(ROW()&lt;3,0,IF(Query1[[#This Row],[Month]]&lt;&gt;OFFSET(Query1[[#This Row],[Month]],-1,0),Dashboard!$J$5,0))</f>
        <v>979.40350000000024</v>
      </c>
      <c r="N85" s="2">
        <f ca="1">IF(ROW()&lt;3, Query1[[#This Row],[Shares]], IF(Query1[[#This Row],[Month]]&lt;&gt;H84, N84+Query1[[#This Row],[Fix Top Up]]/Query1[[#This Row],[Adj Close]], N84))</f>
        <v>1183.4375067463095</v>
      </c>
      <c r="O8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85" s="2">
        <f ca="1">IF(ROW()&lt;3, Query1[[#This Row],[Shares]], IF(Query1[[#This Row],[Month]]&lt;&gt;H84, P84+Query1[[#This Row],[Enhanced top up]]/Query1[[#This Row],[Adj Close]], P84))</f>
        <v>1182.582114849258</v>
      </c>
      <c r="Q85" s="2">
        <f>IFERROR(AVERAGE(
  IF(ROW()&gt;20, INDEX(G:G, ROW()-20), 0) :
  INDEX(G:G, ROW())
),0)</f>
        <v>459.3750217982701</v>
      </c>
    </row>
    <row r="86" spans="1:17" x14ac:dyDescent="0.3">
      <c r="A86" s="1">
        <v>45414</v>
      </c>
      <c r="B86">
        <v>463.3599853515625</v>
      </c>
      <c r="C86">
        <v>464.95001220703125</v>
      </c>
      <c r="D86">
        <v>459.16000366210938</v>
      </c>
      <c r="E86">
        <v>464.22000122070313</v>
      </c>
      <c r="F86">
        <v>3972400</v>
      </c>
      <c r="G86">
        <v>456.67022705078125</v>
      </c>
      <c r="H86" s="2">
        <f>MONTH(Query1[[#This Row],[Date]])</f>
        <v>5</v>
      </c>
      <c r="I86" s="3">
        <f>Query1[[#This Row],[Shares]]*Query1[[#This Row],[Adj Close]]</f>
        <v>536523.1742822883</v>
      </c>
      <c r="J86" s="3">
        <f>IF(ROW()&lt;3, Dashboard!$E$7, IF(Query1[[#This Row],[Month]]&lt;&gt;H85,J85*(1+Dashboard!$E$4)+Dashboard!$E$5,J85))</f>
        <v>528422.80700000003</v>
      </c>
      <c r="K86">
        <f>IF(ROW()&lt;3, 0,IF(Query1[[#This Row],[Month]]&lt;&gt;H85,IF((J86-I86&gt;0),J86-I86,0),0))</f>
        <v>0</v>
      </c>
      <c r="L86" s="2">
        <f t="shared" si="1"/>
        <v>1174.8591051078693</v>
      </c>
      <c r="M86">
        <f ca="1">IF(ROW()&lt;3,0,IF(Query1[[#This Row],[Month]]&lt;&gt;OFFSET(Query1[[#This Row],[Month]],-1,0),Dashboard!$J$5,0))</f>
        <v>0</v>
      </c>
      <c r="N86" s="2">
        <f ca="1">IF(ROW()&lt;3, Query1[[#This Row],[Shares]], IF(Query1[[#This Row],[Month]]&lt;&gt;H85, N85+Query1[[#This Row],[Fix Top Up]]/Query1[[#This Row],[Adj Close]], N85))</f>
        <v>1183.4375067463095</v>
      </c>
      <c r="O8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6" s="2">
        <f ca="1">IF(ROW()&lt;3, Query1[[#This Row],[Shares]], IF(Query1[[#This Row],[Month]]&lt;&gt;H85, P85+Query1[[#This Row],[Enhanced top up]]/Query1[[#This Row],[Adj Close]], P85))</f>
        <v>1182.582114849258</v>
      </c>
      <c r="Q86" s="2">
        <f>IFERROR(AVERAGE(
  IF(ROW()&gt;20, INDEX(G:G, ROW()-20), 0) :
  INDEX(G:G, ROW())
),0)</f>
        <v>458.75948515392486</v>
      </c>
    </row>
    <row r="87" spans="1:17" x14ac:dyDescent="0.3">
      <c r="A87" s="1">
        <v>45415</v>
      </c>
      <c r="B87">
        <v>469.760009765625</v>
      </c>
      <c r="C87">
        <v>471</v>
      </c>
      <c r="D87">
        <v>467.44000244140625</v>
      </c>
      <c r="E87">
        <v>469.98001098632813</v>
      </c>
      <c r="F87">
        <v>4586900</v>
      </c>
      <c r="G87">
        <v>462.3365478515625</v>
      </c>
      <c r="H87" s="2">
        <f>MONTH(Query1[[#This Row],[Date]])</f>
        <v>5</v>
      </c>
      <c r="I87" s="3">
        <f>Query1[[#This Row],[Shares]]*Query1[[#This Row],[Adj Close]]</f>
        <v>543180.30286754831</v>
      </c>
      <c r="J87" s="3">
        <f>IF(ROW()&lt;3, Dashboard!$E$7, IF(Query1[[#This Row],[Month]]&lt;&gt;H86,J86*(1+Dashboard!$E$4)+Dashboard!$E$5,J86))</f>
        <v>528422.80700000003</v>
      </c>
      <c r="K87">
        <f>IF(ROW()&lt;3, 0,IF(Query1[[#This Row],[Month]]&lt;&gt;H86,IF((J87-I87&gt;0),J87-I87,0),0))</f>
        <v>0</v>
      </c>
      <c r="L87" s="2">
        <f t="shared" si="1"/>
        <v>1174.8591051078693</v>
      </c>
      <c r="M87">
        <f ca="1">IF(ROW()&lt;3,0,IF(Query1[[#This Row],[Month]]&lt;&gt;OFFSET(Query1[[#This Row],[Month]],-1,0),Dashboard!$J$5,0))</f>
        <v>0</v>
      </c>
      <c r="N87" s="2">
        <f ca="1">IF(ROW()&lt;3, Query1[[#This Row],[Shares]], IF(Query1[[#This Row],[Month]]&lt;&gt;H86, N86+Query1[[#This Row],[Fix Top Up]]/Query1[[#This Row],[Adj Close]], N86))</f>
        <v>1183.4375067463095</v>
      </c>
      <c r="O8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7" s="2">
        <f ca="1">IF(ROW()&lt;3, Query1[[#This Row],[Shares]], IF(Query1[[#This Row],[Month]]&lt;&gt;H86, P86+Query1[[#This Row],[Enhanced top up]]/Query1[[#This Row],[Adj Close]], P86))</f>
        <v>1182.582114849258</v>
      </c>
      <c r="Q87" s="2">
        <f>IFERROR(AVERAGE(
  IF(ROW()&gt;20, INDEX(G:G, ROW()-20), 0) :
  INDEX(G:G, ROW())
),0)</f>
        <v>458.68921770368303</v>
      </c>
    </row>
    <row r="88" spans="1:17" x14ac:dyDescent="0.3">
      <c r="A88" s="1">
        <v>45418</v>
      </c>
      <c r="B88">
        <v>472.22000122070313</v>
      </c>
      <c r="C88">
        <v>474.80999755859375</v>
      </c>
      <c r="D88">
        <v>471.82000732421875</v>
      </c>
      <c r="E88">
        <v>474.72000122070313</v>
      </c>
      <c r="F88">
        <v>4782500</v>
      </c>
      <c r="G88">
        <v>466.99945068359375</v>
      </c>
      <c r="H88" s="2">
        <f>MONTH(Query1[[#This Row],[Date]])</f>
        <v>5</v>
      </c>
      <c r="I88" s="3">
        <f>Query1[[#This Row],[Shares]]*Query1[[#This Row],[Adj Close]]</f>
        <v>548658.55671599344</v>
      </c>
      <c r="J88" s="3">
        <f>IF(ROW()&lt;3, Dashboard!$E$7, IF(Query1[[#This Row],[Month]]&lt;&gt;H87,J87*(1+Dashboard!$E$4)+Dashboard!$E$5,J87))</f>
        <v>528422.80700000003</v>
      </c>
      <c r="K88">
        <f>IF(ROW()&lt;3, 0,IF(Query1[[#This Row],[Month]]&lt;&gt;H87,IF((J88-I88&gt;0),J88-I88,0),0))</f>
        <v>0</v>
      </c>
      <c r="L88" s="2">
        <f t="shared" si="1"/>
        <v>1174.8591051078693</v>
      </c>
      <c r="M88">
        <f ca="1">IF(ROW()&lt;3,0,IF(Query1[[#This Row],[Month]]&lt;&gt;OFFSET(Query1[[#This Row],[Month]],-1,0),Dashboard!$J$5,0))</f>
        <v>0</v>
      </c>
      <c r="N88" s="2">
        <f ca="1">IF(ROW()&lt;3, Query1[[#This Row],[Shares]], IF(Query1[[#This Row],[Month]]&lt;&gt;H87, N87+Query1[[#This Row],[Fix Top Up]]/Query1[[#This Row],[Adj Close]], N87))</f>
        <v>1183.4375067463095</v>
      </c>
      <c r="O8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8" s="2">
        <f ca="1">IF(ROW()&lt;3, Query1[[#This Row],[Shares]], IF(Query1[[#This Row],[Month]]&lt;&gt;H87, P87+Query1[[#This Row],[Enhanced top up]]/Query1[[#This Row],[Adj Close]], P87))</f>
        <v>1182.582114849258</v>
      </c>
      <c r="Q88" s="2">
        <f>IFERROR(AVERAGE(
  IF(ROW()&gt;20, INDEX(G:G, ROW()-20), 0) :
  INDEX(G:G, ROW())
),0)</f>
        <v>458.60630435035341</v>
      </c>
    </row>
    <row r="89" spans="1:17" x14ac:dyDescent="0.3">
      <c r="A89" s="1">
        <v>45419</v>
      </c>
      <c r="B89">
        <v>475.70001220703125</v>
      </c>
      <c r="C89">
        <v>476.6400146484375</v>
      </c>
      <c r="D89">
        <v>474.70999145507813</v>
      </c>
      <c r="E89">
        <v>475.39999389648438</v>
      </c>
      <c r="F89">
        <v>3451300</v>
      </c>
      <c r="G89">
        <v>467.66836547851563</v>
      </c>
      <c r="H89" s="2">
        <f>MONTH(Query1[[#This Row],[Date]])</f>
        <v>5</v>
      </c>
      <c r="I89" s="3">
        <f>Query1[[#This Row],[Shares]]*Query1[[#This Row],[Adj Close]]</f>
        <v>549444.43735334883</v>
      </c>
      <c r="J89" s="3">
        <f>IF(ROW()&lt;3, Dashboard!$E$7, IF(Query1[[#This Row],[Month]]&lt;&gt;H88,J88*(1+Dashboard!$E$4)+Dashboard!$E$5,J88))</f>
        <v>528422.80700000003</v>
      </c>
      <c r="K89">
        <f>IF(ROW()&lt;3, 0,IF(Query1[[#This Row],[Month]]&lt;&gt;H88,IF((J89-I89&gt;0),J89-I89,0),0))</f>
        <v>0</v>
      </c>
      <c r="L89" s="2">
        <f t="shared" si="1"/>
        <v>1174.8591051078693</v>
      </c>
      <c r="M89">
        <f ca="1">IF(ROW()&lt;3,0,IF(Query1[[#This Row],[Month]]&lt;&gt;OFFSET(Query1[[#This Row],[Month]],-1,0),Dashboard!$J$5,0))</f>
        <v>0</v>
      </c>
      <c r="N89" s="2">
        <f ca="1">IF(ROW()&lt;3, Query1[[#This Row],[Shares]], IF(Query1[[#This Row],[Month]]&lt;&gt;H88, N88+Query1[[#This Row],[Fix Top Up]]/Query1[[#This Row],[Adj Close]], N88))</f>
        <v>1183.4375067463095</v>
      </c>
      <c r="O8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89" s="2">
        <f ca="1">IF(ROW()&lt;3, Query1[[#This Row],[Shares]], IF(Query1[[#This Row],[Month]]&lt;&gt;H88, P88+Query1[[#This Row],[Enhanced top up]]/Query1[[#This Row],[Adj Close]], P88))</f>
        <v>1182.582114849258</v>
      </c>
      <c r="Q89" s="2">
        <f>IFERROR(AVERAGE(
  IF(ROW()&gt;20, INDEX(G:G, ROW()-20), 0) :
  INDEX(G:G, ROW())
),0)</f>
        <v>458.54634312220981</v>
      </c>
    </row>
    <row r="90" spans="1:17" x14ac:dyDescent="0.3">
      <c r="A90" s="1">
        <v>45420</v>
      </c>
      <c r="B90">
        <v>473.58999633789063</v>
      </c>
      <c r="C90">
        <v>475.8599853515625</v>
      </c>
      <c r="D90">
        <v>473.5</v>
      </c>
      <c r="E90">
        <v>475.42001342773438</v>
      </c>
      <c r="F90">
        <v>3214900</v>
      </c>
      <c r="G90">
        <v>467.68807983398438</v>
      </c>
      <c r="H90" s="2">
        <f>MONTH(Query1[[#This Row],[Date]])</f>
        <v>5</v>
      </c>
      <c r="I90" s="3">
        <f>Query1[[#This Row],[Shares]]*Query1[[#This Row],[Adj Close]]</f>
        <v>549467.59894337261</v>
      </c>
      <c r="J90" s="3">
        <f>IF(ROW()&lt;3, Dashboard!$E$7, IF(Query1[[#This Row],[Month]]&lt;&gt;H89,J89*(1+Dashboard!$E$4)+Dashboard!$E$5,J89))</f>
        <v>528422.80700000003</v>
      </c>
      <c r="K90">
        <f>IF(ROW()&lt;3, 0,IF(Query1[[#This Row],[Month]]&lt;&gt;H89,IF((J90-I90&gt;0),J90-I90,0),0))</f>
        <v>0</v>
      </c>
      <c r="L90" s="2">
        <f t="shared" si="1"/>
        <v>1174.8591051078693</v>
      </c>
      <c r="M90">
        <f ca="1">IF(ROW()&lt;3,0,IF(Query1[[#This Row],[Month]]&lt;&gt;OFFSET(Query1[[#This Row],[Month]],-1,0),Dashboard!$J$5,0))</f>
        <v>0</v>
      </c>
      <c r="N90" s="2">
        <f ca="1">IF(ROW()&lt;3, Query1[[#This Row],[Shares]], IF(Query1[[#This Row],[Month]]&lt;&gt;H89, N89+Query1[[#This Row],[Fix Top Up]]/Query1[[#This Row],[Adj Close]], N89))</f>
        <v>1183.4375067463095</v>
      </c>
      <c r="O9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0" s="2">
        <f ca="1">IF(ROW()&lt;3, Query1[[#This Row],[Shares]], IF(Query1[[#This Row],[Month]]&lt;&gt;H89, P89+Query1[[#This Row],[Enhanced top up]]/Query1[[#This Row],[Adj Close]], P89))</f>
        <v>1182.582114849258</v>
      </c>
      <c r="Q90" s="2">
        <f>IFERROR(AVERAGE(
  IF(ROW()&gt;20, INDEX(G:G, ROW()-20), 0) :
  INDEX(G:G, ROW())
),0)</f>
        <v>458.45968191964283</v>
      </c>
    </row>
    <row r="91" spans="1:17" x14ac:dyDescent="0.3">
      <c r="A91" s="1">
        <v>45421</v>
      </c>
      <c r="B91">
        <v>475.58999633789063</v>
      </c>
      <c r="C91">
        <v>478.14999389648438</v>
      </c>
      <c r="D91">
        <v>474.94000244140625</v>
      </c>
      <c r="E91">
        <v>478.14999389648438</v>
      </c>
      <c r="F91">
        <v>3486000</v>
      </c>
      <c r="G91">
        <v>470.37368774414063</v>
      </c>
      <c r="H91" s="2">
        <f>MONTH(Query1[[#This Row],[Date]])</f>
        <v>5</v>
      </c>
      <c r="I91" s="3">
        <f>Query1[[#This Row],[Shares]]*Query1[[#This Row],[Adj Close]]</f>
        <v>552622.80984936934</v>
      </c>
      <c r="J91" s="3">
        <f>IF(ROW()&lt;3, Dashboard!$E$7, IF(Query1[[#This Row],[Month]]&lt;&gt;H90,J90*(1+Dashboard!$E$4)+Dashboard!$E$5,J90))</f>
        <v>528422.80700000003</v>
      </c>
      <c r="K91">
        <f>IF(ROW()&lt;3, 0,IF(Query1[[#This Row],[Month]]&lt;&gt;H90,IF((J91-I91&gt;0),J91-I91,0),0))</f>
        <v>0</v>
      </c>
      <c r="L91" s="2">
        <f t="shared" si="1"/>
        <v>1174.8591051078693</v>
      </c>
      <c r="M91">
        <f ca="1">IF(ROW()&lt;3,0,IF(Query1[[#This Row],[Month]]&lt;&gt;OFFSET(Query1[[#This Row],[Month]],-1,0),Dashboard!$J$5,0))</f>
        <v>0</v>
      </c>
      <c r="N91" s="2">
        <f ca="1">IF(ROW()&lt;3, Query1[[#This Row],[Shares]], IF(Query1[[#This Row],[Month]]&lt;&gt;H90, N90+Query1[[#This Row],[Fix Top Up]]/Query1[[#This Row],[Adj Close]], N90))</f>
        <v>1183.4375067463095</v>
      </c>
      <c r="O9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1" s="2">
        <f ca="1">IF(ROW()&lt;3, Query1[[#This Row],[Shares]], IF(Query1[[#This Row],[Month]]&lt;&gt;H90, P90+Query1[[#This Row],[Enhanced top up]]/Query1[[#This Row],[Adj Close]], P90))</f>
        <v>1182.582114849258</v>
      </c>
      <c r="Q91" s="2">
        <f>IFERROR(AVERAGE(
  IF(ROW()&gt;20, INDEX(G:G, ROW()-20), 0) :
  INDEX(G:G, ROW())
),0)</f>
        <v>458.71732729957216</v>
      </c>
    </row>
    <row r="92" spans="1:17" x14ac:dyDescent="0.3">
      <c r="A92" s="1">
        <v>45422</v>
      </c>
      <c r="B92">
        <v>479.69000244140625</v>
      </c>
      <c r="C92">
        <v>480.3900146484375</v>
      </c>
      <c r="D92">
        <v>477.58999633789063</v>
      </c>
      <c r="E92">
        <v>478.739990234375</v>
      </c>
      <c r="F92">
        <v>3347200</v>
      </c>
      <c r="G92">
        <v>470.95404052734375</v>
      </c>
      <c r="H92" s="2">
        <f>MONTH(Query1[[#This Row],[Date]])</f>
        <v>5</v>
      </c>
      <c r="I92" s="3">
        <f>Query1[[#This Row],[Shares]]*Query1[[#This Row],[Adj Close]]</f>
        <v>553304.64260089025</v>
      </c>
      <c r="J92" s="3">
        <f>IF(ROW()&lt;3, Dashboard!$E$7, IF(Query1[[#This Row],[Month]]&lt;&gt;H91,J91*(1+Dashboard!$E$4)+Dashboard!$E$5,J91))</f>
        <v>528422.80700000003</v>
      </c>
      <c r="K92">
        <f>IF(ROW()&lt;3, 0,IF(Query1[[#This Row],[Month]]&lt;&gt;H91,IF((J92-I92&gt;0),J92-I92,0),0))</f>
        <v>0</v>
      </c>
      <c r="L92" s="2">
        <f t="shared" si="1"/>
        <v>1174.8591051078693</v>
      </c>
      <c r="M92">
        <f ca="1">IF(ROW()&lt;3,0,IF(Query1[[#This Row],[Month]]&lt;&gt;OFFSET(Query1[[#This Row],[Month]],-1,0),Dashboard!$J$5,0))</f>
        <v>0</v>
      </c>
      <c r="N92" s="2">
        <f ca="1">IF(ROW()&lt;3, Query1[[#This Row],[Shares]], IF(Query1[[#This Row],[Month]]&lt;&gt;H91, N91+Query1[[#This Row],[Fix Top Up]]/Query1[[#This Row],[Adj Close]], N91))</f>
        <v>1183.4375067463095</v>
      </c>
      <c r="O9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2" s="2">
        <f ca="1">IF(ROW()&lt;3, Query1[[#This Row],[Shares]], IF(Query1[[#This Row],[Month]]&lt;&gt;H91, P91+Query1[[#This Row],[Enhanced top up]]/Query1[[#This Row],[Adj Close]], P91))</f>
        <v>1182.582114849258</v>
      </c>
      <c r="Q92" s="2">
        <f>IFERROR(AVERAGE(
  IF(ROW()&gt;20, INDEX(G:G, ROW()-20), 0) :
  INDEX(G:G, ROW())
),0)</f>
        <v>458.84286789667038</v>
      </c>
    </row>
    <row r="93" spans="1:17" x14ac:dyDescent="0.3">
      <c r="A93" s="1">
        <v>45425</v>
      </c>
      <c r="B93">
        <v>480.35000610351563</v>
      </c>
      <c r="C93">
        <v>480.42001342773438</v>
      </c>
      <c r="D93">
        <v>477.73001098632813</v>
      </c>
      <c r="E93">
        <v>478.76998901367188</v>
      </c>
      <c r="F93">
        <v>3108400</v>
      </c>
      <c r="G93">
        <v>470.98355102539063</v>
      </c>
      <c r="H93" s="2">
        <f>MONTH(Query1[[#This Row],[Date]])</f>
        <v>5</v>
      </c>
      <c r="I93" s="3">
        <f>Query1[[#This Row],[Shares]]*Query1[[#This Row],[Adj Close]]</f>
        <v>553339.31327821687</v>
      </c>
      <c r="J93" s="3">
        <f>IF(ROW()&lt;3, Dashboard!$E$7, IF(Query1[[#This Row],[Month]]&lt;&gt;H92,J92*(1+Dashboard!$E$4)+Dashboard!$E$5,J92))</f>
        <v>528422.80700000003</v>
      </c>
      <c r="K93">
        <f>IF(ROW()&lt;3, 0,IF(Query1[[#This Row],[Month]]&lt;&gt;H92,IF((J93-I93&gt;0),J93-I93,0),0))</f>
        <v>0</v>
      </c>
      <c r="L93" s="2">
        <f t="shared" si="1"/>
        <v>1174.8591051078693</v>
      </c>
      <c r="M93">
        <f ca="1">IF(ROW()&lt;3,0,IF(Query1[[#This Row],[Month]]&lt;&gt;OFFSET(Query1[[#This Row],[Month]],-1,0),Dashboard!$J$5,0))</f>
        <v>0</v>
      </c>
      <c r="N93" s="2">
        <f ca="1">IF(ROW()&lt;3, Query1[[#This Row],[Shares]], IF(Query1[[#This Row],[Month]]&lt;&gt;H92, N92+Query1[[#This Row],[Fix Top Up]]/Query1[[#This Row],[Adj Close]], N92))</f>
        <v>1183.4375067463095</v>
      </c>
      <c r="O9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3" s="2">
        <f ca="1">IF(ROW()&lt;3, Query1[[#This Row],[Shares]], IF(Query1[[#This Row],[Month]]&lt;&gt;H92, P92+Query1[[#This Row],[Enhanced top up]]/Query1[[#This Row],[Adj Close]], P92))</f>
        <v>1182.582114849258</v>
      </c>
      <c r="Q93" s="2">
        <f>IFERROR(AVERAGE(
  IF(ROW()&gt;20, INDEX(G:G, ROW()-20), 0) :
  INDEX(G:G, ROW())
),0)</f>
        <v>459.27383713495163</v>
      </c>
    </row>
    <row r="94" spans="1:17" x14ac:dyDescent="0.3">
      <c r="A94" s="1">
        <v>45426</v>
      </c>
      <c r="B94">
        <v>478.98001098632813</v>
      </c>
      <c r="C94">
        <v>481.47000122070313</v>
      </c>
      <c r="D94">
        <v>478.48001098632813</v>
      </c>
      <c r="E94">
        <v>481.04000854492188</v>
      </c>
      <c r="F94">
        <v>3257700</v>
      </c>
      <c r="G94">
        <v>473.2166748046875</v>
      </c>
      <c r="H94" s="2">
        <f>MONTH(Query1[[#This Row],[Date]])</f>
        <v>5</v>
      </c>
      <c r="I94" s="3">
        <f>Query1[[#This Row],[Shares]]*Query1[[#This Row],[Adj Close]]</f>
        <v>555962.91908315674</v>
      </c>
      <c r="J94" s="3">
        <f>IF(ROW()&lt;3, Dashboard!$E$7, IF(Query1[[#This Row],[Month]]&lt;&gt;H93,J93*(1+Dashboard!$E$4)+Dashboard!$E$5,J93))</f>
        <v>528422.80700000003</v>
      </c>
      <c r="K94">
        <f>IF(ROW()&lt;3, 0,IF(Query1[[#This Row],[Month]]&lt;&gt;H93,IF((J94-I94&gt;0),J94-I94,0),0))</f>
        <v>0</v>
      </c>
      <c r="L94" s="2">
        <f t="shared" si="1"/>
        <v>1174.8591051078693</v>
      </c>
      <c r="M94">
        <f ca="1">IF(ROW()&lt;3,0,IF(Query1[[#This Row],[Month]]&lt;&gt;OFFSET(Query1[[#This Row],[Month]],-1,0),Dashboard!$J$5,0))</f>
        <v>0</v>
      </c>
      <c r="N94" s="2">
        <f ca="1">IF(ROW()&lt;3, Query1[[#This Row],[Shares]], IF(Query1[[#This Row],[Month]]&lt;&gt;H93, N93+Query1[[#This Row],[Fix Top Up]]/Query1[[#This Row],[Adj Close]], N93))</f>
        <v>1183.4375067463095</v>
      </c>
      <c r="O9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4" s="2">
        <f ca="1">IF(ROW()&lt;3, Query1[[#This Row],[Shares]], IF(Query1[[#This Row],[Month]]&lt;&gt;H93, P93+Query1[[#This Row],[Enhanced top up]]/Query1[[#This Row],[Adj Close]], P93))</f>
        <v>1182.582114849258</v>
      </c>
      <c r="Q94" s="2">
        <f>IFERROR(AVERAGE(
  IF(ROW()&gt;20, INDEX(G:G, ROW()-20), 0) :
  INDEX(G:G, ROW())
),0)</f>
        <v>460.09034075055803</v>
      </c>
    </row>
    <row r="95" spans="1:17" x14ac:dyDescent="0.3">
      <c r="A95" s="1">
        <v>45427</v>
      </c>
      <c r="B95">
        <v>483.33999633789063</v>
      </c>
      <c r="C95">
        <v>487.23001098632813</v>
      </c>
      <c r="D95">
        <v>482.739990234375</v>
      </c>
      <c r="E95">
        <v>486.89999389648438</v>
      </c>
      <c r="F95">
        <v>4399500</v>
      </c>
      <c r="G95">
        <v>478.98135375976563</v>
      </c>
      <c r="H95" s="2">
        <f>MONTH(Query1[[#This Row],[Date]])</f>
        <v>5</v>
      </c>
      <c r="I95" s="3">
        <f>Query1[[#This Row],[Shares]]*Query1[[#This Row],[Adj Close]]</f>
        <v>562735.60464155395</v>
      </c>
      <c r="J95" s="3">
        <f>IF(ROW()&lt;3, Dashboard!$E$7, IF(Query1[[#This Row],[Month]]&lt;&gt;H94,J94*(1+Dashboard!$E$4)+Dashboard!$E$5,J94))</f>
        <v>528422.80700000003</v>
      </c>
      <c r="K95">
        <f>IF(ROW()&lt;3, 0,IF(Query1[[#This Row],[Month]]&lt;&gt;H94,IF((J95-I95&gt;0),J95-I95,0),0))</f>
        <v>0</v>
      </c>
      <c r="L95" s="2">
        <f t="shared" si="1"/>
        <v>1174.8591051078693</v>
      </c>
      <c r="M95">
        <f ca="1">IF(ROW()&lt;3,0,IF(Query1[[#This Row],[Month]]&lt;&gt;OFFSET(Query1[[#This Row],[Month]],-1,0),Dashboard!$J$5,0))</f>
        <v>0</v>
      </c>
      <c r="N95" s="2">
        <f ca="1">IF(ROW()&lt;3, Query1[[#This Row],[Shares]], IF(Query1[[#This Row],[Month]]&lt;&gt;H94, N94+Query1[[#This Row],[Fix Top Up]]/Query1[[#This Row],[Adj Close]], N94))</f>
        <v>1183.4375067463095</v>
      </c>
      <c r="O9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5" s="2">
        <f ca="1">IF(ROW()&lt;3, Query1[[#This Row],[Shares]], IF(Query1[[#This Row],[Month]]&lt;&gt;H94, P94+Query1[[#This Row],[Enhanced top up]]/Query1[[#This Row],[Adj Close]], P94))</f>
        <v>1182.582114849258</v>
      </c>
      <c r="Q95" s="2">
        <f>IFERROR(AVERAGE(
  IF(ROW()&gt;20, INDEX(G:G, ROW()-20), 0) :
  INDEX(G:G, ROW())
),0)</f>
        <v>461.22023228236606</v>
      </c>
    </row>
    <row r="96" spans="1:17" x14ac:dyDescent="0.3">
      <c r="A96" s="1">
        <v>45428</v>
      </c>
      <c r="B96">
        <v>487.04998779296875</v>
      </c>
      <c r="C96">
        <v>488.57000732421875</v>
      </c>
      <c r="D96">
        <v>485.82998657226563</v>
      </c>
      <c r="E96">
        <v>485.97000122070313</v>
      </c>
      <c r="F96">
        <v>3347400</v>
      </c>
      <c r="G96">
        <v>478.06646728515625</v>
      </c>
      <c r="H96" s="2">
        <f>MONTH(Query1[[#This Row],[Date]])</f>
        <v>5</v>
      </c>
      <c r="I96" s="3">
        <f>Query1[[#This Row],[Shares]]*Query1[[#This Row],[Adj Close]]</f>
        <v>561660.74193671916</v>
      </c>
      <c r="J96" s="3">
        <f>IF(ROW()&lt;3, Dashboard!$E$7, IF(Query1[[#This Row],[Month]]&lt;&gt;H95,J95*(1+Dashboard!$E$4)+Dashboard!$E$5,J95))</f>
        <v>528422.80700000003</v>
      </c>
      <c r="K96">
        <f>IF(ROW()&lt;3, 0,IF(Query1[[#This Row],[Month]]&lt;&gt;H95,IF((J96-I96&gt;0),J96-I96,0),0))</f>
        <v>0</v>
      </c>
      <c r="L96" s="2">
        <f t="shared" si="1"/>
        <v>1174.8591051078693</v>
      </c>
      <c r="M96">
        <f ca="1">IF(ROW()&lt;3,0,IF(Query1[[#This Row],[Month]]&lt;&gt;OFFSET(Query1[[#This Row],[Month]],-1,0),Dashboard!$J$5,0))</f>
        <v>0</v>
      </c>
      <c r="N96" s="2">
        <f ca="1">IF(ROW()&lt;3, Query1[[#This Row],[Shares]], IF(Query1[[#This Row],[Month]]&lt;&gt;H95, N95+Query1[[#This Row],[Fix Top Up]]/Query1[[#This Row],[Adj Close]], N95))</f>
        <v>1183.4375067463095</v>
      </c>
      <c r="O9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6" s="2">
        <f ca="1">IF(ROW()&lt;3, Query1[[#This Row],[Shares]], IF(Query1[[#This Row],[Month]]&lt;&gt;H95, P95+Query1[[#This Row],[Enhanced top up]]/Query1[[#This Row],[Adj Close]], P95))</f>
        <v>1182.582114849258</v>
      </c>
      <c r="Q96" s="2">
        <f>IFERROR(AVERAGE(
  IF(ROW()&gt;20, INDEX(G:G, ROW()-20), 0) :
  INDEX(G:G, ROW())
),0)</f>
        <v>462.43725440615697</v>
      </c>
    </row>
    <row r="97" spans="1:17" x14ac:dyDescent="0.3">
      <c r="A97" s="1">
        <v>45429</v>
      </c>
      <c r="B97">
        <v>486.08999633789063</v>
      </c>
      <c r="C97">
        <v>486.73001098632813</v>
      </c>
      <c r="D97">
        <v>484.70001220703125</v>
      </c>
      <c r="E97">
        <v>486.69000244140625</v>
      </c>
      <c r="F97">
        <v>3274000</v>
      </c>
      <c r="G97">
        <v>478.7747802734375</v>
      </c>
      <c r="H97" s="2">
        <f>MONTH(Query1[[#This Row],[Date]])</f>
        <v>5</v>
      </c>
      <c r="I97" s="3">
        <f>Query1[[#This Row],[Shares]]*Query1[[#This Row],[Adj Close]]</f>
        <v>562492.90990026749</v>
      </c>
      <c r="J97" s="3">
        <f>IF(ROW()&lt;3, Dashboard!$E$7, IF(Query1[[#This Row],[Month]]&lt;&gt;H96,J96*(1+Dashboard!$E$4)+Dashboard!$E$5,J96))</f>
        <v>528422.80700000003</v>
      </c>
      <c r="K97">
        <f>IF(ROW()&lt;3, 0,IF(Query1[[#This Row],[Month]]&lt;&gt;H96,IF((J97-I97&gt;0),J97-I97,0),0))</f>
        <v>0</v>
      </c>
      <c r="L97" s="2">
        <f t="shared" si="1"/>
        <v>1174.8591051078693</v>
      </c>
      <c r="M97">
        <f ca="1">IF(ROW()&lt;3,0,IF(Query1[[#This Row],[Month]]&lt;&gt;OFFSET(Query1[[#This Row],[Month]],-1,0),Dashboard!$J$5,0))</f>
        <v>0</v>
      </c>
      <c r="N97" s="2">
        <f ca="1">IF(ROW()&lt;3, Query1[[#This Row],[Shares]], IF(Query1[[#This Row],[Month]]&lt;&gt;H96, N96+Query1[[#This Row],[Fix Top Up]]/Query1[[#This Row],[Adj Close]], N96))</f>
        <v>1183.4375067463095</v>
      </c>
      <c r="O9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7" s="2">
        <f ca="1">IF(ROW()&lt;3, Query1[[#This Row],[Shares]], IF(Query1[[#This Row],[Month]]&lt;&gt;H96, P96+Query1[[#This Row],[Enhanced top up]]/Query1[[#This Row],[Adj Close]], P96))</f>
        <v>1182.582114849258</v>
      </c>
      <c r="Q97" s="2">
        <f>IFERROR(AVERAGE(
  IF(ROW()&gt;20, INDEX(G:G, ROW()-20), 0) :
  INDEX(G:G, ROW())
),0)</f>
        <v>463.73719278971356</v>
      </c>
    </row>
    <row r="98" spans="1:17" x14ac:dyDescent="0.3">
      <c r="A98" s="1">
        <v>45432</v>
      </c>
      <c r="B98">
        <v>486.77999877929688</v>
      </c>
      <c r="C98">
        <v>488.6099853515625</v>
      </c>
      <c r="D98">
        <v>486.45001220703125</v>
      </c>
      <c r="E98">
        <v>487.17001342773438</v>
      </c>
      <c r="F98">
        <v>2599600</v>
      </c>
      <c r="G98">
        <v>479.24700927734375</v>
      </c>
      <c r="H98" s="2">
        <f>MONTH(Query1[[#This Row],[Date]])</f>
        <v>5</v>
      </c>
      <c r="I98" s="3">
        <f>Query1[[#This Row],[Shares]]*Query1[[#This Row],[Adj Close]]</f>
        <v>563047.71244520275</v>
      </c>
      <c r="J98" s="3">
        <f>IF(ROW()&lt;3, Dashboard!$E$7, IF(Query1[[#This Row],[Month]]&lt;&gt;H97,J97*(1+Dashboard!$E$4)+Dashboard!$E$5,J97))</f>
        <v>528422.80700000003</v>
      </c>
      <c r="K98">
        <f>IF(ROW()&lt;3, 0,IF(Query1[[#This Row],[Month]]&lt;&gt;H97,IF((J98-I98&gt;0),J98-I98,0),0))</f>
        <v>0</v>
      </c>
      <c r="L98" s="2">
        <f t="shared" si="1"/>
        <v>1174.8591051078693</v>
      </c>
      <c r="M98">
        <f ca="1">IF(ROW()&lt;3,0,IF(Query1[[#This Row],[Month]]&lt;&gt;OFFSET(Query1[[#This Row],[Month]],-1,0),Dashboard!$J$5,0))</f>
        <v>0</v>
      </c>
      <c r="N98" s="2">
        <f ca="1">IF(ROW()&lt;3, Query1[[#This Row],[Shares]], IF(Query1[[#This Row],[Month]]&lt;&gt;H97, N97+Query1[[#This Row],[Fix Top Up]]/Query1[[#This Row],[Adj Close]], N97))</f>
        <v>1183.4375067463095</v>
      </c>
      <c r="O9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8" s="2">
        <f ca="1">IF(ROW()&lt;3, Query1[[#This Row],[Shares]], IF(Query1[[#This Row],[Month]]&lt;&gt;H97, P97+Query1[[#This Row],[Enhanced top up]]/Query1[[#This Row],[Adj Close]], P97))</f>
        <v>1182.582114849258</v>
      </c>
      <c r="Q98" s="2">
        <f>IFERROR(AVERAGE(
  IF(ROW()&gt;20, INDEX(G:G, ROW()-20), 0) :
  INDEX(G:G, ROW())
),0)</f>
        <v>465.23949904668899</v>
      </c>
    </row>
    <row r="99" spans="1:17" x14ac:dyDescent="0.3">
      <c r="A99" s="1">
        <v>45433</v>
      </c>
      <c r="B99">
        <v>486.52999877929688</v>
      </c>
      <c r="C99">
        <v>488.57998657226563</v>
      </c>
      <c r="D99">
        <v>486.35000610351563</v>
      </c>
      <c r="E99">
        <v>488.48001098632813</v>
      </c>
      <c r="F99">
        <v>2453600</v>
      </c>
      <c r="G99">
        <v>480.53570556640625</v>
      </c>
      <c r="H99" s="2">
        <f>MONTH(Query1[[#This Row],[Date]])</f>
        <v>5</v>
      </c>
      <c r="I99" s="3">
        <f>Query1[[#This Row],[Shares]]*Query1[[#This Row],[Adj Close]]</f>
        <v>564561.7490141266</v>
      </c>
      <c r="J99" s="3">
        <f>IF(ROW()&lt;3, Dashboard!$E$7, IF(Query1[[#This Row],[Month]]&lt;&gt;H98,J98*(1+Dashboard!$E$4)+Dashboard!$E$5,J98))</f>
        <v>528422.80700000003</v>
      </c>
      <c r="K99">
        <f>IF(ROW()&lt;3, 0,IF(Query1[[#This Row],[Month]]&lt;&gt;H98,IF((J99-I99&gt;0),J99-I99,0),0))</f>
        <v>0</v>
      </c>
      <c r="L99" s="2">
        <f t="shared" si="1"/>
        <v>1174.8591051078693</v>
      </c>
      <c r="M99">
        <f ca="1">IF(ROW()&lt;3,0,IF(Query1[[#This Row],[Month]]&lt;&gt;OFFSET(Query1[[#This Row],[Month]],-1,0),Dashboard!$J$5,0))</f>
        <v>0</v>
      </c>
      <c r="N99" s="2">
        <f ca="1">IF(ROW()&lt;3, Query1[[#This Row],[Shares]], IF(Query1[[#This Row],[Month]]&lt;&gt;H98, N98+Query1[[#This Row],[Fix Top Up]]/Query1[[#This Row],[Adj Close]], N98))</f>
        <v>1183.4375067463095</v>
      </c>
      <c r="O9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99" s="2">
        <f ca="1">IF(ROW()&lt;3, Query1[[#This Row],[Shares]], IF(Query1[[#This Row],[Month]]&lt;&gt;H98, P98+Query1[[#This Row],[Enhanced top up]]/Query1[[#This Row],[Adj Close]], P98))</f>
        <v>1182.582114849258</v>
      </c>
      <c r="Q99" s="2">
        <f>IFERROR(AVERAGE(
  IF(ROW()&gt;20, INDEX(G:G, ROW()-20), 0) :
  INDEX(G:G, ROW())
),0)</f>
        <v>466.61813790457592</v>
      </c>
    </row>
    <row r="100" spans="1:17" x14ac:dyDescent="0.3">
      <c r="A100" s="1">
        <v>45434</v>
      </c>
      <c r="B100">
        <v>487.79000854492188</v>
      </c>
      <c r="C100">
        <v>488.42999267578125</v>
      </c>
      <c r="D100">
        <v>484.94000244140625</v>
      </c>
      <c r="E100">
        <v>487.05999755859375</v>
      </c>
      <c r="F100">
        <v>3250600</v>
      </c>
      <c r="G100">
        <v>479.13876342773438</v>
      </c>
      <c r="H100" s="2">
        <f>MONTH(Query1[[#This Row],[Date]])</f>
        <v>5</v>
      </c>
      <c r="I100" s="3">
        <f>Query1[[#This Row],[Shares]]*Query1[[#This Row],[Adj Close]]</f>
        <v>562920.53882319911</v>
      </c>
      <c r="J100" s="3">
        <f>IF(ROW()&lt;3, Dashboard!$E$7, IF(Query1[[#This Row],[Month]]&lt;&gt;H99,J99*(1+Dashboard!$E$4)+Dashboard!$E$5,J99))</f>
        <v>528422.80700000003</v>
      </c>
      <c r="K100">
        <f>IF(ROW()&lt;3, 0,IF(Query1[[#This Row],[Month]]&lt;&gt;H99,IF((J100-I100&gt;0),J100-I100,0),0))</f>
        <v>0</v>
      </c>
      <c r="L100" s="2">
        <f t="shared" si="1"/>
        <v>1174.8591051078693</v>
      </c>
      <c r="M100">
        <f ca="1">IF(ROW()&lt;3,0,IF(Query1[[#This Row],[Month]]&lt;&gt;OFFSET(Query1[[#This Row],[Month]],-1,0),Dashboard!$J$5,0))</f>
        <v>0</v>
      </c>
      <c r="N100" s="2">
        <f ca="1">IF(ROW()&lt;3, Query1[[#This Row],[Shares]], IF(Query1[[#This Row],[Month]]&lt;&gt;H99, N99+Query1[[#This Row],[Fix Top Up]]/Query1[[#This Row],[Adj Close]], N99))</f>
        <v>1183.4375067463095</v>
      </c>
      <c r="O10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0" s="2">
        <f ca="1">IF(ROW()&lt;3, Query1[[#This Row],[Shares]], IF(Query1[[#This Row],[Month]]&lt;&gt;H99, P99+Query1[[#This Row],[Enhanced top up]]/Query1[[#This Row],[Adj Close]], P99))</f>
        <v>1182.582114849258</v>
      </c>
      <c r="Q100" s="2">
        <f>IFERROR(AVERAGE(
  IF(ROW()&gt;20, INDEX(G:G, ROW()-20), 0) :
  INDEX(G:G, ROW())
),0)</f>
        <v>467.65902419317337</v>
      </c>
    </row>
    <row r="101" spans="1:17" x14ac:dyDescent="0.3">
      <c r="A101" s="1">
        <v>45435</v>
      </c>
      <c r="B101">
        <v>489.91000366210938</v>
      </c>
      <c r="C101">
        <v>489.989990234375</v>
      </c>
      <c r="D101">
        <v>482.29000854492188</v>
      </c>
      <c r="E101">
        <v>483.44000244140625</v>
      </c>
      <c r="F101">
        <v>3811300</v>
      </c>
      <c r="G101">
        <v>475.57763671875</v>
      </c>
      <c r="H101" s="2">
        <f>MONTH(Query1[[#This Row],[Date]])</f>
        <v>5</v>
      </c>
      <c r="I101" s="3">
        <f>Query1[[#This Row],[Shares]]*Query1[[#This Row],[Adj Close]]</f>
        <v>558736.71668470593</v>
      </c>
      <c r="J101" s="3">
        <f>IF(ROW()&lt;3, Dashboard!$E$7, IF(Query1[[#This Row],[Month]]&lt;&gt;H100,J100*(1+Dashboard!$E$4)+Dashboard!$E$5,J100))</f>
        <v>528422.80700000003</v>
      </c>
      <c r="K101">
        <f>IF(ROW()&lt;3, 0,IF(Query1[[#This Row],[Month]]&lt;&gt;H100,IF((J101-I101&gt;0),J101-I101,0),0))</f>
        <v>0</v>
      </c>
      <c r="L101" s="2">
        <f t="shared" si="1"/>
        <v>1174.8591051078693</v>
      </c>
      <c r="M101">
        <f ca="1">IF(ROW()&lt;3,0,IF(Query1[[#This Row],[Month]]&lt;&gt;OFFSET(Query1[[#This Row],[Month]],-1,0),Dashboard!$J$5,0))</f>
        <v>0</v>
      </c>
      <c r="N101" s="2">
        <f ca="1">IF(ROW()&lt;3, Query1[[#This Row],[Shares]], IF(Query1[[#This Row],[Month]]&lt;&gt;H100, N100+Query1[[#This Row],[Fix Top Up]]/Query1[[#This Row],[Adj Close]], N100))</f>
        <v>1183.4375067463095</v>
      </c>
      <c r="O10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1" s="2">
        <f ca="1">IF(ROW()&lt;3, Query1[[#This Row],[Shares]], IF(Query1[[#This Row],[Month]]&lt;&gt;H100, P100+Query1[[#This Row],[Enhanced top up]]/Query1[[#This Row],[Adj Close]], P100))</f>
        <v>1182.582114849258</v>
      </c>
      <c r="Q101" s="2">
        <f>IFERROR(AVERAGE(
  IF(ROW()&gt;20, INDEX(G:G, ROW()-20), 0) :
  INDEX(G:G, ROW())
),0)</f>
        <v>468.54625883556548</v>
      </c>
    </row>
    <row r="102" spans="1:17" x14ac:dyDescent="0.3">
      <c r="A102" s="1">
        <v>45436</v>
      </c>
      <c r="B102">
        <v>485.17999267578125</v>
      </c>
      <c r="C102">
        <v>487.39999389648438</v>
      </c>
      <c r="D102">
        <v>484.32998657226563</v>
      </c>
      <c r="E102">
        <v>486.73001098632813</v>
      </c>
      <c r="F102">
        <v>2555200</v>
      </c>
      <c r="G102">
        <v>478.81414794921875</v>
      </c>
      <c r="H102" s="2">
        <f>MONTH(Query1[[#This Row],[Date]])</f>
        <v>5</v>
      </c>
      <c r="I102" s="3">
        <f>Query1[[#This Row],[Shares]]*Query1[[#This Row],[Adj Close]]</f>
        <v>562539.16137260606</v>
      </c>
      <c r="J102" s="3">
        <f>IF(ROW()&lt;3, Dashboard!$E$7, IF(Query1[[#This Row],[Month]]&lt;&gt;H101,J101*(1+Dashboard!$E$4)+Dashboard!$E$5,J101))</f>
        <v>528422.80700000003</v>
      </c>
      <c r="K102">
        <f>IF(ROW()&lt;3, 0,IF(Query1[[#This Row],[Month]]&lt;&gt;H101,IF((J102-I102&gt;0),J102-I102,0),0))</f>
        <v>0</v>
      </c>
      <c r="L102" s="2">
        <f t="shared" si="1"/>
        <v>1174.8591051078693</v>
      </c>
      <c r="M102">
        <f ca="1">IF(ROW()&lt;3,0,IF(Query1[[#This Row],[Month]]&lt;&gt;OFFSET(Query1[[#This Row],[Month]],-1,0),Dashboard!$J$5,0))</f>
        <v>0</v>
      </c>
      <c r="N102" s="2">
        <f ca="1">IF(ROW()&lt;3, Query1[[#This Row],[Shares]], IF(Query1[[#This Row],[Month]]&lt;&gt;H101, N101+Query1[[#This Row],[Fix Top Up]]/Query1[[#This Row],[Adj Close]], N101))</f>
        <v>1183.4375067463095</v>
      </c>
      <c r="O10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2" s="2">
        <f ca="1">IF(ROW()&lt;3, Query1[[#This Row],[Shares]], IF(Query1[[#This Row],[Month]]&lt;&gt;H101, P101+Query1[[#This Row],[Enhanced top up]]/Query1[[#This Row],[Adj Close]], P101))</f>
        <v>1182.582114849258</v>
      </c>
      <c r="Q102" s="2">
        <f>IFERROR(AVERAGE(
  IF(ROW()&gt;20, INDEX(G:G, ROW()-20), 0) :
  INDEX(G:G, ROW())
),0)</f>
        <v>469.67755708240327</v>
      </c>
    </row>
    <row r="103" spans="1:17" x14ac:dyDescent="0.3">
      <c r="A103" s="1">
        <v>45440</v>
      </c>
      <c r="B103">
        <v>487.39999389648438</v>
      </c>
      <c r="C103">
        <v>487.64999389648438</v>
      </c>
      <c r="D103">
        <v>484.52999877929688</v>
      </c>
      <c r="E103">
        <v>487.1199951171875</v>
      </c>
      <c r="F103">
        <v>4034700</v>
      </c>
      <c r="G103">
        <v>479.19781494140625</v>
      </c>
      <c r="H103" s="2">
        <f>MONTH(Query1[[#This Row],[Date]])</f>
        <v>5</v>
      </c>
      <c r="I103" s="3">
        <f>Query1[[#This Row],[Shares]]*Query1[[#This Row],[Adj Close]]</f>
        <v>562989.91603170685</v>
      </c>
      <c r="J103" s="3">
        <f>IF(ROW()&lt;3, Dashboard!$E$7, IF(Query1[[#This Row],[Month]]&lt;&gt;H102,J102*(1+Dashboard!$E$4)+Dashboard!$E$5,J102))</f>
        <v>528422.80700000003</v>
      </c>
      <c r="K103">
        <f>IF(ROW()&lt;3, 0,IF(Query1[[#This Row],[Month]]&lt;&gt;H102,IF((J103-I103&gt;0),J103-I103,0),0))</f>
        <v>0</v>
      </c>
      <c r="L103" s="2">
        <f t="shared" si="1"/>
        <v>1174.8591051078693</v>
      </c>
      <c r="M103">
        <f ca="1">IF(ROW()&lt;3,0,IF(Query1[[#This Row],[Month]]&lt;&gt;OFFSET(Query1[[#This Row],[Month]],-1,0),Dashboard!$J$5,0))</f>
        <v>0</v>
      </c>
      <c r="N103" s="2">
        <f ca="1">IF(ROW()&lt;3, Query1[[#This Row],[Shares]], IF(Query1[[#This Row],[Month]]&lt;&gt;H102, N102+Query1[[#This Row],[Fix Top Up]]/Query1[[#This Row],[Adj Close]], N102))</f>
        <v>1183.4375067463095</v>
      </c>
      <c r="O10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3" s="2">
        <f ca="1">IF(ROW()&lt;3, Query1[[#This Row],[Shares]], IF(Query1[[#This Row],[Month]]&lt;&gt;H102, P102+Query1[[#This Row],[Enhanced top up]]/Query1[[#This Row],[Adj Close]], P102))</f>
        <v>1182.582114849258</v>
      </c>
      <c r="Q103" s="2">
        <f>IFERROR(AVERAGE(
  IF(ROW()&gt;20, INDEX(G:G, ROW()-20), 0) :
  INDEX(G:G, ROW())
),0)</f>
        <v>470.61023530505952</v>
      </c>
    </row>
    <row r="104" spans="1:17" x14ac:dyDescent="0.3">
      <c r="A104" s="1">
        <v>45441</v>
      </c>
      <c r="B104">
        <v>483.19000244140625</v>
      </c>
      <c r="C104">
        <v>484.67999267578125</v>
      </c>
      <c r="D104">
        <v>482.95999145507813</v>
      </c>
      <c r="E104">
        <v>483.69000244140625</v>
      </c>
      <c r="F104">
        <v>5605000</v>
      </c>
      <c r="G104">
        <v>475.82357788085938</v>
      </c>
      <c r="H104" s="2">
        <f>MONTH(Query1[[#This Row],[Date]])</f>
        <v>5</v>
      </c>
      <c r="I104" s="3">
        <f>Query1[[#This Row],[Shares]]*Query1[[#This Row],[Adj Close]]</f>
        <v>559025.66289833095</v>
      </c>
      <c r="J104" s="3">
        <f>IF(ROW()&lt;3, Dashboard!$E$7, IF(Query1[[#This Row],[Month]]&lt;&gt;H103,J103*(1+Dashboard!$E$4)+Dashboard!$E$5,J103))</f>
        <v>528422.80700000003</v>
      </c>
      <c r="K104">
        <f>IF(ROW()&lt;3, 0,IF(Query1[[#This Row],[Month]]&lt;&gt;H103,IF((J104-I104&gt;0),J104-I104,0),0))</f>
        <v>0</v>
      </c>
      <c r="L104" s="2">
        <f t="shared" si="1"/>
        <v>1174.8591051078693</v>
      </c>
      <c r="M104">
        <f ca="1">IF(ROW()&lt;3,0,IF(Query1[[#This Row],[Month]]&lt;&gt;OFFSET(Query1[[#This Row],[Month]],-1,0),Dashboard!$J$5,0))</f>
        <v>0</v>
      </c>
      <c r="N104" s="2">
        <f ca="1">IF(ROW()&lt;3, Query1[[#This Row],[Shares]], IF(Query1[[#This Row],[Month]]&lt;&gt;H103, N103+Query1[[#This Row],[Fix Top Up]]/Query1[[#This Row],[Adj Close]], N103))</f>
        <v>1183.4375067463095</v>
      </c>
      <c r="O10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4" s="2">
        <f ca="1">IF(ROW()&lt;3, Query1[[#This Row],[Shares]], IF(Query1[[#This Row],[Month]]&lt;&gt;H103, P103+Query1[[#This Row],[Enhanced top up]]/Query1[[#This Row],[Adj Close]], P103))</f>
        <v>1182.582114849258</v>
      </c>
      <c r="Q104" s="2">
        <f>IFERROR(AVERAGE(
  IF(ROW()&gt;20, INDEX(G:G, ROW()-20), 0) :
  INDEX(G:G, ROW())
),0)</f>
        <v>471.30588059198288</v>
      </c>
    </row>
    <row r="105" spans="1:17" x14ac:dyDescent="0.3">
      <c r="A105" s="1">
        <v>45442</v>
      </c>
      <c r="B105">
        <v>482.1199951171875</v>
      </c>
      <c r="C105">
        <v>482.75</v>
      </c>
      <c r="D105">
        <v>479.20001220703125</v>
      </c>
      <c r="E105">
        <v>480.44000244140625</v>
      </c>
      <c r="F105">
        <v>3386800</v>
      </c>
      <c r="G105">
        <v>472.62643432617188</v>
      </c>
      <c r="H105" s="2">
        <f>MONTH(Query1[[#This Row],[Date]])</f>
        <v>5</v>
      </c>
      <c r="I105" s="3">
        <f>Query1[[#This Row],[Shares]]*Query1[[#This Row],[Adj Close]]</f>
        <v>555269.46968276938</v>
      </c>
      <c r="J105" s="3">
        <f>IF(ROW()&lt;3, Dashboard!$E$7, IF(Query1[[#This Row],[Month]]&lt;&gt;H104,J104*(1+Dashboard!$E$4)+Dashboard!$E$5,J104))</f>
        <v>528422.80700000003</v>
      </c>
      <c r="K105">
        <f>IF(ROW()&lt;3, 0,IF(Query1[[#This Row],[Month]]&lt;&gt;H104,IF((J105-I105&gt;0),J105-I105,0),0))</f>
        <v>0</v>
      </c>
      <c r="L105" s="2">
        <f t="shared" si="1"/>
        <v>1174.8591051078693</v>
      </c>
      <c r="M105">
        <f ca="1">IF(ROW()&lt;3,0,IF(Query1[[#This Row],[Month]]&lt;&gt;OFFSET(Query1[[#This Row],[Month]],-1,0),Dashboard!$J$5,0))</f>
        <v>0</v>
      </c>
      <c r="N105" s="2">
        <f ca="1">IF(ROW()&lt;3, Query1[[#This Row],[Shares]], IF(Query1[[#This Row],[Month]]&lt;&gt;H104, N104+Query1[[#This Row],[Fix Top Up]]/Query1[[#This Row],[Adj Close]], N104))</f>
        <v>1183.4375067463095</v>
      </c>
      <c r="O10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5" s="2">
        <f ca="1">IF(ROW()&lt;3, Query1[[#This Row],[Shares]], IF(Query1[[#This Row],[Month]]&lt;&gt;H104, P104+Query1[[#This Row],[Enhanced top up]]/Query1[[#This Row],[Adj Close]], P104))</f>
        <v>1182.582114849258</v>
      </c>
      <c r="Q105" s="2">
        <f>IFERROR(AVERAGE(
  IF(ROW()&gt;20, INDEX(G:G, ROW()-20), 0) :
  INDEX(G:G, ROW())
),0)</f>
        <v>472.19639660063245</v>
      </c>
    </row>
    <row r="106" spans="1:17" x14ac:dyDescent="0.3">
      <c r="A106" s="1">
        <v>45443</v>
      </c>
      <c r="B106">
        <v>481.239990234375</v>
      </c>
      <c r="C106">
        <v>484.91000366210938</v>
      </c>
      <c r="D106">
        <v>476.48001098632813</v>
      </c>
      <c r="E106">
        <v>484.6199951171875</v>
      </c>
      <c r="F106">
        <v>5334000</v>
      </c>
      <c r="G106">
        <v>476.73843383789063</v>
      </c>
      <c r="H106" s="2">
        <f>MONTH(Query1[[#This Row],[Date]])</f>
        <v>5</v>
      </c>
      <c r="I106" s="3">
        <f>Query1[[#This Row],[Shares]]*Query1[[#This Row],[Adj Close]]</f>
        <v>560100.48974931135</v>
      </c>
      <c r="J106" s="3">
        <f>IF(ROW()&lt;3, Dashboard!$E$7, IF(Query1[[#This Row],[Month]]&lt;&gt;H105,J105*(1+Dashboard!$E$4)+Dashboard!$E$5,J105))</f>
        <v>528422.80700000003</v>
      </c>
      <c r="K106">
        <f>IF(ROW()&lt;3, 0,IF(Query1[[#This Row],[Month]]&lt;&gt;H105,IF((J106-I106&gt;0),J106-I106,0),0))</f>
        <v>0</v>
      </c>
      <c r="L106" s="2">
        <f t="shared" si="1"/>
        <v>1174.8591051078693</v>
      </c>
      <c r="M106">
        <f ca="1">IF(ROW()&lt;3,0,IF(Query1[[#This Row],[Month]]&lt;&gt;OFFSET(Query1[[#This Row],[Month]],-1,0),Dashboard!$J$5,0))</f>
        <v>0</v>
      </c>
      <c r="N106" s="2">
        <f ca="1">IF(ROW()&lt;3, Query1[[#This Row],[Shares]], IF(Query1[[#This Row],[Month]]&lt;&gt;H105, N105+Query1[[#This Row],[Fix Top Up]]/Query1[[#This Row],[Adj Close]], N105))</f>
        <v>1183.4375067463095</v>
      </c>
      <c r="O10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6" s="2">
        <f ca="1">IF(ROW()&lt;3, Query1[[#This Row],[Shares]], IF(Query1[[#This Row],[Month]]&lt;&gt;H105, P105+Query1[[#This Row],[Enhanced top up]]/Query1[[#This Row],[Adj Close]], P105))</f>
        <v>1182.582114849258</v>
      </c>
      <c r="Q106" s="2">
        <f>IFERROR(AVERAGE(
  IF(ROW()&gt;20, INDEX(G:G, ROW()-20), 0) :
  INDEX(G:G, ROW())
),0)</f>
        <v>473.35298810686385</v>
      </c>
    </row>
    <row r="107" spans="1:17" x14ac:dyDescent="0.3">
      <c r="A107" s="1">
        <v>45446</v>
      </c>
      <c r="B107">
        <v>486.29998779296875</v>
      </c>
      <c r="C107">
        <v>486.41000366210938</v>
      </c>
      <c r="D107">
        <v>480.39999389648438</v>
      </c>
      <c r="E107">
        <v>485.14999389648438</v>
      </c>
      <c r="F107">
        <v>4211300</v>
      </c>
      <c r="G107">
        <v>477.25985717773438</v>
      </c>
      <c r="H107" s="2">
        <f>MONTH(Query1[[#This Row],[Date]])</f>
        <v>6</v>
      </c>
      <c r="I107" s="3">
        <f>Query1[[#This Row],[Shares]]*Query1[[#This Row],[Adj Close]]</f>
        <v>560713.08870774251</v>
      </c>
      <c r="J107" s="3">
        <f>IF(ROW()&lt;3, Dashboard!$E$7, IF(Query1[[#This Row],[Month]]&lt;&gt;H106,J106*(1+Dashboard!$E$4)+Dashboard!$E$5,J106))</f>
        <v>535707.03506999998</v>
      </c>
      <c r="K107">
        <f>IF(ROW()&lt;3, 0,IF(Query1[[#This Row],[Month]]&lt;&gt;H106,IF((J107-I107&gt;0),J107-I107,0),0))</f>
        <v>0</v>
      </c>
      <c r="L107" s="2">
        <f t="shared" si="1"/>
        <v>1174.8591051078693</v>
      </c>
      <c r="M107">
        <f ca="1">IF(ROW()&lt;3,0,IF(Query1[[#This Row],[Month]]&lt;&gt;OFFSET(Query1[[#This Row],[Month]],-1,0),Dashboard!$J$5,0))</f>
        <v>979.40350000000024</v>
      </c>
      <c r="N107" s="2">
        <f ca="1">IF(ROW()&lt;3, Query1[[#This Row],[Shares]], IF(Query1[[#This Row],[Month]]&lt;&gt;H106, N106+Query1[[#This Row],[Fix Top Up]]/Query1[[#This Row],[Adj Close]], N106))</f>
        <v>1185.4896456079177</v>
      </c>
      <c r="O10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107" s="2">
        <f ca="1">IF(ROW()&lt;3, Query1[[#This Row],[Shares]], IF(Query1[[#This Row],[Month]]&lt;&gt;H106, P106+Query1[[#This Row],[Enhanced top up]]/Query1[[#This Row],[Adj Close]], P106))</f>
        <v>1183.9009006019965</v>
      </c>
      <c r="Q107" s="2">
        <f>IFERROR(AVERAGE(
  IF(ROW()&gt;20, INDEX(G:G, ROW()-20), 0) :
  INDEX(G:G, ROW())
),0)</f>
        <v>474.33344668433779</v>
      </c>
    </row>
    <row r="108" spans="1:17" x14ac:dyDescent="0.3">
      <c r="A108" s="1">
        <v>45447</v>
      </c>
      <c r="B108">
        <v>484</v>
      </c>
      <c r="C108">
        <v>486.41000366210938</v>
      </c>
      <c r="D108">
        <v>482.55999755859375</v>
      </c>
      <c r="E108">
        <v>485.739990234375</v>
      </c>
      <c r="F108">
        <v>2560300</v>
      </c>
      <c r="G108">
        <v>477.84024047851563</v>
      </c>
      <c r="H108" s="2">
        <f>MONTH(Query1[[#This Row],[Date]])</f>
        <v>6</v>
      </c>
      <c r="I108" s="3">
        <f>Query1[[#This Row],[Shares]]*Query1[[#This Row],[Adj Close]]</f>
        <v>561394.95731311792</v>
      </c>
      <c r="J108" s="3">
        <f>IF(ROW()&lt;3, Dashboard!$E$7, IF(Query1[[#This Row],[Month]]&lt;&gt;H107,J107*(1+Dashboard!$E$4)+Dashboard!$E$5,J107))</f>
        <v>535707.03506999998</v>
      </c>
      <c r="K108">
        <f>IF(ROW()&lt;3, 0,IF(Query1[[#This Row],[Month]]&lt;&gt;H107,IF((J108-I108&gt;0),J108-I108,0),0))</f>
        <v>0</v>
      </c>
      <c r="L108" s="2">
        <f t="shared" si="1"/>
        <v>1174.8591051078693</v>
      </c>
      <c r="M108">
        <f ca="1">IF(ROW()&lt;3,0,IF(Query1[[#This Row],[Month]]&lt;&gt;OFFSET(Query1[[#This Row],[Month]],-1,0),Dashboard!$J$5,0))</f>
        <v>0</v>
      </c>
      <c r="N108" s="2">
        <f ca="1">IF(ROW()&lt;3, Query1[[#This Row],[Shares]], IF(Query1[[#This Row],[Month]]&lt;&gt;H107, N107+Query1[[#This Row],[Fix Top Up]]/Query1[[#This Row],[Adj Close]], N107))</f>
        <v>1185.4896456079177</v>
      </c>
      <c r="O10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8" s="2">
        <f ca="1">IF(ROW()&lt;3, Query1[[#This Row],[Shares]], IF(Query1[[#This Row],[Month]]&lt;&gt;H107, P107+Query1[[#This Row],[Enhanced top up]]/Query1[[#This Row],[Adj Close]], P107))</f>
        <v>1183.9009006019965</v>
      </c>
      <c r="Q108" s="2">
        <f>IFERROR(AVERAGE(
  IF(ROW()&gt;20, INDEX(G:G, ROW()-20), 0) :
  INDEX(G:G, ROW())
),0)</f>
        <v>475.07171776181178</v>
      </c>
    </row>
    <row r="109" spans="1:17" x14ac:dyDescent="0.3">
      <c r="A109" s="1">
        <v>45448</v>
      </c>
      <c r="B109">
        <v>487.8699951171875</v>
      </c>
      <c r="C109">
        <v>491.54998779296875</v>
      </c>
      <c r="D109">
        <v>486.05999755859375</v>
      </c>
      <c r="E109">
        <v>491.54998779296875</v>
      </c>
      <c r="F109">
        <v>3026100</v>
      </c>
      <c r="G109">
        <v>483.55569458007813</v>
      </c>
      <c r="H109" s="2">
        <f>MONTH(Query1[[#This Row],[Date]])</f>
        <v>6</v>
      </c>
      <c r="I109" s="3">
        <f>Query1[[#This Row],[Shares]]*Query1[[#This Row],[Adj Close]]</f>
        <v>568109.81060416473</v>
      </c>
      <c r="J109" s="3">
        <f>IF(ROW()&lt;3, Dashboard!$E$7, IF(Query1[[#This Row],[Month]]&lt;&gt;H108,J108*(1+Dashboard!$E$4)+Dashboard!$E$5,J108))</f>
        <v>535707.03506999998</v>
      </c>
      <c r="K109">
        <f>IF(ROW()&lt;3, 0,IF(Query1[[#This Row],[Month]]&lt;&gt;H108,IF((J109-I109&gt;0),J109-I109,0),0))</f>
        <v>0</v>
      </c>
      <c r="L109" s="2">
        <f t="shared" si="1"/>
        <v>1174.8591051078693</v>
      </c>
      <c r="M109">
        <f ca="1">IF(ROW()&lt;3,0,IF(Query1[[#This Row],[Month]]&lt;&gt;OFFSET(Query1[[#This Row],[Month]],-1,0),Dashboard!$J$5,0))</f>
        <v>0</v>
      </c>
      <c r="N109" s="2">
        <f ca="1">IF(ROW()&lt;3, Query1[[#This Row],[Shares]], IF(Query1[[#This Row],[Month]]&lt;&gt;H108, N108+Query1[[#This Row],[Fix Top Up]]/Query1[[#This Row],[Adj Close]], N108))</f>
        <v>1185.4896456079177</v>
      </c>
      <c r="O10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09" s="2">
        <f ca="1">IF(ROW()&lt;3, Query1[[#This Row],[Shares]], IF(Query1[[#This Row],[Month]]&lt;&gt;H108, P108+Query1[[#This Row],[Enhanced top up]]/Query1[[#This Row],[Adj Close]], P108))</f>
        <v>1183.9009006019965</v>
      </c>
      <c r="Q109" s="2">
        <f>IFERROR(AVERAGE(
  IF(ROW()&gt;20, INDEX(G:G, ROW()-20), 0) :
  INDEX(G:G, ROW())
),0)</f>
        <v>475.86011032831101</v>
      </c>
    </row>
    <row r="110" spans="1:17" x14ac:dyDescent="0.3">
      <c r="A110" s="1">
        <v>45449</v>
      </c>
      <c r="B110">
        <v>491.83999633789063</v>
      </c>
      <c r="C110">
        <v>492.17999267578125</v>
      </c>
      <c r="D110">
        <v>489.6400146484375</v>
      </c>
      <c r="E110">
        <v>491.44000244140625</v>
      </c>
      <c r="F110">
        <v>21344000</v>
      </c>
      <c r="G110">
        <v>483.44754028320313</v>
      </c>
      <c r="H110" s="2">
        <f>MONTH(Query1[[#This Row],[Date]])</f>
        <v>6</v>
      </c>
      <c r="I110" s="3">
        <f>Query1[[#This Row],[Shares]]*Query1[[#This Row],[Adj Close]]</f>
        <v>567982.74454372458</v>
      </c>
      <c r="J110" s="3">
        <f>IF(ROW()&lt;3, Dashboard!$E$7, IF(Query1[[#This Row],[Month]]&lt;&gt;H109,J109*(1+Dashboard!$E$4)+Dashboard!$E$5,J109))</f>
        <v>535707.03506999998</v>
      </c>
      <c r="K110">
        <f>IF(ROW()&lt;3, 0,IF(Query1[[#This Row],[Month]]&lt;&gt;H109,IF((J110-I110&gt;0),J110-I110,0),0))</f>
        <v>0</v>
      </c>
      <c r="L110" s="2">
        <f t="shared" si="1"/>
        <v>1174.8591051078693</v>
      </c>
      <c r="M110">
        <f ca="1">IF(ROW()&lt;3,0,IF(Query1[[#This Row],[Month]]&lt;&gt;OFFSET(Query1[[#This Row],[Month]],-1,0),Dashboard!$J$5,0))</f>
        <v>0</v>
      </c>
      <c r="N110" s="2">
        <f ca="1">IF(ROW()&lt;3, Query1[[#This Row],[Shares]], IF(Query1[[#This Row],[Month]]&lt;&gt;H109, N109+Query1[[#This Row],[Fix Top Up]]/Query1[[#This Row],[Adj Close]], N109))</f>
        <v>1185.4896456079177</v>
      </c>
      <c r="O11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0" s="2">
        <f ca="1">IF(ROW()&lt;3, Query1[[#This Row],[Shares]], IF(Query1[[#This Row],[Month]]&lt;&gt;H109, P109+Query1[[#This Row],[Enhanced top up]]/Query1[[#This Row],[Adj Close]], P109))</f>
        <v>1183.9009006019965</v>
      </c>
      <c r="Q110" s="2">
        <f>IFERROR(AVERAGE(
  IF(ROW()&gt;20, INDEX(G:G, ROW()-20), 0) :
  INDEX(G:G, ROW())
),0)</f>
        <v>476.61149960472471</v>
      </c>
    </row>
    <row r="111" spans="1:17" x14ac:dyDescent="0.3">
      <c r="A111" s="1">
        <v>45450</v>
      </c>
      <c r="B111">
        <v>490.54998779296875</v>
      </c>
      <c r="C111">
        <v>493.52999877929688</v>
      </c>
      <c r="D111">
        <v>489.54000854492188</v>
      </c>
      <c r="E111">
        <v>490.79998779296875</v>
      </c>
      <c r="F111">
        <v>3063600</v>
      </c>
      <c r="G111">
        <v>482.81790161132813</v>
      </c>
      <c r="H111" s="2">
        <f>MONTH(Query1[[#This Row],[Date]])</f>
        <v>6</v>
      </c>
      <c r="I111" s="3">
        <f>Query1[[#This Row],[Shares]]*Query1[[#This Row],[Adj Close]]</f>
        <v>567243.00781714427</v>
      </c>
      <c r="J111" s="3">
        <f>IF(ROW()&lt;3, Dashboard!$E$7, IF(Query1[[#This Row],[Month]]&lt;&gt;H110,J110*(1+Dashboard!$E$4)+Dashboard!$E$5,J110))</f>
        <v>535707.03506999998</v>
      </c>
      <c r="K111">
        <f>IF(ROW()&lt;3, 0,IF(Query1[[#This Row],[Month]]&lt;&gt;H110,IF((J111-I111&gt;0),J111-I111,0),0))</f>
        <v>0</v>
      </c>
      <c r="L111" s="2">
        <f t="shared" si="1"/>
        <v>1174.8591051078693</v>
      </c>
      <c r="M111">
        <f ca="1">IF(ROW()&lt;3,0,IF(Query1[[#This Row],[Month]]&lt;&gt;OFFSET(Query1[[#This Row],[Month]],-1,0),Dashboard!$J$5,0))</f>
        <v>0</v>
      </c>
      <c r="N111" s="2">
        <f ca="1">IF(ROW()&lt;3, Query1[[#This Row],[Shares]], IF(Query1[[#This Row],[Month]]&lt;&gt;H110, N110+Query1[[#This Row],[Fix Top Up]]/Query1[[#This Row],[Adj Close]], N110))</f>
        <v>1185.4896456079177</v>
      </c>
      <c r="O11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1" s="2">
        <f ca="1">IF(ROW()&lt;3, Query1[[#This Row],[Shares]], IF(Query1[[#This Row],[Month]]&lt;&gt;H110, P110+Query1[[#This Row],[Enhanced top up]]/Query1[[#This Row],[Adj Close]], P110))</f>
        <v>1183.9009006019965</v>
      </c>
      <c r="Q111" s="2">
        <f>IFERROR(AVERAGE(
  IF(ROW()&gt;20, INDEX(G:G, ROW()-20), 0) :
  INDEX(G:G, ROW())
),0)</f>
        <v>477.33196730840774</v>
      </c>
    </row>
    <row r="112" spans="1:17" x14ac:dyDescent="0.3">
      <c r="A112" s="1">
        <v>45453</v>
      </c>
      <c r="B112">
        <v>490.17001342773438</v>
      </c>
      <c r="C112">
        <v>492.69000244140625</v>
      </c>
      <c r="D112">
        <v>489.55999755859375</v>
      </c>
      <c r="E112">
        <v>492.41000366210938</v>
      </c>
      <c r="F112">
        <v>3461900</v>
      </c>
      <c r="G112">
        <v>484.40176391601563</v>
      </c>
      <c r="H112" s="2">
        <f>MONTH(Query1[[#This Row],[Date]])</f>
        <v>6</v>
      </c>
      <c r="I112" s="3">
        <f>Query1[[#This Row],[Shares]]*Query1[[#This Row],[Adj Close]]</f>
        <v>569103.82286704343</v>
      </c>
      <c r="J112" s="3">
        <f>IF(ROW()&lt;3, Dashboard!$E$7, IF(Query1[[#This Row],[Month]]&lt;&gt;H111,J111*(1+Dashboard!$E$4)+Dashboard!$E$5,J111))</f>
        <v>535707.03506999998</v>
      </c>
      <c r="K112">
        <f>IF(ROW()&lt;3, 0,IF(Query1[[#This Row],[Month]]&lt;&gt;H111,IF((J112-I112&gt;0),J112-I112,0),0))</f>
        <v>0</v>
      </c>
      <c r="L112" s="2">
        <f t="shared" si="1"/>
        <v>1174.8591051078693</v>
      </c>
      <c r="M112">
        <f ca="1">IF(ROW()&lt;3,0,IF(Query1[[#This Row],[Month]]&lt;&gt;OFFSET(Query1[[#This Row],[Month]],-1,0),Dashboard!$J$5,0))</f>
        <v>0</v>
      </c>
      <c r="N112" s="2">
        <f ca="1">IF(ROW()&lt;3, Query1[[#This Row],[Shares]], IF(Query1[[#This Row],[Month]]&lt;&gt;H111, N111+Query1[[#This Row],[Fix Top Up]]/Query1[[#This Row],[Adj Close]], N111))</f>
        <v>1185.4896456079177</v>
      </c>
      <c r="O11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2" s="2">
        <f ca="1">IF(ROW()&lt;3, Query1[[#This Row],[Shares]], IF(Query1[[#This Row],[Month]]&lt;&gt;H111, P111+Query1[[#This Row],[Enhanced top up]]/Query1[[#This Row],[Adj Close]], P111))</f>
        <v>1183.9009006019965</v>
      </c>
      <c r="Q112" s="2">
        <f>IFERROR(AVERAGE(
  IF(ROW()&gt;20, INDEX(G:G, ROW()-20), 0) :
  INDEX(G:G, ROW())
),0)</f>
        <v>477.99997093563991</v>
      </c>
    </row>
    <row r="113" spans="1:17" x14ac:dyDescent="0.3">
      <c r="A113" s="1">
        <v>45454</v>
      </c>
      <c r="B113">
        <v>490.989990234375</v>
      </c>
      <c r="C113">
        <v>493.66000366210938</v>
      </c>
      <c r="D113">
        <v>489.1099853515625</v>
      </c>
      <c r="E113">
        <v>493.52999877929688</v>
      </c>
      <c r="F113">
        <v>4028400</v>
      </c>
      <c r="G113">
        <v>485.50350952148438</v>
      </c>
      <c r="H113" s="2">
        <f>MONTH(Query1[[#This Row],[Date]])</f>
        <v>6</v>
      </c>
      <c r="I113" s="3">
        <f>Query1[[#This Row],[Shares]]*Query1[[#This Row],[Adj Close]]</f>
        <v>570398.21872314101</v>
      </c>
      <c r="J113" s="3">
        <f>IF(ROW()&lt;3, Dashboard!$E$7, IF(Query1[[#This Row],[Month]]&lt;&gt;H112,J112*(1+Dashboard!$E$4)+Dashboard!$E$5,J112))</f>
        <v>535707.03506999998</v>
      </c>
      <c r="K113">
        <f>IF(ROW()&lt;3, 0,IF(Query1[[#This Row],[Month]]&lt;&gt;H112,IF((J113-I113&gt;0),J113-I113,0),0))</f>
        <v>0</v>
      </c>
      <c r="L113" s="2">
        <f t="shared" si="1"/>
        <v>1174.8591051078693</v>
      </c>
      <c r="M113">
        <f ca="1">IF(ROW()&lt;3,0,IF(Query1[[#This Row],[Month]]&lt;&gt;OFFSET(Query1[[#This Row],[Month]],-1,0),Dashboard!$J$5,0))</f>
        <v>0</v>
      </c>
      <c r="N113" s="2">
        <f ca="1">IF(ROW()&lt;3, Query1[[#This Row],[Shares]], IF(Query1[[#This Row],[Month]]&lt;&gt;H112, N112+Query1[[#This Row],[Fix Top Up]]/Query1[[#This Row],[Adj Close]], N112))</f>
        <v>1185.4896456079177</v>
      </c>
      <c r="O11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3" s="2">
        <f ca="1">IF(ROW()&lt;3, Query1[[#This Row],[Shares]], IF(Query1[[#This Row],[Month]]&lt;&gt;H112, P112+Query1[[#This Row],[Enhanced top up]]/Query1[[#This Row],[Adj Close]], P112))</f>
        <v>1183.9009006019965</v>
      </c>
      <c r="Q113" s="2">
        <f>IFERROR(AVERAGE(
  IF(ROW()&gt;20, INDEX(G:G, ROW()-20), 0) :
  INDEX(G:G, ROW())
),0)</f>
        <v>478.6928027925037</v>
      </c>
    </row>
    <row r="114" spans="1:17" x14ac:dyDescent="0.3">
      <c r="A114" s="1">
        <v>45455</v>
      </c>
      <c r="B114">
        <v>497.92999267578125</v>
      </c>
      <c r="C114">
        <v>500.14999389648438</v>
      </c>
      <c r="D114">
        <v>496.70999145507813</v>
      </c>
      <c r="E114">
        <v>497.6400146484375</v>
      </c>
      <c r="F114">
        <v>3698800</v>
      </c>
      <c r="G114">
        <v>489.54672241210938</v>
      </c>
      <c r="H114" s="2">
        <f>MONTH(Query1[[#This Row],[Date]])</f>
        <v>6</v>
      </c>
      <c r="I114" s="3">
        <f>Query1[[#This Row],[Shares]]*Query1[[#This Row],[Adj Close]]</f>
        <v>575148.42420158128</v>
      </c>
      <c r="J114" s="3">
        <f>IF(ROW()&lt;3, Dashboard!$E$7, IF(Query1[[#This Row],[Month]]&lt;&gt;H113,J113*(1+Dashboard!$E$4)+Dashboard!$E$5,J113))</f>
        <v>535707.03506999998</v>
      </c>
      <c r="K114">
        <f>IF(ROW()&lt;3, 0,IF(Query1[[#This Row],[Month]]&lt;&gt;H113,IF((J114-I114&gt;0),J114-I114,0),0))</f>
        <v>0</v>
      </c>
      <c r="L114" s="2">
        <f t="shared" si="1"/>
        <v>1174.8591051078693</v>
      </c>
      <c r="M114">
        <f ca="1">IF(ROW()&lt;3,0,IF(Query1[[#This Row],[Month]]&lt;&gt;OFFSET(Query1[[#This Row],[Month]],-1,0),Dashboard!$J$5,0))</f>
        <v>0</v>
      </c>
      <c r="N114" s="2">
        <f ca="1">IF(ROW()&lt;3, Query1[[#This Row],[Shares]], IF(Query1[[#This Row],[Month]]&lt;&gt;H113, N113+Query1[[#This Row],[Fix Top Up]]/Query1[[#This Row],[Adj Close]], N113))</f>
        <v>1185.4896456079177</v>
      </c>
      <c r="O11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4" s="2">
        <f ca="1">IF(ROW()&lt;3, Query1[[#This Row],[Shares]], IF(Query1[[#This Row],[Month]]&lt;&gt;H113, P113+Query1[[#This Row],[Enhanced top up]]/Query1[[#This Row],[Adj Close]], P113))</f>
        <v>1183.9009006019965</v>
      </c>
      <c r="Q114" s="2">
        <f>IFERROR(AVERAGE(
  IF(ROW()&gt;20, INDEX(G:G, ROW()-20), 0) :
  INDEX(G:G, ROW())
),0)</f>
        <v>479.57676333472841</v>
      </c>
    </row>
    <row r="115" spans="1:17" x14ac:dyDescent="0.3">
      <c r="A115" s="1">
        <v>45456</v>
      </c>
      <c r="B115">
        <v>499.29998779296875</v>
      </c>
      <c r="C115">
        <v>499.45001220703125</v>
      </c>
      <c r="D115">
        <v>496.05999755859375</v>
      </c>
      <c r="E115">
        <v>498.57998657226563</v>
      </c>
      <c r="F115">
        <v>8808900</v>
      </c>
      <c r="G115">
        <v>490.47137451171875</v>
      </c>
      <c r="H115" s="2">
        <f>MONTH(Query1[[#This Row],[Date]])</f>
        <v>6</v>
      </c>
      <c r="I115" s="3">
        <f>Query1[[#This Row],[Shares]]*Query1[[#This Row],[Adj Close]]</f>
        <v>576234.76013986452</v>
      </c>
      <c r="J115" s="3">
        <f>IF(ROW()&lt;3, Dashboard!$E$7, IF(Query1[[#This Row],[Month]]&lt;&gt;H114,J114*(1+Dashboard!$E$4)+Dashboard!$E$5,J114))</f>
        <v>535707.03506999998</v>
      </c>
      <c r="K115">
        <f>IF(ROW()&lt;3, 0,IF(Query1[[#This Row],[Month]]&lt;&gt;H114,IF((J115-I115&gt;0),J115-I115,0),0))</f>
        <v>0</v>
      </c>
      <c r="L115" s="2">
        <f t="shared" si="1"/>
        <v>1174.8591051078693</v>
      </c>
      <c r="M115">
        <f ca="1">IF(ROW()&lt;3,0,IF(Query1[[#This Row],[Month]]&lt;&gt;OFFSET(Query1[[#This Row],[Month]],-1,0),Dashboard!$J$5,0))</f>
        <v>0</v>
      </c>
      <c r="N115" s="2">
        <f ca="1">IF(ROW()&lt;3, Query1[[#This Row],[Shares]], IF(Query1[[#This Row],[Month]]&lt;&gt;H114, N114+Query1[[#This Row],[Fix Top Up]]/Query1[[#This Row],[Adj Close]], N114))</f>
        <v>1185.4896456079177</v>
      </c>
      <c r="O11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5" s="2">
        <f ca="1">IF(ROW()&lt;3, Query1[[#This Row],[Shares]], IF(Query1[[#This Row],[Month]]&lt;&gt;H114, P114+Query1[[#This Row],[Enhanced top up]]/Query1[[#This Row],[Adj Close]], P114))</f>
        <v>1183.9009006019965</v>
      </c>
      <c r="Q115" s="2">
        <f>IFERROR(AVERAGE(
  IF(ROW()&gt;20, INDEX(G:G, ROW()-20), 0) :
  INDEX(G:G, ROW())
),0)</f>
        <v>480.3984157017299</v>
      </c>
    </row>
    <row r="116" spans="1:17" x14ac:dyDescent="0.3">
      <c r="A116" s="1">
        <v>45457</v>
      </c>
      <c r="B116">
        <v>497.260009765625</v>
      </c>
      <c r="C116">
        <v>499.04000854492188</v>
      </c>
      <c r="D116">
        <v>496.29000854492188</v>
      </c>
      <c r="E116">
        <v>498.98001098632813</v>
      </c>
      <c r="F116">
        <v>5812000</v>
      </c>
      <c r="G116">
        <v>490.86489868164063</v>
      </c>
      <c r="H116" s="2">
        <f>MONTH(Query1[[#This Row],[Date]])</f>
        <v>6</v>
      </c>
      <c r="I116" s="3">
        <f>Query1[[#This Row],[Shares]]*Query1[[#This Row],[Adj Close]]</f>
        <v>576697.09559397725</v>
      </c>
      <c r="J116" s="3">
        <f>IF(ROW()&lt;3, Dashboard!$E$7, IF(Query1[[#This Row],[Month]]&lt;&gt;H115,J115*(1+Dashboard!$E$4)+Dashboard!$E$5,J115))</f>
        <v>535707.03506999998</v>
      </c>
      <c r="K116">
        <f>IF(ROW()&lt;3, 0,IF(Query1[[#This Row],[Month]]&lt;&gt;H115,IF((J116-I116&gt;0),J116-I116,0),0))</f>
        <v>0</v>
      </c>
      <c r="L116" s="2">
        <f t="shared" si="1"/>
        <v>1174.8591051078693</v>
      </c>
      <c r="M116">
        <f ca="1">IF(ROW()&lt;3,0,IF(Query1[[#This Row],[Month]]&lt;&gt;OFFSET(Query1[[#This Row],[Month]],-1,0),Dashboard!$J$5,0))</f>
        <v>0</v>
      </c>
      <c r="N116" s="2">
        <f ca="1">IF(ROW()&lt;3, Query1[[#This Row],[Shares]], IF(Query1[[#This Row],[Month]]&lt;&gt;H115, N115+Query1[[#This Row],[Fix Top Up]]/Query1[[#This Row],[Adj Close]], N115))</f>
        <v>1185.4896456079177</v>
      </c>
      <c r="O11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6" s="2">
        <f ca="1">IF(ROW()&lt;3, Query1[[#This Row],[Shares]], IF(Query1[[#This Row],[Month]]&lt;&gt;H115, P115+Query1[[#This Row],[Enhanced top up]]/Query1[[#This Row],[Adj Close]], P115))</f>
        <v>1183.9009006019965</v>
      </c>
      <c r="Q116" s="2">
        <f>IFERROR(AVERAGE(
  IF(ROW()&gt;20, INDEX(G:G, ROW()-20), 0) :
  INDEX(G:G, ROW())
),0)</f>
        <v>480.96429879324779</v>
      </c>
    </row>
    <row r="117" spans="1:17" x14ac:dyDescent="0.3">
      <c r="A117" s="1">
        <v>45460</v>
      </c>
      <c r="B117">
        <v>498.48001098632813</v>
      </c>
      <c r="C117">
        <v>504.17999267578125</v>
      </c>
      <c r="D117">
        <v>497.91000366210938</v>
      </c>
      <c r="E117">
        <v>502.94000244140625</v>
      </c>
      <c r="F117">
        <v>4609500</v>
      </c>
      <c r="G117">
        <v>494.76052856445313</v>
      </c>
      <c r="H117" s="2">
        <f>MONTH(Query1[[#This Row],[Date]])</f>
        <v>6</v>
      </c>
      <c r="I117" s="3">
        <f>Query1[[#This Row],[Shares]]*Query1[[#This Row],[Adj Close]]</f>
        <v>581273.91183192981</v>
      </c>
      <c r="J117" s="3">
        <f>IF(ROW()&lt;3, Dashboard!$E$7, IF(Query1[[#This Row],[Month]]&lt;&gt;H116,J116*(1+Dashboard!$E$4)+Dashboard!$E$5,J116))</f>
        <v>535707.03506999998</v>
      </c>
      <c r="K117">
        <f>IF(ROW()&lt;3, 0,IF(Query1[[#This Row],[Month]]&lt;&gt;H116,IF((J117-I117&gt;0),J117-I117,0),0))</f>
        <v>0</v>
      </c>
      <c r="L117" s="2">
        <f t="shared" si="1"/>
        <v>1174.8591051078693</v>
      </c>
      <c r="M117">
        <f ca="1">IF(ROW()&lt;3,0,IF(Query1[[#This Row],[Month]]&lt;&gt;OFFSET(Query1[[#This Row],[Month]],-1,0),Dashboard!$J$5,0))</f>
        <v>0</v>
      </c>
      <c r="N117" s="2">
        <f ca="1">IF(ROW()&lt;3, Query1[[#This Row],[Shares]], IF(Query1[[#This Row],[Month]]&lt;&gt;H116, N116+Query1[[#This Row],[Fix Top Up]]/Query1[[#This Row],[Adj Close]], N116))</f>
        <v>1185.4896456079177</v>
      </c>
      <c r="O11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7" s="2">
        <f ca="1">IF(ROW()&lt;3, Query1[[#This Row],[Shares]], IF(Query1[[#This Row],[Month]]&lt;&gt;H116, P116+Query1[[#This Row],[Enhanced top up]]/Query1[[#This Row],[Adj Close]], P116))</f>
        <v>1183.9009006019965</v>
      </c>
      <c r="Q117" s="2">
        <f>IFERROR(AVERAGE(
  IF(ROW()&gt;20, INDEX(G:G, ROW()-20), 0) :
  INDEX(G:G, ROW())
),0)</f>
        <v>481.75925409226193</v>
      </c>
    </row>
    <row r="118" spans="1:17" x14ac:dyDescent="0.3">
      <c r="A118" s="1">
        <v>45461</v>
      </c>
      <c r="B118">
        <v>503.04998779296875</v>
      </c>
      <c r="C118">
        <v>504.3599853515625</v>
      </c>
      <c r="D118">
        <v>502.6300048828125</v>
      </c>
      <c r="E118">
        <v>504.27999877929688</v>
      </c>
      <c r="F118">
        <v>3431700</v>
      </c>
      <c r="G118">
        <v>496.0787353515625</v>
      </c>
      <c r="H118" s="2">
        <f>MONTH(Query1[[#This Row],[Date]])</f>
        <v>6</v>
      </c>
      <c r="I118" s="3">
        <f>Query1[[#This Row],[Shares]]*Query1[[#This Row],[Adj Close]]</f>
        <v>582822.61907818017</v>
      </c>
      <c r="J118" s="3">
        <f>IF(ROW()&lt;3, Dashboard!$E$7, IF(Query1[[#This Row],[Month]]&lt;&gt;H117,J117*(1+Dashboard!$E$4)+Dashboard!$E$5,J117))</f>
        <v>535707.03506999998</v>
      </c>
      <c r="K118">
        <f>IF(ROW()&lt;3, 0,IF(Query1[[#This Row],[Month]]&lt;&gt;H117,IF((J118-I118&gt;0),J118-I118,0),0))</f>
        <v>0</v>
      </c>
      <c r="L118" s="2">
        <f t="shared" si="1"/>
        <v>1174.8591051078693</v>
      </c>
      <c r="M118">
        <f ca="1">IF(ROW()&lt;3,0,IF(Query1[[#This Row],[Month]]&lt;&gt;OFFSET(Query1[[#This Row],[Month]],-1,0),Dashboard!$J$5,0))</f>
        <v>0</v>
      </c>
      <c r="N118" s="2">
        <f ca="1">IF(ROW()&lt;3, Query1[[#This Row],[Shares]], IF(Query1[[#This Row],[Month]]&lt;&gt;H117, N117+Query1[[#This Row],[Fix Top Up]]/Query1[[#This Row],[Adj Close]], N117))</f>
        <v>1185.4896456079177</v>
      </c>
      <c r="O11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8" s="2">
        <f ca="1">IF(ROW()&lt;3, Query1[[#This Row],[Shares]], IF(Query1[[#This Row],[Month]]&lt;&gt;H117, P117+Query1[[#This Row],[Enhanced top up]]/Query1[[#This Row],[Adj Close]], P117))</f>
        <v>1183.9009006019965</v>
      </c>
      <c r="Q118" s="2">
        <f>IFERROR(AVERAGE(
  IF(ROW()&gt;20, INDEX(G:G, ROW()-20), 0) :
  INDEX(G:G, ROW())
),0)</f>
        <v>482.583251953125</v>
      </c>
    </row>
    <row r="119" spans="1:17" x14ac:dyDescent="0.3">
      <c r="A119" s="1">
        <v>45463</v>
      </c>
      <c r="B119">
        <v>505.1400146484375</v>
      </c>
      <c r="C119">
        <v>505.739990234375</v>
      </c>
      <c r="D119">
        <v>501.19000244140625</v>
      </c>
      <c r="E119">
        <v>502.8800048828125</v>
      </c>
      <c r="F119">
        <v>4810900</v>
      </c>
      <c r="G119">
        <v>494.70147705078125</v>
      </c>
      <c r="H119" s="2">
        <f>MONTH(Query1[[#This Row],[Date]])</f>
        <v>6</v>
      </c>
      <c r="I119" s="3">
        <f>Query1[[#This Row],[Shares]]*Query1[[#This Row],[Adj Close]]</f>
        <v>581204.53462342196</v>
      </c>
      <c r="J119" s="3">
        <f>IF(ROW()&lt;3, Dashboard!$E$7, IF(Query1[[#This Row],[Month]]&lt;&gt;H118,J118*(1+Dashboard!$E$4)+Dashboard!$E$5,J118))</f>
        <v>535707.03506999998</v>
      </c>
      <c r="K119">
        <f>IF(ROW()&lt;3, 0,IF(Query1[[#This Row],[Month]]&lt;&gt;H118,IF((J119-I119&gt;0),J119-I119,0),0))</f>
        <v>0</v>
      </c>
      <c r="L119" s="2">
        <f t="shared" si="1"/>
        <v>1174.8591051078693</v>
      </c>
      <c r="M119">
        <f ca="1">IF(ROW()&lt;3,0,IF(Query1[[#This Row],[Month]]&lt;&gt;OFFSET(Query1[[#This Row],[Month]],-1,0),Dashboard!$J$5,0))</f>
        <v>0</v>
      </c>
      <c r="N119" s="2">
        <f ca="1">IF(ROW()&lt;3, Query1[[#This Row],[Shares]], IF(Query1[[#This Row],[Month]]&lt;&gt;H118, N118+Query1[[#This Row],[Fix Top Up]]/Query1[[#This Row],[Adj Close]], N118))</f>
        <v>1185.4896456079177</v>
      </c>
      <c r="O11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19" s="2">
        <f ca="1">IF(ROW()&lt;3, Query1[[#This Row],[Shares]], IF(Query1[[#This Row],[Month]]&lt;&gt;H118, P118+Query1[[#This Row],[Enhanced top up]]/Query1[[#This Row],[Adj Close]], P118))</f>
        <v>1183.9009006019965</v>
      </c>
      <c r="Q119" s="2">
        <f>IFERROR(AVERAGE(
  IF(ROW()&gt;20, INDEX(G:G, ROW()-20), 0) :
  INDEX(G:G, ROW())
),0)</f>
        <v>483.31917898995533</v>
      </c>
    </row>
    <row r="120" spans="1:17" x14ac:dyDescent="0.3">
      <c r="A120" s="1">
        <v>45464</v>
      </c>
      <c r="B120">
        <v>502.10000610351563</v>
      </c>
      <c r="C120">
        <v>503.22000122070313</v>
      </c>
      <c r="D120">
        <v>500.85000610351563</v>
      </c>
      <c r="E120">
        <v>501.77999877929688</v>
      </c>
      <c r="F120">
        <v>4338100</v>
      </c>
      <c r="G120">
        <v>493.61935424804688</v>
      </c>
      <c r="H120" s="2">
        <f>MONTH(Query1[[#This Row],[Date]])</f>
        <v>6</v>
      </c>
      <c r="I120" s="3">
        <f>Query1[[#This Row],[Shares]]*Query1[[#This Row],[Adj Close]]</f>
        <v>579933.19279578468</v>
      </c>
      <c r="J120" s="3">
        <f>IF(ROW()&lt;3, Dashboard!$E$7, IF(Query1[[#This Row],[Month]]&lt;&gt;H119,J119*(1+Dashboard!$E$4)+Dashboard!$E$5,J119))</f>
        <v>535707.03506999998</v>
      </c>
      <c r="K120">
        <f>IF(ROW()&lt;3, 0,IF(Query1[[#This Row],[Month]]&lt;&gt;H119,IF((J120-I120&gt;0),J120-I120,0),0))</f>
        <v>0</v>
      </c>
      <c r="L120" s="2">
        <f t="shared" si="1"/>
        <v>1174.8591051078693</v>
      </c>
      <c r="M120">
        <f ca="1">IF(ROW()&lt;3,0,IF(Query1[[#This Row],[Month]]&lt;&gt;OFFSET(Query1[[#This Row],[Month]],-1,0),Dashboard!$J$5,0))</f>
        <v>0</v>
      </c>
      <c r="N120" s="2">
        <f ca="1">IF(ROW()&lt;3, Query1[[#This Row],[Shares]], IF(Query1[[#This Row],[Month]]&lt;&gt;H119, N119+Query1[[#This Row],[Fix Top Up]]/Query1[[#This Row],[Adj Close]], N119))</f>
        <v>1185.4896456079177</v>
      </c>
      <c r="O12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0" s="2">
        <f ca="1">IF(ROW()&lt;3, Query1[[#This Row],[Shares]], IF(Query1[[#This Row],[Month]]&lt;&gt;H119, P119+Query1[[#This Row],[Enhanced top up]]/Query1[[#This Row],[Adj Close]], P119))</f>
        <v>1183.9009006019965</v>
      </c>
      <c r="Q120" s="2">
        <f>IFERROR(AVERAGE(
  IF(ROW()&gt;20, INDEX(G:G, ROW()-20), 0) :
  INDEX(G:G, ROW())
),0)</f>
        <v>483.94220987955731</v>
      </c>
    </row>
    <row r="121" spans="1:17" x14ac:dyDescent="0.3">
      <c r="A121" s="1">
        <v>45467</v>
      </c>
      <c r="B121">
        <v>502.02999877929688</v>
      </c>
      <c r="C121">
        <v>504.44000244140625</v>
      </c>
      <c r="D121">
        <v>500.42999267578125</v>
      </c>
      <c r="E121">
        <v>500.42999267578125</v>
      </c>
      <c r="F121">
        <v>7022800</v>
      </c>
      <c r="G121">
        <v>492.29132080078125</v>
      </c>
      <c r="H121" s="2">
        <f>MONTH(Query1[[#This Row],[Date]])</f>
        <v>6</v>
      </c>
      <c r="I121" s="3">
        <f>Query1[[#This Row],[Shares]]*Query1[[#This Row],[Adj Close]]</f>
        <v>578372.94060837687</v>
      </c>
      <c r="J121" s="3">
        <f>IF(ROW()&lt;3, Dashboard!$E$7, IF(Query1[[#This Row],[Month]]&lt;&gt;H120,J120*(1+Dashboard!$E$4)+Dashboard!$E$5,J120))</f>
        <v>535707.03506999998</v>
      </c>
      <c r="K121">
        <f>IF(ROW()&lt;3, 0,IF(Query1[[#This Row],[Month]]&lt;&gt;H120,IF((J121-I121&gt;0),J121-I121,0),0))</f>
        <v>0</v>
      </c>
      <c r="L121" s="2">
        <f t="shared" si="1"/>
        <v>1174.8591051078693</v>
      </c>
      <c r="M121">
        <f ca="1">IF(ROW()&lt;3,0,IF(Query1[[#This Row],[Month]]&lt;&gt;OFFSET(Query1[[#This Row],[Month]],-1,0),Dashboard!$J$5,0))</f>
        <v>0</v>
      </c>
      <c r="N121" s="2">
        <f ca="1">IF(ROW()&lt;3, Query1[[#This Row],[Shares]], IF(Query1[[#This Row],[Month]]&lt;&gt;H120, N120+Query1[[#This Row],[Fix Top Up]]/Query1[[#This Row],[Adj Close]], N120))</f>
        <v>1185.4896456079177</v>
      </c>
      <c r="O12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1" s="2">
        <f ca="1">IF(ROW()&lt;3, Query1[[#This Row],[Shares]], IF(Query1[[#This Row],[Month]]&lt;&gt;H120, P120+Query1[[#This Row],[Enhanced top up]]/Query1[[#This Row],[Adj Close]], P120))</f>
        <v>1183.9009006019965</v>
      </c>
      <c r="Q121" s="2">
        <f>IFERROR(AVERAGE(
  IF(ROW()&gt;20, INDEX(G:G, ROW()-20), 0) :
  INDEX(G:G, ROW())
),0)</f>
        <v>484.56852213541669</v>
      </c>
    </row>
    <row r="122" spans="1:17" x14ac:dyDescent="0.3">
      <c r="A122" s="1">
        <v>45468</v>
      </c>
      <c r="B122">
        <v>501.70999145507813</v>
      </c>
      <c r="C122">
        <v>502.82998657226563</v>
      </c>
      <c r="D122">
        <v>500.32000732421875</v>
      </c>
      <c r="E122">
        <v>502.510009765625</v>
      </c>
      <c r="F122">
        <v>6325200</v>
      </c>
      <c r="G122">
        <v>494.33749389648438</v>
      </c>
      <c r="H122" s="2">
        <f>MONTH(Query1[[#This Row],[Date]])</f>
        <v>6</v>
      </c>
      <c r="I122" s="3">
        <f>Query1[[#This Row],[Shares]]*Query1[[#This Row],[Adj Close]]</f>
        <v>580776.90570049046</v>
      </c>
      <c r="J122" s="3">
        <f>IF(ROW()&lt;3, Dashboard!$E$7, IF(Query1[[#This Row],[Month]]&lt;&gt;H121,J121*(1+Dashboard!$E$4)+Dashboard!$E$5,J121))</f>
        <v>535707.03506999998</v>
      </c>
      <c r="K122">
        <f>IF(ROW()&lt;3, 0,IF(Query1[[#This Row],[Month]]&lt;&gt;H121,IF((J122-I122&gt;0),J122-I122,0),0))</f>
        <v>0</v>
      </c>
      <c r="L122" s="2">
        <f t="shared" si="1"/>
        <v>1174.8591051078693</v>
      </c>
      <c r="M122">
        <f ca="1">IF(ROW()&lt;3,0,IF(Query1[[#This Row],[Month]]&lt;&gt;OFFSET(Query1[[#This Row],[Month]],-1,0),Dashboard!$J$5,0))</f>
        <v>0</v>
      </c>
      <c r="N122" s="2">
        <f ca="1">IF(ROW()&lt;3, Query1[[#This Row],[Shares]], IF(Query1[[#This Row],[Month]]&lt;&gt;H121, N121+Query1[[#This Row],[Fix Top Up]]/Query1[[#This Row],[Adj Close]], N121))</f>
        <v>1185.4896456079177</v>
      </c>
      <c r="O12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2" s="2">
        <f ca="1">IF(ROW()&lt;3, Query1[[#This Row],[Shares]], IF(Query1[[#This Row],[Month]]&lt;&gt;H121, P121+Query1[[#This Row],[Enhanced top up]]/Query1[[#This Row],[Adj Close]], P121))</f>
        <v>1183.9009006019965</v>
      </c>
      <c r="Q122" s="2">
        <f>IFERROR(AVERAGE(
  IF(ROW()&gt;20, INDEX(G:G, ROW()-20), 0) :
  INDEX(G:G, ROW())
),0)</f>
        <v>485.46184866768971</v>
      </c>
    </row>
    <row r="123" spans="1:17" x14ac:dyDescent="0.3">
      <c r="A123" s="1">
        <v>45469</v>
      </c>
      <c r="B123">
        <v>501.47000122070313</v>
      </c>
      <c r="C123">
        <v>503.76998901367188</v>
      </c>
      <c r="D123">
        <v>500.8900146484375</v>
      </c>
      <c r="E123">
        <v>503.07000732421875</v>
      </c>
      <c r="F123">
        <v>3202700</v>
      </c>
      <c r="G123">
        <v>494.88836669921875</v>
      </c>
      <c r="H123" s="2">
        <f>MONTH(Query1[[#This Row],[Date]])</f>
        <v>6</v>
      </c>
      <c r="I123" s="3">
        <f>Query1[[#This Row],[Shares]]*Query1[[#This Row],[Adj Close]]</f>
        <v>581424.10362853913</v>
      </c>
      <c r="J123" s="3">
        <f>IF(ROW()&lt;3, Dashboard!$E$7, IF(Query1[[#This Row],[Month]]&lt;&gt;H122,J122*(1+Dashboard!$E$4)+Dashboard!$E$5,J122))</f>
        <v>535707.03506999998</v>
      </c>
      <c r="K123">
        <f>IF(ROW()&lt;3, 0,IF(Query1[[#This Row],[Month]]&lt;&gt;H122,IF((J123-I123&gt;0),J123-I123,0),0))</f>
        <v>0</v>
      </c>
      <c r="L123" s="2">
        <f t="shared" si="1"/>
        <v>1174.8591051078693</v>
      </c>
      <c r="M123">
        <f ca="1">IF(ROW()&lt;3,0,IF(Query1[[#This Row],[Month]]&lt;&gt;OFFSET(Query1[[#This Row],[Month]],-1,0),Dashboard!$J$5,0))</f>
        <v>0</v>
      </c>
      <c r="N123" s="2">
        <f ca="1">IF(ROW()&lt;3, Query1[[#This Row],[Shares]], IF(Query1[[#This Row],[Month]]&lt;&gt;H122, N122+Query1[[#This Row],[Fix Top Up]]/Query1[[#This Row],[Adj Close]], N122))</f>
        <v>1185.4896456079177</v>
      </c>
      <c r="O12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3" s="2">
        <f ca="1">IF(ROW()&lt;3, Query1[[#This Row],[Shares]], IF(Query1[[#This Row],[Month]]&lt;&gt;H122, P122+Query1[[#This Row],[Enhanced top up]]/Query1[[#This Row],[Adj Close]], P122))</f>
        <v>1183.9009006019965</v>
      </c>
      <c r="Q123" s="2">
        <f>IFERROR(AVERAGE(
  IF(ROW()&gt;20, INDEX(G:G, ROW()-20), 0) :
  INDEX(G:G, ROW())
),0)</f>
        <v>486.22728765578495</v>
      </c>
    </row>
    <row r="124" spans="1:17" x14ac:dyDescent="0.3">
      <c r="A124" s="1">
        <v>45470</v>
      </c>
      <c r="B124">
        <v>503</v>
      </c>
      <c r="C124">
        <v>504.48001098632813</v>
      </c>
      <c r="D124">
        <v>502.32000732421875</v>
      </c>
      <c r="E124">
        <v>503.85000610351563</v>
      </c>
      <c r="F124">
        <v>3619700</v>
      </c>
      <c r="G124">
        <v>495.65573120117188</v>
      </c>
      <c r="H124" s="2">
        <f>MONTH(Query1[[#This Row],[Date]])</f>
        <v>6</v>
      </c>
      <c r="I124" s="3">
        <f>Query1[[#This Row],[Shares]]*Query1[[#This Row],[Adj Close]]</f>
        <v>582325.64880059543</v>
      </c>
      <c r="J124" s="3">
        <f>IF(ROW()&lt;3, Dashboard!$E$7, IF(Query1[[#This Row],[Month]]&lt;&gt;H123,J123*(1+Dashboard!$E$4)+Dashboard!$E$5,J123))</f>
        <v>535707.03506999998</v>
      </c>
      <c r="K124">
        <f>IF(ROW()&lt;3, 0,IF(Query1[[#This Row],[Month]]&lt;&gt;H123,IF((J124-I124&gt;0),J124-I124,0),0))</f>
        <v>0</v>
      </c>
      <c r="L124" s="2">
        <f t="shared" si="1"/>
        <v>1174.8591051078693</v>
      </c>
      <c r="M124">
        <f ca="1">IF(ROW()&lt;3,0,IF(Query1[[#This Row],[Month]]&lt;&gt;OFFSET(Query1[[#This Row],[Month]],-1,0),Dashboard!$J$5,0))</f>
        <v>0</v>
      </c>
      <c r="N124" s="2">
        <f ca="1">IF(ROW()&lt;3, Query1[[#This Row],[Shares]], IF(Query1[[#This Row],[Month]]&lt;&gt;H123, N123+Query1[[#This Row],[Fix Top Up]]/Query1[[#This Row],[Adj Close]], N123))</f>
        <v>1185.4896456079177</v>
      </c>
      <c r="O12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4" s="2">
        <f ca="1">IF(ROW()&lt;3, Query1[[#This Row],[Shares]], IF(Query1[[#This Row],[Month]]&lt;&gt;H123, P123+Query1[[#This Row],[Enhanced top up]]/Query1[[#This Row],[Adj Close]], P123))</f>
        <v>1183.9009006019965</v>
      </c>
      <c r="Q124" s="2">
        <f>IFERROR(AVERAGE(
  IF(ROW()&gt;20, INDEX(G:G, ROW()-20), 0) :
  INDEX(G:G, ROW())
),0)</f>
        <v>487.01099795386904</v>
      </c>
    </row>
    <row r="125" spans="1:17" x14ac:dyDescent="0.3">
      <c r="A125" s="1">
        <v>45471</v>
      </c>
      <c r="B125">
        <v>502.97000122070313</v>
      </c>
      <c r="C125">
        <v>505.73001098632813</v>
      </c>
      <c r="D125">
        <v>499.010009765625</v>
      </c>
      <c r="E125">
        <v>500.1300048828125</v>
      </c>
      <c r="F125">
        <v>5598600</v>
      </c>
      <c r="G125">
        <v>493.74444580078125</v>
      </c>
      <c r="H125" s="2">
        <f>MONTH(Query1[[#This Row],[Date]])</f>
        <v>6</v>
      </c>
      <c r="I125" s="3">
        <f>Query1[[#This Row],[Shares]]*Query1[[#This Row],[Adj Close]]</f>
        <v>580080.15774548671</v>
      </c>
      <c r="J125" s="3">
        <f>IF(ROW()&lt;3, Dashboard!$E$7, IF(Query1[[#This Row],[Month]]&lt;&gt;H124,J124*(1+Dashboard!$E$4)+Dashboard!$E$5,J124))</f>
        <v>535707.03506999998</v>
      </c>
      <c r="K125">
        <f>IF(ROW()&lt;3, 0,IF(Query1[[#This Row],[Month]]&lt;&gt;H124,IF((J125-I125&gt;0),J125-I125,0),0))</f>
        <v>0</v>
      </c>
      <c r="L125" s="2">
        <f t="shared" si="1"/>
        <v>1174.8591051078693</v>
      </c>
      <c r="M125">
        <f ca="1">IF(ROW()&lt;3,0,IF(Query1[[#This Row],[Month]]&lt;&gt;OFFSET(Query1[[#This Row],[Month]],-1,0),Dashboard!$J$5,0))</f>
        <v>0</v>
      </c>
      <c r="N125" s="2">
        <f ca="1">IF(ROW()&lt;3, Query1[[#This Row],[Shares]], IF(Query1[[#This Row],[Month]]&lt;&gt;H124, N124+Query1[[#This Row],[Fix Top Up]]/Query1[[#This Row],[Adj Close]], N124))</f>
        <v>1185.4896456079177</v>
      </c>
      <c r="O12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5" s="2">
        <f ca="1">IF(ROW()&lt;3, Query1[[#This Row],[Shares]], IF(Query1[[#This Row],[Month]]&lt;&gt;H124, P124+Query1[[#This Row],[Enhanced top up]]/Query1[[#This Row],[Adj Close]], P124))</f>
        <v>1183.9009006019965</v>
      </c>
      <c r="Q125" s="2">
        <f>IFERROR(AVERAGE(
  IF(ROW()&gt;20, INDEX(G:G, ROW()-20), 0) :
  INDEX(G:G, ROW())
),0)</f>
        <v>487.86437261672245</v>
      </c>
    </row>
    <row r="126" spans="1:17" x14ac:dyDescent="0.3">
      <c r="A126" s="1">
        <v>45474</v>
      </c>
      <c r="B126">
        <v>501.489990234375</v>
      </c>
      <c r="C126">
        <v>501.67999267578125</v>
      </c>
      <c r="D126">
        <v>498.60000610351563</v>
      </c>
      <c r="E126">
        <v>501.27999877929688</v>
      </c>
      <c r="F126">
        <v>4368500</v>
      </c>
      <c r="G126">
        <v>494.87973022460938</v>
      </c>
      <c r="H126" s="2">
        <f>MONTH(Query1[[#This Row],[Date]])</f>
        <v>7</v>
      </c>
      <c r="I126" s="3">
        <f>Query1[[#This Row],[Shares]]*Query1[[#This Row],[Adj Close]]</f>
        <v>581413.95698770834</v>
      </c>
      <c r="J126" s="3">
        <f>IF(ROW()&lt;3, Dashboard!$E$7, IF(Query1[[#This Row],[Month]]&lt;&gt;H125,J125*(1+Dashboard!$E$4)+Dashboard!$E$5,J125))</f>
        <v>543064.10542070004</v>
      </c>
      <c r="K126">
        <f>IF(ROW()&lt;3, 0,IF(Query1[[#This Row],[Month]]&lt;&gt;H125,IF((J126-I126&gt;0),J126-I126,0),0))</f>
        <v>0</v>
      </c>
      <c r="L126" s="2">
        <f t="shared" si="1"/>
        <v>1174.8591051078693</v>
      </c>
      <c r="M126">
        <f ca="1">IF(ROW()&lt;3,0,IF(Query1[[#This Row],[Month]]&lt;&gt;OFFSET(Query1[[#This Row],[Month]],-1,0),Dashboard!$J$5,0))</f>
        <v>979.40350000000024</v>
      </c>
      <c r="N126" s="2">
        <f ca="1">IF(ROW()&lt;3, Query1[[#This Row],[Shares]], IF(Query1[[#This Row],[Month]]&lt;&gt;H125, N125+Query1[[#This Row],[Fix Top Up]]/Query1[[#This Row],[Adj Close]], N125))</f>
        <v>1187.46871939127</v>
      </c>
      <c r="O12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126" s="2">
        <f ca="1">IF(ROW()&lt;3, Query1[[#This Row],[Shares]], IF(Query1[[#This Row],[Month]]&lt;&gt;H125, P125+Query1[[#This Row],[Enhanced top up]]/Query1[[#This Row],[Adj Close]], P125))</f>
        <v>1185.1727318400922</v>
      </c>
      <c r="Q126" s="2">
        <f>IFERROR(AVERAGE(
  IF(ROW()&gt;20, INDEX(G:G, ROW()-20), 0) :
  INDEX(G:G, ROW())
),0)</f>
        <v>488.92405337379091</v>
      </c>
    </row>
    <row r="127" spans="1:17" x14ac:dyDescent="0.3">
      <c r="A127" s="1">
        <v>45475</v>
      </c>
      <c r="B127">
        <v>499.69000244140625</v>
      </c>
      <c r="C127">
        <v>504.6099853515625</v>
      </c>
      <c r="D127">
        <v>499.6099853515625</v>
      </c>
      <c r="E127">
        <v>504.52999877929688</v>
      </c>
      <c r="F127">
        <v>4210100</v>
      </c>
      <c r="G127">
        <v>498.08822631835938</v>
      </c>
      <c r="H127" s="2">
        <f>MONTH(Query1[[#This Row],[Date]])</f>
        <v>7</v>
      </c>
      <c r="I127" s="3">
        <f>Query1[[#This Row],[Shares]]*Query1[[#This Row],[Adj Close]]</f>
        <v>585183.4878371536</v>
      </c>
      <c r="J127" s="3">
        <f>IF(ROW()&lt;3, Dashboard!$E$7, IF(Query1[[#This Row],[Month]]&lt;&gt;H126,J126*(1+Dashboard!$E$4)+Dashboard!$E$5,J126))</f>
        <v>543064.10542070004</v>
      </c>
      <c r="K127">
        <f>IF(ROW()&lt;3, 0,IF(Query1[[#This Row],[Month]]&lt;&gt;H126,IF((J127-I127&gt;0),J127-I127,0),0))</f>
        <v>0</v>
      </c>
      <c r="L127" s="2">
        <f t="shared" si="1"/>
        <v>1174.8591051078693</v>
      </c>
      <c r="M127">
        <f ca="1">IF(ROW()&lt;3,0,IF(Query1[[#This Row],[Month]]&lt;&gt;OFFSET(Query1[[#This Row],[Month]],-1,0),Dashboard!$J$5,0))</f>
        <v>0</v>
      </c>
      <c r="N127" s="2">
        <f ca="1">IF(ROW()&lt;3, Query1[[#This Row],[Shares]], IF(Query1[[#This Row],[Month]]&lt;&gt;H126, N126+Query1[[#This Row],[Fix Top Up]]/Query1[[#This Row],[Adj Close]], N126))</f>
        <v>1187.46871939127</v>
      </c>
      <c r="O12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7" s="2">
        <f ca="1">IF(ROW()&lt;3, Query1[[#This Row],[Shares]], IF(Query1[[#This Row],[Month]]&lt;&gt;H126, P126+Query1[[#This Row],[Enhanced top up]]/Query1[[#This Row],[Adj Close]], P126))</f>
        <v>1185.1727318400922</v>
      </c>
      <c r="Q127" s="2">
        <f>IFERROR(AVERAGE(
  IF(ROW()&gt;20, INDEX(G:G, ROW()-20), 0) :
  INDEX(G:G, ROW())
),0)</f>
        <v>489.94071015857514</v>
      </c>
    </row>
    <row r="128" spans="1:17" x14ac:dyDescent="0.3">
      <c r="A128" s="1">
        <v>45476</v>
      </c>
      <c r="B128">
        <v>504.22000122070313</v>
      </c>
      <c r="C128">
        <v>507.1400146484375</v>
      </c>
      <c r="D128">
        <v>504.22000122070313</v>
      </c>
      <c r="E128">
        <v>506.80999755859375</v>
      </c>
      <c r="F128">
        <v>2131100</v>
      </c>
      <c r="G128">
        <v>500.33914184570313</v>
      </c>
      <c r="H128" s="2">
        <f>MONTH(Query1[[#This Row],[Date]])</f>
        <v>7</v>
      </c>
      <c r="I128" s="3">
        <f>Query1[[#This Row],[Shares]]*Query1[[#This Row],[Adj Close]]</f>
        <v>587827.99643928208</v>
      </c>
      <c r="J128" s="3">
        <f>IF(ROW()&lt;3, Dashboard!$E$7, IF(Query1[[#This Row],[Month]]&lt;&gt;H127,J127*(1+Dashboard!$E$4)+Dashboard!$E$5,J127))</f>
        <v>543064.10542070004</v>
      </c>
      <c r="K128">
        <f>IF(ROW()&lt;3, 0,IF(Query1[[#This Row],[Month]]&lt;&gt;H127,IF((J128-I128&gt;0),J128-I128,0),0))</f>
        <v>0</v>
      </c>
      <c r="L128" s="2">
        <f t="shared" si="1"/>
        <v>1174.8591051078693</v>
      </c>
      <c r="M128">
        <f ca="1">IF(ROW()&lt;3,0,IF(Query1[[#This Row],[Month]]&lt;&gt;OFFSET(Query1[[#This Row],[Month]],-1,0),Dashboard!$J$5,0))</f>
        <v>0</v>
      </c>
      <c r="N128" s="2">
        <f ca="1">IF(ROW()&lt;3, Query1[[#This Row],[Shares]], IF(Query1[[#This Row],[Month]]&lt;&gt;H127, N127+Query1[[#This Row],[Fix Top Up]]/Query1[[#This Row],[Adj Close]], N127))</f>
        <v>1187.46871939127</v>
      </c>
      <c r="O12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8" s="2">
        <f ca="1">IF(ROW()&lt;3, Query1[[#This Row],[Shares]], IF(Query1[[#This Row],[Month]]&lt;&gt;H127, P127+Query1[[#This Row],[Enhanced top up]]/Query1[[#This Row],[Adj Close]], P127))</f>
        <v>1185.1727318400922</v>
      </c>
      <c r="Q128" s="2">
        <f>IFERROR(AVERAGE(
  IF(ROW()&gt;20, INDEX(G:G, ROW()-20), 0) :
  INDEX(G:G, ROW())
),0)</f>
        <v>491.03972371419269</v>
      </c>
    </row>
    <row r="129" spans="1:17" x14ac:dyDescent="0.3">
      <c r="A129" s="1">
        <v>45478</v>
      </c>
      <c r="B129">
        <v>507.1300048828125</v>
      </c>
      <c r="C129">
        <v>510.10000610351563</v>
      </c>
      <c r="D129">
        <v>506.489990234375</v>
      </c>
      <c r="E129">
        <v>509.83999633789063</v>
      </c>
      <c r="F129">
        <v>3156900</v>
      </c>
      <c r="G129">
        <v>503.33047485351563</v>
      </c>
      <c r="H129" s="2">
        <f>MONTH(Query1[[#This Row],[Date]])</f>
        <v>7</v>
      </c>
      <c r="I129" s="3">
        <f>Query1[[#This Row],[Shares]]*Query1[[#This Row],[Adj Close]]</f>
        <v>591342.3912599202</v>
      </c>
      <c r="J129" s="3">
        <f>IF(ROW()&lt;3, Dashboard!$E$7, IF(Query1[[#This Row],[Month]]&lt;&gt;H128,J128*(1+Dashboard!$E$4)+Dashboard!$E$5,J128))</f>
        <v>543064.10542070004</v>
      </c>
      <c r="K129">
        <f>IF(ROW()&lt;3, 0,IF(Query1[[#This Row],[Month]]&lt;&gt;H128,IF((J129-I129&gt;0),J129-I129,0),0))</f>
        <v>0</v>
      </c>
      <c r="L129" s="2">
        <f t="shared" si="1"/>
        <v>1174.8591051078693</v>
      </c>
      <c r="M129">
        <f ca="1">IF(ROW()&lt;3,0,IF(Query1[[#This Row],[Month]]&lt;&gt;OFFSET(Query1[[#This Row],[Month]],-1,0),Dashboard!$J$5,0))</f>
        <v>0</v>
      </c>
      <c r="N129" s="2">
        <f ca="1">IF(ROW()&lt;3, Query1[[#This Row],[Shares]], IF(Query1[[#This Row],[Month]]&lt;&gt;H128, N128+Query1[[#This Row],[Fix Top Up]]/Query1[[#This Row],[Adj Close]], N128))</f>
        <v>1187.46871939127</v>
      </c>
      <c r="O12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29" s="2">
        <f ca="1">IF(ROW()&lt;3, Query1[[#This Row],[Shares]], IF(Query1[[#This Row],[Month]]&lt;&gt;H128, P128+Query1[[#This Row],[Enhanced top up]]/Query1[[#This Row],[Adj Close]], P128))</f>
        <v>1185.1727318400922</v>
      </c>
      <c r="Q129" s="2">
        <f>IFERROR(AVERAGE(
  IF(ROW()&gt;20, INDEX(G:G, ROW()-20), 0) :
  INDEX(G:G, ROW())
),0)</f>
        <v>492.25354439871654</v>
      </c>
    </row>
    <row r="130" spans="1:17" x14ac:dyDescent="0.3">
      <c r="A130" s="1">
        <v>45481</v>
      </c>
      <c r="B130">
        <v>510.5</v>
      </c>
      <c r="C130">
        <v>511.20999145507813</v>
      </c>
      <c r="D130">
        <v>509.32000732421875</v>
      </c>
      <c r="E130">
        <v>510.32998657226563</v>
      </c>
      <c r="F130">
        <v>3143400</v>
      </c>
      <c r="G130">
        <v>503.81417846679688</v>
      </c>
      <c r="H130" s="2">
        <f>MONTH(Query1[[#This Row],[Date]])</f>
        <v>7</v>
      </c>
      <c r="I130" s="3">
        <f>Query1[[#This Row],[Shares]]*Query1[[#This Row],[Adj Close]]</f>
        <v>591910.67485415726</v>
      </c>
      <c r="J130" s="3">
        <f>IF(ROW()&lt;3, Dashboard!$E$7, IF(Query1[[#This Row],[Month]]&lt;&gt;H129,J129*(1+Dashboard!$E$4)+Dashboard!$E$5,J129))</f>
        <v>543064.10542070004</v>
      </c>
      <c r="K130">
        <f>IF(ROW()&lt;3, 0,IF(Query1[[#This Row],[Month]]&lt;&gt;H129,IF((J130-I130&gt;0),J130-I130,0),0))</f>
        <v>0</v>
      </c>
      <c r="L130" s="2">
        <f t="shared" ref="L130:L193" si="2">IF(ROW()&lt;3, J130/G130, L129+K129/G129)</f>
        <v>1174.8591051078693</v>
      </c>
      <c r="M130">
        <f ca="1">IF(ROW()&lt;3,0,IF(Query1[[#This Row],[Month]]&lt;&gt;OFFSET(Query1[[#This Row],[Month]],-1,0),Dashboard!$J$5,0))</f>
        <v>0</v>
      </c>
      <c r="N130" s="2">
        <f ca="1">IF(ROW()&lt;3, Query1[[#This Row],[Shares]], IF(Query1[[#This Row],[Month]]&lt;&gt;H129, N129+Query1[[#This Row],[Fix Top Up]]/Query1[[#This Row],[Adj Close]], N129))</f>
        <v>1187.46871939127</v>
      </c>
      <c r="O13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0" s="2">
        <f ca="1">IF(ROW()&lt;3, Query1[[#This Row],[Shares]], IF(Query1[[#This Row],[Month]]&lt;&gt;H129, P129+Query1[[#This Row],[Enhanced top up]]/Query1[[#This Row],[Adj Close]], P129))</f>
        <v>1185.1727318400922</v>
      </c>
      <c r="Q130" s="2">
        <f>IFERROR(AVERAGE(
  IF(ROW()&gt;20, INDEX(G:G, ROW()-20), 0) :
  INDEX(G:G, ROW())
),0)</f>
        <v>493.21823410760788</v>
      </c>
    </row>
    <row r="131" spans="1:17" x14ac:dyDescent="0.3">
      <c r="A131" s="1">
        <v>45482</v>
      </c>
      <c r="B131">
        <v>511.20999145507813</v>
      </c>
      <c r="C131">
        <v>512.010009765625</v>
      </c>
      <c r="D131">
        <v>510.54000854492188</v>
      </c>
      <c r="E131">
        <v>510.8900146484375</v>
      </c>
      <c r="F131">
        <v>3140600</v>
      </c>
      <c r="G131">
        <v>504.3670654296875</v>
      </c>
      <c r="H131" s="2">
        <f>MONTH(Query1[[#This Row],[Date]])</f>
        <v>7</v>
      </c>
      <c r="I131" s="3">
        <f>Query1[[#This Row],[Shares]]*Query1[[#This Row],[Adj Close]]</f>
        <v>592560.23913660483</v>
      </c>
      <c r="J131" s="3">
        <f>IF(ROW()&lt;3, Dashboard!$E$7, IF(Query1[[#This Row],[Month]]&lt;&gt;H130,J130*(1+Dashboard!$E$4)+Dashboard!$E$5,J130))</f>
        <v>543064.10542070004</v>
      </c>
      <c r="K131">
        <f>IF(ROW()&lt;3, 0,IF(Query1[[#This Row],[Month]]&lt;&gt;H130,IF((J131-I131&gt;0),J131-I131,0),0))</f>
        <v>0</v>
      </c>
      <c r="L131" s="2">
        <f t="shared" si="2"/>
        <v>1174.8591051078693</v>
      </c>
      <c r="M131">
        <f ca="1">IF(ROW()&lt;3,0,IF(Query1[[#This Row],[Month]]&lt;&gt;OFFSET(Query1[[#This Row],[Month]],-1,0),Dashboard!$J$5,0))</f>
        <v>0</v>
      </c>
      <c r="N131" s="2">
        <f ca="1">IF(ROW()&lt;3, Query1[[#This Row],[Shares]], IF(Query1[[#This Row],[Month]]&lt;&gt;H130, N130+Query1[[#This Row],[Fix Top Up]]/Query1[[#This Row],[Adj Close]], N130))</f>
        <v>1187.46871939127</v>
      </c>
      <c r="O13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1" s="2">
        <f ca="1">IF(ROW()&lt;3, Query1[[#This Row],[Shares]], IF(Query1[[#This Row],[Month]]&lt;&gt;H130, P130+Query1[[#This Row],[Enhanced top up]]/Query1[[#This Row],[Adj Close]], P130))</f>
        <v>1185.1727318400922</v>
      </c>
      <c r="Q131" s="2">
        <f>IFERROR(AVERAGE(
  IF(ROW()&gt;20, INDEX(G:G, ROW()-20), 0) :
  INDEX(G:G, ROW())
),0)</f>
        <v>494.2144019717262</v>
      </c>
    </row>
    <row r="132" spans="1:17" x14ac:dyDescent="0.3">
      <c r="A132" s="1">
        <v>45483</v>
      </c>
      <c r="B132">
        <v>511.98001098632813</v>
      </c>
      <c r="C132">
        <v>516.17999267578125</v>
      </c>
      <c r="D132">
        <v>511.69000244140625</v>
      </c>
      <c r="E132">
        <v>515.80999755859375</v>
      </c>
      <c r="F132">
        <v>3446900</v>
      </c>
      <c r="G132">
        <v>509.22421264648438</v>
      </c>
      <c r="H132" s="2">
        <f>MONTH(Query1[[#This Row],[Date]])</f>
        <v>7</v>
      </c>
      <c r="I132" s="3">
        <f>Query1[[#This Row],[Shares]]*Query1[[#This Row],[Adj Close]]</f>
        <v>598266.702769108</v>
      </c>
      <c r="J132" s="3">
        <f>IF(ROW()&lt;3, Dashboard!$E$7, IF(Query1[[#This Row],[Month]]&lt;&gt;H131,J131*(1+Dashboard!$E$4)+Dashboard!$E$5,J131))</f>
        <v>543064.10542070004</v>
      </c>
      <c r="K132">
        <f>IF(ROW()&lt;3, 0,IF(Query1[[#This Row],[Month]]&lt;&gt;H131,IF((J132-I132&gt;0),J132-I132,0),0))</f>
        <v>0</v>
      </c>
      <c r="L132" s="2">
        <f t="shared" si="2"/>
        <v>1174.8591051078693</v>
      </c>
      <c r="M132">
        <f ca="1">IF(ROW()&lt;3,0,IF(Query1[[#This Row],[Month]]&lt;&gt;OFFSET(Query1[[#This Row],[Month]],-1,0),Dashboard!$J$5,0))</f>
        <v>0</v>
      </c>
      <c r="N132" s="2">
        <f ca="1">IF(ROW()&lt;3, Query1[[#This Row],[Shares]], IF(Query1[[#This Row],[Month]]&lt;&gt;H131, N131+Query1[[#This Row],[Fix Top Up]]/Query1[[#This Row],[Adj Close]], N131))</f>
        <v>1187.46871939127</v>
      </c>
      <c r="O13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2" s="2">
        <f ca="1">IF(ROW()&lt;3, Query1[[#This Row],[Shares]], IF(Query1[[#This Row],[Month]]&lt;&gt;H131, P131+Query1[[#This Row],[Enhanced top up]]/Query1[[#This Row],[Adj Close]], P131))</f>
        <v>1185.1727318400922</v>
      </c>
      <c r="Q132" s="2">
        <f>IFERROR(AVERAGE(
  IF(ROW()&gt;20, INDEX(G:G, ROW()-20), 0) :
  INDEX(G:G, ROW())
),0)</f>
        <v>495.47184535435269</v>
      </c>
    </row>
    <row r="133" spans="1:17" x14ac:dyDescent="0.3">
      <c r="A133" s="1">
        <v>45484</v>
      </c>
      <c r="B133">
        <v>516</v>
      </c>
      <c r="C133">
        <v>516.78997802734375</v>
      </c>
      <c r="D133">
        <v>510.82998657226563</v>
      </c>
      <c r="E133">
        <v>511.3900146484375</v>
      </c>
      <c r="F133">
        <v>5537800</v>
      </c>
      <c r="G133">
        <v>504.86068725585938</v>
      </c>
      <c r="H133" s="2">
        <f>MONTH(Query1[[#This Row],[Date]])</f>
        <v>7</v>
      </c>
      <c r="I133" s="3">
        <f>Query1[[#This Row],[Shares]]*Query1[[#This Row],[Adj Close]]</f>
        <v>593140.17523356283</v>
      </c>
      <c r="J133" s="3">
        <f>IF(ROW()&lt;3, Dashboard!$E$7, IF(Query1[[#This Row],[Month]]&lt;&gt;H132,J132*(1+Dashboard!$E$4)+Dashboard!$E$5,J132))</f>
        <v>543064.10542070004</v>
      </c>
      <c r="K133">
        <f>IF(ROW()&lt;3, 0,IF(Query1[[#This Row],[Month]]&lt;&gt;H132,IF((J133-I133&gt;0),J133-I133,0),0))</f>
        <v>0</v>
      </c>
      <c r="L133" s="2">
        <f t="shared" si="2"/>
        <v>1174.8591051078693</v>
      </c>
      <c r="M133">
        <f ca="1">IF(ROW()&lt;3,0,IF(Query1[[#This Row],[Month]]&lt;&gt;OFFSET(Query1[[#This Row],[Month]],-1,0),Dashboard!$J$5,0))</f>
        <v>0</v>
      </c>
      <c r="N133" s="2">
        <f ca="1">IF(ROW()&lt;3, Query1[[#This Row],[Shares]], IF(Query1[[#This Row],[Month]]&lt;&gt;H132, N132+Query1[[#This Row],[Fix Top Up]]/Query1[[#This Row],[Adj Close]], N132))</f>
        <v>1187.46871939127</v>
      </c>
      <c r="O13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3" s="2">
        <f ca="1">IF(ROW()&lt;3, Query1[[#This Row],[Shares]], IF(Query1[[#This Row],[Month]]&lt;&gt;H132, P132+Query1[[#This Row],[Enhanced top up]]/Query1[[#This Row],[Adj Close]], P132))</f>
        <v>1185.1727318400922</v>
      </c>
      <c r="Q133" s="2">
        <f>IFERROR(AVERAGE(
  IF(ROW()&gt;20, INDEX(G:G, ROW()-20), 0) :
  INDEX(G:G, ROW())
),0)</f>
        <v>496.44607979910717</v>
      </c>
    </row>
    <row r="134" spans="1:17" x14ac:dyDescent="0.3">
      <c r="A134" s="1">
        <v>45485</v>
      </c>
      <c r="B134">
        <v>512.489990234375</v>
      </c>
      <c r="C134">
        <v>518.030029296875</v>
      </c>
      <c r="D134">
        <v>512.16998291015625</v>
      </c>
      <c r="E134">
        <v>514.54998779296875</v>
      </c>
      <c r="F134">
        <v>5238200</v>
      </c>
      <c r="G134">
        <v>507.98031616210938</v>
      </c>
      <c r="H134" s="2">
        <f>MONTH(Query1[[#This Row],[Date]])</f>
        <v>7</v>
      </c>
      <c r="I134" s="3">
        <f>Query1[[#This Row],[Shares]]*Query1[[#This Row],[Adj Close]]</f>
        <v>596805.2996586283</v>
      </c>
      <c r="J134" s="3">
        <f>IF(ROW()&lt;3, Dashboard!$E$7, IF(Query1[[#This Row],[Month]]&lt;&gt;H133,J133*(1+Dashboard!$E$4)+Dashboard!$E$5,J133))</f>
        <v>543064.10542070004</v>
      </c>
      <c r="K134">
        <f>IF(ROW()&lt;3, 0,IF(Query1[[#This Row],[Month]]&lt;&gt;H133,IF((J134-I134&gt;0),J134-I134,0),0))</f>
        <v>0</v>
      </c>
      <c r="L134" s="2">
        <f t="shared" si="2"/>
        <v>1174.8591051078693</v>
      </c>
      <c r="M134">
        <f ca="1">IF(ROW()&lt;3,0,IF(Query1[[#This Row],[Month]]&lt;&gt;OFFSET(Query1[[#This Row],[Month]],-1,0),Dashboard!$J$5,0))</f>
        <v>0</v>
      </c>
      <c r="N134" s="2">
        <f ca="1">IF(ROW()&lt;3, Query1[[#This Row],[Shares]], IF(Query1[[#This Row],[Month]]&lt;&gt;H133, N133+Query1[[#This Row],[Fix Top Up]]/Query1[[#This Row],[Adj Close]], N133))</f>
        <v>1187.46871939127</v>
      </c>
      <c r="O13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4" s="2">
        <f ca="1">IF(ROW()&lt;3, Query1[[#This Row],[Shares]], IF(Query1[[#This Row],[Month]]&lt;&gt;H133, P133+Query1[[#This Row],[Enhanced top up]]/Query1[[#This Row],[Adj Close]], P133))</f>
        <v>1185.1727318400922</v>
      </c>
      <c r="Q134" s="2">
        <f>IFERROR(AVERAGE(
  IF(ROW()&gt;20, INDEX(G:G, ROW()-20), 0) :
  INDEX(G:G, ROW())
),0)</f>
        <v>497.5164039248512</v>
      </c>
    </row>
    <row r="135" spans="1:17" x14ac:dyDescent="0.3">
      <c r="A135" s="1">
        <v>45488</v>
      </c>
      <c r="B135">
        <v>516.58001708984375</v>
      </c>
      <c r="C135">
        <v>519.1199951171875</v>
      </c>
      <c r="D135">
        <v>514.34002685546875</v>
      </c>
      <c r="E135">
        <v>516.1099853515625</v>
      </c>
      <c r="F135">
        <v>7771500</v>
      </c>
      <c r="G135">
        <v>509.5203857421875</v>
      </c>
      <c r="H135" s="2">
        <f>MONTH(Query1[[#This Row],[Date]])</f>
        <v>7</v>
      </c>
      <c r="I135" s="3">
        <f>Query1[[#This Row],[Shares]]*Query1[[#This Row],[Adj Close]]</f>
        <v>598614.66442728275</v>
      </c>
      <c r="J135" s="3">
        <f>IF(ROW()&lt;3, Dashboard!$E$7, IF(Query1[[#This Row],[Month]]&lt;&gt;H134,J134*(1+Dashboard!$E$4)+Dashboard!$E$5,J134))</f>
        <v>543064.10542070004</v>
      </c>
      <c r="K135">
        <f>IF(ROW()&lt;3, 0,IF(Query1[[#This Row],[Month]]&lt;&gt;H134,IF((J135-I135&gt;0),J135-I135,0),0))</f>
        <v>0</v>
      </c>
      <c r="L135" s="2">
        <f t="shared" si="2"/>
        <v>1174.8591051078693</v>
      </c>
      <c r="M135">
        <f ca="1">IF(ROW()&lt;3,0,IF(Query1[[#This Row],[Month]]&lt;&gt;OFFSET(Query1[[#This Row],[Month]],-1,0),Dashboard!$J$5,0))</f>
        <v>0</v>
      </c>
      <c r="N135" s="2">
        <f ca="1">IF(ROW()&lt;3, Query1[[#This Row],[Shares]], IF(Query1[[#This Row],[Month]]&lt;&gt;H134, N134+Query1[[#This Row],[Fix Top Up]]/Query1[[#This Row],[Adj Close]], N134))</f>
        <v>1187.46871939127</v>
      </c>
      <c r="O13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5" s="2">
        <f ca="1">IF(ROW()&lt;3, Query1[[#This Row],[Shares]], IF(Query1[[#This Row],[Month]]&lt;&gt;H134, P134+Query1[[#This Row],[Enhanced top up]]/Query1[[#This Row],[Adj Close]], P134))</f>
        <v>1185.1727318400922</v>
      </c>
      <c r="Q135" s="2">
        <f>IFERROR(AVERAGE(
  IF(ROW()&gt;20, INDEX(G:G, ROW()-20), 0) :
  INDEX(G:G, ROW())
),0)</f>
        <v>498.46753075009303</v>
      </c>
    </row>
    <row r="136" spans="1:17" x14ac:dyDescent="0.3">
      <c r="A136" s="1">
        <v>45489</v>
      </c>
      <c r="B136">
        <v>517.33001708984375</v>
      </c>
      <c r="C136">
        <v>519.4000244140625</v>
      </c>
      <c r="D136">
        <v>516.5999755859375</v>
      </c>
      <c r="E136">
        <v>519.03997802734375</v>
      </c>
      <c r="F136">
        <v>4164300</v>
      </c>
      <c r="G136">
        <v>512.41302490234375</v>
      </c>
      <c r="H136" s="2">
        <f>MONTH(Query1[[#This Row],[Date]])</f>
        <v>7</v>
      </c>
      <c r="I136" s="3">
        <f>Query1[[#This Row],[Shares]]*Query1[[#This Row],[Adj Close]]</f>
        <v>602013.10788238386</v>
      </c>
      <c r="J136" s="3">
        <f>IF(ROW()&lt;3, Dashboard!$E$7, IF(Query1[[#This Row],[Month]]&lt;&gt;H135,J135*(1+Dashboard!$E$4)+Dashboard!$E$5,J135))</f>
        <v>543064.10542070004</v>
      </c>
      <c r="K136">
        <f>IF(ROW()&lt;3, 0,IF(Query1[[#This Row],[Month]]&lt;&gt;H135,IF((J136-I136&gt;0),J136-I136,0),0))</f>
        <v>0</v>
      </c>
      <c r="L136" s="2">
        <f t="shared" si="2"/>
        <v>1174.8591051078693</v>
      </c>
      <c r="M136">
        <f ca="1">IF(ROW()&lt;3,0,IF(Query1[[#This Row],[Month]]&lt;&gt;OFFSET(Query1[[#This Row],[Month]],-1,0),Dashboard!$J$5,0))</f>
        <v>0</v>
      </c>
      <c r="N136" s="2">
        <f ca="1">IF(ROW()&lt;3, Query1[[#This Row],[Shares]], IF(Query1[[#This Row],[Month]]&lt;&gt;H135, N135+Query1[[#This Row],[Fix Top Up]]/Query1[[#This Row],[Adj Close]], N135))</f>
        <v>1187.46871939127</v>
      </c>
      <c r="O13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6" s="2">
        <f ca="1">IF(ROW()&lt;3, Query1[[#This Row],[Shares]], IF(Query1[[#This Row],[Month]]&lt;&gt;H135, P135+Query1[[#This Row],[Enhanced top up]]/Query1[[#This Row],[Adj Close]], P135))</f>
        <v>1185.1727318400922</v>
      </c>
      <c r="Q136" s="2">
        <f>IFERROR(AVERAGE(
  IF(ROW()&gt;20, INDEX(G:G, ROW()-20), 0) :
  INDEX(G:G, ROW())
),0)</f>
        <v>499.51237124488466</v>
      </c>
    </row>
    <row r="137" spans="1:17" x14ac:dyDescent="0.3">
      <c r="A137" s="1">
        <v>45490</v>
      </c>
      <c r="B137">
        <v>513.55999755859375</v>
      </c>
      <c r="C137">
        <v>515.1099853515625</v>
      </c>
      <c r="D137">
        <v>511.55999755859375</v>
      </c>
      <c r="E137">
        <v>511.79000854492188</v>
      </c>
      <c r="F137">
        <v>4984300</v>
      </c>
      <c r="G137">
        <v>505.25555419921875</v>
      </c>
      <c r="H137" s="2">
        <f>MONTH(Query1[[#This Row],[Date]])</f>
        <v>7</v>
      </c>
      <c r="I137" s="3">
        <f>Query1[[#This Row],[Shares]]*Query1[[#This Row],[Adj Close]]</f>
        <v>593604.08825727471</v>
      </c>
      <c r="J137" s="3">
        <f>IF(ROW()&lt;3, Dashboard!$E$7, IF(Query1[[#This Row],[Month]]&lt;&gt;H136,J136*(1+Dashboard!$E$4)+Dashboard!$E$5,J136))</f>
        <v>543064.10542070004</v>
      </c>
      <c r="K137">
        <f>IF(ROW()&lt;3, 0,IF(Query1[[#This Row],[Month]]&lt;&gt;H136,IF((J137-I137&gt;0),J137-I137,0),0))</f>
        <v>0</v>
      </c>
      <c r="L137" s="2">
        <f t="shared" si="2"/>
        <v>1174.8591051078693</v>
      </c>
      <c r="M137">
        <f ca="1">IF(ROW()&lt;3,0,IF(Query1[[#This Row],[Month]]&lt;&gt;OFFSET(Query1[[#This Row],[Month]],-1,0),Dashboard!$J$5,0))</f>
        <v>0</v>
      </c>
      <c r="N137" s="2">
        <f ca="1">IF(ROW()&lt;3, Query1[[#This Row],[Shares]], IF(Query1[[#This Row],[Month]]&lt;&gt;H136, N136+Query1[[#This Row],[Fix Top Up]]/Query1[[#This Row],[Adj Close]], N136))</f>
        <v>1187.46871939127</v>
      </c>
      <c r="O13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7" s="2">
        <f ca="1">IF(ROW()&lt;3, Query1[[#This Row],[Shares]], IF(Query1[[#This Row],[Month]]&lt;&gt;H136, P136+Query1[[#This Row],[Enhanced top up]]/Query1[[#This Row],[Adj Close]], P136))</f>
        <v>1185.1727318400922</v>
      </c>
      <c r="Q137" s="2">
        <f>IFERROR(AVERAGE(
  IF(ROW()&gt;20, INDEX(G:G, ROW()-20), 0) :
  INDEX(G:G, ROW())
),0)</f>
        <v>500.19764055524553</v>
      </c>
    </row>
    <row r="138" spans="1:17" x14ac:dyDescent="0.3">
      <c r="A138" s="1">
        <v>45491</v>
      </c>
      <c r="B138">
        <v>513.25</v>
      </c>
      <c r="C138">
        <v>514.19000244140625</v>
      </c>
      <c r="D138">
        <v>505.8699951171875</v>
      </c>
      <c r="E138">
        <v>507.94000244140625</v>
      </c>
      <c r="F138">
        <v>5055900</v>
      </c>
      <c r="G138">
        <v>501.45468139648438</v>
      </c>
      <c r="H138" s="2">
        <f>MONTH(Query1[[#This Row],[Date]])</f>
        <v>7</v>
      </c>
      <c r="I138" s="3">
        <f>Query1[[#This Row],[Shares]]*Query1[[#This Row],[Adj Close]]</f>
        <v>589138.59823762532</v>
      </c>
      <c r="J138" s="3">
        <f>IF(ROW()&lt;3, Dashboard!$E$7, IF(Query1[[#This Row],[Month]]&lt;&gt;H137,J137*(1+Dashboard!$E$4)+Dashboard!$E$5,J137))</f>
        <v>543064.10542070004</v>
      </c>
      <c r="K138">
        <f>IF(ROW()&lt;3, 0,IF(Query1[[#This Row],[Month]]&lt;&gt;H137,IF((J138-I138&gt;0),J138-I138,0),0))</f>
        <v>0</v>
      </c>
      <c r="L138" s="2">
        <f t="shared" si="2"/>
        <v>1174.8591051078693</v>
      </c>
      <c r="M138">
        <f ca="1">IF(ROW()&lt;3,0,IF(Query1[[#This Row],[Month]]&lt;&gt;OFFSET(Query1[[#This Row],[Month]],-1,0),Dashboard!$J$5,0))</f>
        <v>0</v>
      </c>
      <c r="N138" s="2">
        <f ca="1">IF(ROW()&lt;3, Query1[[#This Row],[Shares]], IF(Query1[[#This Row],[Month]]&lt;&gt;H137, N137+Query1[[#This Row],[Fix Top Up]]/Query1[[#This Row],[Adj Close]], N137))</f>
        <v>1187.46871939127</v>
      </c>
      <c r="O13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8" s="2">
        <f ca="1">IF(ROW()&lt;3, Query1[[#This Row],[Shares]], IF(Query1[[#This Row],[Month]]&lt;&gt;H137, P137+Query1[[#This Row],[Enhanced top up]]/Query1[[#This Row],[Adj Close]], P137))</f>
        <v>1185.1727318400922</v>
      </c>
      <c r="Q138" s="2">
        <f>IFERROR(AVERAGE(
  IF(ROW()&gt;20, INDEX(G:G, ROW()-20), 0) :
  INDEX(G:G, ROW())
),0)</f>
        <v>500.51640973772322</v>
      </c>
    </row>
    <row r="139" spans="1:17" x14ac:dyDescent="0.3">
      <c r="A139" s="1">
        <v>45492</v>
      </c>
      <c r="B139">
        <v>507.6400146484375</v>
      </c>
      <c r="C139">
        <v>509.20001220703125</v>
      </c>
      <c r="D139">
        <v>503.55999755859375</v>
      </c>
      <c r="E139">
        <v>504.54998779296875</v>
      </c>
      <c r="F139">
        <v>4039400</v>
      </c>
      <c r="G139">
        <v>498.10797119140625</v>
      </c>
      <c r="H139" s="2">
        <f>MONTH(Query1[[#This Row],[Date]])</f>
        <v>7</v>
      </c>
      <c r="I139" s="3">
        <f>Query1[[#This Row],[Shares]]*Query1[[#This Row],[Adj Close]]</f>
        <v>585206.68528103188</v>
      </c>
      <c r="J139" s="3">
        <f>IF(ROW()&lt;3, Dashboard!$E$7, IF(Query1[[#This Row],[Month]]&lt;&gt;H138,J138*(1+Dashboard!$E$4)+Dashboard!$E$5,J138))</f>
        <v>543064.10542070004</v>
      </c>
      <c r="K139">
        <f>IF(ROW()&lt;3, 0,IF(Query1[[#This Row],[Month]]&lt;&gt;H138,IF((J139-I139&gt;0),J139-I139,0),0))</f>
        <v>0</v>
      </c>
      <c r="L139" s="2">
        <f t="shared" si="2"/>
        <v>1174.8591051078693</v>
      </c>
      <c r="M139">
        <f ca="1">IF(ROW()&lt;3,0,IF(Query1[[#This Row],[Month]]&lt;&gt;OFFSET(Query1[[#This Row],[Month]],-1,0),Dashboard!$J$5,0))</f>
        <v>0</v>
      </c>
      <c r="N139" s="2">
        <f ca="1">IF(ROW()&lt;3, Query1[[#This Row],[Shares]], IF(Query1[[#This Row],[Month]]&lt;&gt;H138, N138+Query1[[#This Row],[Fix Top Up]]/Query1[[#This Row],[Adj Close]], N138))</f>
        <v>1187.46871939127</v>
      </c>
      <c r="O13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39" s="2">
        <f ca="1">IF(ROW()&lt;3, Query1[[#This Row],[Shares]], IF(Query1[[#This Row],[Month]]&lt;&gt;H138, P138+Query1[[#This Row],[Enhanced top up]]/Query1[[#This Row],[Adj Close]], P138))</f>
        <v>1185.1727318400922</v>
      </c>
      <c r="Q139" s="2">
        <f>IFERROR(AVERAGE(
  IF(ROW()&gt;20, INDEX(G:G, ROW()-20), 0) :
  INDEX(G:G, ROW())
),0)</f>
        <v>500.61304001581101</v>
      </c>
    </row>
    <row r="140" spans="1:17" x14ac:dyDescent="0.3">
      <c r="A140" s="1">
        <v>45495</v>
      </c>
      <c r="B140">
        <v>508.26998901367188</v>
      </c>
      <c r="C140">
        <v>510.32000732421875</v>
      </c>
      <c r="D140">
        <v>506.44000244140625</v>
      </c>
      <c r="E140">
        <v>509.79000854492188</v>
      </c>
      <c r="F140">
        <v>4342900</v>
      </c>
      <c r="G140">
        <v>503.2811279296875</v>
      </c>
      <c r="H140" s="2">
        <f>MONTH(Query1[[#This Row],[Date]])</f>
        <v>7</v>
      </c>
      <c r="I140" s="3">
        <f>Query1[[#This Row],[Shares]]*Query1[[#This Row],[Adj Close]]</f>
        <v>591284.4155771517</v>
      </c>
      <c r="J140" s="3">
        <f>IF(ROW()&lt;3, Dashboard!$E$7, IF(Query1[[#This Row],[Month]]&lt;&gt;H139,J139*(1+Dashboard!$E$4)+Dashboard!$E$5,J139))</f>
        <v>543064.10542070004</v>
      </c>
      <c r="K140">
        <f>IF(ROW()&lt;3, 0,IF(Query1[[#This Row],[Month]]&lt;&gt;H139,IF((J140-I140&gt;0),J140-I140,0),0))</f>
        <v>0</v>
      </c>
      <c r="L140" s="2">
        <f t="shared" si="2"/>
        <v>1174.8591051078693</v>
      </c>
      <c r="M140">
        <f ca="1">IF(ROW()&lt;3,0,IF(Query1[[#This Row],[Month]]&lt;&gt;OFFSET(Query1[[#This Row],[Month]],-1,0),Dashboard!$J$5,0))</f>
        <v>0</v>
      </c>
      <c r="N140" s="2">
        <f ca="1">IF(ROW()&lt;3, Query1[[#This Row],[Shares]], IF(Query1[[#This Row],[Month]]&lt;&gt;H139, N139+Query1[[#This Row],[Fix Top Up]]/Query1[[#This Row],[Adj Close]], N139))</f>
        <v>1187.46871939127</v>
      </c>
      <c r="O14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0" s="2">
        <f ca="1">IF(ROW()&lt;3, Query1[[#This Row],[Shares]], IF(Query1[[#This Row],[Month]]&lt;&gt;H139, P139+Query1[[#This Row],[Enhanced top up]]/Query1[[#This Row],[Adj Close]], P139))</f>
        <v>1185.1727318400922</v>
      </c>
      <c r="Q140" s="2">
        <f>IFERROR(AVERAGE(
  IF(ROW()&gt;20, INDEX(G:G, ROW()-20), 0) :
  INDEX(G:G, ROW())
),0)</f>
        <v>501.02159481956846</v>
      </c>
    </row>
    <row r="141" spans="1:17" x14ac:dyDescent="0.3">
      <c r="A141" s="1">
        <v>45496</v>
      </c>
      <c r="B141">
        <v>509.66000366210938</v>
      </c>
      <c r="C141">
        <v>511.64999389648438</v>
      </c>
      <c r="D141">
        <v>508.489990234375</v>
      </c>
      <c r="E141">
        <v>508.94000244140625</v>
      </c>
      <c r="F141">
        <v>3116000</v>
      </c>
      <c r="G141">
        <v>502.44195556640625</v>
      </c>
      <c r="H141" s="2">
        <f>MONTH(Query1[[#This Row],[Date]])</f>
        <v>7</v>
      </c>
      <c r="I141" s="3">
        <f>Query1[[#This Row],[Shares]]*Query1[[#This Row],[Adj Close]]</f>
        <v>590298.50628539582</v>
      </c>
      <c r="J141" s="3">
        <f>IF(ROW()&lt;3, Dashboard!$E$7, IF(Query1[[#This Row],[Month]]&lt;&gt;H140,J140*(1+Dashboard!$E$4)+Dashboard!$E$5,J140))</f>
        <v>543064.10542070004</v>
      </c>
      <c r="K141">
        <f>IF(ROW()&lt;3, 0,IF(Query1[[#This Row],[Month]]&lt;&gt;H140,IF((J141-I141&gt;0),J141-I141,0),0))</f>
        <v>0</v>
      </c>
      <c r="L141" s="2">
        <f t="shared" si="2"/>
        <v>1174.8591051078693</v>
      </c>
      <c r="M141">
        <f ca="1">IF(ROW()&lt;3,0,IF(Query1[[#This Row],[Month]]&lt;&gt;OFFSET(Query1[[#This Row],[Month]],-1,0),Dashboard!$J$5,0))</f>
        <v>0</v>
      </c>
      <c r="N141" s="2">
        <f ca="1">IF(ROW()&lt;3, Query1[[#This Row],[Shares]], IF(Query1[[#This Row],[Month]]&lt;&gt;H140, N140+Query1[[#This Row],[Fix Top Up]]/Query1[[#This Row],[Adj Close]], N140))</f>
        <v>1187.46871939127</v>
      </c>
      <c r="O14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1" s="2">
        <f ca="1">IF(ROW()&lt;3, Query1[[#This Row],[Shares]], IF(Query1[[#This Row],[Month]]&lt;&gt;H140, P140+Query1[[#This Row],[Enhanced top up]]/Query1[[#This Row],[Adj Close]], P140))</f>
        <v>1185.1727318400922</v>
      </c>
      <c r="Q141" s="2">
        <f>IFERROR(AVERAGE(
  IF(ROW()&gt;20, INDEX(G:G, ROW()-20), 0) :
  INDEX(G:G, ROW())
),0)</f>
        <v>501.4417186918713</v>
      </c>
    </row>
    <row r="142" spans="1:17" x14ac:dyDescent="0.3">
      <c r="A142" s="1">
        <v>45497</v>
      </c>
      <c r="B142">
        <v>504.42999267578125</v>
      </c>
      <c r="C142">
        <v>504.70001220703125</v>
      </c>
      <c r="D142">
        <v>496.54998779296875</v>
      </c>
      <c r="E142">
        <v>497.29000854492188</v>
      </c>
      <c r="F142">
        <v>6157400</v>
      </c>
      <c r="G142">
        <v>490.94070434570313</v>
      </c>
      <c r="H142" s="2">
        <f>MONTH(Query1[[#This Row],[Date]])</f>
        <v>7</v>
      </c>
      <c r="I142" s="3">
        <f>Query1[[#This Row],[Shares]]*Query1[[#This Row],[Adj Close]]</f>
        <v>576786.15656861977</v>
      </c>
      <c r="J142" s="3">
        <f>IF(ROW()&lt;3, Dashboard!$E$7, IF(Query1[[#This Row],[Month]]&lt;&gt;H141,J141*(1+Dashboard!$E$4)+Dashboard!$E$5,J141))</f>
        <v>543064.10542070004</v>
      </c>
      <c r="K142">
        <f>IF(ROW()&lt;3, 0,IF(Query1[[#This Row],[Month]]&lt;&gt;H141,IF((J142-I142&gt;0),J142-I142,0),0))</f>
        <v>0</v>
      </c>
      <c r="L142" s="2">
        <f t="shared" si="2"/>
        <v>1174.8591051078693</v>
      </c>
      <c r="M142">
        <f ca="1">IF(ROW()&lt;3,0,IF(Query1[[#This Row],[Month]]&lt;&gt;OFFSET(Query1[[#This Row],[Month]],-1,0),Dashboard!$J$5,0))</f>
        <v>0</v>
      </c>
      <c r="N142" s="2">
        <f ca="1">IF(ROW()&lt;3, Query1[[#This Row],[Shares]], IF(Query1[[#This Row],[Month]]&lt;&gt;H141, N141+Query1[[#This Row],[Fix Top Up]]/Query1[[#This Row],[Adj Close]], N141))</f>
        <v>1187.46871939127</v>
      </c>
      <c r="O14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2" s="2">
        <f ca="1">IF(ROW()&lt;3, Query1[[#This Row],[Shares]], IF(Query1[[#This Row],[Month]]&lt;&gt;H141, P141+Query1[[#This Row],[Enhanced top up]]/Query1[[#This Row],[Adj Close]], P141))</f>
        <v>1185.1727318400922</v>
      </c>
      <c r="Q142" s="2">
        <f>IFERROR(AVERAGE(
  IF(ROW()&gt;20, INDEX(G:G, ROW()-20), 0) :
  INDEX(G:G, ROW())
),0)</f>
        <v>501.37740362258182</v>
      </c>
    </row>
    <row r="143" spans="1:17" x14ac:dyDescent="0.3">
      <c r="A143" s="1">
        <v>45498</v>
      </c>
      <c r="B143">
        <v>497.54998779296875</v>
      </c>
      <c r="C143">
        <v>503.1400146484375</v>
      </c>
      <c r="D143">
        <v>493.92001342773438</v>
      </c>
      <c r="E143">
        <v>494.77999877929688</v>
      </c>
      <c r="F143">
        <v>5646600</v>
      </c>
      <c r="G143">
        <v>488.4627685546875</v>
      </c>
      <c r="H143" s="2">
        <f>MONTH(Query1[[#This Row],[Date]])</f>
        <v>7</v>
      </c>
      <c r="I143" s="3">
        <f>Query1[[#This Row],[Shares]]*Query1[[#This Row],[Adj Close]]</f>
        <v>573874.93114267243</v>
      </c>
      <c r="J143" s="3">
        <f>IF(ROW()&lt;3, Dashboard!$E$7, IF(Query1[[#This Row],[Month]]&lt;&gt;H142,J142*(1+Dashboard!$E$4)+Dashboard!$E$5,J142))</f>
        <v>543064.10542070004</v>
      </c>
      <c r="K143">
        <f>IF(ROW()&lt;3, 0,IF(Query1[[#This Row],[Month]]&lt;&gt;H142,IF((J143-I143&gt;0),J143-I143,0),0))</f>
        <v>0</v>
      </c>
      <c r="L143" s="2">
        <f t="shared" si="2"/>
        <v>1174.8591051078693</v>
      </c>
      <c r="M143">
        <f ca="1">IF(ROW()&lt;3,0,IF(Query1[[#This Row],[Month]]&lt;&gt;OFFSET(Query1[[#This Row],[Month]],-1,0),Dashboard!$J$5,0))</f>
        <v>0</v>
      </c>
      <c r="N143" s="2">
        <f ca="1">IF(ROW()&lt;3, Query1[[#This Row],[Shares]], IF(Query1[[#This Row],[Month]]&lt;&gt;H142, N142+Query1[[#This Row],[Fix Top Up]]/Query1[[#This Row],[Adj Close]], N142))</f>
        <v>1187.46871939127</v>
      </c>
      <c r="O14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3" s="2">
        <f ca="1">IF(ROW()&lt;3, Query1[[#This Row],[Shares]], IF(Query1[[#This Row],[Month]]&lt;&gt;H142, P142+Query1[[#This Row],[Enhanced top up]]/Query1[[#This Row],[Adj Close]], P142))</f>
        <v>1185.1727318400922</v>
      </c>
      <c r="Q143" s="2">
        <f>IFERROR(AVERAGE(
  IF(ROW()&gt;20, INDEX(G:G, ROW()-20), 0) :
  INDEX(G:G, ROW())
),0)</f>
        <v>501.09765479678197</v>
      </c>
    </row>
    <row r="144" spans="1:17" x14ac:dyDescent="0.3">
      <c r="A144" s="1">
        <v>45499</v>
      </c>
      <c r="B144">
        <v>498.3599853515625</v>
      </c>
      <c r="C144">
        <v>502.8900146484375</v>
      </c>
      <c r="D144">
        <v>497.67001342773438</v>
      </c>
      <c r="E144">
        <v>500.32998657226563</v>
      </c>
      <c r="F144">
        <v>3636000</v>
      </c>
      <c r="G144">
        <v>493.94186401367188</v>
      </c>
      <c r="H144" s="2">
        <f>MONTH(Query1[[#This Row],[Date]])</f>
        <v>7</v>
      </c>
      <c r="I144" s="3">
        <f>Query1[[#This Row],[Shares]]*Query1[[#This Row],[Adj Close]]</f>
        <v>580312.09633041534</v>
      </c>
      <c r="J144" s="3">
        <f>IF(ROW()&lt;3, Dashboard!$E$7, IF(Query1[[#This Row],[Month]]&lt;&gt;H143,J143*(1+Dashboard!$E$4)+Dashboard!$E$5,J143))</f>
        <v>543064.10542070004</v>
      </c>
      <c r="K144">
        <f>IF(ROW()&lt;3, 0,IF(Query1[[#This Row],[Month]]&lt;&gt;H143,IF((J144-I144&gt;0),J144-I144,0),0))</f>
        <v>0</v>
      </c>
      <c r="L144" s="2">
        <f t="shared" si="2"/>
        <v>1174.8591051078693</v>
      </c>
      <c r="M144">
        <f ca="1">IF(ROW()&lt;3,0,IF(Query1[[#This Row],[Month]]&lt;&gt;OFFSET(Query1[[#This Row],[Month]],-1,0),Dashboard!$J$5,0))</f>
        <v>0</v>
      </c>
      <c r="N144" s="2">
        <f ca="1">IF(ROW()&lt;3, Query1[[#This Row],[Shares]], IF(Query1[[#This Row],[Month]]&lt;&gt;H143, N143+Query1[[#This Row],[Fix Top Up]]/Query1[[#This Row],[Adj Close]], N143))</f>
        <v>1187.46871939127</v>
      </c>
      <c r="O14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4" s="2">
        <f ca="1">IF(ROW()&lt;3, Query1[[#This Row],[Shares]], IF(Query1[[#This Row],[Month]]&lt;&gt;H143, P143+Query1[[#This Row],[Enhanced top up]]/Query1[[#This Row],[Adj Close]], P143))</f>
        <v>1185.1727318400922</v>
      </c>
      <c r="Q144" s="2">
        <f>IFERROR(AVERAGE(
  IF(ROW()&gt;20, INDEX(G:G, ROW()-20), 0) :
  INDEX(G:G, ROW())
),0)</f>
        <v>501.05258324032741</v>
      </c>
    </row>
    <row r="145" spans="1:17" x14ac:dyDescent="0.3">
      <c r="A145" s="1">
        <v>45502</v>
      </c>
      <c r="B145">
        <v>501.82000732421875</v>
      </c>
      <c r="C145">
        <v>502.76998901367188</v>
      </c>
      <c r="D145">
        <v>498.76998901367188</v>
      </c>
      <c r="E145">
        <v>500.70001220703125</v>
      </c>
      <c r="F145">
        <v>3096200</v>
      </c>
      <c r="G145">
        <v>494.30718994140625</v>
      </c>
      <c r="H145" s="2">
        <f>MONTH(Query1[[#This Row],[Date]])</f>
        <v>7</v>
      </c>
      <c r="I145" s="3">
        <f>Query1[[#This Row],[Shares]]*Query1[[#This Row],[Adj Close]]</f>
        <v>580741.30282294611</v>
      </c>
      <c r="J145" s="3">
        <f>IF(ROW()&lt;3, Dashboard!$E$7, IF(Query1[[#This Row],[Month]]&lt;&gt;H144,J144*(1+Dashboard!$E$4)+Dashboard!$E$5,J144))</f>
        <v>543064.10542070004</v>
      </c>
      <c r="K145">
        <f>IF(ROW()&lt;3, 0,IF(Query1[[#This Row],[Month]]&lt;&gt;H144,IF((J145-I145&gt;0),J145-I145,0),0))</f>
        <v>0</v>
      </c>
      <c r="L145" s="2">
        <f t="shared" si="2"/>
        <v>1174.8591051078693</v>
      </c>
      <c r="M145">
        <f ca="1">IF(ROW()&lt;3,0,IF(Query1[[#This Row],[Month]]&lt;&gt;OFFSET(Query1[[#This Row],[Month]],-1,0),Dashboard!$J$5,0))</f>
        <v>0</v>
      </c>
      <c r="N145" s="2">
        <f ca="1">IF(ROW()&lt;3, Query1[[#This Row],[Shares]], IF(Query1[[#This Row],[Month]]&lt;&gt;H144, N144+Query1[[#This Row],[Fix Top Up]]/Query1[[#This Row],[Adj Close]], N144))</f>
        <v>1187.46871939127</v>
      </c>
      <c r="O14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5" s="2">
        <f ca="1">IF(ROW()&lt;3, Query1[[#This Row],[Shares]], IF(Query1[[#This Row],[Month]]&lt;&gt;H144, P144+Query1[[#This Row],[Enhanced top up]]/Query1[[#This Row],[Adj Close]], P144))</f>
        <v>1185.1727318400922</v>
      </c>
      <c r="Q145" s="2">
        <f>IFERROR(AVERAGE(
  IF(ROW()&gt;20, INDEX(G:G, ROW()-20), 0) :
  INDEX(G:G, ROW())
),0)</f>
        <v>500.98836698986236</v>
      </c>
    </row>
    <row r="146" spans="1:17" x14ac:dyDescent="0.3">
      <c r="A146" s="1">
        <v>45503</v>
      </c>
      <c r="B146">
        <v>502.04998779296875</v>
      </c>
      <c r="C146">
        <v>503.010009765625</v>
      </c>
      <c r="D146">
        <v>494.92001342773438</v>
      </c>
      <c r="E146">
        <v>498.07998657226563</v>
      </c>
      <c r="F146">
        <v>3817800</v>
      </c>
      <c r="G146">
        <v>491.72061157226563</v>
      </c>
      <c r="H146" s="2">
        <f>MONTH(Query1[[#This Row],[Date]])</f>
        <v>7</v>
      </c>
      <c r="I146" s="3">
        <f>Query1[[#This Row],[Shares]]*Query1[[#This Row],[Adj Close]]</f>
        <v>577702.4376748862</v>
      </c>
      <c r="J146" s="3">
        <f>IF(ROW()&lt;3, Dashboard!$E$7, IF(Query1[[#This Row],[Month]]&lt;&gt;H145,J145*(1+Dashboard!$E$4)+Dashboard!$E$5,J145))</f>
        <v>543064.10542070004</v>
      </c>
      <c r="K146">
        <f>IF(ROW()&lt;3, 0,IF(Query1[[#This Row],[Month]]&lt;&gt;H145,IF((J146-I146&gt;0),J146-I146,0),0))</f>
        <v>0</v>
      </c>
      <c r="L146" s="2">
        <f t="shared" si="2"/>
        <v>1174.8591051078693</v>
      </c>
      <c r="M146">
        <f ca="1">IF(ROW()&lt;3,0,IF(Query1[[#This Row],[Month]]&lt;&gt;OFFSET(Query1[[#This Row],[Month]],-1,0),Dashboard!$J$5,0))</f>
        <v>0</v>
      </c>
      <c r="N146" s="2">
        <f ca="1">IF(ROW()&lt;3, Query1[[#This Row],[Shares]], IF(Query1[[#This Row],[Month]]&lt;&gt;H145, N145+Query1[[#This Row],[Fix Top Up]]/Query1[[#This Row],[Adj Close]], N145))</f>
        <v>1187.46871939127</v>
      </c>
      <c r="O14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6" s="2">
        <f ca="1">IF(ROW()&lt;3, Query1[[#This Row],[Shares]], IF(Query1[[#This Row],[Month]]&lt;&gt;H145, P145+Query1[[#This Row],[Enhanced top up]]/Query1[[#This Row],[Adj Close]], P145))</f>
        <v>1185.1727318400922</v>
      </c>
      <c r="Q146" s="2">
        <f>IFERROR(AVERAGE(
  IF(ROW()&gt;20, INDEX(G:G, ROW()-20), 0) :
  INDEX(G:G, ROW())
),0)</f>
        <v>500.89199393136158</v>
      </c>
    </row>
    <row r="147" spans="1:17" x14ac:dyDescent="0.3">
      <c r="A147" s="1">
        <v>45504</v>
      </c>
      <c r="B147">
        <v>504.48001098632813</v>
      </c>
      <c r="C147">
        <v>508.64999389648438</v>
      </c>
      <c r="D147">
        <v>503.30999755859375</v>
      </c>
      <c r="E147">
        <v>505.92999267578125</v>
      </c>
      <c r="F147">
        <v>5367600</v>
      </c>
      <c r="G147">
        <v>499.4703369140625</v>
      </c>
      <c r="H147" s="2">
        <f>MONTH(Query1[[#This Row],[Date]])</f>
        <v>7</v>
      </c>
      <c r="I147" s="3">
        <f>Query1[[#This Row],[Shares]]*Query1[[#This Row],[Adj Close]]</f>
        <v>586807.27305478137</v>
      </c>
      <c r="J147" s="3">
        <f>IF(ROW()&lt;3, Dashboard!$E$7, IF(Query1[[#This Row],[Month]]&lt;&gt;H146,J146*(1+Dashboard!$E$4)+Dashboard!$E$5,J146))</f>
        <v>543064.10542070004</v>
      </c>
      <c r="K147">
        <f>IF(ROW()&lt;3, 0,IF(Query1[[#This Row],[Month]]&lt;&gt;H146,IF((J147-I147&gt;0),J147-I147,0),0))</f>
        <v>0</v>
      </c>
      <c r="L147" s="2">
        <f t="shared" si="2"/>
        <v>1174.8591051078693</v>
      </c>
      <c r="M147">
        <f ca="1">IF(ROW()&lt;3,0,IF(Query1[[#This Row],[Month]]&lt;&gt;OFFSET(Query1[[#This Row],[Month]],-1,0),Dashboard!$J$5,0))</f>
        <v>0</v>
      </c>
      <c r="N147" s="2">
        <f ca="1">IF(ROW()&lt;3, Query1[[#This Row],[Shares]], IF(Query1[[#This Row],[Month]]&lt;&gt;H146, N146+Query1[[#This Row],[Fix Top Up]]/Query1[[#This Row],[Adj Close]], N146))</f>
        <v>1187.46871939127</v>
      </c>
      <c r="O14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7" s="2">
        <f ca="1">IF(ROW()&lt;3, Query1[[#This Row],[Shares]], IF(Query1[[#This Row],[Month]]&lt;&gt;H146, P146+Query1[[#This Row],[Enhanced top up]]/Query1[[#This Row],[Adj Close]], P146))</f>
        <v>1185.1727318400922</v>
      </c>
      <c r="Q147" s="2">
        <f>IFERROR(AVERAGE(
  IF(ROW()&gt;20, INDEX(G:G, ROW()-20), 0) :
  INDEX(G:G, ROW())
),0)</f>
        <v>501.11059424990697</v>
      </c>
    </row>
    <row r="148" spans="1:17" x14ac:dyDescent="0.3">
      <c r="A148" s="1">
        <v>45505</v>
      </c>
      <c r="B148">
        <v>507.83999633789063</v>
      </c>
      <c r="C148">
        <v>509.89999389648438</v>
      </c>
      <c r="D148">
        <v>495.75</v>
      </c>
      <c r="E148">
        <v>499.02999877929688</v>
      </c>
      <c r="F148">
        <v>6939200</v>
      </c>
      <c r="G148">
        <v>492.658447265625</v>
      </c>
      <c r="H148" s="2">
        <f>MONTH(Query1[[#This Row],[Date]])</f>
        <v>8</v>
      </c>
      <c r="I148" s="3">
        <f>Query1[[#This Row],[Shares]]*Query1[[#This Row],[Adj Close]]</f>
        <v>578804.26247832458</v>
      </c>
      <c r="J148" s="3">
        <f>IF(ROW()&lt;3, Dashboard!$E$7, IF(Query1[[#This Row],[Month]]&lt;&gt;H147,J147*(1+Dashboard!$E$4)+Dashboard!$E$5,J147))</f>
        <v>550494.74647490704</v>
      </c>
      <c r="K148">
        <f>IF(ROW()&lt;3, 0,IF(Query1[[#This Row],[Month]]&lt;&gt;H147,IF((J148-I148&gt;0),J148-I148,0),0))</f>
        <v>0</v>
      </c>
      <c r="L148" s="2">
        <f t="shared" si="2"/>
        <v>1174.8591051078693</v>
      </c>
      <c r="M148">
        <f ca="1">IF(ROW()&lt;3,0,IF(Query1[[#This Row],[Month]]&lt;&gt;OFFSET(Query1[[#This Row],[Month]],-1,0),Dashboard!$J$5,0))</f>
        <v>979.40350000000024</v>
      </c>
      <c r="N148" s="2">
        <f ca="1">IF(ROW()&lt;3, Query1[[#This Row],[Shares]], IF(Query1[[#This Row],[Month]]&lt;&gt;H147, N147+Query1[[#This Row],[Fix Top Up]]/Query1[[#This Row],[Adj Close]], N147))</f>
        <v>1189.4567163604399</v>
      </c>
      <c r="O14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148" s="2">
        <f ca="1">IF(ROW()&lt;3, Query1[[#This Row],[Shares]], IF(Query1[[#This Row],[Month]]&lt;&gt;H147, P147+Query1[[#This Row],[Enhanced top up]]/Query1[[#This Row],[Adj Close]], P147))</f>
        <v>1188.480101294617</v>
      </c>
      <c r="Q148" s="2">
        <f>IFERROR(AVERAGE(
  IF(ROW()&gt;20, INDEX(G:G, ROW()-20), 0) :
  INDEX(G:G, ROW())
),0)</f>
        <v>500.85203334263394</v>
      </c>
    </row>
    <row r="149" spans="1:17" x14ac:dyDescent="0.3">
      <c r="A149" s="1">
        <v>45506</v>
      </c>
      <c r="B149">
        <v>492.41000366210938</v>
      </c>
      <c r="C149">
        <v>493.51998901367188</v>
      </c>
      <c r="D149">
        <v>485.79998779296875</v>
      </c>
      <c r="E149">
        <v>489.91000366210938</v>
      </c>
      <c r="F149">
        <v>8561200</v>
      </c>
      <c r="G149">
        <v>483.65493774414063</v>
      </c>
      <c r="H149" s="2">
        <f>MONTH(Query1[[#This Row],[Date]])</f>
        <v>8</v>
      </c>
      <c r="I149" s="3">
        <f>Query1[[#This Row],[Shares]]*Query1[[#This Row],[Adj Close]]</f>
        <v>568226.40733908326</v>
      </c>
      <c r="J149" s="3">
        <f>IF(ROW()&lt;3, Dashboard!$E$7, IF(Query1[[#This Row],[Month]]&lt;&gt;H148,J148*(1+Dashboard!$E$4)+Dashboard!$E$5,J148))</f>
        <v>550494.74647490704</v>
      </c>
      <c r="K149">
        <f>IF(ROW()&lt;3, 0,IF(Query1[[#This Row],[Month]]&lt;&gt;H148,IF((J149-I149&gt;0),J149-I149,0),0))</f>
        <v>0</v>
      </c>
      <c r="L149" s="2">
        <f t="shared" si="2"/>
        <v>1174.8591051078693</v>
      </c>
      <c r="M149">
        <f ca="1">IF(ROW()&lt;3,0,IF(Query1[[#This Row],[Month]]&lt;&gt;OFFSET(Query1[[#This Row],[Month]],-1,0),Dashboard!$J$5,0))</f>
        <v>0</v>
      </c>
      <c r="N149" s="2">
        <f ca="1">IF(ROW()&lt;3, Query1[[#This Row],[Shares]], IF(Query1[[#This Row],[Month]]&lt;&gt;H148, N148+Query1[[#This Row],[Fix Top Up]]/Query1[[#This Row],[Adj Close]], N148))</f>
        <v>1189.4567163604399</v>
      </c>
      <c r="O14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49" s="2">
        <f ca="1">IF(ROW()&lt;3, Query1[[#This Row],[Shares]], IF(Query1[[#This Row],[Month]]&lt;&gt;H148, P148+Query1[[#This Row],[Enhanced top up]]/Query1[[#This Row],[Adj Close]], P148))</f>
        <v>1188.480101294617</v>
      </c>
      <c r="Q149" s="2">
        <f>IFERROR(AVERAGE(
  IF(ROW()&gt;20, INDEX(G:G, ROW()-20), 0) :
  INDEX(G:G, ROW())
),0)</f>
        <v>500.05754743303572</v>
      </c>
    </row>
    <row r="150" spans="1:17" x14ac:dyDescent="0.3">
      <c r="A150" s="1">
        <v>45509</v>
      </c>
      <c r="B150">
        <v>470.17001342773438</v>
      </c>
      <c r="C150">
        <v>481.17999267578125</v>
      </c>
      <c r="D150">
        <v>468.8900146484375</v>
      </c>
      <c r="E150">
        <v>475.20001220703125</v>
      </c>
      <c r="F150">
        <v>15244300</v>
      </c>
      <c r="G150">
        <v>469.13272094726563</v>
      </c>
      <c r="H150" s="2">
        <f>MONTH(Query1[[#This Row],[Date]])</f>
        <v>8</v>
      </c>
      <c r="I150" s="3">
        <f>Query1[[#This Row],[Shares]]*Query1[[#This Row],[Adj Close]]</f>
        <v>551164.84870892426</v>
      </c>
      <c r="J150" s="3">
        <f>IF(ROW()&lt;3, Dashboard!$E$7, IF(Query1[[#This Row],[Month]]&lt;&gt;H149,J149*(1+Dashboard!$E$4)+Dashboard!$E$5,J149))</f>
        <v>550494.74647490704</v>
      </c>
      <c r="K150">
        <f>IF(ROW()&lt;3, 0,IF(Query1[[#This Row],[Month]]&lt;&gt;H149,IF((J150-I150&gt;0),J150-I150,0),0))</f>
        <v>0</v>
      </c>
      <c r="L150" s="2">
        <f t="shared" si="2"/>
        <v>1174.8591051078693</v>
      </c>
      <c r="M150">
        <f ca="1">IF(ROW()&lt;3,0,IF(Query1[[#This Row],[Month]]&lt;&gt;OFFSET(Query1[[#This Row],[Month]],-1,0),Dashboard!$J$5,0))</f>
        <v>0</v>
      </c>
      <c r="N150" s="2">
        <f ca="1">IF(ROW()&lt;3, Query1[[#This Row],[Shares]], IF(Query1[[#This Row],[Month]]&lt;&gt;H149, N149+Query1[[#This Row],[Fix Top Up]]/Query1[[#This Row],[Adj Close]], N149))</f>
        <v>1189.4567163604399</v>
      </c>
      <c r="O15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0" s="2">
        <f ca="1">IF(ROW()&lt;3, Query1[[#This Row],[Shares]], IF(Query1[[#This Row],[Month]]&lt;&gt;H149, P149+Query1[[#This Row],[Enhanced top up]]/Query1[[#This Row],[Adj Close]], P149))</f>
        <v>1188.480101294617</v>
      </c>
      <c r="Q150" s="2">
        <f>IFERROR(AVERAGE(
  IF(ROW()&gt;20, INDEX(G:G, ROW()-20), 0) :
  INDEX(G:G, ROW())
),0)</f>
        <v>498.42908296130952</v>
      </c>
    </row>
    <row r="151" spans="1:17" x14ac:dyDescent="0.3">
      <c r="A151" s="1">
        <v>45510</v>
      </c>
      <c r="B151">
        <v>477.3900146484375</v>
      </c>
      <c r="C151">
        <v>486.8599853515625</v>
      </c>
      <c r="D151">
        <v>475.94000244140625</v>
      </c>
      <c r="E151">
        <v>479.94000244140625</v>
      </c>
      <c r="F151">
        <v>8255000</v>
      </c>
      <c r="G151">
        <v>473.81219482421875</v>
      </c>
      <c r="H151" s="2">
        <f>MONTH(Query1[[#This Row],[Date]])</f>
        <v>8</v>
      </c>
      <c r="I151" s="3">
        <f>Query1[[#This Row],[Shares]]*Query1[[#This Row],[Adj Close]]</f>
        <v>556662.57120037708</v>
      </c>
      <c r="J151" s="3">
        <f>IF(ROW()&lt;3, Dashboard!$E$7, IF(Query1[[#This Row],[Month]]&lt;&gt;H150,J150*(1+Dashboard!$E$4)+Dashboard!$E$5,J150))</f>
        <v>550494.74647490704</v>
      </c>
      <c r="K151">
        <f>IF(ROW()&lt;3, 0,IF(Query1[[#This Row],[Month]]&lt;&gt;H150,IF((J151-I151&gt;0),J151-I151,0),0))</f>
        <v>0</v>
      </c>
      <c r="L151" s="2">
        <f t="shared" si="2"/>
        <v>1174.8591051078693</v>
      </c>
      <c r="M151">
        <f ca="1">IF(ROW()&lt;3,0,IF(Query1[[#This Row],[Month]]&lt;&gt;OFFSET(Query1[[#This Row],[Month]],-1,0),Dashboard!$J$5,0))</f>
        <v>0</v>
      </c>
      <c r="N151" s="2">
        <f ca="1">IF(ROW()&lt;3, Query1[[#This Row],[Shares]], IF(Query1[[#This Row],[Month]]&lt;&gt;H150, N150+Query1[[#This Row],[Fix Top Up]]/Query1[[#This Row],[Adj Close]], N150))</f>
        <v>1189.4567163604399</v>
      </c>
      <c r="O15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1" s="2">
        <f ca="1">IF(ROW()&lt;3, Query1[[#This Row],[Shares]], IF(Query1[[#This Row],[Month]]&lt;&gt;H150, P150+Query1[[#This Row],[Enhanced top up]]/Query1[[#This Row],[Adj Close]], P150))</f>
        <v>1188.480101294617</v>
      </c>
      <c r="Q151" s="2">
        <f>IFERROR(AVERAGE(
  IF(ROW()&gt;20, INDEX(G:G, ROW()-20), 0) :
  INDEX(G:G, ROW())
),0)</f>
        <v>497.00041707356769</v>
      </c>
    </row>
    <row r="152" spans="1:17" x14ac:dyDescent="0.3">
      <c r="A152" s="1">
        <v>45511</v>
      </c>
      <c r="B152">
        <v>485.70001220703125</v>
      </c>
      <c r="C152">
        <v>488.54998779296875</v>
      </c>
      <c r="D152">
        <v>476.1099853515625</v>
      </c>
      <c r="E152">
        <v>476.6099853515625</v>
      </c>
      <c r="F152">
        <v>5976400</v>
      </c>
      <c r="G152">
        <v>470.52471923828125</v>
      </c>
      <c r="H152" s="2">
        <f>MONTH(Query1[[#This Row],[Date]])</f>
        <v>8</v>
      </c>
      <c r="I152" s="3">
        <f>Query1[[#This Row],[Shares]]*Query1[[#This Row],[Adj Close]]</f>
        <v>552800.25057541858</v>
      </c>
      <c r="J152" s="3">
        <f>IF(ROW()&lt;3, Dashboard!$E$7, IF(Query1[[#This Row],[Month]]&lt;&gt;H151,J151*(1+Dashboard!$E$4)+Dashboard!$E$5,J151))</f>
        <v>550494.74647490704</v>
      </c>
      <c r="K152">
        <f>IF(ROW()&lt;3, 0,IF(Query1[[#This Row],[Month]]&lt;&gt;H151,IF((J152-I152&gt;0),J152-I152,0),0))</f>
        <v>0</v>
      </c>
      <c r="L152" s="2">
        <f t="shared" si="2"/>
        <v>1174.8591051078693</v>
      </c>
      <c r="M152">
        <f ca="1">IF(ROW()&lt;3,0,IF(Query1[[#This Row],[Month]]&lt;&gt;OFFSET(Query1[[#This Row],[Month]],-1,0),Dashboard!$J$5,0))</f>
        <v>0</v>
      </c>
      <c r="N152" s="2">
        <f ca="1">IF(ROW()&lt;3, Query1[[#This Row],[Shares]], IF(Query1[[#This Row],[Month]]&lt;&gt;H151, N151+Query1[[#This Row],[Fix Top Up]]/Query1[[#This Row],[Adj Close]], N151))</f>
        <v>1189.4567163604399</v>
      </c>
      <c r="O15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2" s="2">
        <f ca="1">IF(ROW()&lt;3, Query1[[#This Row],[Shares]], IF(Query1[[#This Row],[Month]]&lt;&gt;H151, P151+Query1[[#This Row],[Enhanced top up]]/Query1[[#This Row],[Adj Close]], P151))</f>
        <v>1188.480101294617</v>
      </c>
      <c r="Q152" s="2">
        <f>IFERROR(AVERAGE(
  IF(ROW()&gt;20, INDEX(G:G, ROW()-20), 0) :
  INDEX(G:G, ROW())
),0)</f>
        <v>495.38887677873885</v>
      </c>
    </row>
    <row r="153" spans="1:17" x14ac:dyDescent="0.3">
      <c r="A153" s="1">
        <v>45512</v>
      </c>
      <c r="B153">
        <v>481.489990234375</v>
      </c>
      <c r="C153">
        <v>488.26998901367188</v>
      </c>
      <c r="D153">
        <v>479.6400146484375</v>
      </c>
      <c r="E153">
        <v>487.73001098632813</v>
      </c>
      <c r="F153">
        <v>4177200</v>
      </c>
      <c r="G153">
        <v>481.50277709960938</v>
      </c>
      <c r="H153" s="2">
        <f>MONTH(Query1[[#This Row],[Date]])</f>
        <v>8</v>
      </c>
      <c r="I153" s="3">
        <f>Query1[[#This Row],[Shares]]*Query1[[#This Row],[Adj Close]]</f>
        <v>565697.9218102009</v>
      </c>
      <c r="J153" s="3">
        <f>IF(ROW()&lt;3, Dashboard!$E$7, IF(Query1[[#This Row],[Month]]&lt;&gt;H152,J152*(1+Dashboard!$E$4)+Dashboard!$E$5,J152))</f>
        <v>550494.74647490704</v>
      </c>
      <c r="K153">
        <f>IF(ROW()&lt;3, 0,IF(Query1[[#This Row],[Month]]&lt;&gt;H152,IF((J153-I153&gt;0),J153-I153,0),0))</f>
        <v>0</v>
      </c>
      <c r="L153" s="2">
        <f t="shared" si="2"/>
        <v>1174.8591051078693</v>
      </c>
      <c r="M153">
        <f ca="1">IF(ROW()&lt;3,0,IF(Query1[[#This Row],[Month]]&lt;&gt;OFFSET(Query1[[#This Row],[Month]],-1,0),Dashboard!$J$5,0))</f>
        <v>0</v>
      </c>
      <c r="N153" s="2">
        <f ca="1">IF(ROW()&lt;3, Query1[[#This Row],[Shares]], IF(Query1[[#This Row],[Month]]&lt;&gt;H152, N152+Query1[[#This Row],[Fix Top Up]]/Query1[[#This Row],[Adj Close]], N152))</f>
        <v>1189.4567163604399</v>
      </c>
      <c r="O15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3" s="2">
        <f ca="1">IF(ROW()&lt;3, Query1[[#This Row],[Shares]], IF(Query1[[#This Row],[Month]]&lt;&gt;H152, P152+Query1[[#This Row],[Enhanced top up]]/Query1[[#This Row],[Adj Close]], P152))</f>
        <v>1188.480101294617</v>
      </c>
      <c r="Q153" s="2">
        <f>IFERROR(AVERAGE(
  IF(ROW()&gt;20, INDEX(G:G, ROW()-20), 0) :
  INDEX(G:G, ROW())
),0)</f>
        <v>494.06880841936385</v>
      </c>
    </row>
    <row r="154" spans="1:17" x14ac:dyDescent="0.3">
      <c r="A154" s="1">
        <v>45513</v>
      </c>
      <c r="B154">
        <v>486.92999267578125</v>
      </c>
      <c r="C154">
        <v>491.20999145507813</v>
      </c>
      <c r="D154">
        <v>485.82000732421875</v>
      </c>
      <c r="E154">
        <v>489.82000732421875</v>
      </c>
      <c r="F154">
        <v>7661300</v>
      </c>
      <c r="G154">
        <v>483.56607055664063</v>
      </c>
      <c r="H154" s="2">
        <f>MONTH(Query1[[#This Row],[Date]])</f>
        <v>8</v>
      </c>
      <c r="I154" s="3">
        <f>Query1[[#This Row],[Shares]]*Query1[[#This Row],[Adj Close]]</f>
        <v>568122.00091470359</v>
      </c>
      <c r="J154" s="3">
        <f>IF(ROW()&lt;3, Dashboard!$E$7, IF(Query1[[#This Row],[Month]]&lt;&gt;H153,J153*(1+Dashboard!$E$4)+Dashboard!$E$5,J153))</f>
        <v>550494.74647490704</v>
      </c>
      <c r="K154">
        <f>IF(ROW()&lt;3, 0,IF(Query1[[#This Row],[Month]]&lt;&gt;H153,IF((J154-I154&gt;0),J154-I154,0),0))</f>
        <v>0</v>
      </c>
      <c r="L154" s="2">
        <f t="shared" si="2"/>
        <v>1174.8591051078693</v>
      </c>
      <c r="M154">
        <f ca="1">IF(ROW()&lt;3,0,IF(Query1[[#This Row],[Month]]&lt;&gt;OFFSET(Query1[[#This Row],[Month]],-1,0),Dashboard!$J$5,0))</f>
        <v>0</v>
      </c>
      <c r="N154" s="2">
        <f ca="1">IF(ROW()&lt;3, Query1[[#This Row],[Shares]], IF(Query1[[#This Row],[Month]]&lt;&gt;H153, N153+Query1[[#This Row],[Fix Top Up]]/Query1[[#This Row],[Adj Close]], N153))</f>
        <v>1189.4567163604399</v>
      </c>
      <c r="O15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4" s="2">
        <f ca="1">IF(ROW()&lt;3, Query1[[#This Row],[Shares]], IF(Query1[[#This Row],[Month]]&lt;&gt;H153, P153+Query1[[#This Row],[Enhanced top up]]/Query1[[#This Row],[Adj Close]], P153))</f>
        <v>1188.480101294617</v>
      </c>
      <c r="Q154" s="2">
        <f>IFERROR(AVERAGE(
  IF(ROW()&gt;20, INDEX(G:G, ROW()-20), 0) :
  INDEX(G:G, ROW())
),0)</f>
        <v>493.05477905273438</v>
      </c>
    </row>
    <row r="155" spans="1:17" x14ac:dyDescent="0.3">
      <c r="A155" s="1">
        <v>45516</v>
      </c>
      <c r="B155">
        <v>490.94000244140625</v>
      </c>
      <c r="C155">
        <v>492.35000610351563</v>
      </c>
      <c r="D155">
        <v>487.98001098632813</v>
      </c>
      <c r="E155">
        <v>490.07000732421875</v>
      </c>
      <c r="F155">
        <v>3578100</v>
      </c>
      <c r="G155">
        <v>483.8128662109375</v>
      </c>
      <c r="H155" s="2">
        <f>MONTH(Query1[[#This Row],[Date]])</f>
        <v>8</v>
      </c>
      <c r="I155" s="3">
        <f>Query1[[#This Row],[Shares]]*Query1[[#This Row],[Adj Close]]</f>
        <v>568411.95103625534</v>
      </c>
      <c r="J155" s="3">
        <f>IF(ROW()&lt;3, Dashboard!$E$7, IF(Query1[[#This Row],[Month]]&lt;&gt;H154,J154*(1+Dashboard!$E$4)+Dashboard!$E$5,J154))</f>
        <v>550494.74647490704</v>
      </c>
      <c r="K155">
        <f>IF(ROW()&lt;3, 0,IF(Query1[[#This Row],[Month]]&lt;&gt;H154,IF((J155-I155&gt;0),J155-I155,0),0))</f>
        <v>0</v>
      </c>
      <c r="L155" s="2">
        <f t="shared" si="2"/>
        <v>1174.8591051078693</v>
      </c>
      <c r="M155">
        <f ca="1">IF(ROW()&lt;3,0,IF(Query1[[#This Row],[Month]]&lt;&gt;OFFSET(Query1[[#This Row],[Month]],-1,0),Dashboard!$J$5,0))</f>
        <v>0</v>
      </c>
      <c r="N155" s="2">
        <f ca="1">IF(ROW()&lt;3, Query1[[#This Row],[Shares]], IF(Query1[[#This Row],[Month]]&lt;&gt;H154, N154+Query1[[#This Row],[Fix Top Up]]/Query1[[#This Row],[Adj Close]], N154))</f>
        <v>1189.4567163604399</v>
      </c>
      <c r="O15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5" s="2">
        <f ca="1">IF(ROW()&lt;3, Query1[[#This Row],[Shares]], IF(Query1[[#This Row],[Month]]&lt;&gt;H154, P154+Query1[[#This Row],[Enhanced top up]]/Query1[[#This Row],[Adj Close]], P154))</f>
        <v>1188.480101294617</v>
      </c>
      <c r="Q155" s="2">
        <f>IFERROR(AVERAGE(
  IF(ROW()&gt;20, INDEX(G:G, ROW()-20), 0) :
  INDEX(G:G, ROW())
),0)</f>
        <v>491.90394810267856</v>
      </c>
    </row>
    <row r="156" spans="1:17" x14ac:dyDescent="0.3">
      <c r="A156" s="1">
        <v>45517</v>
      </c>
      <c r="B156">
        <v>493.1400146484375</v>
      </c>
      <c r="C156">
        <v>498.3800048828125</v>
      </c>
      <c r="D156">
        <v>492.92001342773438</v>
      </c>
      <c r="E156">
        <v>498.20999145507813</v>
      </c>
      <c r="F156">
        <v>3247900</v>
      </c>
      <c r="G156">
        <v>491.84893798828125</v>
      </c>
      <c r="H156" s="2">
        <f>MONTH(Query1[[#This Row],[Date]])</f>
        <v>8</v>
      </c>
      <c r="I156" s="3">
        <f>Query1[[#This Row],[Shares]]*Query1[[#This Row],[Adj Close]]</f>
        <v>577853.20313316793</v>
      </c>
      <c r="J156" s="3">
        <f>IF(ROW()&lt;3, Dashboard!$E$7, IF(Query1[[#This Row],[Month]]&lt;&gt;H155,J155*(1+Dashboard!$E$4)+Dashboard!$E$5,J155))</f>
        <v>550494.74647490704</v>
      </c>
      <c r="K156">
        <f>IF(ROW()&lt;3, 0,IF(Query1[[#This Row],[Month]]&lt;&gt;H155,IF((J156-I156&gt;0),J156-I156,0),0))</f>
        <v>0</v>
      </c>
      <c r="L156" s="2">
        <f t="shared" si="2"/>
        <v>1174.8591051078693</v>
      </c>
      <c r="M156">
        <f ca="1">IF(ROW()&lt;3,0,IF(Query1[[#This Row],[Month]]&lt;&gt;OFFSET(Query1[[#This Row],[Month]],-1,0),Dashboard!$J$5,0))</f>
        <v>0</v>
      </c>
      <c r="N156" s="2">
        <f ca="1">IF(ROW()&lt;3, Query1[[#This Row],[Shares]], IF(Query1[[#This Row],[Month]]&lt;&gt;H155, N155+Query1[[#This Row],[Fix Top Up]]/Query1[[#This Row],[Adj Close]], N155))</f>
        <v>1189.4567163604399</v>
      </c>
      <c r="O15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6" s="2">
        <f ca="1">IF(ROW()&lt;3, Query1[[#This Row],[Shares]], IF(Query1[[#This Row],[Month]]&lt;&gt;H155, P155+Query1[[#This Row],[Enhanced top up]]/Query1[[#This Row],[Adj Close]], P155))</f>
        <v>1188.480101294617</v>
      </c>
      <c r="Q156" s="2">
        <f>IFERROR(AVERAGE(
  IF(ROW()&gt;20, INDEX(G:G, ROW()-20), 0) :
  INDEX(G:G, ROW())
),0)</f>
        <v>491.06245059058779</v>
      </c>
    </row>
    <row r="157" spans="1:17" x14ac:dyDescent="0.3">
      <c r="A157" s="1">
        <v>45518</v>
      </c>
      <c r="B157">
        <v>498.92001342773438</v>
      </c>
      <c r="C157">
        <v>500.85000610351563</v>
      </c>
      <c r="D157">
        <v>496.48001098632813</v>
      </c>
      <c r="E157">
        <v>499.79998779296875</v>
      </c>
      <c r="F157">
        <v>3700500</v>
      </c>
      <c r="G157">
        <v>493.41860961914063</v>
      </c>
      <c r="H157" s="2">
        <f>MONTH(Query1[[#This Row],[Date]])</f>
        <v>8</v>
      </c>
      <c r="I157" s="3">
        <f>Query1[[#This Row],[Shares]]*Query1[[#This Row],[Adj Close]]</f>
        <v>579697.34614071262</v>
      </c>
      <c r="J157" s="3">
        <f>IF(ROW()&lt;3, Dashboard!$E$7, IF(Query1[[#This Row],[Month]]&lt;&gt;H156,J156*(1+Dashboard!$E$4)+Dashboard!$E$5,J156))</f>
        <v>550494.74647490704</v>
      </c>
      <c r="K157">
        <f>IF(ROW()&lt;3, 0,IF(Query1[[#This Row],[Month]]&lt;&gt;H156,IF((J157-I157&gt;0),J157-I157,0),0))</f>
        <v>0</v>
      </c>
      <c r="L157" s="2">
        <f t="shared" si="2"/>
        <v>1174.8591051078693</v>
      </c>
      <c r="M157">
        <f ca="1">IF(ROW()&lt;3,0,IF(Query1[[#This Row],[Month]]&lt;&gt;OFFSET(Query1[[#This Row],[Month]],-1,0),Dashboard!$J$5,0))</f>
        <v>0</v>
      </c>
      <c r="N157" s="2">
        <f ca="1">IF(ROW()&lt;3, Query1[[#This Row],[Shares]], IF(Query1[[#This Row],[Month]]&lt;&gt;H156, N156+Query1[[#This Row],[Fix Top Up]]/Query1[[#This Row],[Adj Close]], N156))</f>
        <v>1189.4567163604399</v>
      </c>
      <c r="O15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7" s="2">
        <f ca="1">IF(ROW()&lt;3, Query1[[#This Row],[Shares]], IF(Query1[[#This Row],[Month]]&lt;&gt;H156, P156+Query1[[#This Row],[Enhanced top up]]/Query1[[#This Row],[Adj Close]], P156))</f>
        <v>1188.480101294617</v>
      </c>
      <c r="Q157" s="2">
        <f>IFERROR(AVERAGE(
  IF(ROW()&gt;20, INDEX(G:G, ROW()-20), 0) :
  INDEX(G:G, ROW())
),0)</f>
        <v>490.15795462472096</v>
      </c>
    </row>
    <row r="158" spans="1:17" x14ac:dyDescent="0.3">
      <c r="A158" s="1">
        <v>45519</v>
      </c>
      <c r="B158">
        <v>505.08999633789063</v>
      </c>
      <c r="C158">
        <v>508.58999633789063</v>
      </c>
      <c r="D158">
        <v>504.489990234375</v>
      </c>
      <c r="E158">
        <v>508.3800048828125</v>
      </c>
      <c r="F158">
        <v>4279000</v>
      </c>
      <c r="G158">
        <v>501.88912963867188</v>
      </c>
      <c r="H158" s="2">
        <f>MONTH(Query1[[#This Row],[Date]])</f>
        <v>8</v>
      </c>
      <c r="I158" s="3">
        <f>Query1[[#This Row],[Shares]]*Query1[[#This Row],[Adj Close]]</f>
        <v>589649.01371065737</v>
      </c>
      <c r="J158" s="3">
        <f>IF(ROW()&lt;3, Dashboard!$E$7, IF(Query1[[#This Row],[Month]]&lt;&gt;H157,J157*(1+Dashboard!$E$4)+Dashboard!$E$5,J157))</f>
        <v>550494.74647490704</v>
      </c>
      <c r="K158">
        <f>IF(ROW()&lt;3, 0,IF(Query1[[#This Row],[Month]]&lt;&gt;H157,IF((J158-I158&gt;0),J158-I158,0),0))</f>
        <v>0</v>
      </c>
      <c r="L158" s="2">
        <f t="shared" si="2"/>
        <v>1174.8591051078693</v>
      </c>
      <c r="M158">
        <f ca="1">IF(ROW()&lt;3,0,IF(Query1[[#This Row],[Month]]&lt;&gt;OFFSET(Query1[[#This Row],[Month]],-1,0),Dashboard!$J$5,0))</f>
        <v>0</v>
      </c>
      <c r="N158" s="2">
        <f ca="1">IF(ROW()&lt;3, Query1[[#This Row],[Shares]], IF(Query1[[#This Row],[Month]]&lt;&gt;H157, N157+Query1[[#This Row],[Fix Top Up]]/Query1[[#This Row],[Adj Close]], N157))</f>
        <v>1189.4567163604399</v>
      </c>
      <c r="O15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8" s="2">
        <f ca="1">IF(ROW()&lt;3, Query1[[#This Row],[Shares]], IF(Query1[[#This Row],[Month]]&lt;&gt;H157, P157+Query1[[#This Row],[Enhanced top up]]/Query1[[#This Row],[Adj Close]], P157))</f>
        <v>1188.480101294617</v>
      </c>
      <c r="Q158" s="2">
        <f>IFERROR(AVERAGE(
  IF(ROW()&gt;20, INDEX(G:G, ROW()-20), 0) :
  INDEX(G:G, ROW())
),0)</f>
        <v>489.99764869326634</v>
      </c>
    </row>
    <row r="159" spans="1:17" x14ac:dyDescent="0.3">
      <c r="A159" s="1">
        <v>45520</v>
      </c>
      <c r="B159">
        <v>506.83999633789063</v>
      </c>
      <c r="C159">
        <v>510.1099853515625</v>
      </c>
      <c r="D159">
        <v>506.64999389648438</v>
      </c>
      <c r="E159">
        <v>509.45001220703125</v>
      </c>
      <c r="F159">
        <v>3449300</v>
      </c>
      <c r="G159">
        <v>502.9454345703125</v>
      </c>
      <c r="H159" s="2">
        <f>MONTH(Query1[[#This Row],[Date]])</f>
        <v>8</v>
      </c>
      <c r="I159" s="3">
        <f>Query1[[#This Row],[Shares]]*Query1[[#This Row],[Adj Close]]</f>
        <v>590890.02317736577</v>
      </c>
      <c r="J159" s="3">
        <f>IF(ROW()&lt;3, Dashboard!$E$7, IF(Query1[[#This Row],[Month]]&lt;&gt;H158,J158*(1+Dashboard!$E$4)+Dashboard!$E$5,J158))</f>
        <v>550494.74647490704</v>
      </c>
      <c r="K159">
        <f>IF(ROW()&lt;3, 0,IF(Query1[[#This Row],[Month]]&lt;&gt;H158,IF((J159-I159&gt;0),J159-I159,0),0))</f>
        <v>0</v>
      </c>
      <c r="L159" s="2">
        <f t="shared" si="2"/>
        <v>1174.8591051078693</v>
      </c>
      <c r="M159">
        <f ca="1">IF(ROW()&lt;3,0,IF(Query1[[#This Row],[Month]]&lt;&gt;OFFSET(Query1[[#This Row],[Month]],-1,0),Dashboard!$J$5,0))</f>
        <v>0</v>
      </c>
      <c r="N159" s="2">
        <f ca="1">IF(ROW()&lt;3, Query1[[#This Row],[Shares]], IF(Query1[[#This Row],[Month]]&lt;&gt;H158, N158+Query1[[#This Row],[Fix Top Up]]/Query1[[#This Row],[Adj Close]], N158))</f>
        <v>1189.4567163604399</v>
      </c>
      <c r="O15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59" s="2">
        <f ca="1">IF(ROW()&lt;3, Query1[[#This Row],[Shares]], IF(Query1[[#This Row],[Month]]&lt;&gt;H158, P158+Query1[[#This Row],[Enhanced top up]]/Query1[[#This Row],[Adj Close]], P158))</f>
        <v>1188.480101294617</v>
      </c>
      <c r="Q159" s="2">
        <f>IFERROR(AVERAGE(
  IF(ROW()&gt;20, INDEX(G:G, ROW()-20), 0) :
  INDEX(G:G, ROW())
),0)</f>
        <v>490.06863693963913</v>
      </c>
    </row>
    <row r="160" spans="1:17" x14ac:dyDescent="0.3">
      <c r="A160" s="1">
        <v>45523</v>
      </c>
      <c r="B160">
        <v>509.8599853515625</v>
      </c>
      <c r="C160">
        <v>514.3499755859375</v>
      </c>
      <c r="D160">
        <v>509.05999755859375</v>
      </c>
      <c r="E160">
        <v>514.3499755859375</v>
      </c>
      <c r="F160">
        <v>3804300</v>
      </c>
      <c r="G160">
        <v>507.78280639648438</v>
      </c>
      <c r="H160" s="2">
        <f>MONTH(Query1[[#This Row],[Date]])</f>
        <v>8</v>
      </c>
      <c r="I160" s="3">
        <f>Query1[[#This Row],[Shares]]*Query1[[#This Row],[Adj Close]]</f>
        <v>596573.25351213606</v>
      </c>
      <c r="J160" s="3">
        <f>IF(ROW()&lt;3, Dashboard!$E$7, IF(Query1[[#This Row],[Month]]&lt;&gt;H159,J159*(1+Dashboard!$E$4)+Dashboard!$E$5,J159))</f>
        <v>550494.74647490704</v>
      </c>
      <c r="K160">
        <f>IF(ROW()&lt;3, 0,IF(Query1[[#This Row],[Month]]&lt;&gt;H159,IF((J160-I160&gt;0),J160-I160,0),0))</f>
        <v>0</v>
      </c>
      <c r="L160" s="2">
        <f t="shared" si="2"/>
        <v>1174.8591051078693</v>
      </c>
      <c r="M160">
        <f ca="1">IF(ROW()&lt;3,0,IF(Query1[[#This Row],[Month]]&lt;&gt;OFFSET(Query1[[#This Row],[Month]],-1,0),Dashboard!$J$5,0))</f>
        <v>0</v>
      </c>
      <c r="N160" s="2">
        <f ca="1">IF(ROW()&lt;3, Query1[[#This Row],[Shares]], IF(Query1[[#This Row],[Month]]&lt;&gt;H159, N159+Query1[[#This Row],[Fix Top Up]]/Query1[[#This Row],[Adj Close]], N159))</f>
        <v>1189.4567163604399</v>
      </c>
      <c r="O16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0" s="2">
        <f ca="1">IF(ROW()&lt;3, Query1[[#This Row],[Shares]], IF(Query1[[#This Row],[Month]]&lt;&gt;H159, P159+Query1[[#This Row],[Enhanced top up]]/Query1[[#This Row],[Adj Close]], P159))</f>
        <v>1188.480101294617</v>
      </c>
      <c r="Q160" s="2">
        <f>IFERROR(AVERAGE(
  IF(ROW()&gt;20, INDEX(G:G, ROW()-20), 0) :
  INDEX(G:G, ROW())
),0)</f>
        <v>490.5293433779762</v>
      </c>
    </row>
    <row r="161" spans="1:17" x14ac:dyDescent="0.3">
      <c r="A161" s="1">
        <v>45524</v>
      </c>
      <c r="B161">
        <v>513.91998291015625</v>
      </c>
      <c r="C161">
        <v>515.47998046875</v>
      </c>
      <c r="D161">
        <v>512.25</v>
      </c>
      <c r="E161">
        <v>513.5</v>
      </c>
      <c r="F161">
        <v>3156000</v>
      </c>
      <c r="G161">
        <v>506.9437255859375</v>
      </c>
      <c r="H161" s="2">
        <f>MONTH(Query1[[#This Row],[Date]])</f>
        <v>8</v>
      </c>
      <c r="I161" s="3">
        <f>Query1[[#This Row],[Shares]]*Query1[[#This Row],[Adj Close]]</f>
        <v>595587.45178194379</v>
      </c>
      <c r="J161" s="3">
        <f>IF(ROW()&lt;3, Dashboard!$E$7, IF(Query1[[#This Row],[Month]]&lt;&gt;H160,J160*(1+Dashboard!$E$4)+Dashboard!$E$5,J160))</f>
        <v>550494.74647490704</v>
      </c>
      <c r="K161">
        <f>IF(ROW()&lt;3, 0,IF(Query1[[#This Row],[Month]]&lt;&gt;H160,IF((J161-I161&gt;0),J161-I161,0),0))</f>
        <v>0</v>
      </c>
      <c r="L161" s="2">
        <f t="shared" si="2"/>
        <v>1174.8591051078693</v>
      </c>
      <c r="M161">
        <f ca="1">IF(ROW()&lt;3,0,IF(Query1[[#This Row],[Month]]&lt;&gt;OFFSET(Query1[[#This Row],[Month]],-1,0),Dashboard!$J$5,0))</f>
        <v>0</v>
      </c>
      <c r="N161" s="2">
        <f ca="1">IF(ROW()&lt;3, Query1[[#This Row],[Shares]], IF(Query1[[#This Row],[Month]]&lt;&gt;H160, N160+Query1[[#This Row],[Fix Top Up]]/Query1[[#This Row],[Adj Close]], N160))</f>
        <v>1189.4567163604399</v>
      </c>
      <c r="O16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1" s="2">
        <f ca="1">IF(ROW()&lt;3, Query1[[#This Row],[Shares]], IF(Query1[[#This Row],[Month]]&lt;&gt;H160, P160+Query1[[#This Row],[Enhanced top up]]/Query1[[#This Row],[Adj Close]], P160))</f>
        <v>1188.480101294617</v>
      </c>
      <c r="Q161" s="2">
        <f>IFERROR(AVERAGE(
  IF(ROW()&gt;20, INDEX(G:G, ROW()-20), 0) :
  INDEX(G:G, ROW())
),0)</f>
        <v>490.70375279017856</v>
      </c>
    </row>
    <row r="162" spans="1:17" x14ac:dyDescent="0.3">
      <c r="A162" s="1">
        <v>45525</v>
      </c>
      <c r="B162">
        <v>514.469970703125</v>
      </c>
      <c r="C162">
        <v>516.65997314453125</v>
      </c>
      <c r="D162">
        <v>512.8499755859375</v>
      </c>
      <c r="E162">
        <v>515.29998779296875</v>
      </c>
      <c r="F162">
        <v>3344100</v>
      </c>
      <c r="G162">
        <v>508.72076416015625</v>
      </c>
      <c r="H162" s="2">
        <f>MONTH(Query1[[#This Row],[Date]])</f>
        <v>8</v>
      </c>
      <c r="I162" s="3">
        <f>Query1[[#This Row],[Shares]]*Query1[[#This Row],[Adj Close]]</f>
        <v>597675.22173099255</v>
      </c>
      <c r="J162" s="3">
        <f>IF(ROW()&lt;3, Dashboard!$E$7, IF(Query1[[#This Row],[Month]]&lt;&gt;H161,J161*(1+Dashboard!$E$4)+Dashboard!$E$5,J161))</f>
        <v>550494.74647490704</v>
      </c>
      <c r="K162">
        <f>IF(ROW()&lt;3, 0,IF(Query1[[#This Row],[Month]]&lt;&gt;H161,IF((J162-I162&gt;0),J162-I162,0),0))</f>
        <v>0</v>
      </c>
      <c r="L162" s="2">
        <f t="shared" si="2"/>
        <v>1174.8591051078693</v>
      </c>
      <c r="M162">
        <f ca="1">IF(ROW()&lt;3,0,IF(Query1[[#This Row],[Month]]&lt;&gt;OFFSET(Query1[[#This Row],[Month]],-1,0),Dashboard!$J$5,0))</f>
        <v>0</v>
      </c>
      <c r="N162" s="2">
        <f ca="1">IF(ROW()&lt;3, Query1[[#This Row],[Shares]], IF(Query1[[#This Row],[Month]]&lt;&gt;H161, N161+Query1[[#This Row],[Fix Top Up]]/Query1[[#This Row],[Adj Close]], N161))</f>
        <v>1189.4567163604399</v>
      </c>
      <c r="O16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2" s="2">
        <f ca="1">IF(ROW()&lt;3, Query1[[#This Row],[Shares]], IF(Query1[[#This Row],[Month]]&lt;&gt;H161, P161+Query1[[#This Row],[Enhanced top up]]/Query1[[#This Row],[Adj Close]], P161))</f>
        <v>1188.480101294617</v>
      </c>
      <c r="Q162" s="2">
        <f>IFERROR(AVERAGE(
  IF(ROW()&gt;20, INDEX(G:G, ROW()-20), 0) :
  INDEX(G:G, ROW())
),0)</f>
        <v>491.00274367559524</v>
      </c>
    </row>
    <row r="163" spans="1:17" x14ac:dyDescent="0.3">
      <c r="A163" s="1">
        <v>45526</v>
      </c>
      <c r="B163">
        <v>517.04998779296875</v>
      </c>
      <c r="C163">
        <v>517.6300048828125</v>
      </c>
      <c r="D163">
        <v>510.10000610351563</v>
      </c>
      <c r="E163">
        <v>511.1300048828125</v>
      </c>
      <c r="F163">
        <v>3677100</v>
      </c>
      <c r="G163">
        <v>504.60400390625</v>
      </c>
      <c r="H163" s="2">
        <f>MONTH(Query1[[#This Row],[Date]])</f>
        <v>8</v>
      </c>
      <c r="I163" s="3">
        <f>Query1[[#This Row],[Shares]]*Query1[[#This Row],[Adj Close]]</f>
        <v>592838.60846314463</v>
      </c>
      <c r="J163" s="3">
        <f>IF(ROW()&lt;3, Dashboard!$E$7, IF(Query1[[#This Row],[Month]]&lt;&gt;H162,J162*(1+Dashboard!$E$4)+Dashboard!$E$5,J162))</f>
        <v>550494.74647490704</v>
      </c>
      <c r="K163">
        <f>IF(ROW()&lt;3, 0,IF(Query1[[#This Row],[Month]]&lt;&gt;H162,IF((J163-I163&gt;0),J163-I163,0),0))</f>
        <v>0</v>
      </c>
      <c r="L163" s="2">
        <f t="shared" si="2"/>
        <v>1174.8591051078693</v>
      </c>
      <c r="M163">
        <f ca="1">IF(ROW()&lt;3,0,IF(Query1[[#This Row],[Month]]&lt;&gt;OFFSET(Query1[[#This Row],[Month]],-1,0),Dashboard!$J$5,0))</f>
        <v>0</v>
      </c>
      <c r="N163" s="2">
        <f ca="1">IF(ROW()&lt;3, Query1[[#This Row],[Shares]], IF(Query1[[#This Row],[Month]]&lt;&gt;H162, N162+Query1[[#This Row],[Fix Top Up]]/Query1[[#This Row],[Adj Close]], N162))</f>
        <v>1189.4567163604399</v>
      </c>
      <c r="O16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3" s="2">
        <f ca="1">IF(ROW()&lt;3, Query1[[#This Row],[Shares]], IF(Query1[[#This Row],[Month]]&lt;&gt;H162, P162+Query1[[#This Row],[Enhanced top up]]/Query1[[#This Row],[Adj Close]], P162))</f>
        <v>1188.480101294617</v>
      </c>
      <c r="Q163" s="2">
        <f>IFERROR(AVERAGE(
  IF(ROW()&gt;20, INDEX(G:G, ROW()-20), 0) :
  INDEX(G:G, ROW())
),0)</f>
        <v>491.65337698800221</v>
      </c>
    </row>
    <row r="164" spans="1:17" x14ac:dyDescent="0.3">
      <c r="A164" s="1">
        <v>45527</v>
      </c>
      <c r="B164">
        <v>514.33001708984375</v>
      </c>
      <c r="C164">
        <v>517.54998779296875</v>
      </c>
      <c r="D164">
        <v>512.25</v>
      </c>
      <c r="E164">
        <v>516.65997314453125</v>
      </c>
      <c r="F164">
        <v>5102800</v>
      </c>
      <c r="G164">
        <v>510.06332397460938</v>
      </c>
      <c r="H164" s="2">
        <f>MONTH(Query1[[#This Row],[Date]])</f>
        <v>8</v>
      </c>
      <c r="I164" s="3">
        <f>Query1[[#This Row],[Shares]]*Query1[[#This Row],[Adj Close]]</f>
        <v>599252.54035315476</v>
      </c>
      <c r="J164" s="3">
        <f>IF(ROW()&lt;3, Dashboard!$E$7, IF(Query1[[#This Row],[Month]]&lt;&gt;H163,J163*(1+Dashboard!$E$4)+Dashboard!$E$5,J163))</f>
        <v>550494.74647490704</v>
      </c>
      <c r="K164">
        <f>IF(ROW()&lt;3, 0,IF(Query1[[#This Row],[Month]]&lt;&gt;H163,IF((J164-I164&gt;0),J164-I164,0),0))</f>
        <v>0</v>
      </c>
      <c r="L164" s="2">
        <f t="shared" si="2"/>
        <v>1174.8591051078693</v>
      </c>
      <c r="M164">
        <f ca="1">IF(ROW()&lt;3,0,IF(Query1[[#This Row],[Month]]&lt;&gt;OFFSET(Query1[[#This Row],[Month]],-1,0),Dashboard!$J$5,0))</f>
        <v>0</v>
      </c>
      <c r="N164" s="2">
        <f ca="1">IF(ROW()&lt;3, Query1[[#This Row],[Shares]], IF(Query1[[#This Row],[Month]]&lt;&gt;H163, N163+Query1[[#This Row],[Fix Top Up]]/Query1[[#This Row],[Adj Close]], N163))</f>
        <v>1189.4567163604399</v>
      </c>
      <c r="O16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4" s="2">
        <f ca="1">IF(ROW()&lt;3, Query1[[#This Row],[Shares]], IF(Query1[[#This Row],[Month]]&lt;&gt;H163, P163+Query1[[#This Row],[Enhanced top up]]/Query1[[#This Row],[Adj Close]], P163))</f>
        <v>1188.480101294617</v>
      </c>
      <c r="Q164" s="2">
        <f>IFERROR(AVERAGE(
  IF(ROW()&gt;20, INDEX(G:G, ROW()-20), 0) :
  INDEX(G:G, ROW())
),0)</f>
        <v>492.68197486514134</v>
      </c>
    </row>
    <row r="165" spans="1:17" x14ac:dyDescent="0.3">
      <c r="A165" s="1">
        <v>45530</v>
      </c>
      <c r="B165">
        <v>517.6400146484375</v>
      </c>
      <c r="C165">
        <v>518.28997802734375</v>
      </c>
      <c r="D165">
        <v>513.8800048828125</v>
      </c>
      <c r="E165">
        <v>515.3900146484375</v>
      </c>
      <c r="F165">
        <v>3398600</v>
      </c>
      <c r="G165">
        <v>508.80960083007813</v>
      </c>
      <c r="H165" s="2">
        <f>MONTH(Query1[[#This Row],[Date]])</f>
        <v>8</v>
      </c>
      <c r="I165" s="3">
        <f>Query1[[#This Row],[Shares]]*Query1[[#This Row],[Adj Close]]</f>
        <v>597779.59230151772</v>
      </c>
      <c r="J165" s="3">
        <f>IF(ROW()&lt;3, Dashboard!$E$7, IF(Query1[[#This Row],[Month]]&lt;&gt;H164,J164*(1+Dashboard!$E$4)+Dashboard!$E$5,J164))</f>
        <v>550494.74647490704</v>
      </c>
      <c r="K165">
        <f>IF(ROW()&lt;3, 0,IF(Query1[[#This Row],[Month]]&lt;&gt;H164,IF((J165-I165&gt;0),J165-I165,0),0))</f>
        <v>0</v>
      </c>
      <c r="L165" s="2">
        <f t="shared" si="2"/>
        <v>1174.8591051078693</v>
      </c>
      <c r="M165">
        <f ca="1">IF(ROW()&lt;3,0,IF(Query1[[#This Row],[Month]]&lt;&gt;OFFSET(Query1[[#This Row],[Month]],-1,0),Dashboard!$J$5,0))</f>
        <v>0</v>
      </c>
      <c r="N165" s="2">
        <f ca="1">IF(ROW()&lt;3, Query1[[#This Row],[Shares]], IF(Query1[[#This Row],[Month]]&lt;&gt;H164, N164+Query1[[#This Row],[Fix Top Up]]/Query1[[#This Row],[Adj Close]], N164))</f>
        <v>1189.4567163604399</v>
      </c>
      <c r="O16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5" s="2">
        <f ca="1">IF(ROW()&lt;3, Query1[[#This Row],[Shares]], IF(Query1[[#This Row],[Month]]&lt;&gt;H164, P164+Query1[[#This Row],[Enhanced top up]]/Query1[[#This Row],[Adj Close]], P164))</f>
        <v>1188.480101294617</v>
      </c>
      <c r="Q165" s="2">
        <f>IFERROR(AVERAGE(
  IF(ROW()&gt;20, INDEX(G:G, ROW()-20), 0) :
  INDEX(G:G, ROW())
),0)</f>
        <v>493.38996233258928</v>
      </c>
    </row>
    <row r="166" spans="1:17" x14ac:dyDescent="0.3">
      <c r="A166" s="1">
        <v>45531</v>
      </c>
      <c r="B166">
        <v>514.260009765625</v>
      </c>
      <c r="C166">
        <v>516.59002685546875</v>
      </c>
      <c r="D166">
        <v>513.15997314453125</v>
      </c>
      <c r="E166">
        <v>516.08001708984375</v>
      </c>
      <c r="F166">
        <v>3031800</v>
      </c>
      <c r="G166">
        <v>509.49081420898438</v>
      </c>
      <c r="H166" s="2">
        <f>MONTH(Query1[[#This Row],[Date]])</f>
        <v>8</v>
      </c>
      <c r="I166" s="3">
        <f>Query1[[#This Row],[Shares]]*Query1[[#This Row],[Adj Close]]</f>
        <v>598579.92204224702</v>
      </c>
      <c r="J166" s="3">
        <f>IF(ROW()&lt;3, Dashboard!$E$7, IF(Query1[[#This Row],[Month]]&lt;&gt;H165,J165*(1+Dashboard!$E$4)+Dashboard!$E$5,J165))</f>
        <v>550494.74647490704</v>
      </c>
      <c r="K166">
        <f>IF(ROW()&lt;3, 0,IF(Query1[[#This Row],[Month]]&lt;&gt;H165,IF((J166-I166&gt;0),J166-I166,0),0))</f>
        <v>0</v>
      </c>
      <c r="L166" s="2">
        <f t="shared" si="2"/>
        <v>1174.8591051078693</v>
      </c>
      <c r="M166">
        <f ca="1">IF(ROW()&lt;3,0,IF(Query1[[#This Row],[Month]]&lt;&gt;OFFSET(Query1[[#This Row],[Month]],-1,0),Dashboard!$J$5,0))</f>
        <v>0</v>
      </c>
      <c r="N166" s="2">
        <f ca="1">IF(ROW()&lt;3, Query1[[#This Row],[Shares]], IF(Query1[[#This Row],[Month]]&lt;&gt;H165, N165+Query1[[#This Row],[Fix Top Up]]/Query1[[#This Row],[Adj Close]], N165))</f>
        <v>1189.4567163604399</v>
      </c>
      <c r="O16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6" s="2">
        <f ca="1">IF(ROW()&lt;3, Query1[[#This Row],[Shares]], IF(Query1[[#This Row],[Month]]&lt;&gt;H165, P165+Query1[[#This Row],[Enhanced top up]]/Query1[[#This Row],[Adj Close]], P165))</f>
        <v>1188.480101294617</v>
      </c>
      <c r="Q166" s="2">
        <f>IFERROR(AVERAGE(
  IF(ROW()&gt;20, INDEX(G:G, ROW()-20), 0) :
  INDEX(G:G, ROW())
),0)</f>
        <v>494.11299205961683</v>
      </c>
    </row>
    <row r="167" spans="1:17" x14ac:dyDescent="0.3">
      <c r="A167" s="1">
        <v>45532</v>
      </c>
      <c r="B167">
        <v>515.79998779296875</v>
      </c>
      <c r="C167">
        <v>516.22998046875</v>
      </c>
      <c r="D167">
        <v>510.16000366210938</v>
      </c>
      <c r="E167">
        <v>513.1300048828125</v>
      </c>
      <c r="F167">
        <v>3940400</v>
      </c>
      <c r="G167">
        <v>506.57846069335938</v>
      </c>
      <c r="H167" s="2">
        <f>MONTH(Query1[[#This Row],[Date]])</f>
        <v>8</v>
      </c>
      <c r="I167" s="3">
        <f>Query1[[#This Row],[Shares]]*Query1[[#This Row],[Adj Close]]</f>
        <v>595158.31699712214</v>
      </c>
      <c r="J167" s="3">
        <f>IF(ROW()&lt;3, Dashboard!$E$7, IF(Query1[[#This Row],[Month]]&lt;&gt;H166,J166*(1+Dashboard!$E$4)+Dashboard!$E$5,J166))</f>
        <v>550494.74647490704</v>
      </c>
      <c r="K167">
        <f>IF(ROW()&lt;3, 0,IF(Query1[[#This Row],[Month]]&lt;&gt;H166,IF((J167-I167&gt;0),J167-I167,0),0))</f>
        <v>0</v>
      </c>
      <c r="L167" s="2">
        <f t="shared" si="2"/>
        <v>1174.8591051078693</v>
      </c>
      <c r="M167">
        <f ca="1">IF(ROW()&lt;3,0,IF(Query1[[#This Row],[Month]]&lt;&gt;OFFSET(Query1[[#This Row],[Month]],-1,0),Dashboard!$J$5,0))</f>
        <v>0</v>
      </c>
      <c r="N167" s="2">
        <f ca="1">IF(ROW()&lt;3, Query1[[#This Row],[Shares]], IF(Query1[[#This Row],[Month]]&lt;&gt;H166, N166+Query1[[#This Row],[Fix Top Up]]/Query1[[#This Row],[Adj Close]], N166))</f>
        <v>1189.4567163604399</v>
      </c>
      <c r="O16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7" s="2">
        <f ca="1">IF(ROW()&lt;3, Query1[[#This Row],[Shares]], IF(Query1[[#This Row],[Month]]&lt;&gt;H166, P166+Query1[[#This Row],[Enhanced top up]]/Query1[[#This Row],[Adj Close]], P166))</f>
        <v>1188.480101294617</v>
      </c>
      <c r="Q167" s="2">
        <f>IFERROR(AVERAGE(
  IF(ROW()&gt;20, INDEX(G:G, ROW()-20), 0) :
  INDEX(G:G, ROW())
),0)</f>
        <v>494.82050868443082</v>
      </c>
    </row>
    <row r="168" spans="1:17" x14ac:dyDescent="0.3">
      <c r="A168" s="1">
        <v>45533</v>
      </c>
      <c r="B168">
        <v>514.989990234375</v>
      </c>
      <c r="C168">
        <v>518.09002685546875</v>
      </c>
      <c r="D168">
        <v>512.1300048828125</v>
      </c>
      <c r="E168">
        <v>513.21002197265625</v>
      </c>
      <c r="F168">
        <v>3487100</v>
      </c>
      <c r="G168">
        <v>506.657470703125</v>
      </c>
      <c r="H168" s="2">
        <f>MONTH(Query1[[#This Row],[Date]])</f>
        <v>8</v>
      </c>
      <c r="I168" s="3">
        <f>Query1[[#This Row],[Shares]]*Query1[[#This Row],[Adj Close]]</f>
        <v>595251.14262648998</v>
      </c>
      <c r="J168" s="3">
        <f>IF(ROW()&lt;3, Dashboard!$E$7, IF(Query1[[#This Row],[Month]]&lt;&gt;H167,J167*(1+Dashboard!$E$4)+Dashboard!$E$5,J167))</f>
        <v>550494.74647490704</v>
      </c>
      <c r="K168">
        <f>IF(ROW()&lt;3, 0,IF(Query1[[#This Row],[Month]]&lt;&gt;H167,IF((J168-I168&gt;0),J168-I168,0),0))</f>
        <v>0</v>
      </c>
      <c r="L168" s="2">
        <f t="shared" si="2"/>
        <v>1174.8591051078693</v>
      </c>
      <c r="M168">
        <f ca="1">IF(ROW()&lt;3,0,IF(Query1[[#This Row],[Month]]&lt;&gt;OFFSET(Query1[[#This Row],[Month]],-1,0),Dashboard!$J$5,0))</f>
        <v>0</v>
      </c>
      <c r="N168" s="2">
        <f ca="1">IF(ROW()&lt;3, Query1[[#This Row],[Shares]], IF(Query1[[#This Row],[Month]]&lt;&gt;H167, N167+Query1[[#This Row],[Fix Top Up]]/Query1[[#This Row],[Adj Close]], N167))</f>
        <v>1189.4567163604399</v>
      </c>
      <c r="O16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8" s="2">
        <f ca="1">IF(ROW()&lt;3, Query1[[#This Row],[Shares]], IF(Query1[[#This Row],[Month]]&lt;&gt;H167, P167+Query1[[#This Row],[Enhanced top up]]/Query1[[#This Row],[Adj Close]], P167))</f>
        <v>1188.480101294617</v>
      </c>
      <c r="Q168" s="2">
        <f>IFERROR(AVERAGE(
  IF(ROW()&gt;20, INDEX(G:G, ROW()-20), 0) :
  INDEX(G:G, ROW())
),0)</f>
        <v>495.16275315057663</v>
      </c>
    </row>
    <row r="169" spans="1:17" x14ac:dyDescent="0.3">
      <c r="A169" s="1">
        <v>45534</v>
      </c>
      <c r="B169">
        <v>515.41998291015625</v>
      </c>
      <c r="C169">
        <v>518.58001708984375</v>
      </c>
      <c r="D169">
        <v>512.1199951171875</v>
      </c>
      <c r="E169">
        <v>518.03997802734375</v>
      </c>
      <c r="F169">
        <v>5637700</v>
      </c>
      <c r="G169">
        <v>511.42568969726563</v>
      </c>
      <c r="H169" s="2">
        <f>MONTH(Query1[[#This Row],[Date]])</f>
        <v>8</v>
      </c>
      <c r="I169" s="3">
        <f>Query1[[#This Row],[Shares]]*Query1[[#This Row],[Adj Close]]</f>
        <v>600853.12812690437</v>
      </c>
      <c r="J169" s="3">
        <f>IF(ROW()&lt;3, Dashboard!$E$7, IF(Query1[[#This Row],[Month]]&lt;&gt;H168,J168*(1+Dashboard!$E$4)+Dashboard!$E$5,J168))</f>
        <v>550494.74647490704</v>
      </c>
      <c r="K169">
        <f>IF(ROW()&lt;3, 0,IF(Query1[[#This Row],[Month]]&lt;&gt;H168,IF((J169-I169&gt;0),J169-I169,0),0))</f>
        <v>0</v>
      </c>
      <c r="L169" s="2">
        <f t="shared" si="2"/>
        <v>1174.8591051078693</v>
      </c>
      <c r="M169">
        <f ca="1">IF(ROW()&lt;3,0,IF(Query1[[#This Row],[Month]]&lt;&gt;OFFSET(Query1[[#This Row],[Month]],-1,0),Dashboard!$J$5,0))</f>
        <v>0</v>
      </c>
      <c r="N169" s="2">
        <f ca="1">IF(ROW()&lt;3, Query1[[#This Row],[Shares]], IF(Query1[[#This Row],[Month]]&lt;&gt;H168, N168+Query1[[#This Row],[Fix Top Up]]/Query1[[#This Row],[Adj Close]], N168))</f>
        <v>1189.4567163604399</v>
      </c>
      <c r="O16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69" s="2">
        <f ca="1">IF(ROW()&lt;3, Query1[[#This Row],[Shares]], IF(Query1[[#This Row],[Month]]&lt;&gt;H168, P168+Query1[[#This Row],[Enhanced top up]]/Query1[[#This Row],[Adj Close]], P168))</f>
        <v>1188.480101294617</v>
      </c>
      <c r="Q169" s="2">
        <f>IFERROR(AVERAGE(
  IF(ROW()&gt;20, INDEX(G:G, ROW()-20), 0) :
  INDEX(G:G, ROW())
),0)</f>
        <v>496.05643136160717</v>
      </c>
    </row>
    <row r="170" spans="1:17" x14ac:dyDescent="0.3">
      <c r="A170" s="1">
        <v>45538</v>
      </c>
      <c r="B170">
        <v>515.1199951171875</v>
      </c>
      <c r="C170">
        <v>515.42999267578125</v>
      </c>
      <c r="D170">
        <v>505.10000610351563</v>
      </c>
      <c r="E170">
        <v>507.55999755859375</v>
      </c>
      <c r="F170">
        <v>5866400</v>
      </c>
      <c r="G170">
        <v>501.07958984375</v>
      </c>
      <c r="H170" s="2">
        <f>MONTH(Query1[[#This Row],[Date]])</f>
        <v>9</v>
      </c>
      <c r="I170" s="3">
        <f>Query1[[#This Row],[Shares]]*Query1[[#This Row],[Adj Close]]</f>
        <v>588697.91851164633</v>
      </c>
      <c r="J170" s="3">
        <f>IF(ROW()&lt;3, Dashboard!$E$7, IF(Query1[[#This Row],[Month]]&lt;&gt;H169,J169*(1+Dashboard!$E$4)+Dashboard!$E$5,J169))</f>
        <v>557999.69393965614</v>
      </c>
      <c r="K170">
        <f>IF(ROW()&lt;3, 0,IF(Query1[[#This Row],[Month]]&lt;&gt;H169,IF((J170-I170&gt;0),J170-I170,0),0))</f>
        <v>0</v>
      </c>
      <c r="L170" s="2">
        <f t="shared" si="2"/>
        <v>1174.8591051078693</v>
      </c>
      <c r="M170">
        <f ca="1">IF(ROW()&lt;3,0,IF(Query1[[#This Row],[Month]]&lt;&gt;OFFSET(Query1[[#This Row],[Month]],-1,0),Dashboard!$J$5,0))</f>
        <v>979.40350000000024</v>
      </c>
      <c r="N170" s="2">
        <f ca="1">IF(ROW()&lt;3, Query1[[#This Row],[Shares]], IF(Query1[[#This Row],[Month]]&lt;&gt;H169, N169+Query1[[#This Row],[Fix Top Up]]/Query1[[#This Row],[Adj Close]], N169))</f>
        <v>1191.4113030565481</v>
      </c>
      <c r="O17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170" s="2">
        <f ca="1">IF(ROW()&lt;3, Query1[[#This Row],[Shares]], IF(Query1[[#This Row],[Month]]&lt;&gt;H169, P169+Query1[[#This Row],[Enhanced top up]]/Query1[[#This Row],[Adj Close]], P169))</f>
        <v>1189.736196160098</v>
      </c>
      <c r="Q170" s="2">
        <f>IFERROR(AVERAGE(
  IF(ROW()&gt;20, INDEX(G:G, ROW()-20), 0) :
  INDEX(G:G, ROW())
),0)</f>
        <v>496.8861766996838</v>
      </c>
    </row>
    <row r="171" spans="1:17" x14ac:dyDescent="0.3">
      <c r="A171" s="1">
        <v>45539</v>
      </c>
      <c r="B171">
        <v>505.67999267578125</v>
      </c>
      <c r="C171">
        <v>509.52999877929688</v>
      </c>
      <c r="D171">
        <v>505.01998901367188</v>
      </c>
      <c r="E171">
        <v>506.29998779296875</v>
      </c>
      <c r="F171">
        <v>3601400</v>
      </c>
      <c r="G171">
        <v>499.83566284179688</v>
      </c>
      <c r="H171" s="2">
        <f>MONTH(Query1[[#This Row],[Date]])</f>
        <v>9</v>
      </c>
      <c r="I171" s="3">
        <f>Query1[[#This Row],[Shares]]*Query1[[#This Row],[Adj Close]]</f>
        <v>587236.47954731213</v>
      </c>
      <c r="J171" s="3">
        <f>IF(ROW()&lt;3, Dashboard!$E$7, IF(Query1[[#This Row],[Month]]&lt;&gt;H170,J170*(1+Dashboard!$E$4)+Dashboard!$E$5,J170))</f>
        <v>557999.69393965614</v>
      </c>
      <c r="K171">
        <f>IF(ROW()&lt;3, 0,IF(Query1[[#This Row],[Month]]&lt;&gt;H170,IF((J171-I171&gt;0),J171-I171,0),0))</f>
        <v>0</v>
      </c>
      <c r="L171" s="2">
        <f t="shared" si="2"/>
        <v>1174.8591051078693</v>
      </c>
      <c r="M171">
        <f ca="1">IF(ROW()&lt;3,0,IF(Query1[[#This Row],[Month]]&lt;&gt;OFFSET(Query1[[#This Row],[Month]],-1,0),Dashboard!$J$5,0))</f>
        <v>0</v>
      </c>
      <c r="N171" s="2">
        <f ca="1">IF(ROW()&lt;3, Query1[[#This Row],[Shares]], IF(Query1[[#This Row],[Month]]&lt;&gt;H170, N170+Query1[[#This Row],[Fix Top Up]]/Query1[[#This Row],[Adj Close]], N170))</f>
        <v>1191.4113030565481</v>
      </c>
      <c r="O17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1" s="2">
        <f ca="1">IF(ROW()&lt;3, Query1[[#This Row],[Shares]], IF(Query1[[#This Row],[Month]]&lt;&gt;H170, P170+Query1[[#This Row],[Enhanced top up]]/Query1[[#This Row],[Adj Close]], P170))</f>
        <v>1189.736196160098</v>
      </c>
      <c r="Q171" s="2">
        <f>IFERROR(AVERAGE(
  IF(ROW()&gt;20, INDEX(G:G, ROW()-20), 0) :
  INDEX(G:G, ROW())
),0)</f>
        <v>498.34822155180433</v>
      </c>
    </row>
    <row r="172" spans="1:17" x14ac:dyDescent="0.3">
      <c r="A172" s="1">
        <v>45540</v>
      </c>
      <c r="B172">
        <v>506.3599853515625</v>
      </c>
      <c r="C172">
        <v>508.94000244140625</v>
      </c>
      <c r="D172">
        <v>502.83999633789063</v>
      </c>
      <c r="E172">
        <v>505.04998779296875</v>
      </c>
      <c r="F172">
        <v>3425600</v>
      </c>
      <c r="G172">
        <v>498.60162353515625</v>
      </c>
      <c r="H172" s="2">
        <f>MONTH(Query1[[#This Row],[Date]])</f>
        <v>9</v>
      </c>
      <c r="I172" s="3">
        <f>Query1[[#This Row],[Shares]]*Query1[[#This Row],[Adj Close]]</f>
        <v>585786.65723184438</v>
      </c>
      <c r="J172" s="3">
        <f>IF(ROW()&lt;3, Dashboard!$E$7, IF(Query1[[#This Row],[Month]]&lt;&gt;H171,J171*(1+Dashboard!$E$4)+Dashboard!$E$5,J171))</f>
        <v>557999.69393965614</v>
      </c>
      <c r="K172">
        <f>IF(ROW()&lt;3, 0,IF(Query1[[#This Row],[Month]]&lt;&gt;H171,IF((J172-I172&gt;0),J172-I172,0),0))</f>
        <v>0</v>
      </c>
      <c r="L172" s="2">
        <f t="shared" si="2"/>
        <v>1174.8591051078693</v>
      </c>
      <c r="M172">
        <f ca="1">IF(ROW()&lt;3,0,IF(Query1[[#This Row],[Month]]&lt;&gt;OFFSET(Query1[[#This Row],[Month]],-1,0),Dashboard!$J$5,0))</f>
        <v>0</v>
      </c>
      <c r="N172" s="2">
        <f ca="1">IF(ROW()&lt;3, Query1[[#This Row],[Shares]], IF(Query1[[#This Row],[Month]]&lt;&gt;H171, N171+Query1[[#This Row],[Fix Top Up]]/Query1[[#This Row],[Adj Close]], N171))</f>
        <v>1191.4113030565481</v>
      </c>
      <c r="O17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2" s="2">
        <f ca="1">IF(ROW()&lt;3, Query1[[#This Row],[Shares]], IF(Query1[[#This Row],[Month]]&lt;&gt;H171, P171+Query1[[#This Row],[Enhanced top up]]/Query1[[#This Row],[Adj Close]], P171))</f>
        <v>1189.736196160098</v>
      </c>
      <c r="Q172" s="2">
        <f>IFERROR(AVERAGE(
  IF(ROW()&gt;20, INDEX(G:G, ROW()-20), 0) :
  INDEX(G:G, ROW())
),0)</f>
        <v>499.52867053803942</v>
      </c>
    </row>
    <row r="173" spans="1:17" x14ac:dyDescent="0.3">
      <c r="A173" s="1">
        <v>45541</v>
      </c>
      <c r="B173">
        <v>505.33999633789063</v>
      </c>
      <c r="C173">
        <v>506.94000244140625</v>
      </c>
      <c r="D173">
        <v>495.79998779296875</v>
      </c>
      <c r="E173">
        <v>496.6400146484375</v>
      </c>
      <c r="F173">
        <v>7411400</v>
      </c>
      <c r="G173">
        <v>490.29898071289063</v>
      </c>
      <c r="H173" s="2">
        <f>MONTH(Query1[[#This Row],[Date]])</f>
        <v>9</v>
      </c>
      <c r="I173" s="3">
        <f>Query1[[#This Row],[Shares]]*Query1[[#This Row],[Adj Close]]</f>
        <v>576032.22171564715</v>
      </c>
      <c r="J173" s="3">
        <f>IF(ROW()&lt;3, Dashboard!$E$7, IF(Query1[[#This Row],[Month]]&lt;&gt;H172,J172*(1+Dashboard!$E$4)+Dashboard!$E$5,J172))</f>
        <v>557999.69393965614</v>
      </c>
      <c r="K173">
        <f>IF(ROW()&lt;3, 0,IF(Query1[[#This Row],[Month]]&lt;&gt;H172,IF((J173-I173&gt;0),J173-I173,0),0))</f>
        <v>0</v>
      </c>
      <c r="L173" s="2">
        <f t="shared" si="2"/>
        <v>1174.8591051078693</v>
      </c>
      <c r="M173">
        <f ca="1">IF(ROW()&lt;3,0,IF(Query1[[#This Row],[Month]]&lt;&gt;OFFSET(Query1[[#This Row],[Month]],-1,0),Dashboard!$J$5,0))</f>
        <v>0</v>
      </c>
      <c r="N173" s="2">
        <f ca="1">IF(ROW()&lt;3, Query1[[#This Row],[Shares]], IF(Query1[[#This Row],[Month]]&lt;&gt;H172, N172+Query1[[#This Row],[Fix Top Up]]/Query1[[#This Row],[Adj Close]], N172))</f>
        <v>1191.4113030565481</v>
      </c>
      <c r="O17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3" s="2">
        <f ca="1">IF(ROW()&lt;3, Query1[[#This Row],[Shares]], IF(Query1[[#This Row],[Month]]&lt;&gt;H172, P172+Query1[[#This Row],[Enhanced top up]]/Query1[[#This Row],[Adj Close]], P172))</f>
        <v>1189.736196160098</v>
      </c>
      <c r="Q173" s="2">
        <f>IFERROR(AVERAGE(
  IF(ROW()&gt;20, INDEX(G:G, ROW()-20), 0) :
  INDEX(G:G, ROW())
),0)</f>
        <v>500.47030203683033</v>
      </c>
    </row>
    <row r="174" spans="1:17" x14ac:dyDescent="0.3">
      <c r="A174" s="1">
        <v>45544</v>
      </c>
      <c r="B174">
        <v>500.60000610351563</v>
      </c>
      <c r="C174">
        <v>503.3699951171875</v>
      </c>
      <c r="D174">
        <v>498.75</v>
      </c>
      <c r="E174">
        <v>502.23001098632813</v>
      </c>
      <c r="F174">
        <v>3656800</v>
      </c>
      <c r="G174">
        <v>495.817626953125</v>
      </c>
      <c r="H174" s="2">
        <f>MONTH(Query1[[#This Row],[Date]])</f>
        <v>9</v>
      </c>
      <c r="I174" s="3">
        <f>Query1[[#This Row],[Shares]]*Query1[[#This Row],[Adj Close]]</f>
        <v>582515.85349885584</v>
      </c>
      <c r="J174" s="3">
        <f>IF(ROW()&lt;3, Dashboard!$E$7, IF(Query1[[#This Row],[Month]]&lt;&gt;H173,J173*(1+Dashboard!$E$4)+Dashboard!$E$5,J173))</f>
        <v>557999.69393965614</v>
      </c>
      <c r="K174">
        <f>IF(ROW()&lt;3, 0,IF(Query1[[#This Row],[Month]]&lt;&gt;H173,IF((J174-I174&gt;0),J174-I174,0),0))</f>
        <v>0</v>
      </c>
      <c r="L174" s="2">
        <f t="shared" si="2"/>
        <v>1174.8591051078693</v>
      </c>
      <c r="M174">
        <f ca="1">IF(ROW()&lt;3,0,IF(Query1[[#This Row],[Month]]&lt;&gt;OFFSET(Query1[[#This Row],[Month]],-1,0),Dashboard!$J$5,0))</f>
        <v>0</v>
      </c>
      <c r="N174" s="2">
        <f ca="1">IF(ROW()&lt;3, Query1[[#This Row],[Shares]], IF(Query1[[#This Row],[Month]]&lt;&gt;H173, N173+Query1[[#This Row],[Fix Top Up]]/Query1[[#This Row],[Adj Close]], N173))</f>
        <v>1191.4113030565481</v>
      </c>
      <c r="O17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4" s="2">
        <f ca="1">IF(ROW()&lt;3, Query1[[#This Row],[Shares]], IF(Query1[[#This Row],[Month]]&lt;&gt;H173, P173+Query1[[#This Row],[Enhanced top up]]/Query1[[#This Row],[Adj Close]], P173))</f>
        <v>1189.736196160098</v>
      </c>
      <c r="Q174" s="2">
        <f>IFERROR(AVERAGE(
  IF(ROW()&gt;20, INDEX(G:G, ROW()-20), 0) :
  INDEX(G:G, ROW())
),0)</f>
        <v>501.15196155366442</v>
      </c>
    </row>
    <row r="175" spans="1:17" x14ac:dyDescent="0.3">
      <c r="A175" s="1">
        <v>45545</v>
      </c>
      <c r="B175">
        <v>503.95001220703125</v>
      </c>
      <c r="C175">
        <v>504.70999145507813</v>
      </c>
      <c r="D175">
        <v>499.5</v>
      </c>
      <c r="E175">
        <v>504.29998779296875</v>
      </c>
      <c r="F175">
        <v>2975400</v>
      </c>
      <c r="G175">
        <v>497.8612060546875</v>
      </c>
      <c r="H175" s="2">
        <f>MONTH(Query1[[#This Row],[Date]])</f>
        <v>9</v>
      </c>
      <c r="I175" s="3">
        <f>Query1[[#This Row],[Shares]]*Query1[[#This Row],[Adj Close]]</f>
        <v>584916.77101333463</v>
      </c>
      <c r="J175" s="3">
        <f>IF(ROW()&lt;3, Dashboard!$E$7, IF(Query1[[#This Row],[Month]]&lt;&gt;H174,J174*(1+Dashboard!$E$4)+Dashboard!$E$5,J174))</f>
        <v>557999.69393965614</v>
      </c>
      <c r="K175">
        <f>IF(ROW()&lt;3, 0,IF(Query1[[#This Row],[Month]]&lt;&gt;H174,IF((J175-I175&gt;0),J175-I175,0),0))</f>
        <v>0</v>
      </c>
      <c r="L175" s="2">
        <f t="shared" si="2"/>
        <v>1174.8591051078693</v>
      </c>
      <c r="M175">
        <f ca="1">IF(ROW()&lt;3,0,IF(Query1[[#This Row],[Month]]&lt;&gt;OFFSET(Query1[[#This Row],[Month]],-1,0),Dashboard!$J$5,0))</f>
        <v>0</v>
      </c>
      <c r="N175" s="2">
        <f ca="1">IF(ROW()&lt;3, Query1[[#This Row],[Shares]], IF(Query1[[#This Row],[Month]]&lt;&gt;H174, N174+Query1[[#This Row],[Fix Top Up]]/Query1[[#This Row],[Adj Close]], N174))</f>
        <v>1191.4113030565481</v>
      </c>
      <c r="O17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5" s="2">
        <f ca="1">IF(ROW()&lt;3, Query1[[#This Row],[Shares]], IF(Query1[[#This Row],[Month]]&lt;&gt;H174, P174+Query1[[#This Row],[Enhanced top up]]/Query1[[#This Row],[Adj Close]], P174))</f>
        <v>1189.736196160098</v>
      </c>
      <c r="Q175" s="2">
        <f>IFERROR(AVERAGE(
  IF(ROW()&gt;20, INDEX(G:G, ROW()-20), 0) :
  INDEX(G:G, ROW())
),0)</f>
        <v>501.83268229166669</v>
      </c>
    </row>
    <row r="176" spans="1:17" x14ac:dyDescent="0.3">
      <c r="A176" s="1">
        <v>45546</v>
      </c>
      <c r="B176">
        <v>504.30999755859375</v>
      </c>
      <c r="C176">
        <v>510.44000244140625</v>
      </c>
      <c r="D176">
        <v>496.25</v>
      </c>
      <c r="E176">
        <v>509.45999145507813</v>
      </c>
      <c r="F176">
        <v>5956900</v>
      </c>
      <c r="G176">
        <v>502.95529174804688</v>
      </c>
      <c r="H176" s="2">
        <f>MONTH(Query1[[#This Row],[Date]])</f>
        <v>9</v>
      </c>
      <c r="I176" s="3">
        <f>Query1[[#This Row],[Shares]]*Query1[[#This Row],[Adj Close]]</f>
        <v>590901.6039723776</v>
      </c>
      <c r="J176" s="3">
        <f>IF(ROW()&lt;3, Dashboard!$E$7, IF(Query1[[#This Row],[Month]]&lt;&gt;H175,J175*(1+Dashboard!$E$4)+Dashboard!$E$5,J175))</f>
        <v>557999.69393965614</v>
      </c>
      <c r="K176">
        <f>IF(ROW()&lt;3, 0,IF(Query1[[#This Row],[Month]]&lt;&gt;H175,IF((J176-I176&gt;0),J176-I176,0),0))</f>
        <v>0</v>
      </c>
      <c r="L176" s="2">
        <f t="shared" si="2"/>
        <v>1174.8591051078693</v>
      </c>
      <c r="M176">
        <f ca="1">IF(ROW()&lt;3,0,IF(Query1[[#This Row],[Month]]&lt;&gt;OFFSET(Query1[[#This Row],[Month]],-1,0),Dashboard!$J$5,0))</f>
        <v>0</v>
      </c>
      <c r="N176" s="2">
        <f ca="1">IF(ROW()&lt;3, Query1[[#This Row],[Shares]], IF(Query1[[#This Row],[Month]]&lt;&gt;H175, N175+Query1[[#This Row],[Fix Top Up]]/Query1[[#This Row],[Adj Close]], N175))</f>
        <v>1191.4113030565481</v>
      </c>
      <c r="O17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6" s="2">
        <f ca="1">IF(ROW()&lt;3, Query1[[#This Row],[Shares]], IF(Query1[[#This Row],[Month]]&lt;&gt;H175, P175+Query1[[#This Row],[Enhanced top up]]/Query1[[#This Row],[Adj Close]], P175))</f>
        <v>1189.736196160098</v>
      </c>
      <c r="Q176" s="2">
        <f>IFERROR(AVERAGE(
  IF(ROW()&gt;20, INDEX(G:G, ROW()-20), 0) :
  INDEX(G:G, ROW())
),0)</f>
        <v>502.74422636486236</v>
      </c>
    </row>
    <row r="177" spans="1:17" x14ac:dyDescent="0.3">
      <c r="A177" s="1">
        <v>45547</v>
      </c>
      <c r="B177">
        <v>510.08999633789063</v>
      </c>
      <c r="C177">
        <v>514.1400146484375</v>
      </c>
      <c r="D177">
        <v>508.05999755859375</v>
      </c>
      <c r="E177">
        <v>513.84002685546875</v>
      </c>
      <c r="F177">
        <v>4092900</v>
      </c>
      <c r="G177">
        <v>507.27938842773438</v>
      </c>
      <c r="H177" s="2">
        <f>MONTH(Query1[[#This Row],[Date]])</f>
        <v>9</v>
      </c>
      <c r="I177" s="3">
        <f>Query1[[#This Row],[Shares]]*Query1[[#This Row],[Adj Close]]</f>
        <v>595981.80832787522</v>
      </c>
      <c r="J177" s="3">
        <f>IF(ROW()&lt;3, Dashboard!$E$7, IF(Query1[[#This Row],[Month]]&lt;&gt;H176,J176*(1+Dashboard!$E$4)+Dashboard!$E$5,J176))</f>
        <v>557999.69393965614</v>
      </c>
      <c r="K177">
        <f>IF(ROW()&lt;3, 0,IF(Query1[[#This Row],[Month]]&lt;&gt;H176,IF((J177-I177&gt;0),J177-I177,0),0))</f>
        <v>0</v>
      </c>
      <c r="L177" s="2">
        <f t="shared" si="2"/>
        <v>1174.8591051078693</v>
      </c>
      <c r="M177">
        <f ca="1">IF(ROW()&lt;3,0,IF(Query1[[#This Row],[Month]]&lt;&gt;OFFSET(Query1[[#This Row],[Month]],-1,0),Dashboard!$J$5,0))</f>
        <v>0</v>
      </c>
      <c r="N177" s="2">
        <f ca="1">IF(ROW()&lt;3, Query1[[#This Row],[Shares]], IF(Query1[[#This Row],[Month]]&lt;&gt;H176, N176+Query1[[#This Row],[Fix Top Up]]/Query1[[#This Row],[Adj Close]], N176))</f>
        <v>1191.4113030565481</v>
      </c>
      <c r="O17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7" s="2">
        <f ca="1">IF(ROW()&lt;3, Query1[[#This Row],[Shares]], IF(Query1[[#This Row],[Month]]&lt;&gt;H176, P176+Query1[[#This Row],[Enhanced top up]]/Query1[[#This Row],[Adj Close]], P176))</f>
        <v>1189.736196160098</v>
      </c>
      <c r="Q177" s="2">
        <f>IFERROR(AVERAGE(
  IF(ROW()&gt;20, INDEX(G:G, ROW()-20), 0) :
  INDEX(G:G, ROW())
),0)</f>
        <v>503.47900971912202</v>
      </c>
    </row>
    <row r="178" spans="1:17" x14ac:dyDescent="0.3">
      <c r="A178" s="1">
        <v>45548</v>
      </c>
      <c r="B178">
        <v>514.42999267578125</v>
      </c>
      <c r="C178">
        <v>517.530029296875</v>
      </c>
      <c r="D178">
        <v>514.22998046875</v>
      </c>
      <c r="E178">
        <v>516.57000732421875</v>
      </c>
      <c r="F178">
        <v>4416600</v>
      </c>
      <c r="G178">
        <v>509.97457885742188</v>
      </c>
      <c r="H178" s="2">
        <f>MONTH(Query1[[#This Row],[Date]])</f>
        <v>9</v>
      </c>
      <c r="I178" s="3">
        <f>Query1[[#This Row],[Shares]]*Query1[[#This Row],[Adj Close]]</f>
        <v>599148.27734419319</v>
      </c>
      <c r="J178" s="3">
        <f>IF(ROW()&lt;3, Dashboard!$E$7, IF(Query1[[#This Row],[Month]]&lt;&gt;H177,J177*(1+Dashboard!$E$4)+Dashboard!$E$5,J177))</f>
        <v>557999.69393965614</v>
      </c>
      <c r="K178">
        <f>IF(ROW()&lt;3, 0,IF(Query1[[#This Row],[Month]]&lt;&gt;H177,IF((J178-I178&gt;0),J178-I178,0),0))</f>
        <v>0</v>
      </c>
      <c r="L178" s="2">
        <f t="shared" si="2"/>
        <v>1174.8591051078693</v>
      </c>
      <c r="M178">
        <f ca="1">IF(ROW()&lt;3,0,IF(Query1[[#This Row],[Month]]&lt;&gt;OFFSET(Query1[[#This Row],[Month]],-1,0),Dashboard!$J$5,0))</f>
        <v>0</v>
      </c>
      <c r="N178" s="2">
        <f ca="1">IF(ROW()&lt;3, Query1[[#This Row],[Shares]], IF(Query1[[#This Row],[Month]]&lt;&gt;H177, N177+Query1[[#This Row],[Fix Top Up]]/Query1[[#This Row],[Adj Close]], N177))</f>
        <v>1191.4113030565481</v>
      </c>
      <c r="O17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8" s="2">
        <f ca="1">IF(ROW()&lt;3, Query1[[#This Row],[Shares]], IF(Query1[[#This Row],[Month]]&lt;&gt;H177, P177+Query1[[#This Row],[Enhanced top up]]/Query1[[#This Row],[Adj Close]], P177))</f>
        <v>1189.736196160098</v>
      </c>
      <c r="Q178" s="2">
        <f>IFERROR(AVERAGE(
  IF(ROW()&gt;20, INDEX(G:G, ROW()-20), 0) :
  INDEX(G:G, ROW())
),0)</f>
        <v>504.26738920665923</v>
      </c>
    </row>
    <row r="179" spans="1:17" x14ac:dyDescent="0.3">
      <c r="A179" s="1">
        <v>45551</v>
      </c>
      <c r="B179">
        <v>516.34002685546875</v>
      </c>
      <c r="C179">
        <v>517.59002685546875</v>
      </c>
      <c r="D179">
        <v>514.6500244140625</v>
      </c>
      <c r="E179">
        <v>517.3499755859375</v>
      </c>
      <c r="F179">
        <v>4256300</v>
      </c>
      <c r="G179">
        <v>510.74453735351563</v>
      </c>
      <c r="H179" s="2">
        <f>MONTH(Query1[[#This Row],[Date]])</f>
        <v>9</v>
      </c>
      <c r="I179" s="3">
        <f>Query1[[#This Row],[Shares]]*Query1[[#This Row],[Adj Close]]</f>
        <v>600052.87009388406</v>
      </c>
      <c r="J179" s="3">
        <f>IF(ROW()&lt;3, Dashboard!$E$7, IF(Query1[[#This Row],[Month]]&lt;&gt;H178,J178*(1+Dashboard!$E$4)+Dashboard!$E$5,J178))</f>
        <v>557999.69393965614</v>
      </c>
      <c r="K179">
        <f>IF(ROW()&lt;3, 0,IF(Query1[[#This Row],[Month]]&lt;&gt;H178,IF((J179-I179&gt;0),J179-I179,0),0))</f>
        <v>0</v>
      </c>
      <c r="L179" s="2">
        <f t="shared" si="2"/>
        <v>1174.8591051078693</v>
      </c>
      <c r="M179">
        <f ca="1">IF(ROW()&lt;3,0,IF(Query1[[#This Row],[Month]]&lt;&gt;OFFSET(Query1[[#This Row],[Month]],-1,0),Dashboard!$J$5,0))</f>
        <v>0</v>
      </c>
      <c r="N179" s="2">
        <f ca="1">IF(ROW()&lt;3, Query1[[#This Row],[Shares]], IF(Query1[[#This Row],[Month]]&lt;&gt;H178, N178+Query1[[#This Row],[Fix Top Up]]/Query1[[#This Row],[Adj Close]], N178))</f>
        <v>1191.4113030565481</v>
      </c>
      <c r="O17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79" s="2">
        <f ca="1">IF(ROW()&lt;3, Query1[[#This Row],[Shares]], IF(Query1[[#This Row],[Month]]&lt;&gt;H178, P178+Query1[[#This Row],[Enhanced top up]]/Query1[[#This Row],[Adj Close]], P178))</f>
        <v>1189.736196160098</v>
      </c>
      <c r="Q179" s="2">
        <f>IFERROR(AVERAGE(
  IF(ROW()&gt;20, INDEX(G:G, ROW()-20), 0) :
  INDEX(G:G, ROW())
),0)</f>
        <v>504.68907528831846</v>
      </c>
    </row>
    <row r="180" spans="1:17" x14ac:dyDescent="0.3">
      <c r="A180" s="1">
        <v>45552</v>
      </c>
      <c r="B180">
        <v>519.44000244140625</v>
      </c>
      <c r="C180">
        <v>520.739990234375</v>
      </c>
      <c r="D180">
        <v>515.5</v>
      </c>
      <c r="E180">
        <v>517.59002685546875</v>
      </c>
      <c r="F180">
        <v>8150000</v>
      </c>
      <c r="G180">
        <v>510.98150634765625</v>
      </c>
      <c r="H180" s="2">
        <f>MONTH(Query1[[#This Row],[Date]])</f>
        <v>9</v>
      </c>
      <c r="I180" s="3">
        <f>Query1[[#This Row],[Shares]]*Query1[[#This Row],[Adj Close]]</f>
        <v>600331.27527427848</v>
      </c>
      <c r="J180" s="3">
        <f>IF(ROW()&lt;3, Dashboard!$E$7, IF(Query1[[#This Row],[Month]]&lt;&gt;H179,J179*(1+Dashboard!$E$4)+Dashboard!$E$5,J179))</f>
        <v>557999.69393965614</v>
      </c>
      <c r="K180">
        <f>IF(ROW()&lt;3, 0,IF(Query1[[#This Row],[Month]]&lt;&gt;H179,IF((J180-I180&gt;0),J180-I180,0),0))</f>
        <v>0</v>
      </c>
      <c r="L180" s="2">
        <f t="shared" si="2"/>
        <v>1174.8591051078693</v>
      </c>
      <c r="M180">
        <f ca="1">IF(ROW()&lt;3,0,IF(Query1[[#This Row],[Month]]&lt;&gt;OFFSET(Query1[[#This Row],[Month]],-1,0),Dashboard!$J$5,0))</f>
        <v>0</v>
      </c>
      <c r="N180" s="2">
        <f ca="1">IF(ROW()&lt;3, Query1[[#This Row],[Shares]], IF(Query1[[#This Row],[Month]]&lt;&gt;H179, N179+Query1[[#This Row],[Fix Top Up]]/Query1[[#This Row],[Adj Close]], N179))</f>
        <v>1191.4113030565481</v>
      </c>
      <c r="O18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0" s="2">
        <f ca="1">IF(ROW()&lt;3, Query1[[#This Row],[Shares]], IF(Query1[[#This Row],[Month]]&lt;&gt;H179, P179+Query1[[#This Row],[Enhanced top up]]/Query1[[#This Row],[Adj Close]], P179))</f>
        <v>1189.736196160098</v>
      </c>
      <c r="Q180" s="2">
        <f>IFERROR(AVERAGE(
  IF(ROW()&gt;20, INDEX(G:G, ROW()-20), 0) :
  INDEX(G:G, ROW())
),0)</f>
        <v>505.07174537295384</v>
      </c>
    </row>
    <row r="181" spans="1:17" x14ac:dyDescent="0.3">
      <c r="A181" s="1">
        <v>45553</v>
      </c>
      <c r="B181">
        <v>518.17999267578125</v>
      </c>
      <c r="C181">
        <v>522.72998046875</v>
      </c>
      <c r="D181">
        <v>515.469970703125</v>
      </c>
      <c r="E181">
        <v>515.90997314453125</v>
      </c>
      <c r="F181">
        <v>6921300</v>
      </c>
      <c r="G181">
        <v>509.32290649414063</v>
      </c>
      <c r="H181" s="2">
        <f>MONTH(Query1[[#This Row],[Date]])</f>
        <v>9</v>
      </c>
      <c r="I181" s="3">
        <f>Query1[[#This Row],[Shares]]*Query1[[#This Row],[Adj Close]]</f>
        <v>598382.65413464501</v>
      </c>
      <c r="J181" s="3">
        <f>IF(ROW()&lt;3, Dashboard!$E$7, IF(Query1[[#This Row],[Month]]&lt;&gt;H180,J180*(1+Dashboard!$E$4)+Dashboard!$E$5,J180))</f>
        <v>557999.69393965614</v>
      </c>
      <c r="K181">
        <f>IF(ROW()&lt;3, 0,IF(Query1[[#This Row],[Month]]&lt;&gt;H180,IF((J181-I181&gt;0),J181-I181,0),0))</f>
        <v>0</v>
      </c>
      <c r="L181" s="2">
        <f t="shared" si="2"/>
        <v>1174.8591051078693</v>
      </c>
      <c r="M181">
        <f ca="1">IF(ROW()&lt;3,0,IF(Query1[[#This Row],[Month]]&lt;&gt;OFFSET(Query1[[#This Row],[Month]],-1,0),Dashboard!$J$5,0))</f>
        <v>0</v>
      </c>
      <c r="N181" s="2">
        <f ca="1">IF(ROW()&lt;3, Query1[[#This Row],[Shares]], IF(Query1[[#This Row],[Month]]&lt;&gt;H180, N180+Query1[[#This Row],[Fix Top Up]]/Query1[[#This Row],[Adj Close]], N180))</f>
        <v>1191.4113030565481</v>
      </c>
      <c r="O18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1" s="2">
        <f ca="1">IF(ROW()&lt;3, Query1[[#This Row],[Shares]], IF(Query1[[#This Row],[Month]]&lt;&gt;H180, P180+Query1[[#This Row],[Enhanced top up]]/Query1[[#This Row],[Adj Close]], P180))</f>
        <v>1189.736196160098</v>
      </c>
      <c r="Q181" s="2">
        <f>IFERROR(AVERAGE(
  IF(ROW()&gt;20, INDEX(G:G, ROW()-20), 0) :
  INDEX(G:G, ROW())
),0)</f>
        <v>505.14508347284226</v>
      </c>
    </row>
    <row r="182" spans="1:17" x14ac:dyDescent="0.3">
      <c r="A182" s="1">
        <v>45554</v>
      </c>
      <c r="B182">
        <v>524.8800048828125</v>
      </c>
      <c r="C182">
        <v>526.5999755859375</v>
      </c>
      <c r="D182">
        <v>522.19000244140625</v>
      </c>
      <c r="E182">
        <v>524.90997314453125</v>
      </c>
      <c r="F182">
        <v>5558400</v>
      </c>
      <c r="G182">
        <v>518.2080078125</v>
      </c>
      <c r="H182" s="2">
        <f>MONTH(Query1[[#This Row],[Date]])</f>
        <v>9</v>
      </c>
      <c r="I182" s="3">
        <f>Query1[[#This Row],[Shares]]*Query1[[#This Row],[Adj Close]]</f>
        <v>608821.39631832542</v>
      </c>
      <c r="J182" s="3">
        <f>IF(ROW()&lt;3, Dashboard!$E$7, IF(Query1[[#This Row],[Month]]&lt;&gt;H181,J181*(1+Dashboard!$E$4)+Dashboard!$E$5,J181))</f>
        <v>557999.69393965614</v>
      </c>
      <c r="K182">
        <f>IF(ROW()&lt;3, 0,IF(Query1[[#This Row],[Month]]&lt;&gt;H181,IF((J182-I182&gt;0),J182-I182,0),0))</f>
        <v>0</v>
      </c>
      <c r="L182" s="2">
        <f t="shared" si="2"/>
        <v>1174.8591051078693</v>
      </c>
      <c r="M182">
        <f ca="1">IF(ROW()&lt;3,0,IF(Query1[[#This Row],[Month]]&lt;&gt;OFFSET(Query1[[#This Row],[Month]],-1,0),Dashboard!$J$5,0))</f>
        <v>0</v>
      </c>
      <c r="N182" s="2">
        <f ca="1">IF(ROW()&lt;3, Query1[[#This Row],[Shares]], IF(Query1[[#This Row],[Month]]&lt;&gt;H181, N181+Query1[[#This Row],[Fix Top Up]]/Query1[[#This Row],[Adj Close]], N181))</f>
        <v>1191.4113030565481</v>
      </c>
      <c r="O18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2" s="2">
        <f ca="1">IF(ROW()&lt;3, Query1[[#This Row],[Shares]], IF(Query1[[#This Row],[Month]]&lt;&gt;H181, P181+Query1[[#This Row],[Enhanced top up]]/Query1[[#This Row],[Adj Close]], P181))</f>
        <v>1189.736196160098</v>
      </c>
      <c r="Q182" s="2">
        <f>IFERROR(AVERAGE(
  IF(ROW()&gt;20, INDEX(G:G, ROW()-20), 0) :
  INDEX(G:G, ROW())
),0)</f>
        <v>505.68147786458331</v>
      </c>
    </row>
    <row r="183" spans="1:17" x14ac:dyDescent="0.3">
      <c r="A183" s="1">
        <v>45555</v>
      </c>
      <c r="B183">
        <v>523.510009765625</v>
      </c>
      <c r="C183">
        <v>524.91998291015625</v>
      </c>
      <c r="D183">
        <v>521.1199951171875</v>
      </c>
      <c r="E183">
        <v>523.8800048828125</v>
      </c>
      <c r="F183">
        <v>5612700</v>
      </c>
      <c r="G183">
        <v>517.19122314453125</v>
      </c>
      <c r="H183" s="2">
        <f>MONTH(Query1[[#This Row],[Date]])</f>
        <v>9</v>
      </c>
      <c r="I183" s="3">
        <f>Query1[[#This Row],[Shares]]*Query1[[#This Row],[Adj Close]]</f>
        <v>607626.8175932283</v>
      </c>
      <c r="J183" s="3">
        <f>IF(ROW()&lt;3, Dashboard!$E$7, IF(Query1[[#This Row],[Month]]&lt;&gt;H182,J182*(1+Dashboard!$E$4)+Dashboard!$E$5,J182))</f>
        <v>557999.69393965614</v>
      </c>
      <c r="K183">
        <f>IF(ROW()&lt;3, 0,IF(Query1[[#This Row],[Month]]&lt;&gt;H182,IF((J183-I183&gt;0),J183-I183,0),0))</f>
        <v>0</v>
      </c>
      <c r="L183" s="2">
        <f t="shared" si="2"/>
        <v>1174.8591051078693</v>
      </c>
      <c r="M183">
        <f ca="1">IF(ROW()&lt;3,0,IF(Query1[[#This Row],[Month]]&lt;&gt;OFFSET(Query1[[#This Row],[Month]],-1,0),Dashboard!$J$5,0))</f>
        <v>0</v>
      </c>
      <c r="N183" s="2">
        <f ca="1">IF(ROW()&lt;3, Query1[[#This Row],[Shares]], IF(Query1[[#This Row],[Month]]&lt;&gt;H182, N182+Query1[[#This Row],[Fix Top Up]]/Query1[[#This Row],[Adj Close]], N182))</f>
        <v>1191.4113030565481</v>
      </c>
      <c r="O18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3" s="2">
        <f ca="1">IF(ROW()&lt;3, Query1[[#This Row],[Shares]], IF(Query1[[#This Row],[Month]]&lt;&gt;H182, P182+Query1[[#This Row],[Enhanced top up]]/Query1[[#This Row],[Adj Close]], P182))</f>
        <v>1189.736196160098</v>
      </c>
      <c r="Q183" s="2">
        <f>IFERROR(AVERAGE(
  IF(ROW()&gt;20, INDEX(G:G, ROW()-20), 0) :
  INDEX(G:G, ROW())
),0)</f>
        <v>506.08483305431548</v>
      </c>
    </row>
    <row r="184" spans="1:17" x14ac:dyDescent="0.3">
      <c r="A184" s="1">
        <v>45558</v>
      </c>
      <c r="B184">
        <v>525</v>
      </c>
      <c r="C184">
        <v>525.83001708984375</v>
      </c>
      <c r="D184">
        <v>523.83001708984375</v>
      </c>
      <c r="E184">
        <v>525.16998291015625</v>
      </c>
      <c r="F184">
        <v>29289200</v>
      </c>
      <c r="G184">
        <v>518.46478271484375</v>
      </c>
      <c r="H184" s="2">
        <f>MONTH(Query1[[#This Row],[Date]])</f>
        <v>9</v>
      </c>
      <c r="I184" s="3">
        <f>Query1[[#This Row],[Shares]]*Query1[[#This Row],[Adj Close]]</f>
        <v>609123.07065030723</v>
      </c>
      <c r="J184" s="3">
        <f>IF(ROW()&lt;3, Dashboard!$E$7, IF(Query1[[#This Row],[Month]]&lt;&gt;H183,J183*(1+Dashboard!$E$4)+Dashboard!$E$5,J183))</f>
        <v>557999.69393965614</v>
      </c>
      <c r="K184">
        <f>IF(ROW()&lt;3, 0,IF(Query1[[#This Row],[Month]]&lt;&gt;H183,IF((J184-I184&gt;0),J184-I184,0),0))</f>
        <v>0</v>
      </c>
      <c r="L184" s="2">
        <f t="shared" si="2"/>
        <v>1174.8591051078693</v>
      </c>
      <c r="M184">
        <f ca="1">IF(ROW()&lt;3,0,IF(Query1[[#This Row],[Month]]&lt;&gt;OFFSET(Query1[[#This Row],[Month]],-1,0),Dashboard!$J$5,0))</f>
        <v>0</v>
      </c>
      <c r="N184" s="2">
        <f ca="1">IF(ROW()&lt;3, Query1[[#This Row],[Shares]], IF(Query1[[#This Row],[Month]]&lt;&gt;H183, N183+Query1[[#This Row],[Fix Top Up]]/Query1[[#This Row],[Adj Close]], N183))</f>
        <v>1191.4113030565481</v>
      </c>
      <c r="O18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4" s="2">
        <f ca="1">IF(ROW()&lt;3, Query1[[#This Row],[Shares]], IF(Query1[[#This Row],[Month]]&lt;&gt;H183, P183+Query1[[#This Row],[Enhanced top up]]/Query1[[#This Row],[Adj Close]], P183))</f>
        <v>1189.736196160098</v>
      </c>
      <c r="Q184" s="2">
        <f>IFERROR(AVERAGE(
  IF(ROW()&gt;20, INDEX(G:G, ROW()-20), 0) :
  INDEX(G:G, ROW())
),0)</f>
        <v>506.74487014043899</v>
      </c>
    </row>
    <row r="185" spans="1:17" x14ac:dyDescent="0.3">
      <c r="A185" s="1">
        <v>45559</v>
      </c>
      <c r="B185">
        <v>526.010009765625</v>
      </c>
      <c r="C185">
        <v>526.84002685546875</v>
      </c>
      <c r="D185">
        <v>523.3800048828125</v>
      </c>
      <c r="E185">
        <v>526.67999267578125</v>
      </c>
      <c r="F185">
        <v>4650600</v>
      </c>
      <c r="G185">
        <v>519.9554443359375</v>
      </c>
      <c r="H185" s="2">
        <f>MONTH(Query1[[#This Row],[Date]])</f>
        <v>9</v>
      </c>
      <c r="I185" s="3">
        <f>Query1[[#This Row],[Shares]]*Query1[[#This Row],[Adj Close]]</f>
        <v>610874.38802848407</v>
      </c>
      <c r="J185" s="3">
        <f>IF(ROW()&lt;3, Dashboard!$E$7, IF(Query1[[#This Row],[Month]]&lt;&gt;H184,J184*(1+Dashboard!$E$4)+Dashboard!$E$5,J184))</f>
        <v>557999.69393965614</v>
      </c>
      <c r="K185">
        <f>IF(ROW()&lt;3, 0,IF(Query1[[#This Row],[Month]]&lt;&gt;H184,IF((J185-I185&gt;0),J185-I185,0),0))</f>
        <v>0</v>
      </c>
      <c r="L185" s="2">
        <f t="shared" si="2"/>
        <v>1174.8591051078693</v>
      </c>
      <c r="M185">
        <f ca="1">IF(ROW()&lt;3,0,IF(Query1[[#This Row],[Month]]&lt;&gt;OFFSET(Query1[[#This Row],[Month]],-1,0),Dashboard!$J$5,0))</f>
        <v>0</v>
      </c>
      <c r="N185" s="2">
        <f ca="1">IF(ROW()&lt;3, Query1[[#This Row],[Shares]], IF(Query1[[#This Row],[Month]]&lt;&gt;H184, N184+Query1[[#This Row],[Fix Top Up]]/Query1[[#This Row],[Adj Close]], N184))</f>
        <v>1191.4113030565481</v>
      </c>
      <c r="O18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5" s="2">
        <f ca="1">IF(ROW()&lt;3, Query1[[#This Row],[Shares]], IF(Query1[[#This Row],[Month]]&lt;&gt;H184, P184+Query1[[#This Row],[Enhanced top up]]/Query1[[#This Row],[Adj Close]], P184))</f>
        <v>1189.736196160098</v>
      </c>
      <c r="Q185" s="2">
        <f>IFERROR(AVERAGE(
  IF(ROW()&gt;20, INDEX(G:G, ROW()-20), 0) :
  INDEX(G:G, ROW())
),0)</f>
        <v>507.21592349097841</v>
      </c>
    </row>
    <row r="186" spans="1:17" x14ac:dyDescent="0.3">
      <c r="A186" s="1">
        <v>45560</v>
      </c>
      <c r="B186">
        <v>526.6099853515625</v>
      </c>
      <c r="C186">
        <v>527.29998779296875</v>
      </c>
      <c r="D186">
        <v>524.6500244140625</v>
      </c>
      <c r="E186">
        <v>525.6099853515625</v>
      </c>
      <c r="F186">
        <v>35418000</v>
      </c>
      <c r="G186">
        <v>518.89910888671875</v>
      </c>
      <c r="H186" s="2">
        <f>MONTH(Query1[[#This Row],[Date]])</f>
        <v>9</v>
      </c>
      <c r="I186" s="3">
        <f>Query1[[#This Row],[Shares]]*Query1[[#This Row],[Adj Close]]</f>
        <v>609633.34270792117</v>
      </c>
      <c r="J186" s="3">
        <f>IF(ROW()&lt;3, Dashboard!$E$7, IF(Query1[[#This Row],[Month]]&lt;&gt;H185,J185*(1+Dashboard!$E$4)+Dashboard!$E$5,J185))</f>
        <v>557999.69393965614</v>
      </c>
      <c r="K186">
        <f>IF(ROW()&lt;3, 0,IF(Query1[[#This Row],[Month]]&lt;&gt;H185,IF((J186-I186&gt;0),J186-I186,0),0))</f>
        <v>0</v>
      </c>
      <c r="L186" s="2">
        <f t="shared" si="2"/>
        <v>1174.8591051078693</v>
      </c>
      <c r="M186">
        <f ca="1">IF(ROW()&lt;3,0,IF(Query1[[#This Row],[Month]]&lt;&gt;OFFSET(Query1[[#This Row],[Month]],-1,0),Dashboard!$J$5,0))</f>
        <v>0</v>
      </c>
      <c r="N186" s="2">
        <f ca="1">IF(ROW()&lt;3, Query1[[#This Row],[Shares]], IF(Query1[[#This Row],[Month]]&lt;&gt;H185, N185+Query1[[#This Row],[Fix Top Up]]/Query1[[#This Row],[Adj Close]], N185))</f>
        <v>1191.4113030565481</v>
      </c>
      <c r="O18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6" s="2">
        <f ca="1">IF(ROW()&lt;3, Query1[[#This Row],[Shares]], IF(Query1[[#This Row],[Month]]&lt;&gt;H185, P185+Query1[[#This Row],[Enhanced top up]]/Query1[[#This Row],[Adj Close]], P185))</f>
        <v>1189.736196160098</v>
      </c>
      <c r="Q186" s="2">
        <f>IFERROR(AVERAGE(
  IF(ROW()&gt;20, INDEX(G:G, ROW()-20), 0) :
  INDEX(G:G, ROW())
),0)</f>
        <v>507.69637625558033</v>
      </c>
    </row>
    <row r="187" spans="1:17" x14ac:dyDescent="0.3">
      <c r="A187" s="1">
        <v>45561</v>
      </c>
      <c r="B187">
        <v>529.66998291015625</v>
      </c>
      <c r="C187">
        <v>529.91998291015625</v>
      </c>
      <c r="D187">
        <v>525.489990234375</v>
      </c>
      <c r="E187">
        <v>527.70001220703125</v>
      </c>
      <c r="F187">
        <v>5273900</v>
      </c>
      <c r="G187">
        <v>520.96240234375</v>
      </c>
      <c r="H187" s="2">
        <f>MONTH(Query1[[#This Row],[Date]])</f>
        <v>9</v>
      </c>
      <c r="I187" s="3">
        <f>Query1[[#This Row],[Shares]]*Query1[[#This Row],[Adj Close]]</f>
        <v>612057.42181242385</v>
      </c>
      <c r="J187" s="3">
        <f>IF(ROW()&lt;3, Dashboard!$E$7, IF(Query1[[#This Row],[Month]]&lt;&gt;H186,J186*(1+Dashboard!$E$4)+Dashboard!$E$5,J186))</f>
        <v>557999.69393965614</v>
      </c>
      <c r="K187">
        <f>IF(ROW()&lt;3, 0,IF(Query1[[#This Row],[Month]]&lt;&gt;H186,IF((J187-I187&gt;0),J187-I187,0),0))</f>
        <v>0</v>
      </c>
      <c r="L187" s="2">
        <f t="shared" si="2"/>
        <v>1174.8591051078693</v>
      </c>
      <c r="M187">
        <f ca="1">IF(ROW()&lt;3,0,IF(Query1[[#This Row],[Month]]&lt;&gt;OFFSET(Query1[[#This Row],[Month]],-1,0),Dashboard!$J$5,0))</f>
        <v>0</v>
      </c>
      <c r="N187" s="2">
        <f ca="1">IF(ROW()&lt;3, Query1[[#This Row],[Shares]], IF(Query1[[#This Row],[Month]]&lt;&gt;H186, N186+Query1[[#This Row],[Fix Top Up]]/Query1[[#This Row],[Adj Close]], N186))</f>
        <v>1191.4113030565481</v>
      </c>
      <c r="O18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7" s="2">
        <f ca="1">IF(ROW()&lt;3, Query1[[#This Row],[Shares]], IF(Query1[[#This Row],[Month]]&lt;&gt;H186, P186+Query1[[#This Row],[Enhanced top up]]/Query1[[#This Row],[Adj Close]], P186))</f>
        <v>1189.736196160098</v>
      </c>
      <c r="Q187" s="2">
        <f>IFERROR(AVERAGE(
  IF(ROW()&gt;20, INDEX(G:G, ROW()-20), 0) :
  INDEX(G:G, ROW())
),0)</f>
        <v>508.24264235723587</v>
      </c>
    </row>
    <row r="188" spans="1:17" x14ac:dyDescent="0.3">
      <c r="A188" s="1">
        <v>45562</v>
      </c>
      <c r="B188">
        <v>527.09002685546875</v>
      </c>
      <c r="C188">
        <v>527.77001953125</v>
      </c>
      <c r="D188">
        <v>524.32000732421875</v>
      </c>
      <c r="E188">
        <v>525.3800048828125</v>
      </c>
      <c r="F188">
        <v>5598600</v>
      </c>
      <c r="G188">
        <v>520.28802490234375</v>
      </c>
      <c r="H188" s="2">
        <f>MONTH(Query1[[#This Row],[Date]])</f>
        <v>9</v>
      </c>
      <c r="I188" s="3">
        <f>Query1[[#This Row],[Shares]]*Query1[[#This Row],[Adj Close]]</f>
        <v>611265.12333510839</v>
      </c>
      <c r="J188" s="3">
        <f>IF(ROW()&lt;3, Dashboard!$E$7, IF(Query1[[#This Row],[Month]]&lt;&gt;H187,J187*(1+Dashboard!$E$4)+Dashboard!$E$5,J187))</f>
        <v>557999.69393965614</v>
      </c>
      <c r="K188">
        <f>IF(ROW()&lt;3, 0,IF(Query1[[#This Row],[Month]]&lt;&gt;H187,IF((J188-I188&gt;0),J188-I188,0),0))</f>
        <v>0</v>
      </c>
      <c r="L188" s="2">
        <f t="shared" si="2"/>
        <v>1174.8591051078693</v>
      </c>
      <c r="M188">
        <f ca="1">IF(ROW()&lt;3,0,IF(Query1[[#This Row],[Month]]&lt;&gt;OFFSET(Query1[[#This Row],[Month]],-1,0),Dashboard!$J$5,0))</f>
        <v>0</v>
      </c>
      <c r="N188" s="2">
        <f ca="1">IF(ROW()&lt;3, Query1[[#This Row],[Shares]], IF(Query1[[#This Row],[Month]]&lt;&gt;H187, N187+Query1[[#This Row],[Fix Top Up]]/Query1[[#This Row],[Adj Close]], N187))</f>
        <v>1191.4113030565481</v>
      </c>
      <c r="O18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8" s="2">
        <f ca="1">IF(ROW()&lt;3, Query1[[#This Row],[Shares]], IF(Query1[[#This Row],[Month]]&lt;&gt;H187, P187+Query1[[#This Row],[Enhanced top up]]/Query1[[#This Row],[Adj Close]], P187))</f>
        <v>1189.736196160098</v>
      </c>
      <c r="Q188" s="2">
        <f>IFERROR(AVERAGE(
  IF(ROW()&gt;20, INDEX(G:G, ROW()-20), 0) :
  INDEX(G:G, ROW())
),0)</f>
        <v>508.89547874813991</v>
      </c>
    </row>
    <row r="189" spans="1:17" x14ac:dyDescent="0.3">
      <c r="A189" s="1">
        <v>45565</v>
      </c>
      <c r="B189">
        <v>524.32000732421875</v>
      </c>
      <c r="C189">
        <v>527.96002197265625</v>
      </c>
      <c r="D189">
        <v>522.19000244140625</v>
      </c>
      <c r="E189">
        <v>527.66998291015625</v>
      </c>
      <c r="F189">
        <v>8013000</v>
      </c>
      <c r="G189">
        <v>522.5557861328125</v>
      </c>
      <c r="H189" s="2">
        <f>MONTH(Query1[[#This Row],[Date]])</f>
        <v>9</v>
      </c>
      <c r="I189" s="3">
        <f>Query1[[#This Row],[Shares]]*Query1[[#This Row],[Adj Close]]</f>
        <v>613929.42326493526</v>
      </c>
      <c r="J189" s="3">
        <f>IF(ROW()&lt;3, Dashboard!$E$7, IF(Query1[[#This Row],[Month]]&lt;&gt;H188,J188*(1+Dashboard!$E$4)+Dashboard!$E$5,J188))</f>
        <v>557999.69393965614</v>
      </c>
      <c r="K189">
        <f>IF(ROW()&lt;3, 0,IF(Query1[[#This Row],[Month]]&lt;&gt;H188,IF((J189-I189&gt;0),J189-I189,0),0))</f>
        <v>0</v>
      </c>
      <c r="L189" s="2">
        <f t="shared" si="2"/>
        <v>1174.8591051078693</v>
      </c>
      <c r="M189">
        <f ca="1">IF(ROW()&lt;3,0,IF(Query1[[#This Row],[Month]]&lt;&gt;OFFSET(Query1[[#This Row],[Month]],-1,0),Dashboard!$J$5,0))</f>
        <v>0</v>
      </c>
      <c r="N189" s="2">
        <f ca="1">IF(ROW()&lt;3, Query1[[#This Row],[Shares]], IF(Query1[[#This Row],[Month]]&lt;&gt;H188, N188+Query1[[#This Row],[Fix Top Up]]/Query1[[#This Row],[Adj Close]], N188))</f>
        <v>1191.4113030565481</v>
      </c>
      <c r="O18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89" s="2">
        <f ca="1">IF(ROW()&lt;3, Query1[[#This Row],[Shares]], IF(Query1[[#This Row],[Month]]&lt;&gt;H188, P188+Query1[[#This Row],[Enhanced top up]]/Query1[[#This Row],[Adj Close]], P188))</f>
        <v>1189.736196160098</v>
      </c>
      <c r="Q189" s="2">
        <f>IFERROR(AVERAGE(
  IF(ROW()&gt;20, INDEX(G:G, ROW()-20), 0) :
  INDEX(G:G, ROW())
),0)</f>
        <v>509.6525413876488</v>
      </c>
    </row>
    <row r="190" spans="1:17" x14ac:dyDescent="0.3">
      <c r="A190" s="1">
        <v>45566</v>
      </c>
      <c r="B190">
        <v>527.03997802734375</v>
      </c>
      <c r="C190">
        <v>527.0999755859375</v>
      </c>
      <c r="D190">
        <v>520.22998046875</v>
      </c>
      <c r="E190">
        <v>522.739990234375</v>
      </c>
      <c r="F190">
        <v>9198700</v>
      </c>
      <c r="G190">
        <v>517.673583984375</v>
      </c>
      <c r="H190" s="2">
        <f>MONTH(Query1[[#This Row],[Date]])</f>
        <v>10</v>
      </c>
      <c r="I190" s="3">
        <f>Query1[[#This Row],[Shares]]*Query1[[#This Row],[Adj Close]]</f>
        <v>608193.52361786622</v>
      </c>
      <c r="J190" s="3">
        <f>IF(ROW()&lt;3, Dashboard!$E$7, IF(Query1[[#This Row],[Month]]&lt;&gt;H189,J189*(1+Dashboard!$E$4)+Dashboard!$E$5,J189))</f>
        <v>565579.69087905274</v>
      </c>
      <c r="K190">
        <f>IF(ROW()&lt;3, 0,IF(Query1[[#This Row],[Month]]&lt;&gt;H189,IF((J190-I190&gt;0),J190-I190,0),0))</f>
        <v>0</v>
      </c>
      <c r="L190" s="2">
        <f t="shared" si="2"/>
        <v>1174.8591051078693</v>
      </c>
      <c r="M190">
        <f ca="1">IF(ROW()&lt;3,0,IF(Query1[[#This Row],[Month]]&lt;&gt;OFFSET(Query1[[#This Row],[Month]],-1,0),Dashboard!$J$5,0))</f>
        <v>979.40350000000024</v>
      </c>
      <c r="N190" s="2">
        <f ca="1">IF(ROW()&lt;3, Query1[[#This Row],[Shares]], IF(Query1[[#This Row],[Month]]&lt;&gt;H189, N189+Query1[[#This Row],[Fix Top Up]]/Query1[[#This Row],[Adj Close]], N189))</f>
        <v>1193.3032355991782</v>
      </c>
      <c r="O19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190" s="2">
        <f ca="1">IF(ROW()&lt;3, Query1[[#This Row],[Shares]], IF(Query1[[#This Row],[Month]]&lt;&gt;H189, P189+Query1[[#This Row],[Enhanced top up]]/Query1[[#This Row],[Adj Close]], P189))</f>
        <v>1190.9520269837526</v>
      </c>
      <c r="Q190" s="2">
        <f>IFERROR(AVERAGE(
  IF(ROW()&gt;20, INDEX(G:G, ROW()-20), 0) :
  INDEX(G:G, ROW())
),0)</f>
        <v>509.95006016322543</v>
      </c>
    </row>
    <row r="191" spans="1:17" x14ac:dyDescent="0.3">
      <c r="A191" s="1">
        <v>45567</v>
      </c>
      <c r="B191">
        <v>521.8499755859375</v>
      </c>
      <c r="C191">
        <v>523.8499755859375</v>
      </c>
      <c r="D191">
        <v>519.58001708984375</v>
      </c>
      <c r="E191">
        <v>522.83001708984375</v>
      </c>
      <c r="F191">
        <v>3270600</v>
      </c>
      <c r="G191">
        <v>517.76275634765625</v>
      </c>
      <c r="H191" s="2">
        <f>MONTH(Query1[[#This Row],[Date]])</f>
        <v>10</v>
      </c>
      <c r="I191" s="3">
        <f>Query1[[#This Row],[Shares]]*Query1[[#This Row],[Adj Close]]</f>
        <v>608298.28858079121</v>
      </c>
      <c r="J191" s="3">
        <f>IF(ROW()&lt;3, Dashboard!$E$7, IF(Query1[[#This Row],[Month]]&lt;&gt;H190,J190*(1+Dashboard!$E$4)+Dashboard!$E$5,J190))</f>
        <v>565579.69087905274</v>
      </c>
      <c r="K191">
        <f>IF(ROW()&lt;3, 0,IF(Query1[[#This Row],[Month]]&lt;&gt;H190,IF((J191-I191&gt;0),J191-I191,0),0))</f>
        <v>0</v>
      </c>
      <c r="L191" s="2">
        <f t="shared" si="2"/>
        <v>1174.8591051078693</v>
      </c>
      <c r="M191">
        <f ca="1">IF(ROW()&lt;3,0,IF(Query1[[#This Row],[Month]]&lt;&gt;OFFSET(Query1[[#This Row],[Month]],-1,0),Dashboard!$J$5,0))</f>
        <v>0</v>
      </c>
      <c r="N191" s="2">
        <f ca="1">IF(ROW()&lt;3, Query1[[#This Row],[Shares]], IF(Query1[[#This Row],[Month]]&lt;&gt;H190, N190+Query1[[#This Row],[Fix Top Up]]/Query1[[#This Row],[Adj Close]], N190))</f>
        <v>1193.3032355991782</v>
      </c>
      <c r="O19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1" s="2">
        <f ca="1">IF(ROW()&lt;3, Query1[[#This Row],[Shares]], IF(Query1[[#This Row],[Month]]&lt;&gt;H190, P190+Query1[[#This Row],[Enhanced top up]]/Query1[[#This Row],[Adj Close]], P190))</f>
        <v>1190.9520269837526</v>
      </c>
      <c r="Q191" s="2">
        <f>IFERROR(AVERAGE(
  IF(ROW()&gt;20, INDEX(G:G, ROW()-20), 0) :
  INDEX(G:G, ROW())
),0)</f>
        <v>510.74449666341144</v>
      </c>
    </row>
    <row r="192" spans="1:17" x14ac:dyDescent="0.3">
      <c r="A192" s="1">
        <v>45568</v>
      </c>
      <c r="B192">
        <v>521.55999755859375</v>
      </c>
      <c r="C192">
        <v>523.760009765625</v>
      </c>
      <c r="D192">
        <v>519.82000732421875</v>
      </c>
      <c r="E192">
        <v>521.84002685546875</v>
      </c>
      <c r="F192">
        <v>4008000</v>
      </c>
      <c r="G192">
        <v>516.7823486328125</v>
      </c>
      <c r="H192" s="2">
        <f>MONTH(Query1[[#This Row],[Date]])</f>
        <v>10</v>
      </c>
      <c r="I192" s="3">
        <f>Query1[[#This Row],[Shares]]*Query1[[#This Row],[Adj Close]]</f>
        <v>607146.44765028905</v>
      </c>
      <c r="J192" s="3">
        <f>IF(ROW()&lt;3, Dashboard!$E$7, IF(Query1[[#This Row],[Month]]&lt;&gt;H191,J191*(1+Dashboard!$E$4)+Dashboard!$E$5,J191))</f>
        <v>565579.69087905274</v>
      </c>
      <c r="K192">
        <f>IF(ROW()&lt;3, 0,IF(Query1[[#This Row],[Month]]&lt;&gt;H191,IF((J192-I192&gt;0),J192-I192,0),0))</f>
        <v>0</v>
      </c>
      <c r="L192" s="2">
        <f t="shared" si="2"/>
        <v>1174.8591051078693</v>
      </c>
      <c r="M192">
        <f ca="1">IF(ROW()&lt;3,0,IF(Query1[[#This Row],[Month]]&lt;&gt;OFFSET(Query1[[#This Row],[Month]],-1,0),Dashboard!$J$5,0))</f>
        <v>0</v>
      </c>
      <c r="N192" s="2">
        <f ca="1">IF(ROW()&lt;3, Query1[[#This Row],[Shares]], IF(Query1[[#This Row],[Month]]&lt;&gt;H191, N191+Query1[[#This Row],[Fix Top Up]]/Query1[[#This Row],[Adj Close]], N191))</f>
        <v>1193.3032355991782</v>
      </c>
      <c r="O19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2" s="2">
        <f ca="1">IF(ROW()&lt;3, Query1[[#This Row],[Shares]], IF(Query1[[#This Row],[Month]]&lt;&gt;H191, P191+Query1[[#This Row],[Enhanced top up]]/Query1[[#This Row],[Adj Close]], P191))</f>
        <v>1190.9520269837526</v>
      </c>
      <c r="Q192" s="2">
        <f>IFERROR(AVERAGE(
  IF(ROW()&gt;20, INDEX(G:G, ROW()-20), 0) :
  INDEX(G:G, ROW())
),0)</f>
        <v>511.55148170107884</v>
      </c>
    </row>
    <row r="193" spans="1:17" x14ac:dyDescent="0.3">
      <c r="A193" s="1">
        <v>45569</v>
      </c>
      <c r="B193">
        <v>526.15997314453125</v>
      </c>
      <c r="C193">
        <v>527.02001953125</v>
      </c>
      <c r="D193">
        <v>522.29998779296875</v>
      </c>
      <c r="E193">
        <v>526.6500244140625</v>
      </c>
      <c r="F193">
        <v>5354400</v>
      </c>
      <c r="G193">
        <v>521.54571533203125</v>
      </c>
      <c r="H193" s="2">
        <f>MONTH(Query1[[#This Row],[Date]])</f>
        <v>10</v>
      </c>
      <c r="I193" s="3">
        <f>Query1[[#This Row],[Shares]]*Query1[[#This Row],[Adj Close]]</f>
        <v>612742.73238783376</v>
      </c>
      <c r="J193" s="3">
        <f>IF(ROW()&lt;3, Dashboard!$E$7, IF(Query1[[#This Row],[Month]]&lt;&gt;H192,J192*(1+Dashboard!$E$4)+Dashboard!$E$5,J192))</f>
        <v>565579.69087905274</v>
      </c>
      <c r="K193">
        <f>IF(ROW()&lt;3, 0,IF(Query1[[#This Row],[Month]]&lt;&gt;H192,IF((J193-I193&gt;0),J193-I193,0),0))</f>
        <v>0</v>
      </c>
      <c r="L193" s="2">
        <f t="shared" si="2"/>
        <v>1174.8591051078693</v>
      </c>
      <c r="M193">
        <f ca="1">IF(ROW()&lt;3,0,IF(Query1[[#This Row],[Month]]&lt;&gt;OFFSET(Query1[[#This Row],[Month]],-1,0),Dashboard!$J$5,0))</f>
        <v>0</v>
      </c>
      <c r="N193" s="2">
        <f ca="1">IF(ROW()&lt;3, Query1[[#This Row],[Shares]], IF(Query1[[#This Row],[Month]]&lt;&gt;H192, N192+Query1[[#This Row],[Fix Top Up]]/Query1[[#This Row],[Adj Close]], N192))</f>
        <v>1193.3032355991782</v>
      </c>
      <c r="O19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3" s="2">
        <f ca="1">IF(ROW()&lt;3, Query1[[#This Row],[Shares]], IF(Query1[[#This Row],[Month]]&lt;&gt;H192, P192+Query1[[#This Row],[Enhanced top up]]/Query1[[#This Row],[Adj Close]], P192))</f>
        <v>1190.9520269837526</v>
      </c>
      <c r="Q193" s="2">
        <f>IFERROR(AVERAGE(
  IF(ROW()&gt;20, INDEX(G:G, ROW()-20), 0) :
  INDEX(G:G, ROW())
),0)</f>
        <v>512.6440575009301</v>
      </c>
    </row>
    <row r="194" spans="1:17" x14ac:dyDescent="0.3">
      <c r="A194" s="1">
        <v>45572</v>
      </c>
      <c r="B194">
        <v>525.1400146484375</v>
      </c>
      <c r="C194">
        <v>525.719970703125</v>
      </c>
      <c r="D194">
        <v>520.80999755859375</v>
      </c>
      <c r="E194">
        <v>521.90997314453125</v>
      </c>
      <c r="F194">
        <v>3970500</v>
      </c>
      <c r="G194">
        <v>516.8515625</v>
      </c>
      <c r="H194" s="2">
        <f>MONTH(Query1[[#This Row],[Date]])</f>
        <v>10</v>
      </c>
      <c r="I194" s="3">
        <f>Query1[[#This Row],[Shares]]*Query1[[#This Row],[Adj Close]]</f>
        <v>607227.76419235393</v>
      </c>
      <c r="J194" s="3">
        <f>IF(ROW()&lt;3, Dashboard!$E$7, IF(Query1[[#This Row],[Month]]&lt;&gt;H193,J193*(1+Dashboard!$E$4)+Dashboard!$E$5,J193))</f>
        <v>565579.69087905274</v>
      </c>
      <c r="K194">
        <f>IF(ROW()&lt;3, 0,IF(Query1[[#This Row],[Month]]&lt;&gt;H193,IF((J194-I194&gt;0),J194-I194,0),0))</f>
        <v>0</v>
      </c>
      <c r="L194" s="2">
        <f t="shared" ref="L194:L257" si="3">IF(ROW()&lt;3, J194/G194, L193+K193/G193)</f>
        <v>1174.8591051078693</v>
      </c>
      <c r="M194">
        <f ca="1">IF(ROW()&lt;3,0,IF(Query1[[#This Row],[Month]]&lt;&gt;OFFSET(Query1[[#This Row],[Month]],-1,0),Dashboard!$J$5,0))</f>
        <v>0</v>
      </c>
      <c r="N194" s="2">
        <f ca="1">IF(ROW()&lt;3, Query1[[#This Row],[Shares]], IF(Query1[[#This Row],[Month]]&lt;&gt;H193, N193+Query1[[#This Row],[Fix Top Up]]/Query1[[#This Row],[Adj Close]], N193))</f>
        <v>1193.3032355991782</v>
      </c>
      <c r="O19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4" s="2">
        <f ca="1">IF(ROW()&lt;3, Query1[[#This Row],[Shares]], IF(Query1[[#This Row],[Month]]&lt;&gt;H193, P193+Query1[[#This Row],[Enhanced top up]]/Query1[[#This Row],[Adj Close]], P193))</f>
        <v>1190.9520269837526</v>
      </c>
      <c r="Q194" s="2">
        <f>IFERROR(AVERAGE(
  IF(ROW()&gt;20, INDEX(G:G, ROW()-20), 0) :
  INDEX(G:G, ROW())
),0)</f>
        <v>513.90846615745909</v>
      </c>
    </row>
    <row r="195" spans="1:17" x14ac:dyDescent="0.3">
      <c r="A195" s="1">
        <v>45573</v>
      </c>
      <c r="B195">
        <v>524.32000732421875</v>
      </c>
      <c r="C195">
        <v>527.3800048828125</v>
      </c>
      <c r="D195">
        <v>523.5</v>
      </c>
      <c r="E195">
        <v>526.8499755859375</v>
      </c>
      <c r="F195">
        <v>2626700</v>
      </c>
      <c r="G195">
        <v>521.7437744140625</v>
      </c>
      <c r="H195" s="2">
        <f>MONTH(Query1[[#This Row],[Date]])</f>
        <v>10</v>
      </c>
      <c r="I195" s="3">
        <f>Query1[[#This Row],[Shares]]*Query1[[#This Row],[Adj Close]]</f>
        <v>612975.42390370753</v>
      </c>
      <c r="J195" s="3">
        <f>IF(ROW()&lt;3, Dashboard!$E$7, IF(Query1[[#This Row],[Month]]&lt;&gt;H194,J194*(1+Dashboard!$E$4)+Dashboard!$E$5,J194))</f>
        <v>565579.69087905274</v>
      </c>
      <c r="K195">
        <f>IF(ROW()&lt;3, 0,IF(Query1[[#This Row],[Month]]&lt;&gt;H194,IF((J195-I195&gt;0),J195-I195,0),0))</f>
        <v>0</v>
      </c>
      <c r="L195" s="2">
        <f t="shared" si="3"/>
        <v>1174.8591051078693</v>
      </c>
      <c r="M195">
        <f ca="1">IF(ROW()&lt;3,0,IF(Query1[[#This Row],[Month]]&lt;&gt;OFFSET(Query1[[#This Row],[Month]],-1,0),Dashboard!$J$5,0))</f>
        <v>0</v>
      </c>
      <c r="N195" s="2">
        <f ca="1">IF(ROW()&lt;3, Query1[[#This Row],[Shares]], IF(Query1[[#This Row],[Month]]&lt;&gt;H194, N194+Query1[[#This Row],[Fix Top Up]]/Query1[[#This Row],[Adj Close]], N194))</f>
        <v>1193.3032355991782</v>
      </c>
      <c r="O19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5" s="2">
        <f ca="1">IF(ROW()&lt;3, Query1[[#This Row],[Shares]], IF(Query1[[#This Row],[Month]]&lt;&gt;H194, P194+Query1[[#This Row],[Enhanced top up]]/Query1[[#This Row],[Adj Close]], P194))</f>
        <v>1190.9520269837526</v>
      </c>
      <c r="Q195" s="2">
        <f>IFERROR(AVERAGE(
  IF(ROW()&gt;20, INDEX(G:G, ROW()-20), 0) :
  INDEX(G:G, ROW())
),0)</f>
        <v>515.14304460797996</v>
      </c>
    </row>
    <row r="196" spans="1:17" x14ac:dyDescent="0.3">
      <c r="A196" s="1">
        <v>45574</v>
      </c>
      <c r="B196">
        <v>526.8699951171875</v>
      </c>
      <c r="C196">
        <v>531.030029296875</v>
      </c>
      <c r="D196">
        <v>526.30999755859375</v>
      </c>
      <c r="E196">
        <v>530.45001220703125</v>
      </c>
      <c r="F196">
        <v>2941800</v>
      </c>
      <c r="G196">
        <v>525.30889892578125</v>
      </c>
      <c r="H196" s="2">
        <f>MONTH(Query1[[#This Row],[Date]])</f>
        <v>10</v>
      </c>
      <c r="I196" s="3">
        <f>Query1[[#This Row],[Shares]]*Query1[[#This Row],[Adj Close]]</f>
        <v>617163.94289714354</v>
      </c>
      <c r="J196" s="3">
        <f>IF(ROW()&lt;3, Dashboard!$E$7, IF(Query1[[#This Row],[Month]]&lt;&gt;H195,J195*(1+Dashboard!$E$4)+Dashboard!$E$5,J195))</f>
        <v>565579.69087905274</v>
      </c>
      <c r="K196">
        <f>IF(ROW()&lt;3, 0,IF(Query1[[#This Row],[Month]]&lt;&gt;H195,IF((J196-I196&gt;0),J196-I196,0),0))</f>
        <v>0</v>
      </c>
      <c r="L196" s="2">
        <f t="shared" si="3"/>
        <v>1174.8591051078693</v>
      </c>
      <c r="M196">
        <f ca="1">IF(ROW()&lt;3,0,IF(Query1[[#This Row],[Month]]&lt;&gt;OFFSET(Query1[[#This Row],[Month]],-1,0),Dashboard!$J$5,0))</f>
        <v>0</v>
      </c>
      <c r="N196" s="2">
        <f ca="1">IF(ROW()&lt;3, Query1[[#This Row],[Shares]], IF(Query1[[#This Row],[Month]]&lt;&gt;H195, N195+Query1[[#This Row],[Fix Top Up]]/Query1[[#This Row],[Adj Close]], N195))</f>
        <v>1193.3032355991782</v>
      </c>
      <c r="O19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6" s="2">
        <f ca="1">IF(ROW()&lt;3, Query1[[#This Row],[Shares]], IF(Query1[[#This Row],[Month]]&lt;&gt;H195, P195+Query1[[#This Row],[Enhanced top up]]/Query1[[#This Row],[Adj Close]], P195))</f>
        <v>1190.9520269837526</v>
      </c>
      <c r="Q196" s="2">
        <f>IFERROR(AVERAGE(
  IF(ROW()&gt;20, INDEX(G:G, ROW()-20), 0) :
  INDEX(G:G, ROW())
),0)</f>
        <v>516.45007760184149</v>
      </c>
    </row>
    <row r="197" spans="1:17" x14ac:dyDescent="0.3">
      <c r="A197" s="1">
        <v>45575</v>
      </c>
      <c r="B197">
        <v>529.27001953125</v>
      </c>
      <c r="C197">
        <v>530.9000244140625</v>
      </c>
      <c r="D197">
        <v>528.09002685546875</v>
      </c>
      <c r="E197">
        <v>529.55999755859375</v>
      </c>
      <c r="F197">
        <v>3637600</v>
      </c>
      <c r="G197">
        <v>524.427490234375</v>
      </c>
      <c r="H197" s="2">
        <f>MONTH(Query1[[#This Row],[Date]])</f>
        <v>10</v>
      </c>
      <c r="I197" s="3">
        <f>Query1[[#This Row],[Shares]]*Query1[[#This Row],[Adj Close]]</f>
        <v>616128.41187072371</v>
      </c>
      <c r="J197" s="3">
        <f>IF(ROW()&lt;3, Dashboard!$E$7, IF(Query1[[#This Row],[Month]]&lt;&gt;H196,J196*(1+Dashboard!$E$4)+Dashboard!$E$5,J196))</f>
        <v>565579.69087905274</v>
      </c>
      <c r="K197">
        <f>IF(ROW()&lt;3, 0,IF(Query1[[#This Row],[Month]]&lt;&gt;H196,IF((J197-I197&gt;0),J197-I197,0),0))</f>
        <v>0</v>
      </c>
      <c r="L197" s="2">
        <f t="shared" si="3"/>
        <v>1174.8591051078693</v>
      </c>
      <c r="M197">
        <f ca="1">IF(ROW()&lt;3,0,IF(Query1[[#This Row],[Month]]&lt;&gt;OFFSET(Query1[[#This Row],[Month]],-1,0),Dashboard!$J$5,0))</f>
        <v>0</v>
      </c>
      <c r="N197" s="2">
        <f ca="1">IF(ROW()&lt;3, Query1[[#This Row],[Shares]], IF(Query1[[#This Row],[Month]]&lt;&gt;H196, N196+Query1[[#This Row],[Fix Top Up]]/Query1[[#This Row],[Adj Close]], N196))</f>
        <v>1193.3032355991782</v>
      </c>
      <c r="O19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7" s="2">
        <f ca="1">IF(ROW()&lt;3, Query1[[#This Row],[Shares]], IF(Query1[[#This Row],[Month]]&lt;&gt;H196, P196+Query1[[#This Row],[Enhanced top up]]/Query1[[#This Row],[Adj Close]], P196))</f>
        <v>1190.9520269837526</v>
      </c>
      <c r="Q197" s="2">
        <f>IFERROR(AVERAGE(
  IF(ROW()&gt;20, INDEX(G:G, ROW()-20), 0) :
  INDEX(G:G, ROW())
),0)</f>
        <v>517.47256324404759</v>
      </c>
    </row>
    <row r="198" spans="1:17" x14ac:dyDescent="0.3">
      <c r="A198" s="1">
        <v>45576</v>
      </c>
      <c r="B198">
        <v>529.5</v>
      </c>
      <c r="C198">
        <v>533.42999267578125</v>
      </c>
      <c r="D198">
        <v>529.3900146484375</v>
      </c>
      <c r="E198">
        <v>532.71002197265625</v>
      </c>
      <c r="F198">
        <v>5429200</v>
      </c>
      <c r="G198">
        <v>527.54705810546875</v>
      </c>
      <c r="H198" s="2">
        <f>MONTH(Query1[[#This Row],[Date]])</f>
        <v>10</v>
      </c>
      <c r="I198" s="3">
        <f>Query1[[#This Row],[Shares]]*Query1[[#This Row],[Adj Close]]</f>
        <v>619793.46458808007</v>
      </c>
      <c r="J198" s="3">
        <f>IF(ROW()&lt;3, Dashboard!$E$7, IF(Query1[[#This Row],[Month]]&lt;&gt;H197,J197*(1+Dashboard!$E$4)+Dashboard!$E$5,J197))</f>
        <v>565579.69087905274</v>
      </c>
      <c r="K198">
        <f>IF(ROW()&lt;3, 0,IF(Query1[[#This Row],[Month]]&lt;&gt;H197,IF((J198-I198&gt;0),J198-I198,0),0))</f>
        <v>0</v>
      </c>
      <c r="L198" s="2">
        <f t="shared" si="3"/>
        <v>1174.8591051078693</v>
      </c>
      <c r="M198">
        <f ca="1">IF(ROW()&lt;3,0,IF(Query1[[#This Row],[Month]]&lt;&gt;OFFSET(Query1[[#This Row],[Month]],-1,0),Dashboard!$J$5,0))</f>
        <v>0</v>
      </c>
      <c r="N198" s="2">
        <f ca="1">IF(ROW()&lt;3, Query1[[#This Row],[Shares]], IF(Query1[[#This Row],[Month]]&lt;&gt;H197, N197+Query1[[#This Row],[Fix Top Up]]/Query1[[#This Row],[Adj Close]], N197))</f>
        <v>1193.3032355991782</v>
      </c>
      <c r="O19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8" s="2">
        <f ca="1">IF(ROW()&lt;3, Query1[[#This Row],[Shares]], IF(Query1[[#This Row],[Month]]&lt;&gt;H197, P197+Query1[[#This Row],[Enhanced top up]]/Query1[[#This Row],[Adj Close]], P197))</f>
        <v>1190.9520269837526</v>
      </c>
      <c r="Q198" s="2">
        <f>IFERROR(AVERAGE(
  IF(ROW()&gt;20, INDEX(G:G, ROW()-20), 0) :
  INDEX(G:G, ROW())
),0)</f>
        <v>518.4376903715588</v>
      </c>
    </row>
    <row r="199" spans="1:17" x14ac:dyDescent="0.3">
      <c r="A199" s="1">
        <v>45579</v>
      </c>
      <c r="B199">
        <v>534.25</v>
      </c>
      <c r="C199">
        <v>537.97998046875</v>
      </c>
      <c r="D199">
        <v>533.969970703125</v>
      </c>
      <c r="E199">
        <v>537.07000732421875</v>
      </c>
      <c r="F199">
        <v>2638900</v>
      </c>
      <c r="G199">
        <v>531.86474609375</v>
      </c>
      <c r="H199" s="2">
        <f>MONTH(Query1[[#This Row],[Date]])</f>
        <v>10</v>
      </c>
      <c r="I199" s="3">
        <f>Query1[[#This Row],[Shares]]*Query1[[#This Row],[Adj Close]]</f>
        <v>624866.13963412726</v>
      </c>
      <c r="J199" s="3">
        <f>IF(ROW()&lt;3, Dashboard!$E$7, IF(Query1[[#This Row],[Month]]&lt;&gt;H198,J198*(1+Dashboard!$E$4)+Dashboard!$E$5,J198))</f>
        <v>565579.69087905274</v>
      </c>
      <c r="K199">
        <f>IF(ROW()&lt;3, 0,IF(Query1[[#This Row],[Month]]&lt;&gt;H198,IF((J199-I199&gt;0),J199-I199,0),0))</f>
        <v>0</v>
      </c>
      <c r="L199" s="2">
        <f t="shared" si="3"/>
        <v>1174.8591051078693</v>
      </c>
      <c r="M199">
        <f ca="1">IF(ROW()&lt;3,0,IF(Query1[[#This Row],[Month]]&lt;&gt;OFFSET(Query1[[#This Row],[Month]],-1,0),Dashboard!$J$5,0))</f>
        <v>0</v>
      </c>
      <c r="N199" s="2">
        <f ca="1">IF(ROW()&lt;3, Query1[[#This Row],[Shares]], IF(Query1[[#This Row],[Month]]&lt;&gt;H198, N198+Query1[[#This Row],[Fix Top Up]]/Query1[[#This Row],[Adj Close]], N198))</f>
        <v>1193.3032355991782</v>
      </c>
      <c r="O19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199" s="2">
        <f ca="1">IF(ROW()&lt;3, Query1[[#This Row],[Shares]], IF(Query1[[#This Row],[Month]]&lt;&gt;H198, P198+Query1[[#This Row],[Enhanced top up]]/Query1[[#This Row],[Adj Close]], P198))</f>
        <v>1190.9520269837526</v>
      </c>
      <c r="Q199" s="2">
        <f>IFERROR(AVERAGE(
  IF(ROW()&gt;20, INDEX(G:G, ROW()-20), 0) :
  INDEX(G:G, ROW())
),0)</f>
        <v>519.48007928757443</v>
      </c>
    </row>
    <row r="200" spans="1:17" x14ac:dyDescent="0.3">
      <c r="A200" s="1">
        <v>45580</v>
      </c>
      <c r="B200">
        <v>537.3800048828125</v>
      </c>
      <c r="C200">
        <v>537.6099853515625</v>
      </c>
      <c r="D200">
        <v>531.82000732421875</v>
      </c>
      <c r="E200">
        <v>532.97998046875</v>
      </c>
      <c r="F200">
        <v>4811300</v>
      </c>
      <c r="G200">
        <v>527.81439208984375</v>
      </c>
      <c r="H200" s="2">
        <f>MONTH(Query1[[#This Row],[Date]])</f>
        <v>10</v>
      </c>
      <c r="I200" s="3">
        <f>Query1[[#This Row],[Shares]]*Query1[[#This Row],[Adj Close]]</f>
        <v>620107.54435372783</v>
      </c>
      <c r="J200" s="3">
        <f>IF(ROW()&lt;3, Dashboard!$E$7, IF(Query1[[#This Row],[Month]]&lt;&gt;H199,J199*(1+Dashboard!$E$4)+Dashboard!$E$5,J199))</f>
        <v>565579.69087905274</v>
      </c>
      <c r="K200">
        <f>IF(ROW()&lt;3, 0,IF(Query1[[#This Row],[Month]]&lt;&gt;H199,IF((J200-I200&gt;0),J200-I200,0),0))</f>
        <v>0</v>
      </c>
      <c r="L200" s="2">
        <f t="shared" si="3"/>
        <v>1174.8591051078693</v>
      </c>
      <c r="M200">
        <f ca="1">IF(ROW()&lt;3,0,IF(Query1[[#This Row],[Month]]&lt;&gt;OFFSET(Query1[[#This Row],[Month]],-1,0),Dashboard!$J$5,0))</f>
        <v>0</v>
      </c>
      <c r="N200" s="2">
        <f ca="1">IF(ROW()&lt;3, Query1[[#This Row],[Shares]], IF(Query1[[#This Row],[Month]]&lt;&gt;H199, N199+Query1[[#This Row],[Fix Top Up]]/Query1[[#This Row],[Adj Close]], N199))</f>
        <v>1193.3032355991782</v>
      </c>
      <c r="O20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0" s="2">
        <f ca="1">IF(ROW()&lt;3, Query1[[#This Row],[Shares]], IF(Query1[[#This Row],[Month]]&lt;&gt;H199, P199+Query1[[#This Row],[Enhanced top up]]/Query1[[#This Row],[Adj Close]], P199))</f>
        <v>1190.9520269837526</v>
      </c>
      <c r="Q200" s="2">
        <f>IFERROR(AVERAGE(
  IF(ROW()&gt;20, INDEX(G:G, ROW()-20), 0) :
  INDEX(G:G, ROW())
),0)</f>
        <v>520.29292951311379</v>
      </c>
    </row>
    <row r="201" spans="1:17" x14ac:dyDescent="0.3">
      <c r="A201" s="1">
        <v>45581</v>
      </c>
      <c r="B201">
        <v>532.92999267578125</v>
      </c>
      <c r="C201">
        <v>535.72998046875</v>
      </c>
      <c r="D201">
        <v>532.219970703125</v>
      </c>
      <c r="E201">
        <v>535.219970703125</v>
      </c>
      <c r="F201">
        <v>3237200</v>
      </c>
      <c r="G201">
        <v>530.03265380859375</v>
      </c>
      <c r="H201" s="2">
        <f>MONTH(Query1[[#This Row],[Date]])</f>
        <v>10</v>
      </c>
      <c r="I201" s="3">
        <f>Query1[[#This Row],[Shares]]*Query1[[#This Row],[Adj Close]]</f>
        <v>622713.68933151348</v>
      </c>
      <c r="J201" s="3">
        <f>IF(ROW()&lt;3, Dashboard!$E$7, IF(Query1[[#This Row],[Month]]&lt;&gt;H200,J200*(1+Dashboard!$E$4)+Dashboard!$E$5,J200))</f>
        <v>565579.69087905274</v>
      </c>
      <c r="K201">
        <f>IF(ROW()&lt;3, 0,IF(Query1[[#This Row],[Month]]&lt;&gt;H200,IF((J201-I201&gt;0),J201-I201,0),0))</f>
        <v>0</v>
      </c>
      <c r="L201" s="2">
        <f t="shared" si="3"/>
        <v>1174.8591051078693</v>
      </c>
      <c r="M201">
        <f ca="1">IF(ROW()&lt;3,0,IF(Query1[[#This Row],[Month]]&lt;&gt;OFFSET(Query1[[#This Row],[Month]],-1,0),Dashboard!$J$5,0))</f>
        <v>0</v>
      </c>
      <c r="N201" s="2">
        <f ca="1">IF(ROW()&lt;3, Query1[[#This Row],[Shares]], IF(Query1[[#This Row],[Month]]&lt;&gt;H200, N200+Query1[[#This Row],[Fix Top Up]]/Query1[[#This Row],[Adj Close]], N200))</f>
        <v>1193.3032355991782</v>
      </c>
      <c r="O20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1" s="2">
        <f ca="1">IF(ROW()&lt;3, Query1[[#This Row],[Shares]], IF(Query1[[#This Row],[Month]]&lt;&gt;H200, P200+Query1[[#This Row],[Enhanced top up]]/Query1[[#This Row],[Adj Close]], P200))</f>
        <v>1190.9520269837526</v>
      </c>
      <c r="Q201" s="2">
        <f>IFERROR(AVERAGE(
  IF(ROW()&gt;20, INDEX(G:G, ROW()-20), 0) :
  INDEX(G:G, ROW())
),0)</f>
        <v>521.2001270112537</v>
      </c>
    </row>
    <row r="202" spans="1:17" x14ac:dyDescent="0.3">
      <c r="A202" s="1">
        <v>45582</v>
      </c>
      <c r="B202">
        <v>538.6199951171875</v>
      </c>
      <c r="C202">
        <v>538.760009765625</v>
      </c>
      <c r="D202">
        <v>535.1500244140625</v>
      </c>
      <c r="E202">
        <v>535.29998779296875</v>
      </c>
      <c r="F202">
        <v>3225300</v>
      </c>
      <c r="G202">
        <v>530.11187744140625</v>
      </c>
      <c r="H202" s="2">
        <f>MONTH(Query1[[#This Row],[Date]])</f>
        <v>10</v>
      </c>
      <c r="I202" s="3">
        <f>Query1[[#This Row],[Shares]]*Query1[[#This Row],[Adj Close]]</f>
        <v>622806.76593786303</v>
      </c>
      <c r="J202" s="3">
        <f>IF(ROW()&lt;3, Dashboard!$E$7, IF(Query1[[#This Row],[Month]]&lt;&gt;H201,J201*(1+Dashboard!$E$4)+Dashboard!$E$5,J201))</f>
        <v>565579.69087905274</v>
      </c>
      <c r="K202">
        <f>IF(ROW()&lt;3, 0,IF(Query1[[#This Row],[Month]]&lt;&gt;H201,IF((J202-I202&gt;0),J202-I202,0),0))</f>
        <v>0</v>
      </c>
      <c r="L202" s="2">
        <f t="shared" si="3"/>
        <v>1174.8591051078693</v>
      </c>
      <c r="M202">
        <f ca="1">IF(ROW()&lt;3,0,IF(Query1[[#This Row],[Month]]&lt;&gt;OFFSET(Query1[[#This Row],[Month]],-1,0),Dashboard!$J$5,0))</f>
        <v>0</v>
      </c>
      <c r="N202" s="2">
        <f ca="1">IF(ROW()&lt;3, Query1[[#This Row],[Shares]], IF(Query1[[#This Row],[Month]]&lt;&gt;H201, N201+Query1[[#This Row],[Fix Top Up]]/Query1[[#This Row],[Adj Close]], N201))</f>
        <v>1193.3032355991782</v>
      </c>
      <c r="O20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2" s="2">
        <f ca="1">IF(ROW()&lt;3, Query1[[#This Row],[Shares]], IF(Query1[[#This Row],[Month]]&lt;&gt;H201, P201+Query1[[#This Row],[Enhanced top up]]/Query1[[#This Row],[Adj Close]], P201))</f>
        <v>1190.9520269837526</v>
      </c>
      <c r="Q202" s="2">
        <f>IFERROR(AVERAGE(
  IF(ROW()&gt;20, INDEX(G:G, ROW()-20), 0) :
  INDEX(G:G, ROW())
),0)</f>
        <v>522.1900780087426</v>
      </c>
    </row>
    <row r="203" spans="1:17" x14ac:dyDescent="0.3">
      <c r="A203" s="1">
        <v>45583</v>
      </c>
      <c r="B203">
        <v>536.9000244140625</v>
      </c>
      <c r="C203">
        <v>538.0999755859375</v>
      </c>
      <c r="D203">
        <v>535.55999755859375</v>
      </c>
      <c r="E203">
        <v>537.3599853515625</v>
      </c>
      <c r="F203">
        <v>5070400</v>
      </c>
      <c r="G203">
        <v>532.15185546875</v>
      </c>
      <c r="H203" s="2">
        <f>MONTH(Query1[[#This Row],[Date]])</f>
        <v>10</v>
      </c>
      <c r="I203" s="3">
        <f>Query1[[#This Row],[Shares]]*Query1[[#This Row],[Adj Close]]</f>
        <v>625203.4526975078</v>
      </c>
      <c r="J203" s="3">
        <f>IF(ROW()&lt;3, Dashboard!$E$7, IF(Query1[[#This Row],[Month]]&lt;&gt;H202,J202*(1+Dashboard!$E$4)+Dashboard!$E$5,J202))</f>
        <v>565579.69087905274</v>
      </c>
      <c r="K203">
        <f>IF(ROW()&lt;3, 0,IF(Query1[[#This Row],[Month]]&lt;&gt;H202,IF((J203-I203&gt;0),J203-I203,0),0))</f>
        <v>0</v>
      </c>
      <c r="L203" s="2">
        <f t="shared" si="3"/>
        <v>1174.8591051078693</v>
      </c>
      <c r="M203">
        <f ca="1">IF(ROW()&lt;3,0,IF(Query1[[#This Row],[Month]]&lt;&gt;OFFSET(Query1[[#This Row],[Month]],-1,0),Dashboard!$J$5,0))</f>
        <v>0</v>
      </c>
      <c r="N203" s="2">
        <f ca="1">IF(ROW()&lt;3, Query1[[#This Row],[Shares]], IF(Query1[[#This Row],[Month]]&lt;&gt;H202, N202+Query1[[#This Row],[Fix Top Up]]/Query1[[#This Row],[Adj Close]], N202))</f>
        <v>1193.3032355991782</v>
      </c>
      <c r="O20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3" s="2">
        <f ca="1">IF(ROW()&lt;3, Query1[[#This Row],[Shares]], IF(Query1[[#This Row],[Month]]&lt;&gt;H202, P202+Query1[[#This Row],[Enhanced top up]]/Query1[[#This Row],[Adj Close]], P202))</f>
        <v>1190.9520269837526</v>
      </c>
      <c r="Q203" s="2">
        <f>IFERROR(AVERAGE(
  IF(ROW()&gt;20, INDEX(G:G, ROW()-20), 0) :
  INDEX(G:G, ROW())
),0)</f>
        <v>522.85407075427827</v>
      </c>
    </row>
    <row r="204" spans="1:17" x14ac:dyDescent="0.3">
      <c r="A204" s="1">
        <v>45586</v>
      </c>
      <c r="B204">
        <v>536.719970703125</v>
      </c>
      <c r="C204">
        <v>537.6099853515625</v>
      </c>
      <c r="D204">
        <v>533.71002197265625</v>
      </c>
      <c r="E204">
        <v>536.530029296875</v>
      </c>
      <c r="F204">
        <v>3671400</v>
      </c>
      <c r="G204">
        <v>531.33001708984375</v>
      </c>
      <c r="H204" s="2">
        <f>MONTH(Query1[[#This Row],[Date]])</f>
        <v>10</v>
      </c>
      <c r="I204" s="3">
        <f>Query1[[#This Row],[Shares]]*Query1[[#This Row],[Adj Close]]</f>
        <v>624237.90839512274</v>
      </c>
      <c r="J204" s="3">
        <f>IF(ROW()&lt;3, Dashboard!$E$7, IF(Query1[[#This Row],[Month]]&lt;&gt;H203,J203*(1+Dashboard!$E$4)+Dashboard!$E$5,J203))</f>
        <v>565579.69087905274</v>
      </c>
      <c r="K204">
        <f>IF(ROW()&lt;3, 0,IF(Query1[[#This Row],[Month]]&lt;&gt;H203,IF((J204-I204&gt;0),J204-I204,0),0))</f>
        <v>0</v>
      </c>
      <c r="L204" s="2">
        <f t="shared" si="3"/>
        <v>1174.8591051078693</v>
      </c>
      <c r="M204">
        <f ca="1">IF(ROW()&lt;3,0,IF(Query1[[#This Row],[Month]]&lt;&gt;OFFSET(Query1[[#This Row],[Month]],-1,0),Dashboard!$J$5,0))</f>
        <v>0</v>
      </c>
      <c r="N204" s="2">
        <f ca="1">IF(ROW()&lt;3, Query1[[#This Row],[Shares]], IF(Query1[[#This Row],[Month]]&lt;&gt;H203, N203+Query1[[#This Row],[Fix Top Up]]/Query1[[#This Row],[Adj Close]], N203))</f>
        <v>1193.3032355991782</v>
      </c>
      <c r="O20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4" s="2">
        <f ca="1">IF(ROW()&lt;3, Query1[[#This Row],[Shares]], IF(Query1[[#This Row],[Month]]&lt;&gt;H203, P203+Query1[[#This Row],[Enhanced top up]]/Query1[[#This Row],[Adj Close]], P203))</f>
        <v>1190.9520269837526</v>
      </c>
      <c r="Q204" s="2">
        <f>IFERROR(AVERAGE(
  IF(ROW()&gt;20, INDEX(G:G, ROW()-20), 0) :
  INDEX(G:G, ROW())
),0)</f>
        <v>523.52734665643607</v>
      </c>
    </row>
    <row r="205" spans="1:17" x14ac:dyDescent="0.3">
      <c r="A205" s="1">
        <v>45587</v>
      </c>
      <c r="B205">
        <v>534.1099853515625</v>
      </c>
      <c r="C205">
        <v>537.280029296875</v>
      </c>
      <c r="D205">
        <v>533.469970703125</v>
      </c>
      <c r="E205">
        <v>536.15997314453125</v>
      </c>
      <c r="F205">
        <v>3366600</v>
      </c>
      <c r="G205">
        <v>530.96356201171875</v>
      </c>
      <c r="H205" s="2">
        <f>MONTH(Query1[[#This Row],[Date]])</f>
        <v>10</v>
      </c>
      <c r="I205" s="3">
        <f>Query1[[#This Row],[Shares]]*Query1[[#This Row],[Adj Close]]</f>
        <v>623807.37530997454</v>
      </c>
      <c r="J205" s="3">
        <f>IF(ROW()&lt;3, Dashboard!$E$7, IF(Query1[[#This Row],[Month]]&lt;&gt;H204,J204*(1+Dashboard!$E$4)+Dashboard!$E$5,J204))</f>
        <v>565579.69087905274</v>
      </c>
      <c r="K205">
        <f>IF(ROW()&lt;3, 0,IF(Query1[[#This Row],[Month]]&lt;&gt;H204,IF((J205-I205&gt;0),J205-I205,0),0))</f>
        <v>0</v>
      </c>
      <c r="L205" s="2">
        <f t="shared" si="3"/>
        <v>1174.8591051078693</v>
      </c>
      <c r="M205">
        <f ca="1">IF(ROW()&lt;3,0,IF(Query1[[#This Row],[Month]]&lt;&gt;OFFSET(Query1[[#This Row],[Month]],-1,0),Dashboard!$J$5,0))</f>
        <v>0</v>
      </c>
      <c r="N205" s="2">
        <f ca="1">IF(ROW()&lt;3, Query1[[#This Row],[Shares]], IF(Query1[[#This Row],[Month]]&lt;&gt;H204, N204+Query1[[#This Row],[Fix Top Up]]/Query1[[#This Row],[Adj Close]], N204))</f>
        <v>1193.3032355991782</v>
      </c>
      <c r="O20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5" s="2">
        <f ca="1">IF(ROW()&lt;3, Query1[[#This Row],[Shares]], IF(Query1[[#This Row],[Month]]&lt;&gt;H204, P204+Query1[[#This Row],[Enhanced top up]]/Query1[[#This Row],[Adj Close]], P204))</f>
        <v>1190.9520269837526</v>
      </c>
      <c r="Q205" s="2">
        <f>IFERROR(AVERAGE(
  IF(ROW()&gt;20, INDEX(G:G, ROW()-20), 0) :
  INDEX(G:G, ROW())
),0)</f>
        <v>524.12252662295384</v>
      </c>
    </row>
    <row r="206" spans="1:17" x14ac:dyDescent="0.3">
      <c r="A206" s="1">
        <v>45588</v>
      </c>
      <c r="B206">
        <v>534.280029296875</v>
      </c>
      <c r="C206">
        <v>534.719970703125</v>
      </c>
      <c r="D206">
        <v>528.02001953125</v>
      </c>
      <c r="E206">
        <v>531.27001953125</v>
      </c>
      <c r="F206">
        <v>5227800</v>
      </c>
      <c r="G206">
        <v>526.1209716796875</v>
      </c>
      <c r="H206" s="2">
        <f>MONTH(Query1[[#This Row],[Date]])</f>
        <v>10</v>
      </c>
      <c r="I206" s="3">
        <f>Query1[[#This Row],[Shares]]*Query1[[#This Row],[Adj Close]]</f>
        <v>618118.01396608027</v>
      </c>
      <c r="J206" s="3">
        <f>IF(ROW()&lt;3, Dashboard!$E$7, IF(Query1[[#This Row],[Month]]&lt;&gt;H205,J205*(1+Dashboard!$E$4)+Dashboard!$E$5,J205))</f>
        <v>565579.69087905274</v>
      </c>
      <c r="K206">
        <f>IF(ROW()&lt;3, 0,IF(Query1[[#This Row],[Month]]&lt;&gt;H205,IF((J206-I206&gt;0),J206-I206,0),0))</f>
        <v>0</v>
      </c>
      <c r="L206" s="2">
        <f t="shared" si="3"/>
        <v>1174.8591051078693</v>
      </c>
      <c r="M206">
        <f ca="1">IF(ROW()&lt;3,0,IF(Query1[[#This Row],[Month]]&lt;&gt;OFFSET(Query1[[#This Row],[Month]],-1,0),Dashboard!$J$5,0))</f>
        <v>0</v>
      </c>
      <c r="N206" s="2">
        <f ca="1">IF(ROW()&lt;3, Query1[[#This Row],[Shares]], IF(Query1[[#This Row],[Month]]&lt;&gt;H205, N205+Query1[[#This Row],[Fix Top Up]]/Query1[[#This Row],[Adj Close]], N205))</f>
        <v>1193.3032355991782</v>
      </c>
      <c r="O20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6" s="2">
        <f ca="1">IF(ROW()&lt;3, Query1[[#This Row],[Shares]], IF(Query1[[#This Row],[Month]]&lt;&gt;H205, P205+Query1[[#This Row],[Enhanced top up]]/Query1[[#This Row],[Adj Close]], P205))</f>
        <v>1190.9520269837526</v>
      </c>
      <c r="Q206" s="2">
        <f>IFERROR(AVERAGE(
  IF(ROW()&gt;20, INDEX(G:G, ROW()-20), 0) :
  INDEX(G:G, ROW())
),0)</f>
        <v>524.4161231631324</v>
      </c>
    </row>
    <row r="207" spans="1:17" x14ac:dyDescent="0.3">
      <c r="A207" s="1">
        <v>45589</v>
      </c>
      <c r="B207">
        <v>533.16998291015625</v>
      </c>
      <c r="C207">
        <v>533.17999267578125</v>
      </c>
      <c r="D207">
        <v>530.03997802734375</v>
      </c>
      <c r="E207">
        <v>532.469970703125</v>
      </c>
      <c r="F207">
        <v>4477800</v>
      </c>
      <c r="G207">
        <v>527.30926513671875</v>
      </c>
      <c r="H207" s="2">
        <f>MONTH(Query1[[#This Row],[Date]])</f>
        <v>10</v>
      </c>
      <c r="I207" s="3">
        <f>Query1[[#This Row],[Shares]]*Query1[[#This Row],[Adj Close]]</f>
        <v>619514.09135361353</v>
      </c>
      <c r="J207" s="3">
        <f>IF(ROW()&lt;3, Dashboard!$E$7, IF(Query1[[#This Row],[Month]]&lt;&gt;H206,J206*(1+Dashboard!$E$4)+Dashboard!$E$5,J206))</f>
        <v>565579.69087905274</v>
      </c>
      <c r="K207">
        <f>IF(ROW()&lt;3, 0,IF(Query1[[#This Row],[Month]]&lt;&gt;H206,IF((J207-I207&gt;0),J207-I207,0),0))</f>
        <v>0</v>
      </c>
      <c r="L207" s="2">
        <f t="shared" si="3"/>
        <v>1174.8591051078693</v>
      </c>
      <c r="M207">
        <f ca="1">IF(ROW()&lt;3,0,IF(Query1[[#This Row],[Month]]&lt;&gt;OFFSET(Query1[[#This Row],[Month]],-1,0),Dashboard!$J$5,0))</f>
        <v>0</v>
      </c>
      <c r="N207" s="2">
        <f ca="1">IF(ROW()&lt;3, Query1[[#This Row],[Shares]], IF(Query1[[#This Row],[Month]]&lt;&gt;H206, N206+Query1[[#This Row],[Fix Top Up]]/Query1[[#This Row],[Adj Close]], N206))</f>
        <v>1193.3032355991782</v>
      </c>
      <c r="O20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7" s="2">
        <f ca="1">IF(ROW()&lt;3, Query1[[#This Row],[Shares]], IF(Query1[[#This Row],[Month]]&lt;&gt;H206, P206+Query1[[#This Row],[Enhanced top up]]/Query1[[#This Row],[Adj Close]], P206))</f>
        <v>1190.9520269837526</v>
      </c>
      <c r="Q207" s="2">
        <f>IFERROR(AVERAGE(
  IF(ROW()&gt;20, INDEX(G:G, ROW()-20), 0) :
  INDEX(G:G, ROW())
),0)</f>
        <v>524.81660679408481</v>
      </c>
    </row>
    <row r="208" spans="1:17" x14ac:dyDescent="0.3">
      <c r="A208" s="1">
        <v>45590</v>
      </c>
      <c r="B208">
        <v>534.6500244140625</v>
      </c>
      <c r="C208">
        <v>537.260009765625</v>
      </c>
      <c r="D208">
        <v>531.40997314453125</v>
      </c>
      <c r="E208">
        <v>532.260009765625</v>
      </c>
      <c r="F208">
        <v>4327200</v>
      </c>
      <c r="G208">
        <v>527.101318359375</v>
      </c>
      <c r="H208" s="2">
        <f>MONTH(Query1[[#This Row],[Date]])</f>
        <v>10</v>
      </c>
      <c r="I208" s="3">
        <f>Query1[[#This Row],[Shares]]*Query1[[#This Row],[Adj Close]]</f>
        <v>619269.78318887344</v>
      </c>
      <c r="J208" s="3">
        <f>IF(ROW()&lt;3, Dashboard!$E$7, IF(Query1[[#This Row],[Month]]&lt;&gt;H207,J207*(1+Dashboard!$E$4)+Dashboard!$E$5,J207))</f>
        <v>565579.69087905274</v>
      </c>
      <c r="K208">
        <f>IF(ROW()&lt;3, 0,IF(Query1[[#This Row],[Month]]&lt;&gt;H207,IF((J208-I208&gt;0),J208-I208,0),0))</f>
        <v>0</v>
      </c>
      <c r="L208" s="2">
        <f t="shared" si="3"/>
        <v>1174.8591051078693</v>
      </c>
      <c r="M208">
        <f ca="1">IF(ROW()&lt;3,0,IF(Query1[[#This Row],[Month]]&lt;&gt;OFFSET(Query1[[#This Row],[Month]],-1,0),Dashboard!$J$5,0))</f>
        <v>0</v>
      </c>
      <c r="N208" s="2">
        <f ca="1">IF(ROW()&lt;3, Query1[[#This Row],[Shares]], IF(Query1[[#This Row],[Month]]&lt;&gt;H207, N207+Query1[[#This Row],[Fix Top Up]]/Query1[[#This Row],[Adj Close]], N207))</f>
        <v>1193.3032355991782</v>
      </c>
      <c r="O20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8" s="2">
        <f ca="1">IF(ROW()&lt;3, Query1[[#This Row],[Shares]], IF(Query1[[#This Row],[Month]]&lt;&gt;H207, P207+Query1[[#This Row],[Enhanced top up]]/Query1[[#This Row],[Adj Close]], P207))</f>
        <v>1190.9520269837526</v>
      </c>
      <c r="Q208" s="2">
        <f>IFERROR(AVERAGE(
  IF(ROW()&gt;20, INDEX(G:G, ROW()-20), 0) :
  INDEX(G:G, ROW())
),0)</f>
        <v>525.10893612816221</v>
      </c>
    </row>
    <row r="209" spans="1:17" x14ac:dyDescent="0.3">
      <c r="A209" s="1">
        <v>45593</v>
      </c>
      <c r="B209">
        <v>535.530029296875</v>
      </c>
      <c r="C209">
        <v>535.57000732421875</v>
      </c>
      <c r="D209">
        <v>533.66998291015625</v>
      </c>
      <c r="E209">
        <v>533.91998291015625</v>
      </c>
      <c r="F209">
        <v>3408000</v>
      </c>
      <c r="G209">
        <v>528.74530029296875</v>
      </c>
      <c r="H209" s="2">
        <f>MONTH(Query1[[#This Row],[Date]])</f>
        <v>10</v>
      </c>
      <c r="I209" s="3">
        <f>Query1[[#This Row],[Shares]]*Query1[[#This Row],[Adj Close]]</f>
        <v>621201.23033218889</v>
      </c>
      <c r="J209" s="3">
        <f>IF(ROW()&lt;3, Dashboard!$E$7, IF(Query1[[#This Row],[Month]]&lt;&gt;H208,J208*(1+Dashboard!$E$4)+Dashboard!$E$5,J208))</f>
        <v>565579.69087905274</v>
      </c>
      <c r="K209">
        <f>IF(ROW()&lt;3, 0,IF(Query1[[#This Row],[Month]]&lt;&gt;H208,IF((J209-I209&gt;0),J209-I209,0),0))</f>
        <v>0</v>
      </c>
      <c r="L209" s="2">
        <f t="shared" si="3"/>
        <v>1174.8591051078693</v>
      </c>
      <c r="M209">
        <f ca="1">IF(ROW()&lt;3,0,IF(Query1[[#This Row],[Month]]&lt;&gt;OFFSET(Query1[[#This Row],[Month]],-1,0),Dashboard!$J$5,0))</f>
        <v>0</v>
      </c>
      <c r="N209" s="2">
        <f ca="1">IF(ROW()&lt;3, Query1[[#This Row],[Shares]], IF(Query1[[#This Row],[Month]]&lt;&gt;H208, N208+Query1[[#This Row],[Fix Top Up]]/Query1[[#This Row],[Adj Close]], N208))</f>
        <v>1193.3032355991782</v>
      </c>
      <c r="O20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09" s="2">
        <f ca="1">IF(ROW()&lt;3, Query1[[#This Row],[Shares]], IF(Query1[[#This Row],[Month]]&lt;&gt;H208, P208+Query1[[#This Row],[Enhanced top up]]/Query1[[#This Row],[Adj Close]], P208))</f>
        <v>1190.9520269837526</v>
      </c>
      <c r="Q209" s="2">
        <f>IFERROR(AVERAGE(
  IF(ROW()&gt;20, INDEX(G:G, ROW()-20), 0) :
  INDEX(G:G, ROW())
),0)</f>
        <v>525.51166352771577</v>
      </c>
    </row>
    <row r="210" spans="1:17" x14ac:dyDescent="0.3">
      <c r="A210" s="1">
        <v>45594</v>
      </c>
      <c r="B210">
        <v>533.1199951171875</v>
      </c>
      <c r="C210">
        <v>535.82000732421875</v>
      </c>
      <c r="D210">
        <v>531.75</v>
      </c>
      <c r="E210">
        <v>534.77001953125</v>
      </c>
      <c r="F210">
        <v>3027600</v>
      </c>
      <c r="G210">
        <v>529.5870361328125</v>
      </c>
      <c r="H210" s="2">
        <f>MONTH(Query1[[#This Row],[Date]])</f>
        <v>10</v>
      </c>
      <c r="I210" s="3">
        <f>Query1[[#This Row],[Shares]]*Query1[[#This Row],[Adj Close]]</f>
        <v>622190.15134772495</v>
      </c>
      <c r="J210" s="3">
        <f>IF(ROW()&lt;3, Dashboard!$E$7, IF(Query1[[#This Row],[Month]]&lt;&gt;H209,J209*(1+Dashboard!$E$4)+Dashboard!$E$5,J209))</f>
        <v>565579.69087905274</v>
      </c>
      <c r="K210">
        <f>IF(ROW()&lt;3, 0,IF(Query1[[#This Row],[Month]]&lt;&gt;H209,IF((J210-I210&gt;0),J210-I210,0),0))</f>
        <v>0</v>
      </c>
      <c r="L210" s="2">
        <f t="shared" si="3"/>
        <v>1174.8591051078693</v>
      </c>
      <c r="M210">
        <f ca="1">IF(ROW()&lt;3,0,IF(Query1[[#This Row],[Month]]&lt;&gt;OFFSET(Query1[[#This Row],[Month]],-1,0),Dashboard!$J$5,0))</f>
        <v>0</v>
      </c>
      <c r="N210" s="2">
        <f ca="1">IF(ROW()&lt;3, Query1[[#This Row],[Shares]], IF(Query1[[#This Row],[Month]]&lt;&gt;H209, N209+Query1[[#This Row],[Fix Top Up]]/Query1[[#This Row],[Adj Close]], N209))</f>
        <v>1193.3032355991782</v>
      </c>
      <c r="O21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0" s="2">
        <f ca="1">IF(ROW()&lt;3, Query1[[#This Row],[Shares]], IF(Query1[[#This Row],[Month]]&lt;&gt;H209, P209+Query1[[#This Row],[Enhanced top up]]/Query1[[#This Row],[Adj Close]], P209))</f>
        <v>1190.9520269837526</v>
      </c>
      <c r="Q210" s="2">
        <f>IFERROR(AVERAGE(
  IF(ROW()&gt;20, INDEX(G:G, ROW()-20), 0) :
  INDEX(G:G, ROW())
),0)</f>
        <v>525.84648495628721</v>
      </c>
    </row>
    <row r="211" spans="1:17" x14ac:dyDescent="0.3">
      <c r="A211" s="1">
        <v>45595</v>
      </c>
      <c r="B211">
        <v>534.3499755859375</v>
      </c>
      <c r="C211">
        <v>536.20001220703125</v>
      </c>
      <c r="D211">
        <v>532.59002685546875</v>
      </c>
      <c r="E211">
        <v>533.15997314453125</v>
      </c>
      <c r="F211">
        <v>3067000</v>
      </c>
      <c r="G211">
        <v>527.99261474609375</v>
      </c>
      <c r="H211" s="2">
        <f>MONTH(Query1[[#This Row],[Date]])</f>
        <v>10</v>
      </c>
      <c r="I211" s="3">
        <f>Query1[[#This Row],[Shares]]*Query1[[#This Row],[Adj Close]]</f>
        <v>620316.93086415972</v>
      </c>
      <c r="J211" s="3">
        <f>IF(ROW()&lt;3, Dashboard!$E$7, IF(Query1[[#This Row],[Month]]&lt;&gt;H210,J210*(1+Dashboard!$E$4)+Dashboard!$E$5,J210))</f>
        <v>565579.69087905274</v>
      </c>
      <c r="K211">
        <f>IF(ROW()&lt;3, 0,IF(Query1[[#This Row],[Month]]&lt;&gt;H210,IF((J211-I211&gt;0),J211-I211,0),0))</f>
        <v>0</v>
      </c>
      <c r="L211" s="2">
        <f t="shared" si="3"/>
        <v>1174.8591051078693</v>
      </c>
      <c r="M211">
        <f ca="1">IF(ROW()&lt;3,0,IF(Query1[[#This Row],[Month]]&lt;&gt;OFFSET(Query1[[#This Row],[Month]],-1,0),Dashboard!$J$5,0))</f>
        <v>0</v>
      </c>
      <c r="N211" s="2">
        <f ca="1">IF(ROW()&lt;3, Query1[[#This Row],[Shares]], IF(Query1[[#This Row],[Month]]&lt;&gt;H210, N210+Query1[[#This Row],[Fix Top Up]]/Query1[[#This Row],[Adj Close]], N210))</f>
        <v>1193.3032355991782</v>
      </c>
      <c r="O21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1" s="2">
        <f ca="1">IF(ROW()&lt;3, Query1[[#This Row],[Shares]], IF(Query1[[#This Row],[Month]]&lt;&gt;H210, P210+Query1[[#This Row],[Enhanced top up]]/Query1[[#This Row],[Adj Close]], P210))</f>
        <v>1190.9520269837526</v>
      </c>
      <c r="Q211" s="2">
        <f>IFERROR(AVERAGE(
  IF(ROW()&gt;20, INDEX(G:G, ROW()-20), 0) :
  INDEX(G:G, ROW())
),0)</f>
        <v>526.33786737351193</v>
      </c>
    </row>
    <row r="212" spans="1:17" x14ac:dyDescent="0.3">
      <c r="A212" s="1">
        <v>45596</v>
      </c>
      <c r="B212">
        <v>529.09002685546875</v>
      </c>
      <c r="C212">
        <v>529.22998046875</v>
      </c>
      <c r="D212">
        <v>522.510009765625</v>
      </c>
      <c r="E212">
        <v>522.66998291015625</v>
      </c>
      <c r="F212">
        <v>7972800</v>
      </c>
      <c r="G212">
        <v>517.60430908203125</v>
      </c>
      <c r="H212" s="2">
        <f>MONTH(Query1[[#This Row],[Date]])</f>
        <v>10</v>
      </c>
      <c r="I212" s="3">
        <f>Query1[[#This Row],[Shares]]*Query1[[#This Row],[Adj Close]]</f>
        <v>608112.13536809222</v>
      </c>
      <c r="J212" s="3">
        <f>IF(ROW()&lt;3, Dashboard!$E$7, IF(Query1[[#This Row],[Month]]&lt;&gt;H211,J211*(1+Dashboard!$E$4)+Dashboard!$E$5,J211))</f>
        <v>565579.69087905274</v>
      </c>
      <c r="K212">
        <f>IF(ROW()&lt;3, 0,IF(Query1[[#This Row],[Month]]&lt;&gt;H211,IF((J212-I212&gt;0),J212-I212,0),0))</f>
        <v>0</v>
      </c>
      <c r="L212" s="2">
        <f t="shared" si="3"/>
        <v>1174.8591051078693</v>
      </c>
      <c r="M212">
        <f ca="1">IF(ROW()&lt;3,0,IF(Query1[[#This Row],[Month]]&lt;&gt;OFFSET(Query1[[#This Row],[Month]],-1,0),Dashboard!$J$5,0))</f>
        <v>0</v>
      </c>
      <c r="N212" s="2">
        <f ca="1">IF(ROW()&lt;3, Query1[[#This Row],[Shares]], IF(Query1[[#This Row],[Month]]&lt;&gt;H211, N211+Query1[[#This Row],[Fix Top Up]]/Query1[[#This Row],[Adj Close]], N211))</f>
        <v>1193.3032355991782</v>
      </c>
      <c r="O21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2" s="2">
        <f ca="1">IF(ROW()&lt;3, Query1[[#This Row],[Shares]], IF(Query1[[#This Row],[Month]]&lt;&gt;H211, P211+Query1[[#This Row],[Enhanced top up]]/Query1[[#This Row],[Adj Close]], P211))</f>
        <v>1190.9520269837526</v>
      </c>
      <c r="Q212" s="2">
        <f>IFERROR(AVERAGE(
  IF(ROW()&gt;20, INDEX(G:G, ROW()-20), 0) :
  INDEX(G:G, ROW())
),0)</f>
        <v>526.330322265625</v>
      </c>
    </row>
    <row r="213" spans="1:17" x14ac:dyDescent="0.3">
      <c r="A213" s="1">
        <v>45597</v>
      </c>
      <c r="B213">
        <v>525.15997314453125</v>
      </c>
      <c r="C213">
        <v>529.08001708984375</v>
      </c>
      <c r="D213">
        <v>524.53997802734375</v>
      </c>
      <c r="E213">
        <v>524.94000244140625</v>
      </c>
      <c r="F213">
        <v>6106900</v>
      </c>
      <c r="G213">
        <v>519.852294921875</v>
      </c>
      <c r="H213" s="2">
        <f>MONTH(Query1[[#This Row],[Date]])</f>
        <v>11</v>
      </c>
      <c r="I213" s="3">
        <f>Query1[[#This Row],[Shares]]*Query1[[#This Row],[Adj Close]]</f>
        <v>610753.2020001862</v>
      </c>
      <c r="J213" s="3">
        <f>IF(ROW()&lt;3, Dashboard!$E$7, IF(Query1[[#This Row],[Month]]&lt;&gt;H212,J212*(1+Dashboard!$E$4)+Dashboard!$E$5,J212))</f>
        <v>573235.48778784322</v>
      </c>
      <c r="K213">
        <f>IF(ROW()&lt;3, 0,IF(Query1[[#This Row],[Month]]&lt;&gt;H212,IF((J213-I213&gt;0),J213-I213,0),0))</f>
        <v>0</v>
      </c>
      <c r="L213" s="2">
        <f t="shared" si="3"/>
        <v>1174.8591051078693</v>
      </c>
      <c r="M213">
        <f ca="1">IF(ROW()&lt;3,0,IF(Query1[[#This Row],[Month]]&lt;&gt;OFFSET(Query1[[#This Row],[Month]],-1,0),Dashboard!$J$5,0))</f>
        <v>979.40350000000024</v>
      </c>
      <c r="N213" s="2">
        <f ca="1">IF(ROW()&lt;3, Query1[[#This Row],[Shares]], IF(Query1[[#This Row],[Month]]&lt;&gt;H212, N212+Query1[[#This Row],[Fix Top Up]]/Query1[[#This Row],[Adj Close]], N212))</f>
        <v>1195.1872390162396</v>
      </c>
      <c r="O21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213" s="2">
        <f ca="1">IF(ROW()&lt;3, Query1[[#This Row],[Shares]], IF(Query1[[#This Row],[Month]]&lt;&gt;H212, P212+Query1[[#This Row],[Enhanced top up]]/Query1[[#This Row],[Adj Close]], P212))</f>
        <v>1194.0863855619807</v>
      </c>
      <c r="Q213" s="2">
        <f>IFERROR(AVERAGE(
  IF(ROW()&gt;20, INDEX(G:G, ROW()-20), 0) :
  INDEX(G:G, ROW())
),0)</f>
        <v>526.47651018415183</v>
      </c>
    </row>
    <row r="214" spans="1:17" x14ac:dyDescent="0.3">
      <c r="A214" s="1">
        <v>45600</v>
      </c>
      <c r="B214">
        <v>525.05999755859375</v>
      </c>
      <c r="C214">
        <v>526.280029296875</v>
      </c>
      <c r="D214">
        <v>522.030029296875</v>
      </c>
      <c r="E214">
        <v>523.79998779296875</v>
      </c>
      <c r="F214">
        <v>3681500</v>
      </c>
      <c r="G214">
        <v>518.72332763671875</v>
      </c>
      <c r="H214" s="2">
        <f>MONTH(Query1[[#This Row],[Date]])</f>
        <v>11</v>
      </c>
      <c r="I214" s="3">
        <f>Query1[[#This Row],[Shares]]*Query1[[#This Row],[Adj Close]]</f>
        <v>609426.82450585149</v>
      </c>
      <c r="J214" s="3">
        <f>IF(ROW()&lt;3, Dashboard!$E$7, IF(Query1[[#This Row],[Month]]&lt;&gt;H213,J213*(1+Dashboard!$E$4)+Dashboard!$E$5,J213))</f>
        <v>573235.48778784322</v>
      </c>
      <c r="K214">
        <f>IF(ROW()&lt;3, 0,IF(Query1[[#This Row],[Month]]&lt;&gt;H213,IF((J214-I214&gt;0),J214-I214,0),0))</f>
        <v>0</v>
      </c>
      <c r="L214" s="2">
        <f t="shared" si="3"/>
        <v>1174.8591051078693</v>
      </c>
      <c r="M214">
        <f ca="1">IF(ROW()&lt;3,0,IF(Query1[[#This Row],[Month]]&lt;&gt;OFFSET(Query1[[#This Row],[Month]],-1,0),Dashboard!$J$5,0))</f>
        <v>0</v>
      </c>
      <c r="N214" s="2">
        <f ca="1">IF(ROW()&lt;3, Query1[[#This Row],[Shares]], IF(Query1[[#This Row],[Month]]&lt;&gt;H213, N213+Query1[[#This Row],[Fix Top Up]]/Query1[[#This Row],[Adj Close]], N213))</f>
        <v>1195.1872390162396</v>
      </c>
      <c r="O21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4" s="2">
        <f ca="1">IF(ROW()&lt;3, Query1[[#This Row],[Shares]], IF(Query1[[#This Row],[Month]]&lt;&gt;H213, P213+Query1[[#This Row],[Enhanced top up]]/Query1[[#This Row],[Adj Close]], P213))</f>
        <v>1194.0863855619807</v>
      </c>
      <c r="Q214" s="2">
        <f>IFERROR(AVERAGE(
  IF(ROW()&gt;20, INDEX(G:G, ROW()-20), 0) :
  INDEX(G:G, ROW())
),0)</f>
        <v>526.34211077008933</v>
      </c>
    </row>
    <row r="215" spans="1:17" x14ac:dyDescent="0.3">
      <c r="A215" s="1">
        <v>45601</v>
      </c>
      <c r="B215">
        <v>524.719970703125</v>
      </c>
      <c r="C215">
        <v>530.16998291015625</v>
      </c>
      <c r="D215">
        <v>524.47998046875</v>
      </c>
      <c r="E215">
        <v>530.0999755859375</v>
      </c>
      <c r="F215">
        <v>3300300</v>
      </c>
      <c r="G215">
        <v>524.9622802734375</v>
      </c>
      <c r="H215" s="2">
        <f>MONTH(Query1[[#This Row],[Date]])</f>
        <v>11</v>
      </c>
      <c r="I215" s="3">
        <f>Query1[[#This Row],[Shares]]*Query1[[#This Row],[Adj Close]]</f>
        <v>616756.71481743723</v>
      </c>
      <c r="J215" s="3">
        <f>IF(ROW()&lt;3, Dashboard!$E$7, IF(Query1[[#This Row],[Month]]&lt;&gt;H214,J214*(1+Dashboard!$E$4)+Dashboard!$E$5,J214))</f>
        <v>573235.48778784322</v>
      </c>
      <c r="K215">
        <f>IF(ROW()&lt;3, 0,IF(Query1[[#This Row],[Month]]&lt;&gt;H214,IF((J215-I215&gt;0),J215-I215,0),0))</f>
        <v>0</v>
      </c>
      <c r="L215" s="2">
        <f t="shared" si="3"/>
        <v>1174.8591051078693</v>
      </c>
      <c r="M215">
        <f ca="1">IF(ROW()&lt;3,0,IF(Query1[[#This Row],[Month]]&lt;&gt;OFFSET(Query1[[#This Row],[Month]],-1,0),Dashboard!$J$5,0))</f>
        <v>0</v>
      </c>
      <c r="N215" s="2">
        <f ca="1">IF(ROW()&lt;3, Query1[[#This Row],[Shares]], IF(Query1[[#This Row],[Month]]&lt;&gt;H214, N214+Query1[[#This Row],[Fix Top Up]]/Query1[[#This Row],[Adj Close]], N214))</f>
        <v>1195.1872390162396</v>
      </c>
      <c r="O21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5" s="2">
        <f ca="1">IF(ROW()&lt;3, Query1[[#This Row],[Shares]], IF(Query1[[#This Row],[Month]]&lt;&gt;H214, P214+Query1[[#This Row],[Enhanced top up]]/Query1[[#This Row],[Adj Close]], P214))</f>
        <v>1194.0863855619807</v>
      </c>
      <c r="Q215" s="2">
        <f>IFERROR(AVERAGE(
  IF(ROW()&gt;20, INDEX(G:G, ROW()-20), 0) :
  INDEX(G:G, ROW())
),0)</f>
        <v>526.72833542596732</v>
      </c>
    </row>
    <row r="216" spans="1:17" x14ac:dyDescent="0.3">
      <c r="A216" s="1">
        <v>45602</v>
      </c>
      <c r="B216">
        <v>541.6500244140625</v>
      </c>
      <c r="C216">
        <v>544.1400146484375</v>
      </c>
      <c r="D216">
        <v>538.16998291015625</v>
      </c>
      <c r="E216">
        <v>543.29998779296875</v>
      </c>
      <c r="F216">
        <v>7483300</v>
      </c>
      <c r="G216">
        <v>538.03436279296875</v>
      </c>
      <c r="H216" s="2">
        <f>MONTH(Query1[[#This Row],[Date]])</f>
        <v>11</v>
      </c>
      <c r="I216" s="3">
        <f>Query1[[#This Row],[Shares]]*Query1[[#This Row],[Adj Close]]</f>
        <v>632114.56998822989</v>
      </c>
      <c r="J216" s="3">
        <f>IF(ROW()&lt;3, Dashboard!$E$7, IF(Query1[[#This Row],[Month]]&lt;&gt;H215,J215*(1+Dashboard!$E$4)+Dashboard!$E$5,J215))</f>
        <v>573235.48778784322</v>
      </c>
      <c r="K216">
        <f>IF(ROW()&lt;3, 0,IF(Query1[[#This Row],[Month]]&lt;&gt;H215,IF((J216-I216&gt;0),J216-I216,0),0))</f>
        <v>0</v>
      </c>
      <c r="L216" s="2">
        <f t="shared" si="3"/>
        <v>1174.8591051078693</v>
      </c>
      <c r="M216">
        <f ca="1">IF(ROW()&lt;3,0,IF(Query1[[#This Row],[Month]]&lt;&gt;OFFSET(Query1[[#This Row],[Month]],-1,0),Dashboard!$J$5,0))</f>
        <v>0</v>
      </c>
      <c r="N216" s="2">
        <f ca="1">IF(ROW()&lt;3, Query1[[#This Row],[Shares]], IF(Query1[[#This Row],[Month]]&lt;&gt;H215, N215+Query1[[#This Row],[Fix Top Up]]/Query1[[#This Row],[Adj Close]], N215))</f>
        <v>1195.1872390162396</v>
      </c>
      <c r="O21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6" s="2">
        <f ca="1">IF(ROW()&lt;3, Query1[[#This Row],[Shares]], IF(Query1[[#This Row],[Month]]&lt;&gt;H215, P215+Query1[[#This Row],[Enhanced top up]]/Query1[[#This Row],[Adj Close]], P215))</f>
        <v>1194.0863855619807</v>
      </c>
      <c r="Q216" s="2">
        <f>IFERROR(AVERAGE(
  IF(ROW()&gt;20, INDEX(G:G, ROW()-20), 0) :
  INDEX(G:G, ROW())
),0)</f>
        <v>527.50407772972471</v>
      </c>
    </row>
    <row r="217" spans="1:17" x14ac:dyDescent="0.3">
      <c r="A217" s="1">
        <v>45603</v>
      </c>
      <c r="B217">
        <v>545.219970703125</v>
      </c>
      <c r="C217">
        <v>548.47998046875</v>
      </c>
      <c r="D217">
        <v>545.1500244140625</v>
      </c>
      <c r="E217">
        <v>547.530029296875</v>
      </c>
      <c r="F217">
        <v>6051300</v>
      </c>
      <c r="G217">
        <v>542.22332763671875</v>
      </c>
      <c r="H217" s="2">
        <f>MONTH(Query1[[#This Row],[Date]])</f>
        <v>11</v>
      </c>
      <c r="I217" s="3">
        <f>Query1[[#This Row],[Shares]]*Query1[[#This Row],[Adj Close]]</f>
        <v>637036.01347588643</v>
      </c>
      <c r="J217" s="3">
        <f>IF(ROW()&lt;3, Dashboard!$E$7, IF(Query1[[#This Row],[Month]]&lt;&gt;H216,J216*(1+Dashboard!$E$4)+Dashboard!$E$5,J216))</f>
        <v>573235.48778784322</v>
      </c>
      <c r="K217">
        <f>IF(ROW()&lt;3, 0,IF(Query1[[#This Row],[Month]]&lt;&gt;H216,IF((J217-I217&gt;0),J217-I217,0),0))</f>
        <v>0</v>
      </c>
      <c r="L217" s="2">
        <f t="shared" si="3"/>
        <v>1174.8591051078693</v>
      </c>
      <c r="M217">
        <f ca="1">IF(ROW()&lt;3,0,IF(Query1[[#This Row],[Month]]&lt;&gt;OFFSET(Query1[[#This Row],[Month]],-1,0),Dashboard!$J$5,0))</f>
        <v>0</v>
      </c>
      <c r="N217" s="2">
        <f ca="1">IF(ROW()&lt;3, Query1[[#This Row],[Shares]], IF(Query1[[#This Row],[Month]]&lt;&gt;H216, N216+Query1[[#This Row],[Fix Top Up]]/Query1[[#This Row],[Adj Close]], N216))</f>
        <v>1195.1872390162396</v>
      </c>
      <c r="O21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7" s="2">
        <f ca="1">IF(ROW()&lt;3, Query1[[#This Row],[Shares]], IF(Query1[[#This Row],[Month]]&lt;&gt;H216, P216+Query1[[#This Row],[Enhanced top up]]/Query1[[#This Row],[Adj Close]], P216))</f>
        <v>1194.0863855619807</v>
      </c>
      <c r="Q217" s="2">
        <f>IFERROR(AVERAGE(
  IF(ROW()&gt;20, INDEX(G:G, ROW()-20), 0) :
  INDEX(G:G, ROW())
),0)</f>
        <v>528.30952671595981</v>
      </c>
    </row>
    <row r="218" spans="1:17" x14ac:dyDescent="0.3">
      <c r="A218" s="1">
        <v>45604</v>
      </c>
      <c r="B218">
        <v>548.07000732421875</v>
      </c>
      <c r="C218">
        <v>551.239990234375</v>
      </c>
      <c r="D218">
        <v>548.05999755859375</v>
      </c>
      <c r="E218">
        <v>549.95001220703125</v>
      </c>
      <c r="F218">
        <v>6798000</v>
      </c>
      <c r="G218">
        <v>544.619873046875</v>
      </c>
      <c r="H218" s="2">
        <f>MONTH(Query1[[#This Row],[Date]])</f>
        <v>11</v>
      </c>
      <c r="I218" s="3">
        <f>Query1[[#This Row],[Shares]]*Query1[[#This Row],[Adj Close]]</f>
        <v>639851.61667181295</v>
      </c>
      <c r="J218" s="3">
        <f>IF(ROW()&lt;3, Dashboard!$E$7, IF(Query1[[#This Row],[Month]]&lt;&gt;H217,J217*(1+Dashboard!$E$4)+Dashboard!$E$5,J217))</f>
        <v>573235.48778784322</v>
      </c>
      <c r="K218">
        <f>IF(ROW()&lt;3, 0,IF(Query1[[#This Row],[Month]]&lt;&gt;H217,IF((J218-I218&gt;0),J218-I218,0),0))</f>
        <v>0</v>
      </c>
      <c r="L218" s="2">
        <f t="shared" si="3"/>
        <v>1174.8591051078693</v>
      </c>
      <c r="M218">
        <f ca="1">IF(ROW()&lt;3,0,IF(Query1[[#This Row],[Month]]&lt;&gt;OFFSET(Query1[[#This Row],[Month]],-1,0),Dashboard!$J$5,0))</f>
        <v>0</v>
      </c>
      <c r="N218" s="2">
        <f ca="1">IF(ROW()&lt;3, Query1[[#This Row],[Shares]], IF(Query1[[#This Row],[Month]]&lt;&gt;H217, N217+Query1[[#This Row],[Fix Top Up]]/Query1[[#This Row],[Adj Close]], N217))</f>
        <v>1195.1872390162396</v>
      </c>
      <c r="O21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8" s="2">
        <f ca="1">IF(ROW()&lt;3, Query1[[#This Row],[Shares]], IF(Query1[[#This Row],[Month]]&lt;&gt;H217, P217+Query1[[#This Row],[Enhanced top up]]/Query1[[#This Row],[Adj Close]], P217))</f>
        <v>1194.0863855619807</v>
      </c>
      <c r="Q218" s="2">
        <f>IFERROR(AVERAGE(
  IF(ROW()&gt;20, INDEX(G:G, ROW()-20), 0) :
  INDEX(G:G, ROW())
),0)</f>
        <v>529.27106875465029</v>
      </c>
    </row>
    <row r="219" spans="1:17" x14ac:dyDescent="0.3">
      <c r="A219" s="1">
        <v>45607</v>
      </c>
      <c r="B219">
        <v>551.42999267578125</v>
      </c>
      <c r="C219">
        <v>551.72998046875</v>
      </c>
      <c r="D219">
        <v>548.8499755859375</v>
      </c>
      <c r="E219">
        <v>550.4000244140625</v>
      </c>
      <c r="F219">
        <v>4893100</v>
      </c>
      <c r="G219">
        <v>545.06561279296875</v>
      </c>
      <c r="H219" s="2">
        <f>MONTH(Query1[[#This Row],[Date]])</f>
        <v>11</v>
      </c>
      <c r="I219" s="3">
        <f>Query1[[#This Row],[Shares]]*Query1[[#This Row],[Adj Close]]</f>
        <v>640375.29807101958</v>
      </c>
      <c r="J219" s="3">
        <f>IF(ROW()&lt;3, Dashboard!$E$7, IF(Query1[[#This Row],[Month]]&lt;&gt;H218,J218*(1+Dashboard!$E$4)+Dashboard!$E$5,J218))</f>
        <v>573235.48778784322</v>
      </c>
      <c r="K219">
        <f>IF(ROW()&lt;3, 0,IF(Query1[[#This Row],[Month]]&lt;&gt;H218,IF((J219-I219&gt;0),J219-I219,0),0))</f>
        <v>0</v>
      </c>
      <c r="L219" s="2">
        <f t="shared" si="3"/>
        <v>1174.8591051078693</v>
      </c>
      <c r="M219">
        <f ca="1">IF(ROW()&lt;3,0,IF(Query1[[#This Row],[Month]]&lt;&gt;OFFSET(Query1[[#This Row],[Month]],-1,0),Dashboard!$J$5,0))</f>
        <v>0</v>
      </c>
      <c r="N219" s="2">
        <f ca="1">IF(ROW()&lt;3, Query1[[#This Row],[Shares]], IF(Query1[[#This Row],[Month]]&lt;&gt;H218, N218+Query1[[#This Row],[Fix Top Up]]/Query1[[#This Row],[Adj Close]], N218))</f>
        <v>1195.1872390162396</v>
      </c>
      <c r="O21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19" s="2">
        <f ca="1">IF(ROW()&lt;3, Query1[[#This Row],[Shares]], IF(Query1[[#This Row],[Month]]&lt;&gt;H218, P218+Query1[[#This Row],[Enhanced top up]]/Query1[[#This Row],[Adj Close]], P218))</f>
        <v>1194.0863855619807</v>
      </c>
      <c r="Q219" s="2">
        <f>IFERROR(AVERAGE(
  IF(ROW()&gt;20, INDEX(G:G, ROW()-20), 0) :
  INDEX(G:G, ROW())
),0)</f>
        <v>530.10528564453125</v>
      </c>
    </row>
    <row r="220" spans="1:17" x14ac:dyDescent="0.3">
      <c r="A220" s="1">
        <v>45608</v>
      </c>
      <c r="B220">
        <v>550.3900146484375</v>
      </c>
      <c r="C220">
        <v>550.94000244140625</v>
      </c>
      <c r="D220">
        <v>546.42999267578125</v>
      </c>
      <c r="E220">
        <v>548.75</v>
      </c>
      <c r="F220">
        <v>4818600</v>
      </c>
      <c r="G220">
        <v>543.43157958984375</v>
      </c>
      <c r="H220" s="2">
        <f>MONTH(Query1[[#This Row],[Date]])</f>
        <v>11</v>
      </c>
      <c r="I220" s="3">
        <f>Query1[[#This Row],[Shares]]*Query1[[#This Row],[Adj Close]]</f>
        <v>638455.53928427969</v>
      </c>
      <c r="J220" s="3">
        <f>IF(ROW()&lt;3, Dashboard!$E$7, IF(Query1[[#This Row],[Month]]&lt;&gt;H219,J219*(1+Dashboard!$E$4)+Dashboard!$E$5,J219))</f>
        <v>573235.48778784322</v>
      </c>
      <c r="K220">
        <f>IF(ROW()&lt;3, 0,IF(Query1[[#This Row],[Month]]&lt;&gt;H219,IF((J220-I220&gt;0),J220-I220,0),0))</f>
        <v>0</v>
      </c>
      <c r="L220" s="2">
        <f t="shared" si="3"/>
        <v>1174.8591051078693</v>
      </c>
      <c r="M220">
        <f ca="1">IF(ROW()&lt;3,0,IF(Query1[[#This Row],[Month]]&lt;&gt;OFFSET(Query1[[#This Row],[Month]],-1,0),Dashboard!$J$5,0))</f>
        <v>0</v>
      </c>
      <c r="N220" s="2">
        <f ca="1">IF(ROW()&lt;3, Query1[[#This Row],[Shares]], IF(Query1[[#This Row],[Month]]&lt;&gt;H219, N219+Query1[[#This Row],[Fix Top Up]]/Query1[[#This Row],[Adj Close]], N219))</f>
        <v>1195.1872390162396</v>
      </c>
      <c r="O22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0" s="2">
        <f ca="1">IF(ROW()&lt;3, Query1[[#This Row],[Shares]], IF(Query1[[#This Row],[Month]]&lt;&gt;H219, P219+Query1[[#This Row],[Enhanced top up]]/Query1[[#This Row],[Adj Close]], P219))</f>
        <v>1194.0863855619807</v>
      </c>
      <c r="Q220" s="2">
        <f>IFERROR(AVERAGE(
  IF(ROW()&gt;20, INDEX(G:G, ROW()-20), 0) :
  INDEX(G:G, ROW())
),0)</f>
        <v>530.65608723958337</v>
      </c>
    </row>
    <row r="221" spans="1:17" x14ac:dyDescent="0.3">
      <c r="A221" s="1">
        <v>45609</v>
      </c>
      <c r="B221">
        <v>549.15997314453125</v>
      </c>
      <c r="C221">
        <v>550.8800048828125</v>
      </c>
      <c r="D221">
        <v>546.969970703125</v>
      </c>
      <c r="E221">
        <v>549.030029296875</v>
      </c>
      <c r="F221">
        <v>3701600</v>
      </c>
      <c r="G221">
        <v>543.7088623046875</v>
      </c>
      <c r="H221" s="2">
        <f>MONTH(Query1[[#This Row],[Date]])</f>
        <v>11</v>
      </c>
      <c r="I221" s="3">
        <f>Query1[[#This Row],[Shares]]*Query1[[#This Row],[Adj Close]]</f>
        <v>638781.30740650289</v>
      </c>
      <c r="J221" s="3">
        <f>IF(ROW()&lt;3, Dashboard!$E$7, IF(Query1[[#This Row],[Month]]&lt;&gt;H220,J220*(1+Dashboard!$E$4)+Dashboard!$E$5,J220))</f>
        <v>573235.48778784322</v>
      </c>
      <c r="K221">
        <f>IF(ROW()&lt;3, 0,IF(Query1[[#This Row],[Month]]&lt;&gt;H220,IF((J221-I221&gt;0),J221-I221,0),0))</f>
        <v>0</v>
      </c>
      <c r="L221" s="2">
        <f t="shared" si="3"/>
        <v>1174.8591051078693</v>
      </c>
      <c r="M221">
        <f ca="1">IF(ROW()&lt;3,0,IF(Query1[[#This Row],[Month]]&lt;&gt;OFFSET(Query1[[#This Row],[Month]],-1,0),Dashboard!$J$5,0))</f>
        <v>0</v>
      </c>
      <c r="N221" s="2">
        <f ca="1">IF(ROW()&lt;3, Query1[[#This Row],[Shares]], IF(Query1[[#This Row],[Month]]&lt;&gt;H220, N220+Query1[[#This Row],[Fix Top Up]]/Query1[[#This Row],[Adj Close]], N220))</f>
        <v>1195.1872390162396</v>
      </c>
      <c r="O22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1" s="2">
        <f ca="1">IF(ROW()&lt;3, Query1[[#This Row],[Shares]], IF(Query1[[#This Row],[Month]]&lt;&gt;H220, P220+Query1[[#This Row],[Enhanced top up]]/Query1[[#This Row],[Adj Close]], P220))</f>
        <v>1194.0863855619807</v>
      </c>
      <c r="Q221" s="2">
        <f>IFERROR(AVERAGE(
  IF(ROW()&gt;20, INDEX(G:G, ROW()-20), 0) :
  INDEX(G:G, ROW())
),0)</f>
        <v>531.41296677362357</v>
      </c>
    </row>
    <row r="222" spans="1:17" x14ac:dyDescent="0.3">
      <c r="A222" s="1">
        <v>45610</v>
      </c>
      <c r="B222">
        <v>549.0999755859375</v>
      </c>
      <c r="C222">
        <v>549.57000732421875</v>
      </c>
      <c r="D222">
        <v>544.8800048828125</v>
      </c>
      <c r="E222">
        <v>545.53997802734375</v>
      </c>
      <c r="F222">
        <v>3940300</v>
      </c>
      <c r="G222">
        <v>540.25262451171875</v>
      </c>
      <c r="H222" s="2">
        <f>MONTH(Query1[[#This Row],[Date]])</f>
        <v>11</v>
      </c>
      <c r="I222" s="3">
        <f>Query1[[#This Row],[Shares]]*Query1[[#This Row],[Adj Close]]</f>
        <v>634720.71496601566</v>
      </c>
      <c r="J222" s="3">
        <f>IF(ROW()&lt;3, Dashboard!$E$7, IF(Query1[[#This Row],[Month]]&lt;&gt;H221,J221*(1+Dashboard!$E$4)+Dashboard!$E$5,J221))</f>
        <v>573235.48778784322</v>
      </c>
      <c r="K222">
        <f>IF(ROW()&lt;3, 0,IF(Query1[[#This Row],[Month]]&lt;&gt;H221,IF((J222-I222&gt;0),J222-I222,0),0))</f>
        <v>0</v>
      </c>
      <c r="L222" s="2">
        <f t="shared" si="3"/>
        <v>1174.8591051078693</v>
      </c>
      <c r="M222">
        <f ca="1">IF(ROW()&lt;3,0,IF(Query1[[#This Row],[Month]]&lt;&gt;OFFSET(Query1[[#This Row],[Month]],-1,0),Dashboard!$J$5,0))</f>
        <v>0</v>
      </c>
      <c r="N222" s="2">
        <f ca="1">IF(ROW()&lt;3, Query1[[#This Row],[Shares]], IF(Query1[[#This Row],[Month]]&lt;&gt;H221, N221+Query1[[#This Row],[Fix Top Up]]/Query1[[#This Row],[Adj Close]], N221))</f>
        <v>1195.1872390162396</v>
      </c>
      <c r="O22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2" s="2">
        <f ca="1">IF(ROW()&lt;3, Query1[[#This Row],[Shares]], IF(Query1[[#This Row],[Month]]&lt;&gt;H221, P221+Query1[[#This Row],[Enhanced top up]]/Query1[[#This Row],[Adj Close]], P221))</f>
        <v>1194.0863855619807</v>
      </c>
      <c r="Q222" s="2">
        <f>IFERROR(AVERAGE(
  IF(ROW()&gt;20, INDEX(G:G, ROW()-20), 0) :
  INDEX(G:G, ROW())
),0)</f>
        <v>531.89963204520086</v>
      </c>
    </row>
    <row r="223" spans="1:17" x14ac:dyDescent="0.3">
      <c r="A223" s="1">
        <v>45611</v>
      </c>
      <c r="B223">
        <v>542.1300048828125</v>
      </c>
      <c r="C223">
        <v>542.57000732421875</v>
      </c>
      <c r="D223">
        <v>536.75</v>
      </c>
      <c r="E223">
        <v>538.5</v>
      </c>
      <c r="F223">
        <v>7360100</v>
      </c>
      <c r="G223">
        <v>533.2808837890625</v>
      </c>
      <c r="H223" s="2">
        <f>MONTH(Query1[[#This Row],[Date]])</f>
        <v>11</v>
      </c>
      <c r="I223" s="3">
        <f>Query1[[#This Row],[Shares]]*Query1[[#This Row],[Adj Close]]</f>
        <v>626529.90189955162</v>
      </c>
      <c r="J223" s="3">
        <f>IF(ROW()&lt;3, Dashboard!$E$7, IF(Query1[[#This Row],[Month]]&lt;&gt;H222,J222*(1+Dashboard!$E$4)+Dashboard!$E$5,J222))</f>
        <v>573235.48778784322</v>
      </c>
      <c r="K223">
        <f>IF(ROW()&lt;3, 0,IF(Query1[[#This Row],[Month]]&lt;&gt;H222,IF((J223-I223&gt;0),J223-I223,0),0))</f>
        <v>0</v>
      </c>
      <c r="L223" s="2">
        <f t="shared" si="3"/>
        <v>1174.8591051078693</v>
      </c>
      <c r="M223">
        <f ca="1">IF(ROW()&lt;3,0,IF(Query1[[#This Row],[Month]]&lt;&gt;OFFSET(Query1[[#This Row],[Month]],-1,0),Dashboard!$J$5,0))</f>
        <v>0</v>
      </c>
      <c r="N223" s="2">
        <f ca="1">IF(ROW()&lt;3, Query1[[#This Row],[Shares]], IF(Query1[[#This Row],[Month]]&lt;&gt;H222, N222+Query1[[#This Row],[Fix Top Up]]/Query1[[#This Row],[Adj Close]], N222))</f>
        <v>1195.1872390162396</v>
      </c>
      <c r="O22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3" s="2">
        <f ca="1">IF(ROW()&lt;3, Query1[[#This Row],[Shares]], IF(Query1[[#This Row],[Month]]&lt;&gt;H222, P222+Query1[[#This Row],[Enhanced top up]]/Query1[[#This Row],[Adj Close]], P222))</f>
        <v>1194.0863855619807</v>
      </c>
      <c r="Q223" s="2">
        <f>IFERROR(AVERAGE(
  IF(ROW()&gt;20, INDEX(G:G, ROW()-20), 0) :
  INDEX(G:G, ROW())
),0)</f>
        <v>532.050537109375</v>
      </c>
    </row>
    <row r="224" spans="1:17" x14ac:dyDescent="0.3">
      <c r="A224" s="1">
        <v>45614</v>
      </c>
      <c r="B224">
        <v>538.91998291015625</v>
      </c>
      <c r="C224">
        <v>541.92999267578125</v>
      </c>
      <c r="D224">
        <v>538.1500244140625</v>
      </c>
      <c r="E224">
        <v>540.72998046875</v>
      </c>
      <c r="F224">
        <v>4494500</v>
      </c>
      <c r="G224">
        <v>535.4892578125</v>
      </c>
      <c r="H224" s="2">
        <f>MONTH(Query1[[#This Row],[Date]])</f>
        <v>11</v>
      </c>
      <c r="I224" s="3">
        <f>Query1[[#This Row],[Shares]]*Query1[[#This Row],[Adj Close]]</f>
        <v>629124.43022847082</v>
      </c>
      <c r="J224" s="3">
        <f>IF(ROW()&lt;3, Dashboard!$E$7, IF(Query1[[#This Row],[Month]]&lt;&gt;H223,J223*(1+Dashboard!$E$4)+Dashboard!$E$5,J223))</f>
        <v>573235.48778784322</v>
      </c>
      <c r="K224">
        <f>IF(ROW()&lt;3, 0,IF(Query1[[#This Row],[Month]]&lt;&gt;H223,IF((J224-I224&gt;0),J224-I224,0),0))</f>
        <v>0</v>
      </c>
      <c r="L224" s="2">
        <f t="shared" si="3"/>
        <v>1174.8591051078693</v>
      </c>
      <c r="M224">
        <f ca="1">IF(ROW()&lt;3,0,IF(Query1[[#This Row],[Month]]&lt;&gt;OFFSET(Query1[[#This Row],[Month]],-1,0),Dashboard!$J$5,0))</f>
        <v>0</v>
      </c>
      <c r="N224" s="2">
        <f ca="1">IF(ROW()&lt;3, Query1[[#This Row],[Shares]], IF(Query1[[#This Row],[Month]]&lt;&gt;H223, N223+Query1[[#This Row],[Fix Top Up]]/Query1[[#This Row],[Adj Close]], N223))</f>
        <v>1195.1872390162396</v>
      </c>
      <c r="O22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4" s="2">
        <f ca="1">IF(ROW()&lt;3, Query1[[#This Row],[Shares]], IF(Query1[[#This Row],[Month]]&lt;&gt;H223, P223+Query1[[#This Row],[Enhanced top up]]/Query1[[#This Row],[Adj Close]], P223))</f>
        <v>1194.0863855619807</v>
      </c>
      <c r="Q224" s="2">
        <f>IFERROR(AVERAGE(
  IF(ROW()&gt;20, INDEX(G:G, ROW()-20), 0) :
  INDEX(G:G, ROW())
),0)</f>
        <v>532.20946103050596</v>
      </c>
    </row>
    <row r="225" spans="1:17" x14ac:dyDescent="0.3">
      <c r="A225" s="1">
        <v>45615</v>
      </c>
      <c r="B225">
        <v>537.5</v>
      </c>
      <c r="C225">
        <v>543.3699951171875</v>
      </c>
      <c r="D225">
        <v>536.9000244140625</v>
      </c>
      <c r="E225">
        <v>542.70001220703125</v>
      </c>
      <c r="F225">
        <v>6978400</v>
      </c>
      <c r="G225">
        <v>537.440185546875</v>
      </c>
      <c r="H225" s="2">
        <f>MONTH(Query1[[#This Row],[Date]])</f>
        <v>11</v>
      </c>
      <c r="I225" s="3">
        <f>Query1[[#This Row],[Shares]]*Query1[[#This Row],[Adj Close]]</f>
        <v>631416.49544060882</v>
      </c>
      <c r="J225" s="3">
        <f>IF(ROW()&lt;3, Dashboard!$E$7, IF(Query1[[#This Row],[Month]]&lt;&gt;H224,J224*(1+Dashboard!$E$4)+Dashboard!$E$5,J224))</f>
        <v>573235.48778784322</v>
      </c>
      <c r="K225">
        <f>IF(ROW()&lt;3, 0,IF(Query1[[#This Row],[Month]]&lt;&gt;H224,IF((J225-I225&gt;0),J225-I225,0),0))</f>
        <v>0</v>
      </c>
      <c r="L225" s="2">
        <f t="shared" si="3"/>
        <v>1174.8591051078693</v>
      </c>
      <c r="M225">
        <f ca="1">IF(ROW()&lt;3,0,IF(Query1[[#This Row],[Month]]&lt;&gt;OFFSET(Query1[[#This Row],[Month]],-1,0),Dashboard!$J$5,0))</f>
        <v>0</v>
      </c>
      <c r="N225" s="2">
        <f ca="1">IF(ROW()&lt;3, Query1[[#This Row],[Shares]], IF(Query1[[#This Row],[Month]]&lt;&gt;H224, N224+Query1[[#This Row],[Fix Top Up]]/Query1[[#This Row],[Adj Close]], N224))</f>
        <v>1195.1872390162396</v>
      </c>
      <c r="O22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5" s="2">
        <f ca="1">IF(ROW()&lt;3, Query1[[#This Row],[Shares]], IF(Query1[[#This Row],[Month]]&lt;&gt;H224, P224+Query1[[#This Row],[Enhanced top up]]/Query1[[#This Row],[Adj Close]], P224))</f>
        <v>1194.0863855619807</v>
      </c>
      <c r="Q225" s="2">
        <f>IFERROR(AVERAGE(
  IF(ROW()&gt;20, INDEX(G:G, ROW()-20), 0) :
  INDEX(G:G, ROW())
),0)</f>
        <v>532.50042143322173</v>
      </c>
    </row>
    <row r="226" spans="1:17" x14ac:dyDescent="0.3">
      <c r="A226" s="1">
        <v>45616</v>
      </c>
      <c r="B226">
        <v>542.780029296875</v>
      </c>
      <c r="C226">
        <v>543.07000732421875</v>
      </c>
      <c r="D226">
        <v>537.44000244140625</v>
      </c>
      <c r="E226">
        <v>542.9000244140625</v>
      </c>
      <c r="F226">
        <v>3949100</v>
      </c>
      <c r="G226">
        <v>537.6383056640625</v>
      </c>
      <c r="H226" s="2">
        <f>MONTH(Query1[[#This Row],[Date]])</f>
        <v>11</v>
      </c>
      <c r="I226" s="3">
        <f>Query1[[#This Row],[Shares]]*Query1[[#This Row],[Adj Close]]</f>
        <v>631649.25866419158</v>
      </c>
      <c r="J226" s="3">
        <f>IF(ROW()&lt;3, Dashboard!$E$7, IF(Query1[[#This Row],[Month]]&lt;&gt;H225,J225*(1+Dashboard!$E$4)+Dashboard!$E$5,J225))</f>
        <v>573235.48778784322</v>
      </c>
      <c r="K226">
        <f>IF(ROW()&lt;3, 0,IF(Query1[[#This Row],[Month]]&lt;&gt;H225,IF((J226-I226&gt;0),J226-I226,0),0))</f>
        <v>0</v>
      </c>
      <c r="L226" s="2">
        <f t="shared" si="3"/>
        <v>1174.8591051078693</v>
      </c>
      <c r="M226">
        <f ca="1">IF(ROW()&lt;3,0,IF(Query1[[#This Row],[Month]]&lt;&gt;OFFSET(Query1[[#This Row],[Month]],-1,0),Dashboard!$J$5,0))</f>
        <v>0</v>
      </c>
      <c r="N226" s="2">
        <f ca="1">IF(ROW()&lt;3, Query1[[#This Row],[Shares]], IF(Query1[[#This Row],[Month]]&lt;&gt;H225, N225+Query1[[#This Row],[Fix Top Up]]/Query1[[#This Row],[Adj Close]], N225))</f>
        <v>1195.1872390162396</v>
      </c>
      <c r="O22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6" s="2">
        <f ca="1">IF(ROW()&lt;3, Query1[[#This Row],[Shares]], IF(Query1[[#This Row],[Month]]&lt;&gt;H225, P225+Query1[[#This Row],[Enhanced top up]]/Query1[[#This Row],[Adj Close]], P225))</f>
        <v>1194.0863855619807</v>
      </c>
      <c r="Q226" s="2">
        <f>IFERROR(AVERAGE(
  IF(ROW()&gt;20, INDEX(G:G, ROW()-20), 0) :
  INDEX(G:G, ROW())
),0)</f>
        <v>532.81826636904759</v>
      </c>
    </row>
    <row r="227" spans="1:17" x14ac:dyDescent="0.3">
      <c r="A227" s="1">
        <v>45617</v>
      </c>
      <c r="B227">
        <v>545.58001708984375</v>
      </c>
      <c r="C227">
        <v>547.07000732421875</v>
      </c>
      <c r="D227">
        <v>540.03997802734375</v>
      </c>
      <c r="E227">
        <v>545.6400146484375</v>
      </c>
      <c r="F227">
        <v>4530600</v>
      </c>
      <c r="G227">
        <v>540.35174560546875</v>
      </c>
      <c r="H227" s="2">
        <f>MONTH(Query1[[#This Row],[Date]])</f>
        <v>11</v>
      </c>
      <c r="I227" s="3">
        <f>Query1[[#This Row],[Shares]]*Query1[[#This Row],[Adj Close]]</f>
        <v>634837.16828551609</v>
      </c>
      <c r="J227" s="3">
        <f>IF(ROW()&lt;3, Dashboard!$E$7, IF(Query1[[#This Row],[Month]]&lt;&gt;H226,J226*(1+Dashboard!$E$4)+Dashboard!$E$5,J226))</f>
        <v>573235.48778784322</v>
      </c>
      <c r="K227">
        <f>IF(ROW()&lt;3, 0,IF(Query1[[#This Row],[Month]]&lt;&gt;H226,IF((J227-I227&gt;0),J227-I227,0),0))</f>
        <v>0</v>
      </c>
      <c r="L227" s="2">
        <f t="shared" si="3"/>
        <v>1174.8591051078693</v>
      </c>
      <c r="M227">
        <f ca="1">IF(ROW()&lt;3,0,IF(Query1[[#This Row],[Month]]&lt;&gt;OFFSET(Query1[[#This Row],[Month]],-1,0),Dashboard!$J$5,0))</f>
        <v>0</v>
      </c>
      <c r="N227" s="2">
        <f ca="1">IF(ROW()&lt;3, Query1[[#This Row],[Shares]], IF(Query1[[#This Row],[Month]]&lt;&gt;H226, N226+Query1[[#This Row],[Fix Top Up]]/Query1[[#This Row],[Adj Close]], N226))</f>
        <v>1195.1872390162396</v>
      </c>
      <c r="O22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7" s="2">
        <f ca="1">IF(ROW()&lt;3, Query1[[#This Row],[Shares]], IF(Query1[[#This Row],[Month]]&lt;&gt;H226, P226+Query1[[#This Row],[Enhanced top up]]/Query1[[#This Row],[Adj Close]], P226))</f>
        <v>1194.0863855619807</v>
      </c>
      <c r="Q227" s="2">
        <f>IFERROR(AVERAGE(
  IF(ROW()&gt;20, INDEX(G:G, ROW()-20), 0) :
  INDEX(G:G, ROW())
),0)</f>
        <v>533.49592227027529</v>
      </c>
    </row>
    <row r="228" spans="1:17" x14ac:dyDescent="0.3">
      <c r="A228" s="1">
        <v>45618</v>
      </c>
      <c r="B228">
        <v>545.82000732421875</v>
      </c>
      <c r="C228">
        <v>548.04998779296875</v>
      </c>
      <c r="D228">
        <v>545.3699951171875</v>
      </c>
      <c r="E228">
        <v>547.469970703125</v>
      </c>
      <c r="F228">
        <v>5574600</v>
      </c>
      <c r="G228">
        <v>542.16387939453125</v>
      </c>
      <c r="H228" s="2">
        <f>MONTH(Query1[[#This Row],[Date]])</f>
        <v>11</v>
      </c>
      <c r="I228" s="3">
        <f>Query1[[#This Row],[Shares]]*Query1[[#This Row],[Adj Close]]</f>
        <v>636966.17016726977</v>
      </c>
      <c r="J228" s="3">
        <f>IF(ROW()&lt;3, Dashboard!$E$7, IF(Query1[[#This Row],[Month]]&lt;&gt;H227,J227*(1+Dashboard!$E$4)+Dashboard!$E$5,J227))</f>
        <v>573235.48778784322</v>
      </c>
      <c r="K228">
        <f>IF(ROW()&lt;3, 0,IF(Query1[[#This Row],[Month]]&lt;&gt;H227,IF((J228-I228&gt;0),J228-I228,0),0))</f>
        <v>0</v>
      </c>
      <c r="L228" s="2">
        <f t="shared" si="3"/>
        <v>1174.8591051078693</v>
      </c>
      <c r="M228">
        <f ca="1">IF(ROW()&lt;3,0,IF(Query1[[#This Row],[Month]]&lt;&gt;OFFSET(Query1[[#This Row],[Month]],-1,0),Dashboard!$J$5,0))</f>
        <v>0</v>
      </c>
      <c r="N228" s="2">
        <f ca="1">IF(ROW()&lt;3, Query1[[#This Row],[Shares]], IF(Query1[[#This Row],[Month]]&lt;&gt;H227, N227+Query1[[#This Row],[Fix Top Up]]/Query1[[#This Row],[Adj Close]], N227))</f>
        <v>1195.1872390162396</v>
      </c>
      <c r="O22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8" s="2">
        <f ca="1">IF(ROW()&lt;3, Query1[[#This Row],[Shares]], IF(Query1[[#This Row],[Month]]&lt;&gt;H227, P227+Query1[[#This Row],[Enhanced top up]]/Query1[[#This Row],[Adj Close]], P227))</f>
        <v>1194.0863855619807</v>
      </c>
      <c r="Q228" s="2">
        <f>IFERROR(AVERAGE(
  IF(ROW()&gt;20, INDEX(G:G, ROW()-20), 0) :
  INDEX(G:G, ROW())
),0)</f>
        <v>534.20328485398068</v>
      </c>
    </row>
    <row r="229" spans="1:17" x14ac:dyDescent="0.3">
      <c r="A229" s="1">
        <v>45621</v>
      </c>
      <c r="B229">
        <v>551.20001220703125</v>
      </c>
      <c r="C229">
        <v>552.3800048828125</v>
      </c>
      <c r="D229">
        <v>547.20001220703125</v>
      </c>
      <c r="E229">
        <v>549.22998046875</v>
      </c>
      <c r="F229">
        <v>4305000</v>
      </c>
      <c r="G229">
        <v>543.90692138671875</v>
      </c>
      <c r="H229" s="2">
        <f>MONTH(Query1[[#This Row],[Date]])</f>
        <v>11</v>
      </c>
      <c r="I229" s="3">
        <f>Query1[[#This Row],[Shares]]*Query1[[#This Row],[Adj Close]]</f>
        <v>639013.99892237654</v>
      </c>
      <c r="J229" s="3">
        <f>IF(ROW()&lt;3, Dashboard!$E$7, IF(Query1[[#This Row],[Month]]&lt;&gt;H228,J228*(1+Dashboard!$E$4)+Dashboard!$E$5,J228))</f>
        <v>573235.48778784322</v>
      </c>
      <c r="K229">
        <f>IF(ROW()&lt;3, 0,IF(Query1[[#This Row],[Month]]&lt;&gt;H228,IF((J229-I229&gt;0),J229-I229,0),0))</f>
        <v>0</v>
      </c>
      <c r="L229" s="2">
        <f t="shared" si="3"/>
        <v>1174.8591051078693</v>
      </c>
      <c r="M229">
        <f ca="1">IF(ROW()&lt;3,0,IF(Query1[[#This Row],[Month]]&lt;&gt;OFFSET(Query1[[#This Row],[Month]],-1,0),Dashboard!$J$5,0))</f>
        <v>0</v>
      </c>
      <c r="N229" s="2">
        <f ca="1">IF(ROW()&lt;3, Query1[[#This Row],[Shares]], IF(Query1[[#This Row],[Month]]&lt;&gt;H228, N228+Query1[[#This Row],[Fix Top Up]]/Query1[[#This Row],[Adj Close]], N228))</f>
        <v>1195.1872390162396</v>
      </c>
      <c r="O22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29" s="2">
        <f ca="1">IF(ROW()&lt;3, Query1[[#This Row],[Shares]], IF(Query1[[#This Row],[Month]]&lt;&gt;H228, P228+Query1[[#This Row],[Enhanced top up]]/Query1[[#This Row],[Adj Close]], P228))</f>
        <v>1194.0863855619807</v>
      </c>
      <c r="Q229" s="2">
        <f>IFERROR(AVERAGE(
  IF(ROW()&gt;20, INDEX(G:G, ROW()-20), 0) :
  INDEX(G:G, ROW())
),0)</f>
        <v>535.00355166480654</v>
      </c>
    </row>
    <row r="230" spans="1:17" x14ac:dyDescent="0.3">
      <c r="A230" s="1">
        <v>45622</v>
      </c>
      <c r="B230">
        <v>550.5</v>
      </c>
      <c r="C230">
        <v>552.82000732421875</v>
      </c>
      <c r="D230">
        <v>549.8499755859375</v>
      </c>
      <c r="E230">
        <v>552.30999755859375</v>
      </c>
      <c r="F230">
        <v>4438600</v>
      </c>
      <c r="G230">
        <v>546.95697021484375</v>
      </c>
      <c r="H230" s="2">
        <f>MONTH(Query1[[#This Row],[Date]])</f>
        <v>11</v>
      </c>
      <c r="I230" s="3">
        <f>Query1[[#This Row],[Shares]]*Query1[[#This Row],[Adj Close]]</f>
        <v>642597.37655912281</v>
      </c>
      <c r="J230" s="3">
        <f>IF(ROW()&lt;3, Dashboard!$E$7, IF(Query1[[#This Row],[Month]]&lt;&gt;H229,J229*(1+Dashboard!$E$4)+Dashboard!$E$5,J229))</f>
        <v>573235.48778784322</v>
      </c>
      <c r="K230">
        <f>IF(ROW()&lt;3, 0,IF(Query1[[#This Row],[Month]]&lt;&gt;H229,IF((J230-I230&gt;0),J230-I230,0),0))</f>
        <v>0</v>
      </c>
      <c r="L230" s="2">
        <f t="shared" si="3"/>
        <v>1174.8591051078693</v>
      </c>
      <c r="M230">
        <f ca="1">IF(ROW()&lt;3,0,IF(Query1[[#This Row],[Month]]&lt;&gt;OFFSET(Query1[[#This Row],[Month]],-1,0),Dashboard!$J$5,0))</f>
        <v>0</v>
      </c>
      <c r="N230" s="2">
        <f ca="1">IF(ROW()&lt;3, Query1[[#This Row],[Shares]], IF(Query1[[#This Row],[Month]]&lt;&gt;H229, N229+Query1[[#This Row],[Fix Top Up]]/Query1[[#This Row],[Adj Close]], N229))</f>
        <v>1195.1872390162396</v>
      </c>
      <c r="O23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0" s="2">
        <f ca="1">IF(ROW()&lt;3, Query1[[#This Row],[Shares]], IF(Query1[[#This Row],[Month]]&lt;&gt;H229, P229+Query1[[#This Row],[Enhanced top up]]/Query1[[#This Row],[Adj Close]], P229))</f>
        <v>1194.0863855619807</v>
      </c>
      <c r="Q230" s="2">
        <f>IFERROR(AVERAGE(
  IF(ROW()&gt;20, INDEX(G:G, ROW()-20), 0) :
  INDEX(G:G, ROW())
),0)</f>
        <v>535.87077404203865</v>
      </c>
    </row>
    <row r="231" spans="1:17" x14ac:dyDescent="0.3">
      <c r="A231" s="1">
        <v>45623</v>
      </c>
      <c r="B231">
        <v>552.03997802734375</v>
      </c>
      <c r="C231">
        <v>552.3800048828125</v>
      </c>
      <c r="D231">
        <v>549.1099853515625</v>
      </c>
      <c r="E231">
        <v>550.54998779296875</v>
      </c>
      <c r="F231">
        <v>3312200</v>
      </c>
      <c r="G231">
        <v>545.21405029296875</v>
      </c>
      <c r="H231" s="2">
        <f>MONTH(Query1[[#This Row],[Date]])</f>
        <v>11</v>
      </c>
      <c r="I231" s="3">
        <f>Query1[[#This Row],[Shares]]*Query1[[#This Row],[Adj Close]]</f>
        <v>640549.69121943414</v>
      </c>
      <c r="J231" s="3">
        <f>IF(ROW()&lt;3, Dashboard!$E$7, IF(Query1[[#This Row],[Month]]&lt;&gt;H230,J230*(1+Dashboard!$E$4)+Dashboard!$E$5,J230))</f>
        <v>573235.48778784322</v>
      </c>
      <c r="K231">
        <f>IF(ROW()&lt;3, 0,IF(Query1[[#This Row],[Month]]&lt;&gt;H230,IF((J231-I231&gt;0),J231-I231,0),0))</f>
        <v>0</v>
      </c>
      <c r="L231" s="2">
        <f t="shared" si="3"/>
        <v>1174.8591051078693</v>
      </c>
      <c r="M231">
        <f ca="1">IF(ROW()&lt;3,0,IF(Query1[[#This Row],[Month]]&lt;&gt;OFFSET(Query1[[#This Row],[Month]],-1,0),Dashboard!$J$5,0))</f>
        <v>0</v>
      </c>
      <c r="N231" s="2">
        <f ca="1">IF(ROW()&lt;3, Query1[[#This Row],[Shares]], IF(Query1[[#This Row],[Month]]&lt;&gt;H230, N230+Query1[[#This Row],[Fix Top Up]]/Query1[[#This Row],[Adj Close]], N230))</f>
        <v>1195.1872390162396</v>
      </c>
      <c r="O23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1" s="2">
        <f ca="1">IF(ROW()&lt;3, Query1[[#This Row],[Shares]], IF(Query1[[#This Row],[Month]]&lt;&gt;H230, P230+Query1[[#This Row],[Enhanced top up]]/Query1[[#This Row],[Adj Close]], P230))</f>
        <v>1194.0863855619807</v>
      </c>
      <c r="Q231" s="2">
        <f>IFERROR(AVERAGE(
  IF(ROW()&gt;20, INDEX(G:G, ROW()-20), 0) :
  INDEX(G:G, ROW())
),0)</f>
        <v>536.61491757347471</v>
      </c>
    </row>
    <row r="232" spans="1:17" x14ac:dyDescent="0.3">
      <c r="A232" s="1">
        <v>45625</v>
      </c>
      <c r="B232">
        <v>551.28997802734375</v>
      </c>
      <c r="C232">
        <v>554.70001220703125</v>
      </c>
      <c r="D232">
        <v>551.07000732421875</v>
      </c>
      <c r="E232">
        <v>553.45001220703125</v>
      </c>
      <c r="F232">
        <v>3988700</v>
      </c>
      <c r="G232">
        <v>548.08599853515625</v>
      </c>
      <c r="H232" s="2">
        <f>MONTH(Query1[[#This Row],[Date]])</f>
        <v>11</v>
      </c>
      <c r="I232" s="3">
        <f>Query1[[#This Row],[Shares]]*Query1[[#This Row],[Adj Close]]</f>
        <v>643923.82576116663</v>
      </c>
      <c r="J232" s="3">
        <f>IF(ROW()&lt;3, Dashboard!$E$7, IF(Query1[[#This Row],[Month]]&lt;&gt;H231,J231*(1+Dashboard!$E$4)+Dashboard!$E$5,J231))</f>
        <v>573235.48778784322</v>
      </c>
      <c r="K232">
        <f>IF(ROW()&lt;3, 0,IF(Query1[[#This Row],[Month]]&lt;&gt;H231,IF((J232-I232&gt;0),J232-I232,0),0))</f>
        <v>0</v>
      </c>
      <c r="L232" s="2">
        <f t="shared" si="3"/>
        <v>1174.8591051078693</v>
      </c>
      <c r="M232">
        <f ca="1">IF(ROW()&lt;3,0,IF(Query1[[#This Row],[Month]]&lt;&gt;OFFSET(Query1[[#This Row],[Month]],-1,0),Dashboard!$J$5,0))</f>
        <v>0</v>
      </c>
      <c r="N232" s="2">
        <f ca="1">IF(ROW()&lt;3, Query1[[#This Row],[Shares]], IF(Query1[[#This Row],[Month]]&lt;&gt;H231, N231+Query1[[#This Row],[Fix Top Up]]/Query1[[#This Row],[Adj Close]], N231))</f>
        <v>1195.1872390162396</v>
      </c>
      <c r="O23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2" s="2">
        <f ca="1">IF(ROW()&lt;3, Query1[[#This Row],[Shares]], IF(Query1[[#This Row],[Month]]&lt;&gt;H231, P231+Query1[[#This Row],[Enhanced top up]]/Query1[[#This Row],[Adj Close]], P231))</f>
        <v>1194.0863855619807</v>
      </c>
      <c r="Q232" s="2">
        <f>IFERROR(AVERAGE(
  IF(ROW()&gt;20, INDEX(G:G, ROW()-20), 0) :
  INDEX(G:G, ROW())
),0)</f>
        <v>537.57174537295384</v>
      </c>
    </row>
    <row r="233" spans="1:17" x14ac:dyDescent="0.3">
      <c r="A233" s="1">
        <v>45628</v>
      </c>
      <c r="B233">
        <v>554.3599853515625</v>
      </c>
      <c r="C233">
        <v>555.57000732421875</v>
      </c>
      <c r="D233">
        <v>553.8900146484375</v>
      </c>
      <c r="E233">
        <v>555.010009765625</v>
      </c>
      <c r="F233">
        <v>5441000</v>
      </c>
      <c r="G233">
        <v>549.63079833984375</v>
      </c>
      <c r="H233" s="2">
        <f>MONTH(Query1[[#This Row],[Date]])</f>
        <v>12</v>
      </c>
      <c r="I233" s="3">
        <f>Query1[[#This Row],[Shares]]*Query1[[#This Row],[Adj Close]]</f>
        <v>645738.74787727254</v>
      </c>
      <c r="J233" s="3">
        <f>IF(ROW()&lt;3, Dashboard!$E$7, IF(Query1[[#This Row],[Month]]&lt;&gt;H232,J232*(1+Dashboard!$E$4)+Dashboard!$E$5,J232))</f>
        <v>580967.84266572166</v>
      </c>
      <c r="K233">
        <f>IF(ROW()&lt;3, 0,IF(Query1[[#This Row],[Month]]&lt;&gt;H232,IF((J233-I233&gt;0),J233-I233,0),0))</f>
        <v>0</v>
      </c>
      <c r="L233" s="2">
        <f t="shared" si="3"/>
        <v>1174.8591051078693</v>
      </c>
      <c r="M233">
        <f ca="1">IF(ROW()&lt;3,0,IF(Query1[[#This Row],[Month]]&lt;&gt;OFFSET(Query1[[#This Row],[Month]],-1,0),Dashboard!$J$5,0))</f>
        <v>979.40350000000024</v>
      </c>
      <c r="N233" s="2">
        <f ca="1">IF(ROW()&lt;3, Query1[[#This Row],[Shares]], IF(Query1[[#This Row],[Month]]&lt;&gt;H232, N232+Query1[[#This Row],[Fix Top Up]]/Query1[[#This Row],[Adj Close]], N232))</f>
        <v>1196.9691688188602</v>
      </c>
      <c r="O23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233" s="2">
        <f ca="1">IF(ROW()&lt;3, Query1[[#This Row],[Shares]], IF(Query1[[#This Row],[Month]]&lt;&gt;H232, P232+Query1[[#This Row],[Enhanced top up]]/Query1[[#This Row],[Adj Close]], P232))</f>
        <v>1195.2315242658181</v>
      </c>
      <c r="Q233" s="2">
        <f>IFERROR(AVERAGE(
  IF(ROW()&gt;20, INDEX(G:G, ROW()-20), 0) :
  INDEX(G:G, ROW())
),0)</f>
        <v>539.0968162899926</v>
      </c>
    </row>
    <row r="234" spans="1:17" x14ac:dyDescent="0.3">
      <c r="A234" s="1">
        <v>45629</v>
      </c>
      <c r="B234">
        <v>554.79998779296875</v>
      </c>
      <c r="C234">
        <v>555.42999267578125</v>
      </c>
      <c r="D234">
        <v>553.78997802734375</v>
      </c>
      <c r="E234">
        <v>555.1400146484375</v>
      </c>
      <c r="F234">
        <v>4202900</v>
      </c>
      <c r="G234">
        <v>549.7596435546875</v>
      </c>
      <c r="H234" s="2">
        <f>MONTH(Query1[[#This Row],[Date]])</f>
        <v>12</v>
      </c>
      <c r="I234" s="3">
        <f>Query1[[#This Row],[Shares]]*Query1[[#This Row],[Adj Close]]</f>
        <v>645890.12285108131</v>
      </c>
      <c r="J234" s="3">
        <f>IF(ROW()&lt;3, Dashboard!$E$7, IF(Query1[[#This Row],[Month]]&lt;&gt;H233,J233*(1+Dashboard!$E$4)+Dashboard!$E$5,J233))</f>
        <v>580967.84266572166</v>
      </c>
      <c r="K234">
        <f>IF(ROW()&lt;3, 0,IF(Query1[[#This Row],[Month]]&lt;&gt;H233,IF((J234-I234&gt;0),J234-I234,0),0))</f>
        <v>0</v>
      </c>
      <c r="L234" s="2">
        <f t="shared" si="3"/>
        <v>1174.8591051078693</v>
      </c>
      <c r="M234">
        <f ca="1">IF(ROW()&lt;3,0,IF(Query1[[#This Row],[Month]]&lt;&gt;OFFSET(Query1[[#This Row],[Month]],-1,0),Dashboard!$J$5,0))</f>
        <v>0</v>
      </c>
      <c r="N234" s="2">
        <f ca="1">IF(ROW()&lt;3, Query1[[#This Row],[Shares]], IF(Query1[[#This Row],[Month]]&lt;&gt;H233, N233+Query1[[#This Row],[Fix Top Up]]/Query1[[#This Row],[Adj Close]], N233))</f>
        <v>1196.9691688188602</v>
      </c>
      <c r="O23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4" s="2">
        <f ca="1">IF(ROW()&lt;3, Query1[[#This Row],[Shares]], IF(Query1[[#This Row],[Month]]&lt;&gt;H233, P233+Query1[[#This Row],[Enhanced top up]]/Query1[[#This Row],[Adj Close]], P233))</f>
        <v>1195.2315242658181</v>
      </c>
      <c r="Q234" s="2">
        <f>IFERROR(AVERAGE(
  IF(ROW()&gt;20, INDEX(G:G, ROW()-20), 0) :
  INDEX(G:G, ROW())
),0)</f>
        <v>540.52097574869788</v>
      </c>
    </row>
    <row r="235" spans="1:17" x14ac:dyDescent="0.3">
      <c r="A235" s="1">
        <v>45630</v>
      </c>
      <c r="B235">
        <v>556.83001708984375</v>
      </c>
      <c r="C235">
        <v>558.8800048828125</v>
      </c>
      <c r="D235">
        <v>556.16998291015625</v>
      </c>
      <c r="E235">
        <v>558.6400146484375</v>
      </c>
      <c r="F235">
        <v>5490300</v>
      </c>
      <c r="G235">
        <v>553.22564697265625</v>
      </c>
      <c r="H235" s="2">
        <f>MONTH(Query1[[#This Row],[Date]])</f>
        <v>12</v>
      </c>
      <c r="I235" s="3">
        <f>Query1[[#This Row],[Shares]]*Query1[[#This Row],[Adj Close]]</f>
        <v>649962.18852501689</v>
      </c>
      <c r="J235" s="3">
        <f>IF(ROW()&lt;3, Dashboard!$E$7, IF(Query1[[#This Row],[Month]]&lt;&gt;H234,J234*(1+Dashboard!$E$4)+Dashboard!$E$5,J234))</f>
        <v>580967.84266572166</v>
      </c>
      <c r="K235">
        <f>IF(ROW()&lt;3, 0,IF(Query1[[#This Row],[Month]]&lt;&gt;H234,IF((J235-I235&gt;0),J235-I235,0),0))</f>
        <v>0</v>
      </c>
      <c r="L235" s="2">
        <f t="shared" si="3"/>
        <v>1174.8591051078693</v>
      </c>
      <c r="M235">
        <f ca="1">IF(ROW()&lt;3,0,IF(Query1[[#This Row],[Month]]&lt;&gt;OFFSET(Query1[[#This Row],[Month]],-1,0),Dashboard!$J$5,0))</f>
        <v>0</v>
      </c>
      <c r="N235" s="2">
        <f ca="1">IF(ROW()&lt;3, Query1[[#This Row],[Shares]], IF(Query1[[#This Row],[Month]]&lt;&gt;H234, N234+Query1[[#This Row],[Fix Top Up]]/Query1[[#This Row],[Adj Close]], N234))</f>
        <v>1196.9691688188602</v>
      </c>
      <c r="O23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5" s="2">
        <f ca="1">IF(ROW()&lt;3, Query1[[#This Row],[Shares]], IF(Query1[[#This Row],[Month]]&lt;&gt;H234, P234+Query1[[#This Row],[Enhanced top up]]/Query1[[#This Row],[Adj Close]], P234))</f>
        <v>1195.2315242658181</v>
      </c>
      <c r="Q235" s="2">
        <f>IFERROR(AVERAGE(
  IF(ROW()&gt;20, INDEX(G:G, ROW()-20), 0) :
  INDEX(G:G, ROW())
),0)</f>
        <v>542.16394333612357</v>
      </c>
    </row>
    <row r="236" spans="1:17" x14ac:dyDescent="0.3">
      <c r="A236" s="1">
        <v>45631</v>
      </c>
      <c r="B236">
        <v>558.6300048828125</v>
      </c>
      <c r="C236">
        <v>559.40997314453125</v>
      </c>
      <c r="D236">
        <v>557.46002197265625</v>
      </c>
      <c r="E236">
        <v>557.71002197265625</v>
      </c>
      <c r="F236">
        <v>3021600</v>
      </c>
      <c r="G236">
        <v>552.30474853515625</v>
      </c>
      <c r="H236" s="2">
        <f>MONTH(Query1[[#This Row],[Date]])</f>
        <v>12</v>
      </c>
      <c r="I236" s="3">
        <f>Query1[[#This Row],[Shares]]*Query1[[#This Row],[Adj Close]]</f>
        <v>648880.26261084038</v>
      </c>
      <c r="J236" s="3">
        <f>IF(ROW()&lt;3, Dashboard!$E$7, IF(Query1[[#This Row],[Month]]&lt;&gt;H235,J235*(1+Dashboard!$E$4)+Dashboard!$E$5,J235))</f>
        <v>580967.84266572166</v>
      </c>
      <c r="K236">
        <f>IF(ROW()&lt;3, 0,IF(Query1[[#This Row],[Month]]&lt;&gt;H235,IF((J236-I236&gt;0),J236-I236,0),0))</f>
        <v>0</v>
      </c>
      <c r="L236" s="2">
        <f t="shared" si="3"/>
        <v>1174.8591051078693</v>
      </c>
      <c r="M236">
        <f ca="1">IF(ROW()&lt;3,0,IF(Query1[[#This Row],[Month]]&lt;&gt;OFFSET(Query1[[#This Row],[Month]],-1,0),Dashboard!$J$5,0))</f>
        <v>0</v>
      </c>
      <c r="N236" s="2">
        <f ca="1">IF(ROW()&lt;3, Query1[[#This Row],[Shares]], IF(Query1[[#This Row],[Month]]&lt;&gt;H235, N235+Query1[[#This Row],[Fix Top Up]]/Query1[[#This Row],[Adj Close]], N235))</f>
        <v>1196.9691688188602</v>
      </c>
      <c r="O23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6" s="2">
        <f ca="1">IF(ROW()&lt;3, Query1[[#This Row],[Shares]], IF(Query1[[#This Row],[Month]]&lt;&gt;H235, P235+Query1[[#This Row],[Enhanced top up]]/Query1[[#This Row],[Adj Close]], P235))</f>
        <v>1195.2315242658181</v>
      </c>
      <c r="Q236" s="2">
        <f>IFERROR(AVERAGE(
  IF(ROW()&gt;20, INDEX(G:G, ROW()-20), 0) :
  INDEX(G:G, ROW())
),0)</f>
        <v>543.46596563430057</v>
      </c>
    </row>
    <row r="237" spans="1:17" x14ac:dyDescent="0.3">
      <c r="A237" s="1">
        <v>45632</v>
      </c>
      <c r="B237">
        <v>558.469970703125</v>
      </c>
      <c r="C237">
        <v>559.96002197265625</v>
      </c>
      <c r="D237">
        <v>558.08001708984375</v>
      </c>
      <c r="E237">
        <v>558.82000732421875</v>
      </c>
      <c r="F237">
        <v>5134900</v>
      </c>
      <c r="G237">
        <v>553.4039306640625</v>
      </c>
      <c r="H237" s="2">
        <f>MONTH(Query1[[#This Row],[Date]])</f>
        <v>12</v>
      </c>
      <c r="I237" s="3">
        <f>Query1[[#This Row],[Shares]]*Query1[[#This Row],[Adj Close]]</f>
        <v>650171.64674315776</v>
      </c>
      <c r="J237" s="3">
        <f>IF(ROW()&lt;3, Dashboard!$E$7, IF(Query1[[#This Row],[Month]]&lt;&gt;H236,J236*(1+Dashboard!$E$4)+Dashboard!$E$5,J236))</f>
        <v>580967.84266572166</v>
      </c>
      <c r="K237">
        <f>IF(ROW()&lt;3, 0,IF(Query1[[#This Row],[Month]]&lt;&gt;H236,IF((J237-I237&gt;0),J237-I237,0),0))</f>
        <v>0</v>
      </c>
      <c r="L237" s="2">
        <f t="shared" si="3"/>
        <v>1174.8591051078693</v>
      </c>
      <c r="M237">
        <f ca="1">IF(ROW()&lt;3,0,IF(Query1[[#This Row],[Month]]&lt;&gt;OFFSET(Query1[[#This Row],[Month]],-1,0),Dashboard!$J$5,0))</f>
        <v>0</v>
      </c>
      <c r="N237" s="2">
        <f ca="1">IF(ROW()&lt;3, Query1[[#This Row],[Shares]], IF(Query1[[#This Row],[Month]]&lt;&gt;H236, N236+Query1[[#This Row],[Fix Top Up]]/Query1[[#This Row],[Adj Close]], N236))</f>
        <v>1196.9691688188602</v>
      </c>
      <c r="O23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7" s="2">
        <f ca="1">IF(ROW()&lt;3, Query1[[#This Row],[Shares]], IF(Query1[[#This Row],[Month]]&lt;&gt;H236, P236+Query1[[#This Row],[Enhanced top up]]/Query1[[#This Row],[Adj Close]], P236))</f>
        <v>1195.2315242658181</v>
      </c>
      <c r="Q237" s="2">
        <f>IFERROR(AVERAGE(
  IF(ROW()&gt;20, INDEX(G:G, ROW()-20), 0) :
  INDEX(G:G, ROW())
),0)</f>
        <v>544.19784981863836</v>
      </c>
    </row>
    <row r="238" spans="1:17" x14ac:dyDescent="0.3">
      <c r="A238" s="1">
        <v>45635</v>
      </c>
      <c r="B238">
        <v>558.71002197265625</v>
      </c>
      <c r="C238">
        <v>558.8699951171875</v>
      </c>
      <c r="D238">
        <v>555.3800048828125</v>
      </c>
      <c r="E238">
        <v>555.90997314453125</v>
      </c>
      <c r="F238">
        <v>4412300</v>
      </c>
      <c r="G238">
        <v>550.52215576171875</v>
      </c>
      <c r="H238" s="2">
        <f>MONTH(Query1[[#This Row],[Date]])</f>
        <v>12</v>
      </c>
      <c r="I238" s="3">
        <f>Query1[[#This Row],[Shares]]*Query1[[#This Row],[Adj Close]]</f>
        <v>646785.96726026793</v>
      </c>
      <c r="J238" s="3">
        <f>IF(ROW()&lt;3, Dashboard!$E$7, IF(Query1[[#This Row],[Month]]&lt;&gt;H237,J237*(1+Dashboard!$E$4)+Dashboard!$E$5,J237))</f>
        <v>580967.84266572166</v>
      </c>
      <c r="K238">
        <f>IF(ROW()&lt;3, 0,IF(Query1[[#This Row],[Month]]&lt;&gt;H237,IF((J238-I238&gt;0),J238-I238,0),0))</f>
        <v>0</v>
      </c>
      <c r="L238" s="2">
        <f t="shared" si="3"/>
        <v>1174.8591051078693</v>
      </c>
      <c r="M238">
        <f ca="1">IF(ROW()&lt;3,0,IF(Query1[[#This Row],[Month]]&lt;&gt;OFFSET(Query1[[#This Row],[Month]],-1,0),Dashboard!$J$5,0))</f>
        <v>0</v>
      </c>
      <c r="N238" s="2">
        <f ca="1">IF(ROW()&lt;3, Query1[[#This Row],[Shares]], IF(Query1[[#This Row],[Month]]&lt;&gt;H237, N237+Query1[[#This Row],[Fix Top Up]]/Query1[[#This Row],[Adj Close]], N237))</f>
        <v>1196.9691688188602</v>
      </c>
      <c r="O23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8" s="2">
        <f ca="1">IF(ROW()&lt;3, Query1[[#This Row],[Shares]], IF(Query1[[#This Row],[Month]]&lt;&gt;H237, P237+Query1[[#This Row],[Enhanced top up]]/Query1[[#This Row],[Adj Close]], P237))</f>
        <v>1195.2315242658181</v>
      </c>
      <c r="Q238" s="2">
        <f>IFERROR(AVERAGE(
  IF(ROW()&gt;20, INDEX(G:G, ROW()-20), 0) :
  INDEX(G:G, ROW())
),0)</f>
        <v>544.5930321103051</v>
      </c>
    </row>
    <row r="239" spans="1:17" x14ac:dyDescent="0.3">
      <c r="A239" s="1">
        <v>45636</v>
      </c>
      <c r="B239">
        <v>556.58001708984375</v>
      </c>
      <c r="C239">
        <v>556.8800048828125</v>
      </c>
      <c r="D239">
        <v>553.57000732421875</v>
      </c>
      <c r="E239">
        <v>554.33001708984375</v>
      </c>
      <c r="F239">
        <v>4110100</v>
      </c>
      <c r="G239">
        <v>548.95745849609375</v>
      </c>
      <c r="H239" s="2">
        <f>MONTH(Query1[[#This Row],[Date]])</f>
        <v>12</v>
      </c>
      <c r="I239" s="3">
        <f>Query1[[#This Row],[Shares]]*Query1[[#This Row],[Adj Close]]</f>
        <v>644947.66843101103</v>
      </c>
      <c r="J239" s="3">
        <f>IF(ROW()&lt;3, Dashboard!$E$7, IF(Query1[[#This Row],[Month]]&lt;&gt;H238,J238*(1+Dashboard!$E$4)+Dashboard!$E$5,J238))</f>
        <v>580967.84266572166</v>
      </c>
      <c r="K239">
        <f>IF(ROW()&lt;3, 0,IF(Query1[[#This Row],[Month]]&lt;&gt;H238,IF((J239-I239&gt;0),J239-I239,0),0))</f>
        <v>0</v>
      </c>
      <c r="L239" s="2">
        <f t="shared" si="3"/>
        <v>1174.8591051078693</v>
      </c>
      <c r="M239">
        <f ca="1">IF(ROW()&lt;3,0,IF(Query1[[#This Row],[Month]]&lt;&gt;OFFSET(Query1[[#This Row],[Month]],-1,0),Dashboard!$J$5,0))</f>
        <v>0</v>
      </c>
      <c r="N239" s="2">
        <f ca="1">IF(ROW()&lt;3, Query1[[#This Row],[Shares]], IF(Query1[[#This Row],[Month]]&lt;&gt;H238, N238+Query1[[#This Row],[Fix Top Up]]/Query1[[#This Row],[Adj Close]], N238))</f>
        <v>1196.9691688188602</v>
      </c>
      <c r="O23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39" s="2">
        <f ca="1">IF(ROW()&lt;3, Query1[[#This Row],[Shares]], IF(Query1[[#This Row],[Month]]&lt;&gt;H238, P238+Query1[[#This Row],[Enhanced top up]]/Query1[[#This Row],[Adj Close]], P238))</f>
        <v>1195.2315242658181</v>
      </c>
      <c r="Q239" s="2">
        <f>IFERROR(AVERAGE(
  IF(ROW()&gt;20, INDEX(G:G, ROW()-20), 0) :
  INDEX(G:G, ROW())
),0)</f>
        <v>544.79958379836307</v>
      </c>
    </row>
    <row r="240" spans="1:17" x14ac:dyDescent="0.3">
      <c r="A240" s="1">
        <v>45637</v>
      </c>
      <c r="B240">
        <v>556.91998291015625</v>
      </c>
      <c r="C240">
        <v>559.3900146484375</v>
      </c>
      <c r="D240">
        <v>556.65997314453125</v>
      </c>
      <c r="E240">
        <v>558.530029296875</v>
      </c>
      <c r="F240">
        <v>3514400</v>
      </c>
      <c r="G240">
        <v>553.11676025390625</v>
      </c>
      <c r="H240" s="2">
        <f>MONTH(Query1[[#This Row],[Date]])</f>
        <v>12</v>
      </c>
      <c r="I240" s="3">
        <f>Query1[[#This Row],[Shares]]*Query1[[#This Row],[Adj Close]]</f>
        <v>649834.26197206811</v>
      </c>
      <c r="J240" s="3">
        <f>IF(ROW()&lt;3, Dashboard!$E$7, IF(Query1[[#This Row],[Month]]&lt;&gt;H239,J239*(1+Dashboard!$E$4)+Dashboard!$E$5,J239))</f>
        <v>580967.84266572166</v>
      </c>
      <c r="K240">
        <f>IF(ROW()&lt;3, 0,IF(Query1[[#This Row],[Month]]&lt;&gt;H239,IF((J240-I240&gt;0),J240-I240,0),0))</f>
        <v>0</v>
      </c>
      <c r="L240" s="2">
        <f t="shared" si="3"/>
        <v>1174.8591051078693</v>
      </c>
      <c r="M240">
        <f ca="1">IF(ROW()&lt;3,0,IF(Query1[[#This Row],[Month]]&lt;&gt;OFFSET(Query1[[#This Row],[Month]],-1,0),Dashboard!$J$5,0))</f>
        <v>0</v>
      </c>
      <c r="N240" s="2">
        <f ca="1">IF(ROW()&lt;3, Query1[[#This Row],[Shares]], IF(Query1[[#This Row],[Month]]&lt;&gt;H239, N239+Query1[[#This Row],[Fix Top Up]]/Query1[[#This Row],[Adj Close]], N239))</f>
        <v>1196.9691688188602</v>
      </c>
      <c r="O24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0" s="2">
        <f ca="1">IF(ROW()&lt;3, Query1[[#This Row],[Shares]], IF(Query1[[#This Row],[Month]]&lt;&gt;H239, P239+Query1[[#This Row],[Enhanced top up]]/Query1[[#This Row],[Adj Close]], P239))</f>
        <v>1195.2315242658181</v>
      </c>
      <c r="Q240" s="2">
        <f>IFERROR(AVERAGE(
  IF(ROW()&gt;20, INDEX(G:G, ROW()-20), 0) :
  INDEX(G:G, ROW())
),0)</f>
        <v>545.18297177269346</v>
      </c>
    </row>
    <row r="241" spans="1:17" x14ac:dyDescent="0.3">
      <c r="A241" s="1">
        <v>45638</v>
      </c>
      <c r="B241">
        <v>557.66998291015625</v>
      </c>
      <c r="C241">
        <v>558.20001220703125</v>
      </c>
      <c r="D241">
        <v>555.6199951171875</v>
      </c>
      <c r="E241">
        <v>555.6500244140625</v>
      </c>
      <c r="F241">
        <v>4048600</v>
      </c>
      <c r="G241">
        <v>550.2646484375</v>
      </c>
      <c r="H241" s="2">
        <f>MONTH(Query1[[#This Row],[Date]])</f>
        <v>12</v>
      </c>
      <c r="I241" s="3">
        <f>Query1[[#This Row],[Shares]]*Query1[[#This Row],[Adj Close]]</f>
        <v>646483.4324357775</v>
      </c>
      <c r="J241" s="3">
        <f>IF(ROW()&lt;3, Dashboard!$E$7, IF(Query1[[#This Row],[Month]]&lt;&gt;H240,J240*(1+Dashboard!$E$4)+Dashboard!$E$5,J240))</f>
        <v>580967.84266572166</v>
      </c>
      <c r="K241">
        <f>IF(ROW()&lt;3, 0,IF(Query1[[#This Row],[Month]]&lt;&gt;H240,IF((J241-I241&gt;0),J241-I241,0),0))</f>
        <v>0</v>
      </c>
      <c r="L241" s="2">
        <f t="shared" si="3"/>
        <v>1174.8591051078693</v>
      </c>
      <c r="M241">
        <f ca="1">IF(ROW()&lt;3,0,IF(Query1[[#This Row],[Month]]&lt;&gt;OFFSET(Query1[[#This Row],[Month]],-1,0),Dashboard!$J$5,0))</f>
        <v>0</v>
      </c>
      <c r="N241" s="2">
        <f ca="1">IF(ROW()&lt;3, Query1[[#This Row],[Shares]], IF(Query1[[#This Row],[Month]]&lt;&gt;H240, N240+Query1[[#This Row],[Fix Top Up]]/Query1[[#This Row],[Adj Close]], N240))</f>
        <v>1196.9691688188602</v>
      </c>
      <c r="O24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1" s="2">
        <f ca="1">IF(ROW()&lt;3, Query1[[#This Row],[Shares]], IF(Query1[[#This Row],[Month]]&lt;&gt;H240, P240+Query1[[#This Row],[Enhanced top up]]/Query1[[#This Row],[Adj Close]], P240))</f>
        <v>1195.2315242658181</v>
      </c>
      <c r="Q241" s="2">
        <f>IFERROR(AVERAGE(
  IF(ROW()&gt;20, INDEX(G:G, ROW()-20), 0) :
  INDEX(G:G, ROW())
),0)</f>
        <v>545.50835600353423</v>
      </c>
    </row>
    <row r="242" spans="1:17" x14ac:dyDescent="0.3">
      <c r="A242" s="1">
        <v>45639</v>
      </c>
      <c r="B242">
        <v>557.510009765625</v>
      </c>
      <c r="C242">
        <v>558.15997314453125</v>
      </c>
      <c r="D242">
        <v>554.20001220703125</v>
      </c>
      <c r="E242">
        <v>555.6099853515625</v>
      </c>
      <c r="F242">
        <v>4666900</v>
      </c>
      <c r="G242">
        <v>550.22503662109375</v>
      </c>
      <c r="H242" s="2">
        <f>MONTH(Query1[[#This Row],[Date]])</f>
        <v>12</v>
      </c>
      <c r="I242" s="3">
        <f>Query1[[#This Row],[Shares]]*Query1[[#This Row],[Adj Close]]</f>
        <v>646436.89413260284</v>
      </c>
      <c r="J242" s="3">
        <f>IF(ROW()&lt;3, Dashboard!$E$7, IF(Query1[[#This Row],[Month]]&lt;&gt;H241,J241*(1+Dashboard!$E$4)+Dashboard!$E$5,J241))</f>
        <v>580967.84266572166</v>
      </c>
      <c r="K242">
        <f>IF(ROW()&lt;3, 0,IF(Query1[[#This Row],[Month]]&lt;&gt;H241,IF((J242-I242&gt;0),J242-I242,0),0))</f>
        <v>0</v>
      </c>
      <c r="L242" s="2">
        <f t="shared" si="3"/>
        <v>1174.8591051078693</v>
      </c>
      <c r="M242">
        <f ca="1">IF(ROW()&lt;3,0,IF(Query1[[#This Row],[Month]]&lt;&gt;OFFSET(Query1[[#This Row],[Month]],-1,0),Dashboard!$J$5,0))</f>
        <v>0</v>
      </c>
      <c r="N242" s="2">
        <f ca="1">IF(ROW()&lt;3, Query1[[#This Row],[Shares]], IF(Query1[[#This Row],[Month]]&lt;&gt;H241, N241+Query1[[#This Row],[Fix Top Up]]/Query1[[#This Row],[Adj Close]], N241))</f>
        <v>1196.9691688188602</v>
      </c>
      <c r="O24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2" s="2">
        <f ca="1">IF(ROW()&lt;3, Query1[[#This Row],[Shares]], IF(Query1[[#This Row],[Month]]&lt;&gt;H241, P241+Query1[[#This Row],[Enhanced top up]]/Query1[[#This Row],[Adj Close]], P241))</f>
        <v>1195.2315242658181</v>
      </c>
      <c r="Q242" s="2">
        <f>IFERROR(AVERAGE(
  IF(ROW()&gt;20, INDEX(G:G, ROW()-20), 0) :
  INDEX(G:G, ROW())
),0)</f>
        <v>545.81865001860115</v>
      </c>
    </row>
    <row r="243" spans="1:17" x14ac:dyDescent="0.3">
      <c r="A243" s="1">
        <v>45642</v>
      </c>
      <c r="B243">
        <v>557.1300048828125</v>
      </c>
      <c r="C243">
        <v>558.79998779296875</v>
      </c>
      <c r="D243">
        <v>556.41998291015625</v>
      </c>
      <c r="E243">
        <v>557.78997802734375</v>
      </c>
      <c r="F243">
        <v>22846800</v>
      </c>
      <c r="G243">
        <v>552.3839111328125</v>
      </c>
      <c r="H243" s="2">
        <f>MONTH(Query1[[#This Row],[Date]])</f>
        <v>12</v>
      </c>
      <c r="I243" s="3">
        <f>Query1[[#This Row],[Shares]]*Query1[[#This Row],[Adj Close]]</f>
        <v>648973.26750948082</v>
      </c>
      <c r="J243" s="3">
        <f>IF(ROW()&lt;3, Dashboard!$E$7, IF(Query1[[#This Row],[Month]]&lt;&gt;H242,J242*(1+Dashboard!$E$4)+Dashboard!$E$5,J242))</f>
        <v>580967.84266572166</v>
      </c>
      <c r="K243">
        <f>IF(ROW()&lt;3, 0,IF(Query1[[#This Row],[Month]]&lt;&gt;H242,IF((J243-I243&gt;0),J243-I243,0),0))</f>
        <v>0</v>
      </c>
      <c r="L243" s="2">
        <f t="shared" si="3"/>
        <v>1174.8591051078693</v>
      </c>
      <c r="M243">
        <f ca="1">IF(ROW()&lt;3,0,IF(Query1[[#This Row],[Month]]&lt;&gt;OFFSET(Query1[[#This Row],[Month]],-1,0),Dashboard!$J$5,0))</f>
        <v>0</v>
      </c>
      <c r="N243" s="2">
        <f ca="1">IF(ROW()&lt;3, Query1[[#This Row],[Shares]], IF(Query1[[#This Row],[Month]]&lt;&gt;H242, N242+Query1[[#This Row],[Fix Top Up]]/Query1[[#This Row],[Adj Close]], N242))</f>
        <v>1196.9691688188602</v>
      </c>
      <c r="O24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3" s="2">
        <f ca="1">IF(ROW()&lt;3, Query1[[#This Row],[Shares]], IF(Query1[[#This Row],[Month]]&lt;&gt;H242, P242+Query1[[#This Row],[Enhanced top up]]/Query1[[#This Row],[Adj Close]], P242))</f>
        <v>1195.2315242658181</v>
      </c>
      <c r="Q243" s="2">
        <f>IFERROR(AVERAGE(
  IF(ROW()&gt;20, INDEX(G:G, ROW()-20), 0) :
  INDEX(G:G, ROW())
),0)</f>
        <v>546.39633033389134</v>
      </c>
    </row>
    <row r="244" spans="1:17" x14ac:dyDescent="0.3">
      <c r="A244" s="1">
        <v>45643</v>
      </c>
      <c r="B244">
        <v>555.469970703125</v>
      </c>
      <c r="C244">
        <v>556.3900146484375</v>
      </c>
      <c r="D244">
        <v>554.28997802734375</v>
      </c>
      <c r="E244">
        <v>555.45001220703125</v>
      </c>
      <c r="F244">
        <v>6110900</v>
      </c>
      <c r="G244">
        <v>550.066650390625</v>
      </c>
      <c r="H244" s="2">
        <f>MONTH(Query1[[#This Row],[Date]])</f>
        <v>12</v>
      </c>
      <c r="I244" s="3">
        <f>Query1[[#This Row],[Shares]]*Query1[[#This Row],[Adj Close]]</f>
        <v>646250.81262761285</v>
      </c>
      <c r="J244" s="3">
        <f>IF(ROW()&lt;3, Dashboard!$E$7, IF(Query1[[#This Row],[Month]]&lt;&gt;H243,J243*(1+Dashboard!$E$4)+Dashboard!$E$5,J243))</f>
        <v>580967.84266572166</v>
      </c>
      <c r="K244">
        <f>IF(ROW()&lt;3, 0,IF(Query1[[#This Row],[Month]]&lt;&gt;H243,IF((J244-I244&gt;0),J244-I244,0),0))</f>
        <v>0</v>
      </c>
      <c r="L244" s="2">
        <f t="shared" si="3"/>
        <v>1174.8591051078693</v>
      </c>
      <c r="M244">
        <f ca="1">IF(ROW()&lt;3,0,IF(Query1[[#This Row],[Month]]&lt;&gt;OFFSET(Query1[[#This Row],[Month]],-1,0),Dashboard!$J$5,0))</f>
        <v>0</v>
      </c>
      <c r="N244" s="2">
        <f ca="1">IF(ROW()&lt;3, Query1[[#This Row],[Shares]], IF(Query1[[#This Row],[Month]]&lt;&gt;H243, N243+Query1[[#This Row],[Fix Top Up]]/Query1[[#This Row],[Adj Close]], N243))</f>
        <v>1196.9691688188602</v>
      </c>
      <c r="O24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4" s="2">
        <f ca="1">IF(ROW()&lt;3, Query1[[#This Row],[Shares]], IF(Query1[[#This Row],[Month]]&lt;&gt;H243, P243+Query1[[#This Row],[Enhanced top up]]/Query1[[#This Row],[Adj Close]], P243))</f>
        <v>1195.2315242658181</v>
      </c>
      <c r="Q244" s="2">
        <f>IFERROR(AVERAGE(
  IF(ROW()&gt;20, INDEX(G:G, ROW()-20), 0) :
  INDEX(G:G, ROW())
),0)</f>
        <v>547.19565255301336</v>
      </c>
    </row>
    <row r="245" spans="1:17" x14ac:dyDescent="0.3">
      <c r="A245" s="1">
        <v>45644</v>
      </c>
      <c r="B245">
        <v>555.29998779296875</v>
      </c>
      <c r="C245">
        <v>557.530029296875</v>
      </c>
      <c r="D245">
        <v>538.530029296875</v>
      </c>
      <c r="E245">
        <v>539.1400146484375</v>
      </c>
      <c r="F245">
        <v>24584900</v>
      </c>
      <c r="G245">
        <v>533.9146728515625</v>
      </c>
      <c r="H245" s="2">
        <f>MONTH(Query1[[#This Row],[Date]])</f>
        <v>12</v>
      </c>
      <c r="I245" s="3">
        <f>Query1[[#This Row],[Shares]]*Query1[[#This Row],[Adj Close]]</f>
        <v>627274.51475034747</v>
      </c>
      <c r="J245" s="3">
        <f>IF(ROW()&lt;3, Dashboard!$E$7, IF(Query1[[#This Row],[Month]]&lt;&gt;H244,J244*(1+Dashboard!$E$4)+Dashboard!$E$5,J244))</f>
        <v>580967.84266572166</v>
      </c>
      <c r="K245">
        <f>IF(ROW()&lt;3, 0,IF(Query1[[#This Row],[Month]]&lt;&gt;H244,IF((J245-I245&gt;0),J245-I245,0),0))</f>
        <v>0</v>
      </c>
      <c r="L245" s="2">
        <f t="shared" si="3"/>
        <v>1174.8591051078693</v>
      </c>
      <c r="M245">
        <f ca="1">IF(ROW()&lt;3,0,IF(Query1[[#This Row],[Month]]&lt;&gt;OFFSET(Query1[[#This Row],[Month]],-1,0),Dashboard!$J$5,0))</f>
        <v>0</v>
      </c>
      <c r="N245" s="2">
        <f ca="1">IF(ROW()&lt;3, Query1[[#This Row],[Shares]], IF(Query1[[#This Row],[Month]]&lt;&gt;H244, N244+Query1[[#This Row],[Fix Top Up]]/Query1[[#This Row],[Adj Close]], N244))</f>
        <v>1196.9691688188602</v>
      </c>
      <c r="O24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5" s="2">
        <f ca="1">IF(ROW()&lt;3, Query1[[#This Row],[Shares]], IF(Query1[[#This Row],[Month]]&lt;&gt;H244, P244+Query1[[#This Row],[Enhanced top up]]/Query1[[#This Row],[Adj Close]], P244))</f>
        <v>1195.2315242658181</v>
      </c>
      <c r="Q245" s="2">
        <f>IFERROR(AVERAGE(
  IF(ROW()&gt;20, INDEX(G:G, ROW()-20), 0) :
  INDEX(G:G, ROW())
),0)</f>
        <v>547.12067231677827</v>
      </c>
    </row>
    <row r="246" spans="1:17" x14ac:dyDescent="0.3">
      <c r="A246" s="1">
        <v>45645</v>
      </c>
      <c r="B246">
        <v>543.69000244140625</v>
      </c>
      <c r="C246">
        <v>545.0999755859375</v>
      </c>
      <c r="D246">
        <v>538.6500244140625</v>
      </c>
      <c r="E246">
        <v>538.94000244140625</v>
      </c>
      <c r="F246">
        <v>16792100</v>
      </c>
      <c r="G246">
        <v>533.716552734375</v>
      </c>
      <c r="H246" s="2">
        <f>MONTH(Query1[[#This Row],[Date]])</f>
        <v>12</v>
      </c>
      <c r="I246" s="3">
        <f>Query1[[#This Row],[Shares]]*Query1[[#This Row],[Adj Close]]</f>
        <v>627041.75152676471</v>
      </c>
      <c r="J246" s="3">
        <f>IF(ROW()&lt;3, Dashboard!$E$7, IF(Query1[[#This Row],[Month]]&lt;&gt;H245,J245*(1+Dashboard!$E$4)+Dashboard!$E$5,J245))</f>
        <v>580967.84266572166</v>
      </c>
      <c r="K246">
        <f>IF(ROW()&lt;3, 0,IF(Query1[[#This Row],[Month]]&lt;&gt;H245,IF((J246-I246&gt;0),J246-I246,0),0))</f>
        <v>0</v>
      </c>
      <c r="L246" s="2">
        <f t="shared" si="3"/>
        <v>1174.8591051078693</v>
      </c>
      <c r="M246">
        <f ca="1">IF(ROW()&lt;3,0,IF(Query1[[#This Row],[Month]]&lt;&gt;OFFSET(Query1[[#This Row],[Month]],-1,0),Dashboard!$J$5,0))</f>
        <v>0</v>
      </c>
      <c r="N246" s="2">
        <f ca="1">IF(ROW()&lt;3, Query1[[#This Row],[Shares]], IF(Query1[[#This Row],[Month]]&lt;&gt;H245, N245+Query1[[#This Row],[Fix Top Up]]/Query1[[#This Row],[Adj Close]], N245))</f>
        <v>1196.9691688188602</v>
      </c>
      <c r="O24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6" s="2">
        <f ca="1">IF(ROW()&lt;3, Query1[[#This Row],[Shares]], IF(Query1[[#This Row],[Month]]&lt;&gt;H245, P245+Query1[[#This Row],[Enhanced top up]]/Query1[[#This Row],[Adj Close]], P245))</f>
        <v>1195.2315242658181</v>
      </c>
      <c r="Q246" s="2">
        <f>IFERROR(AVERAGE(
  IF(ROW()&gt;20, INDEX(G:G, ROW()-20), 0) :
  INDEX(G:G, ROW())
),0)</f>
        <v>546.94335646856393</v>
      </c>
    </row>
    <row r="247" spans="1:17" x14ac:dyDescent="0.3">
      <c r="A247" s="1">
        <v>45646</v>
      </c>
      <c r="B247">
        <v>536.6099853515625</v>
      </c>
      <c r="C247">
        <v>549.53997802734375</v>
      </c>
      <c r="D247">
        <v>535.8499755859375</v>
      </c>
      <c r="E247">
        <v>545.03997802734375</v>
      </c>
      <c r="F247">
        <v>9389400</v>
      </c>
      <c r="G247">
        <v>539.7574462890625</v>
      </c>
      <c r="H247" s="2">
        <f>MONTH(Query1[[#This Row],[Date]])</f>
        <v>12</v>
      </c>
      <c r="I247" s="3">
        <f>Query1[[#This Row],[Shares]]*Query1[[#This Row],[Adj Close]]</f>
        <v>634138.9503224768</v>
      </c>
      <c r="J247" s="3">
        <f>IF(ROW()&lt;3, Dashboard!$E$7, IF(Query1[[#This Row],[Month]]&lt;&gt;H246,J246*(1+Dashboard!$E$4)+Dashboard!$E$5,J246))</f>
        <v>580967.84266572166</v>
      </c>
      <c r="K247">
        <f>IF(ROW()&lt;3, 0,IF(Query1[[#This Row],[Month]]&lt;&gt;H246,IF((J247-I247&gt;0),J247-I247,0),0))</f>
        <v>0</v>
      </c>
      <c r="L247" s="2">
        <f t="shared" si="3"/>
        <v>1174.8591051078693</v>
      </c>
      <c r="M247">
        <f ca="1">IF(ROW()&lt;3,0,IF(Query1[[#This Row],[Month]]&lt;&gt;OFFSET(Query1[[#This Row],[Month]],-1,0),Dashboard!$J$5,0))</f>
        <v>0</v>
      </c>
      <c r="N247" s="2">
        <f ca="1">IF(ROW()&lt;3, Query1[[#This Row],[Shares]], IF(Query1[[#This Row],[Month]]&lt;&gt;H246, N246+Query1[[#This Row],[Fix Top Up]]/Query1[[#This Row],[Adj Close]], N246))</f>
        <v>1196.9691688188602</v>
      </c>
      <c r="O24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7" s="2">
        <f ca="1">IF(ROW()&lt;3, Query1[[#This Row],[Shares]], IF(Query1[[#This Row],[Month]]&lt;&gt;H246, P246+Query1[[#This Row],[Enhanced top up]]/Query1[[#This Row],[Adj Close]], P246))</f>
        <v>1195.2315242658181</v>
      </c>
      <c r="Q247" s="2">
        <f>IFERROR(AVERAGE(
  IF(ROW()&gt;20, INDEX(G:G, ROW()-20), 0) :
  INDEX(G:G, ROW())
),0)</f>
        <v>547.04426792689731</v>
      </c>
    </row>
    <row r="248" spans="1:17" x14ac:dyDescent="0.3">
      <c r="A248" s="1">
        <v>45649</v>
      </c>
      <c r="B248">
        <v>543.30999755859375</v>
      </c>
      <c r="C248">
        <v>547.3599853515625</v>
      </c>
      <c r="D248">
        <v>540.32000732421875</v>
      </c>
      <c r="E248">
        <v>547.19000244140625</v>
      </c>
      <c r="F248">
        <v>7063400</v>
      </c>
      <c r="G248">
        <v>543.62109375</v>
      </c>
      <c r="H248" s="2">
        <f>MONTH(Query1[[#This Row],[Date]])</f>
        <v>12</v>
      </c>
      <c r="I248" s="3">
        <f>Query1[[#This Row],[Shares]]*Query1[[#This Row],[Adj Close]]</f>
        <v>638678.19172088604</v>
      </c>
      <c r="J248" s="3">
        <f>IF(ROW()&lt;3, Dashboard!$E$7, IF(Query1[[#This Row],[Month]]&lt;&gt;H247,J247*(1+Dashboard!$E$4)+Dashboard!$E$5,J247))</f>
        <v>580967.84266572166</v>
      </c>
      <c r="K248">
        <f>IF(ROW()&lt;3, 0,IF(Query1[[#This Row],[Month]]&lt;&gt;H247,IF((J248-I248&gt;0),J248-I248,0),0))</f>
        <v>0</v>
      </c>
      <c r="L248" s="2">
        <f t="shared" si="3"/>
        <v>1174.8591051078693</v>
      </c>
      <c r="M248">
        <f ca="1">IF(ROW()&lt;3,0,IF(Query1[[#This Row],[Month]]&lt;&gt;OFFSET(Query1[[#This Row],[Month]],-1,0),Dashboard!$J$5,0))</f>
        <v>0</v>
      </c>
      <c r="N248" s="2">
        <f ca="1">IF(ROW()&lt;3, Query1[[#This Row],[Shares]], IF(Query1[[#This Row],[Month]]&lt;&gt;H247, N247+Query1[[#This Row],[Fix Top Up]]/Query1[[#This Row],[Adj Close]], N247))</f>
        <v>1196.9691688188602</v>
      </c>
      <c r="O24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8" s="2">
        <f ca="1">IF(ROW()&lt;3, Query1[[#This Row],[Shares]], IF(Query1[[#This Row],[Month]]&lt;&gt;H247, P247+Query1[[#This Row],[Enhanced top up]]/Query1[[#This Row],[Adj Close]], P247))</f>
        <v>1195.2315242658181</v>
      </c>
      <c r="Q248" s="2">
        <f>IFERROR(AVERAGE(
  IF(ROW()&gt;20, INDEX(G:G, ROW()-20), 0) :
  INDEX(G:G, ROW())
),0)</f>
        <v>547.199951171875</v>
      </c>
    </row>
    <row r="249" spans="1:17" x14ac:dyDescent="0.3">
      <c r="A249" s="1">
        <v>45650</v>
      </c>
      <c r="B249">
        <v>548.05999755859375</v>
      </c>
      <c r="C249">
        <v>552.9000244140625</v>
      </c>
      <c r="D249">
        <v>547.53997802734375</v>
      </c>
      <c r="E249">
        <v>552.82000732421875</v>
      </c>
      <c r="F249">
        <v>3439300</v>
      </c>
      <c r="G249">
        <v>549.21441650390625</v>
      </c>
      <c r="H249" s="2">
        <f>MONTH(Query1[[#This Row],[Date]])</f>
        <v>12</v>
      </c>
      <c r="I249" s="3">
        <f>Query1[[#This Row],[Shares]]*Query1[[#This Row],[Adj Close]]</f>
        <v>645249.55788611993</v>
      </c>
      <c r="J249" s="3">
        <f>IF(ROW()&lt;3, Dashboard!$E$7, IF(Query1[[#This Row],[Month]]&lt;&gt;H248,J248*(1+Dashboard!$E$4)+Dashboard!$E$5,J248))</f>
        <v>580967.84266572166</v>
      </c>
      <c r="K249">
        <f>IF(ROW()&lt;3, 0,IF(Query1[[#This Row],[Month]]&lt;&gt;H248,IF((J249-I249&gt;0),J249-I249,0),0))</f>
        <v>0</v>
      </c>
      <c r="L249" s="2">
        <f t="shared" si="3"/>
        <v>1174.8591051078693</v>
      </c>
      <c r="M249">
        <f ca="1">IF(ROW()&lt;3,0,IF(Query1[[#This Row],[Month]]&lt;&gt;OFFSET(Query1[[#This Row],[Month]],-1,0),Dashboard!$J$5,0))</f>
        <v>0</v>
      </c>
      <c r="N249" s="2">
        <f ca="1">IF(ROW()&lt;3, Query1[[#This Row],[Shares]], IF(Query1[[#This Row],[Month]]&lt;&gt;H248, N248+Query1[[#This Row],[Fix Top Up]]/Query1[[#This Row],[Adj Close]], N248))</f>
        <v>1196.9691688188602</v>
      </c>
      <c r="O24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49" s="2">
        <f ca="1">IF(ROW()&lt;3, Query1[[#This Row],[Shares]], IF(Query1[[#This Row],[Month]]&lt;&gt;H248, P248+Query1[[#This Row],[Enhanced top up]]/Query1[[#This Row],[Adj Close]], P248))</f>
        <v>1195.2315242658181</v>
      </c>
      <c r="Q249" s="2">
        <f>IFERROR(AVERAGE(
  IF(ROW()&gt;20, INDEX(G:G, ROW()-20), 0) :
  INDEX(G:G, ROW())
),0)</f>
        <v>547.53569103422615</v>
      </c>
    </row>
    <row r="250" spans="1:17" x14ac:dyDescent="0.3">
      <c r="A250" s="1">
        <v>45652</v>
      </c>
      <c r="B250">
        <v>551.20001220703125</v>
      </c>
      <c r="C250">
        <v>553.969970703125</v>
      </c>
      <c r="D250">
        <v>549.91998291015625</v>
      </c>
      <c r="E250">
        <v>552.80999755859375</v>
      </c>
      <c r="F250">
        <v>4492000</v>
      </c>
      <c r="G250">
        <v>549.2044677734375</v>
      </c>
      <c r="H250" s="2">
        <f>MONTH(Query1[[#This Row],[Date]])</f>
        <v>12</v>
      </c>
      <c r="I250" s="3">
        <f>Query1[[#This Row],[Shares]]*Query1[[#This Row],[Adj Close]]</f>
        <v>645237.86952954438</v>
      </c>
      <c r="J250" s="3">
        <f>IF(ROW()&lt;3, Dashboard!$E$7, IF(Query1[[#This Row],[Month]]&lt;&gt;H249,J249*(1+Dashboard!$E$4)+Dashboard!$E$5,J249))</f>
        <v>580967.84266572166</v>
      </c>
      <c r="K250">
        <f>IF(ROW()&lt;3, 0,IF(Query1[[#This Row],[Month]]&lt;&gt;H249,IF((J250-I250&gt;0),J250-I250,0),0))</f>
        <v>0</v>
      </c>
      <c r="L250" s="2">
        <f t="shared" si="3"/>
        <v>1174.8591051078693</v>
      </c>
      <c r="M250">
        <f ca="1">IF(ROW()&lt;3,0,IF(Query1[[#This Row],[Month]]&lt;&gt;OFFSET(Query1[[#This Row],[Month]],-1,0),Dashboard!$J$5,0))</f>
        <v>0</v>
      </c>
      <c r="N250" s="2">
        <f ca="1">IF(ROW()&lt;3, Query1[[#This Row],[Shares]], IF(Query1[[#This Row],[Month]]&lt;&gt;H249, N249+Query1[[#This Row],[Fix Top Up]]/Query1[[#This Row],[Adj Close]], N249))</f>
        <v>1196.9691688188602</v>
      </c>
      <c r="O25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0" s="2">
        <f ca="1">IF(ROW()&lt;3, Query1[[#This Row],[Shares]], IF(Query1[[#This Row],[Month]]&lt;&gt;H249, P249+Query1[[#This Row],[Enhanced top up]]/Query1[[#This Row],[Adj Close]], P249))</f>
        <v>1195.2315242658181</v>
      </c>
      <c r="Q250" s="2">
        <f>IFERROR(AVERAGE(
  IF(ROW()&gt;20, INDEX(G:G, ROW()-20), 0) :
  INDEX(G:G, ROW())
),0)</f>
        <v>547.78795514787942</v>
      </c>
    </row>
    <row r="251" spans="1:17" x14ac:dyDescent="0.3">
      <c r="A251" s="1">
        <v>45653</v>
      </c>
      <c r="B251">
        <v>549.3699951171875</v>
      </c>
      <c r="C251">
        <v>549.6199951171875</v>
      </c>
      <c r="D251">
        <v>543.20001220703125</v>
      </c>
      <c r="E251">
        <v>547.08001708984375</v>
      </c>
      <c r="F251">
        <v>7077100</v>
      </c>
      <c r="G251">
        <v>543.5118408203125</v>
      </c>
      <c r="H251" s="2">
        <f>MONTH(Query1[[#This Row],[Date]])</f>
        <v>12</v>
      </c>
      <c r="I251" s="3">
        <f>Query1[[#This Row],[Shares]]*Query1[[#This Row],[Adj Close]]</f>
        <v>638549.83492168307</v>
      </c>
      <c r="J251" s="3">
        <f>IF(ROW()&lt;3, Dashboard!$E$7, IF(Query1[[#This Row],[Month]]&lt;&gt;H250,J250*(1+Dashboard!$E$4)+Dashboard!$E$5,J250))</f>
        <v>580967.84266572166</v>
      </c>
      <c r="K251">
        <f>IF(ROW()&lt;3, 0,IF(Query1[[#This Row],[Month]]&lt;&gt;H250,IF((J251-I251&gt;0),J251-I251,0),0))</f>
        <v>0</v>
      </c>
      <c r="L251" s="2">
        <f t="shared" si="3"/>
        <v>1174.8591051078693</v>
      </c>
      <c r="M251">
        <f ca="1">IF(ROW()&lt;3,0,IF(Query1[[#This Row],[Month]]&lt;&gt;OFFSET(Query1[[#This Row],[Month]],-1,0),Dashboard!$J$5,0))</f>
        <v>0</v>
      </c>
      <c r="N251" s="2">
        <f ca="1">IF(ROW()&lt;3, Query1[[#This Row],[Shares]], IF(Query1[[#This Row],[Month]]&lt;&gt;H250, N250+Query1[[#This Row],[Fix Top Up]]/Query1[[#This Row],[Adj Close]], N250))</f>
        <v>1196.9691688188602</v>
      </c>
      <c r="O25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1" s="2">
        <f ca="1">IF(ROW()&lt;3, Query1[[#This Row],[Shares]], IF(Query1[[#This Row],[Month]]&lt;&gt;H250, P250+Query1[[#This Row],[Enhanced top up]]/Query1[[#This Row],[Adj Close]], P250))</f>
        <v>1195.2315242658181</v>
      </c>
      <c r="Q251" s="2">
        <f>IFERROR(AVERAGE(
  IF(ROW()&gt;20, INDEX(G:G, ROW()-20), 0) :
  INDEX(G:G, ROW())
),0)</f>
        <v>547.6239013671875</v>
      </c>
    </row>
    <row r="252" spans="1:17" x14ac:dyDescent="0.3">
      <c r="A252" s="1">
        <v>45656</v>
      </c>
      <c r="B252">
        <v>540.55999755859375</v>
      </c>
      <c r="C252">
        <v>544.09002685546875</v>
      </c>
      <c r="D252">
        <v>537.4000244140625</v>
      </c>
      <c r="E252">
        <v>540.989990234375</v>
      </c>
      <c r="F252">
        <v>6505100</v>
      </c>
      <c r="G252">
        <v>537.4615478515625</v>
      </c>
      <c r="H252" s="2">
        <f>MONTH(Query1[[#This Row],[Date]])</f>
        <v>12</v>
      </c>
      <c r="I252" s="3">
        <f>Query1[[#This Row],[Shares]]*Query1[[#This Row],[Adj Close]]</f>
        <v>631441.59313877695</v>
      </c>
      <c r="J252" s="3">
        <f>IF(ROW()&lt;3, Dashboard!$E$7, IF(Query1[[#This Row],[Month]]&lt;&gt;H251,J251*(1+Dashboard!$E$4)+Dashboard!$E$5,J251))</f>
        <v>580967.84266572166</v>
      </c>
      <c r="K252">
        <f>IF(ROW()&lt;3, 0,IF(Query1[[#This Row],[Month]]&lt;&gt;H251,IF((J252-I252&gt;0),J252-I252,0),0))</f>
        <v>0</v>
      </c>
      <c r="L252" s="2">
        <f t="shared" si="3"/>
        <v>1174.8591051078693</v>
      </c>
      <c r="M252">
        <f ca="1">IF(ROW()&lt;3,0,IF(Query1[[#This Row],[Month]]&lt;&gt;OFFSET(Query1[[#This Row],[Month]],-1,0),Dashboard!$J$5,0))</f>
        <v>0</v>
      </c>
      <c r="N252" s="2">
        <f ca="1">IF(ROW()&lt;3, Query1[[#This Row],[Shares]], IF(Query1[[#This Row],[Month]]&lt;&gt;H251, N251+Query1[[#This Row],[Fix Top Up]]/Query1[[#This Row],[Adj Close]], N251))</f>
        <v>1196.9691688188602</v>
      </c>
      <c r="O25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2" s="2">
        <f ca="1">IF(ROW()&lt;3, Query1[[#This Row],[Shares]], IF(Query1[[#This Row],[Month]]&lt;&gt;H251, P251+Query1[[#This Row],[Enhanced top up]]/Query1[[#This Row],[Adj Close]], P251))</f>
        <v>1195.2315242658181</v>
      </c>
      <c r="Q252" s="2">
        <f>IFERROR(AVERAGE(
  IF(ROW()&gt;20, INDEX(G:G, ROW()-20), 0) :
  INDEX(G:G, ROW())
),0)</f>
        <v>547.25473458426336</v>
      </c>
    </row>
    <row r="253" spans="1:17" x14ac:dyDescent="0.3">
      <c r="A253" s="1">
        <v>45657</v>
      </c>
      <c r="B253">
        <v>542.45001220703125</v>
      </c>
      <c r="C253">
        <v>543.07000732421875</v>
      </c>
      <c r="D253">
        <v>537.4000244140625</v>
      </c>
      <c r="E253">
        <v>538.80999755859375</v>
      </c>
      <c r="F253">
        <v>6040800</v>
      </c>
      <c r="G253">
        <v>535.2957763671875</v>
      </c>
      <c r="H253" s="2">
        <f>MONTH(Query1[[#This Row],[Date]])</f>
        <v>12</v>
      </c>
      <c r="I253" s="3">
        <f>Query1[[#This Row],[Shares]]*Query1[[#This Row],[Adj Close]]</f>
        <v>628897.11679077602</v>
      </c>
      <c r="J253" s="3">
        <f>IF(ROW()&lt;3, Dashboard!$E$7, IF(Query1[[#This Row],[Month]]&lt;&gt;H252,J252*(1+Dashboard!$E$4)+Dashboard!$E$5,J252))</f>
        <v>580967.84266572166</v>
      </c>
      <c r="K253">
        <f>IF(ROW()&lt;3, 0,IF(Query1[[#This Row],[Month]]&lt;&gt;H252,IF((J253-I253&gt;0),J253-I253,0),0))</f>
        <v>0</v>
      </c>
      <c r="L253" s="2">
        <f t="shared" si="3"/>
        <v>1174.8591051078693</v>
      </c>
      <c r="M253">
        <f ca="1">IF(ROW()&lt;3,0,IF(Query1[[#This Row],[Month]]&lt;&gt;OFFSET(Query1[[#This Row],[Month]],-1,0),Dashboard!$J$5,0))</f>
        <v>0</v>
      </c>
      <c r="N253" s="2">
        <f ca="1">IF(ROW()&lt;3, Query1[[#This Row],[Shares]], IF(Query1[[#This Row],[Month]]&lt;&gt;H252, N252+Query1[[#This Row],[Fix Top Up]]/Query1[[#This Row],[Adj Close]], N252))</f>
        <v>1196.9691688188602</v>
      </c>
      <c r="O25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3" s="2">
        <f ca="1">IF(ROW()&lt;3, Query1[[#This Row],[Shares]], IF(Query1[[#This Row],[Month]]&lt;&gt;H252, P252+Query1[[#This Row],[Enhanced top up]]/Query1[[#This Row],[Adj Close]], P252))</f>
        <v>1195.2315242658181</v>
      </c>
      <c r="Q253" s="2">
        <f>IFERROR(AVERAGE(
  IF(ROW()&gt;20, INDEX(G:G, ROW()-20), 0) :
  INDEX(G:G, ROW())
),0)</f>
        <v>546.64567638578865</v>
      </c>
    </row>
    <row r="254" spans="1:17" x14ac:dyDescent="0.3">
      <c r="A254" s="1">
        <v>45659</v>
      </c>
      <c r="B254">
        <v>542.02001953125</v>
      </c>
      <c r="C254">
        <v>543.53997802734375</v>
      </c>
      <c r="D254">
        <v>533.78997802734375</v>
      </c>
      <c r="E254">
        <v>537.46002197265625</v>
      </c>
      <c r="F254">
        <v>7142700</v>
      </c>
      <c r="G254">
        <v>533.95458984375</v>
      </c>
      <c r="H254" s="2">
        <f>MONTH(Query1[[#This Row],[Date]])</f>
        <v>1</v>
      </c>
      <c r="I254" s="3">
        <f>Query1[[#This Row],[Shares]]*Query1[[#This Row],[Adj Close]]</f>
        <v>627321.41159206745</v>
      </c>
      <c r="J254" s="3">
        <f>IF(ROW()&lt;3, Dashboard!$E$7, IF(Query1[[#This Row],[Month]]&lt;&gt;H253,J253*(1+Dashboard!$E$4)+Dashboard!$E$5,J253))</f>
        <v>588777.52109237888</v>
      </c>
      <c r="K254">
        <f>IF(ROW()&lt;3, 0,IF(Query1[[#This Row],[Month]]&lt;&gt;H253,IF((J254-I254&gt;0),J254-I254,0),0))</f>
        <v>0</v>
      </c>
      <c r="L254" s="2">
        <f t="shared" si="3"/>
        <v>1174.8591051078693</v>
      </c>
      <c r="M254">
        <f ca="1">IF(ROW()&lt;3,0,IF(Query1[[#This Row],[Month]]&lt;&gt;OFFSET(Query1[[#This Row],[Month]],-1,0),Dashboard!$J$5,0))</f>
        <v>979.40350000000024</v>
      </c>
      <c r="N254" s="2">
        <f ca="1">IF(ROW()&lt;3, Query1[[#This Row],[Shares]], IF(Query1[[#This Row],[Month]]&lt;&gt;H253, N253+Query1[[#This Row],[Fix Top Up]]/Query1[[#This Row],[Adj Close]], N253))</f>
        <v>1198.8034137502252</v>
      </c>
      <c r="O25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254" s="2">
        <f ca="1">IF(ROW()&lt;3, Query1[[#This Row],[Shares]], IF(Query1[[#This Row],[Month]]&lt;&gt;H253, P253+Query1[[#This Row],[Enhanced top up]]/Query1[[#This Row],[Adj Close]], P253))</f>
        <v>1198.2831011807702</v>
      </c>
      <c r="Q254" s="2">
        <f>IFERROR(AVERAGE(
  IF(ROW()&gt;20, INDEX(G:G, ROW()-20), 0) :
  INDEX(G:G, ROW())
),0)</f>
        <v>545.89919026692712</v>
      </c>
    </row>
    <row r="255" spans="1:17" x14ac:dyDescent="0.3">
      <c r="A255" s="1">
        <v>45660</v>
      </c>
      <c r="B255">
        <v>540.19000244140625</v>
      </c>
      <c r="C255">
        <v>544.8800048828125</v>
      </c>
      <c r="D255">
        <v>539.20001220703125</v>
      </c>
      <c r="E255">
        <v>544.4000244140625</v>
      </c>
      <c r="F255">
        <v>6416300</v>
      </c>
      <c r="G255">
        <v>540.84930419921875</v>
      </c>
      <c r="H255" s="2">
        <f>MONTH(Query1[[#This Row],[Date]])</f>
        <v>1</v>
      </c>
      <c r="I255" s="3">
        <f>Query1[[#This Row],[Shares]]*Query1[[#This Row],[Adj Close]]</f>
        <v>635421.72952970793</v>
      </c>
      <c r="J255" s="3">
        <f>IF(ROW()&lt;3, Dashboard!$E$7, IF(Query1[[#This Row],[Month]]&lt;&gt;H254,J254*(1+Dashboard!$E$4)+Dashboard!$E$5,J254))</f>
        <v>588777.52109237888</v>
      </c>
      <c r="K255">
        <f>IF(ROW()&lt;3, 0,IF(Query1[[#This Row],[Month]]&lt;&gt;H254,IF((J255-I255&gt;0),J255-I255,0),0))</f>
        <v>0</v>
      </c>
      <c r="L255" s="2">
        <f t="shared" si="3"/>
        <v>1174.8591051078693</v>
      </c>
      <c r="M255">
        <f ca="1">IF(ROW()&lt;3,0,IF(Query1[[#This Row],[Month]]&lt;&gt;OFFSET(Query1[[#This Row],[Month]],-1,0),Dashboard!$J$5,0))</f>
        <v>0</v>
      </c>
      <c r="N255" s="2">
        <f ca="1">IF(ROW()&lt;3, Query1[[#This Row],[Shares]], IF(Query1[[#This Row],[Month]]&lt;&gt;H254, N254+Query1[[#This Row],[Fix Top Up]]/Query1[[#This Row],[Adj Close]], N254))</f>
        <v>1198.8034137502252</v>
      </c>
      <c r="O25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5" s="2">
        <f ca="1">IF(ROW()&lt;3, Query1[[#This Row],[Shares]], IF(Query1[[#This Row],[Month]]&lt;&gt;H254, P254+Query1[[#This Row],[Enhanced top up]]/Query1[[#This Row],[Adj Close]], P254))</f>
        <v>1198.2831011807702</v>
      </c>
      <c r="Q255" s="2">
        <f>IFERROR(AVERAGE(
  IF(ROW()&gt;20, INDEX(G:G, ROW()-20), 0) :
  INDEX(G:G, ROW())
),0)</f>
        <v>545.47488839285711</v>
      </c>
    </row>
    <row r="256" spans="1:17" x14ac:dyDescent="0.3">
      <c r="A256" s="1">
        <v>45663</v>
      </c>
      <c r="B256">
        <v>548.280029296875</v>
      </c>
      <c r="C256">
        <v>551.42999267578125</v>
      </c>
      <c r="D256">
        <v>545.82000732421875</v>
      </c>
      <c r="E256">
        <v>547.57000732421875</v>
      </c>
      <c r="F256">
        <v>5983400</v>
      </c>
      <c r="G256">
        <v>543.99859619140625</v>
      </c>
      <c r="H256" s="2">
        <f>MONTH(Query1[[#This Row],[Date]])</f>
        <v>1</v>
      </c>
      <c r="I256" s="3">
        <f>Query1[[#This Row],[Shares]]*Query1[[#This Row],[Adj Close]]</f>
        <v>639121.70390137273</v>
      </c>
      <c r="J256" s="3">
        <f>IF(ROW()&lt;3, Dashboard!$E$7, IF(Query1[[#This Row],[Month]]&lt;&gt;H255,J255*(1+Dashboard!$E$4)+Dashboard!$E$5,J255))</f>
        <v>588777.52109237888</v>
      </c>
      <c r="K256">
        <f>IF(ROW()&lt;3, 0,IF(Query1[[#This Row],[Month]]&lt;&gt;H255,IF((J256-I256&gt;0),J256-I256,0),0))</f>
        <v>0</v>
      </c>
      <c r="L256" s="2">
        <f t="shared" si="3"/>
        <v>1174.8591051078693</v>
      </c>
      <c r="M256">
        <f ca="1">IF(ROW()&lt;3,0,IF(Query1[[#This Row],[Month]]&lt;&gt;OFFSET(Query1[[#This Row],[Month]],-1,0),Dashboard!$J$5,0))</f>
        <v>0</v>
      </c>
      <c r="N256" s="2">
        <f ca="1">IF(ROW()&lt;3, Query1[[#This Row],[Shares]], IF(Query1[[#This Row],[Month]]&lt;&gt;H255, N255+Query1[[#This Row],[Fix Top Up]]/Query1[[#This Row],[Adj Close]], N255))</f>
        <v>1198.8034137502252</v>
      </c>
      <c r="O25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6" s="2">
        <f ca="1">IF(ROW()&lt;3, Query1[[#This Row],[Shares]], IF(Query1[[#This Row],[Month]]&lt;&gt;H255, P255+Query1[[#This Row],[Enhanced top up]]/Query1[[#This Row],[Adj Close]], P255))</f>
        <v>1198.2831011807702</v>
      </c>
      <c r="Q256" s="2">
        <f>IFERROR(AVERAGE(
  IF(ROW()&gt;20, INDEX(G:G, ROW()-20), 0) :
  INDEX(G:G, ROW())
),0)</f>
        <v>545.03550502232144</v>
      </c>
    </row>
    <row r="257" spans="1:17" x14ac:dyDescent="0.3">
      <c r="A257" s="1">
        <v>45664</v>
      </c>
      <c r="B257">
        <v>549.32000732421875</v>
      </c>
      <c r="C257">
        <v>549.5999755859375</v>
      </c>
      <c r="D257">
        <v>539.55999755859375</v>
      </c>
      <c r="E257">
        <v>541.40997314453125</v>
      </c>
      <c r="F257">
        <v>5383200</v>
      </c>
      <c r="G257">
        <v>537.8787841796875</v>
      </c>
      <c r="H257" s="2">
        <f>MONTH(Query1[[#This Row],[Date]])</f>
        <v>1</v>
      </c>
      <c r="I257" s="3">
        <f>Query1[[#This Row],[Shares]]*Query1[[#This Row],[Adj Close]]</f>
        <v>631931.78703785641</v>
      </c>
      <c r="J257" s="3">
        <f>IF(ROW()&lt;3, Dashboard!$E$7, IF(Query1[[#This Row],[Month]]&lt;&gt;H256,J256*(1+Dashboard!$E$4)+Dashboard!$E$5,J256))</f>
        <v>588777.52109237888</v>
      </c>
      <c r="K257">
        <f>IF(ROW()&lt;3, 0,IF(Query1[[#This Row],[Month]]&lt;&gt;H256,IF((J257-I257&gt;0),J257-I257,0),0))</f>
        <v>0</v>
      </c>
      <c r="L257" s="2">
        <f t="shared" si="3"/>
        <v>1174.8591051078693</v>
      </c>
      <c r="M257">
        <f ca="1">IF(ROW()&lt;3,0,IF(Query1[[#This Row],[Month]]&lt;&gt;OFFSET(Query1[[#This Row],[Month]],-1,0),Dashboard!$J$5,0))</f>
        <v>0</v>
      </c>
      <c r="N257" s="2">
        <f ca="1">IF(ROW()&lt;3, Query1[[#This Row],[Shares]], IF(Query1[[#This Row],[Month]]&lt;&gt;H256, N256+Query1[[#This Row],[Fix Top Up]]/Query1[[#This Row],[Adj Close]], N256))</f>
        <v>1198.8034137502252</v>
      </c>
      <c r="O25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7" s="2">
        <f ca="1">IF(ROW()&lt;3, Query1[[#This Row],[Shares]], IF(Query1[[#This Row],[Month]]&lt;&gt;H256, P256+Query1[[#This Row],[Enhanced top up]]/Query1[[#This Row],[Adj Close]], P256))</f>
        <v>1198.2831011807702</v>
      </c>
      <c r="Q257" s="2">
        <f>IFERROR(AVERAGE(
  IF(ROW()&gt;20, INDEX(G:G, ROW()-20), 0) :
  INDEX(G:G, ROW())
),0)</f>
        <v>544.34855433872769</v>
      </c>
    </row>
    <row r="258" spans="1:17" x14ac:dyDescent="0.3">
      <c r="A258" s="1">
        <v>45665</v>
      </c>
      <c r="B258">
        <v>541.32000732421875</v>
      </c>
      <c r="C258">
        <v>543</v>
      </c>
      <c r="D258">
        <v>538.08001708984375</v>
      </c>
      <c r="E258">
        <v>542.1400146484375</v>
      </c>
      <c r="F258">
        <v>4317000</v>
      </c>
      <c r="G258">
        <v>538.60406494140625</v>
      </c>
      <c r="H258" s="2">
        <f>MONTH(Query1[[#This Row],[Date]])</f>
        <v>1</v>
      </c>
      <c r="I258" s="3">
        <f>Query1[[#This Row],[Shares]]*Query1[[#This Row],[Adj Close]]</f>
        <v>632783.88974452124</v>
      </c>
      <c r="J258" s="3">
        <f>IF(ROW()&lt;3, Dashboard!$E$7, IF(Query1[[#This Row],[Month]]&lt;&gt;H257,J257*(1+Dashboard!$E$4)+Dashboard!$E$5,J257))</f>
        <v>588777.52109237888</v>
      </c>
      <c r="K258">
        <f>IF(ROW()&lt;3, 0,IF(Query1[[#This Row],[Month]]&lt;&gt;H257,IF((J258-I258&gt;0),J258-I258,0),0))</f>
        <v>0</v>
      </c>
      <c r="L258" s="2">
        <f t="shared" ref="L258:L321" si="4">IF(ROW()&lt;3, J258/G258, L257+K257/G257)</f>
        <v>1174.8591051078693</v>
      </c>
      <c r="M258">
        <f ca="1">IF(ROW()&lt;3,0,IF(Query1[[#This Row],[Month]]&lt;&gt;OFFSET(Query1[[#This Row],[Month]],-1,0),Dashboard!$J$5,0))</f>
        <v>0</v>
      </c>
      <c r="N258" s="2">
        <f ca="1">IF(ROW()&lt;3, Query1[[#This Row],[Shares]], IF(Query1[[#This Row],[Month]]&lt;&gt;H257, N257+Query1[[#This Row],[Fix Top Up]]/Query1[[#This Row],[Adj Close]], N257))</f>
        <v>1198.8034137502252</v>
      </c>
      <c r="O25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8" s="2">
        <f ca="1">IF(ROW()&lt;3, Query1[[#This Row],[Shares]], IF(Query1[[#This Row],[Month]]&lt;&gt;H257, P257+Query1[[#This Row],[Enhanced top up]]/Query1[[#This Row],[Adj Close]], P257))</f>
        <v>1198.2831011807702</v>
      </c>
      <c r="Q258" s="2">
        <f>IFERROR(AVERAGE(
  IF(ROW()&gt;20, INDEX(G:G, ROW()-20), 0) :
  INDEX(G:G, ROW())
),0)</f>
        <v>543.643798828125</v>
      </c>
    </row>
    <row r="259" spans="1:17" x14ac:dyDescent="0.3">
      <c r="A259" s="1">
        <v>45667</v>
      </c>
      <c r="B259">
        <v>538.71002197265625</v>
      </c>
      <c r="C259">
        <v>538.75</v>
      </c>
      <c r="D259">
        <v>532</v>
      </c>
      <c r="E259">
        <v>533.8900146484375</v>
      </c>
      <c r="F259">
        <v>7935200</v>
      </c>
      <c r="G259">
        <v>530.4078369140625</v>
      </c>
      <c r="H259" s="2">
        <f>MONTH(Query1[[#This Row],[Date]])</f>
        <v>1</v>
      </c>
      <c r="I259" s="3">
        <f>Query1[[#This Row],[Shares]]*Query1[[#This Row],[Adj Close]]</f>
        <v>623154.47661905608</v>
      </c>
      <c r="J259" s="3">
        <f>IF(ROW()&lt;3, Dashboard!$E$7, IF(Query1[[#This Row],[Month]]&lt;&gt;H258,J258*(1+Dashboard!$E$4)+Dashboard!$E$5,J258))</f>
        <v>588777.52109237888</v>
      </c>
      <c r="K259">
        <f>IF(ROW()&lt;3, 0,IF(Query1[[#This Row],[Month]]&lt;&gt;H258,IF((J259-I259&gt;0),J259-I259,0),0))</f>
        <v>0</v>
      </c>
      <c r="L259" s="2">
        <f t="shared" si="4"/>
        <v>1174.8591051078693</v>
      </c>
      <c r="M259">
        <f ca="1">IF(ROW()&lt;3,0,IF(Query1[[#This Row],[Month]]&lt;&gt;OFFSET(Query1[[#This Row],[Month]],-1,0),Dashboard!$J$5,0))</f>
        <v>0</v>
      </c>
      <c r="N259" s="2">
        <f ca="1">IF(ROW()&lt;3, Query1[[#This Row],[Shares]], IF(Query1[[#This Row],[Month]]&lt;&gt;H258, N258+Query1[[#This Row],[Fix Top Up]]/Query1[[#This Row],[Adj Close]], N258))</f>
        <v>1198.8034137502252</v>
      </c>
      <c r="O25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59" s="2">
        <f ca="1">IF(ROW()&lt;3, Query1[[#This Row],[Shares]], IF(Query1[[#This Row],[Month]]&lt;&gt;H258, P258+Query1[[#This Row],[Enhanced top up]]/Query1[[#This Row],[Adj Close]], P258))</f>
        <v>1198.2831011807702</v>
      </c>
      <c r="Q259" s="2">
        <f>IFERROR(AVERAGE(
  IF(ROW()&gt;20, INDEX(G:G, ROW()-20), 0) :
  INDEX(G:G, ROW())
),0)</f>
        <v>542.68597412109375</v>
      </c>
    </row>
    <row r="260" spans="1:17" x14ac:dyDescent="0.3">
      <c r="A260" s="1">
        <v>45670</v>
      </c>
      <c r="B260">
        <v>529.4000244140625</v>
      </c>
      <c r="C260">
        <v>534.90997314453125</v>
      </c>
      <c r="D260">
        <v>529.02001953125</v>
      </c>
      <c r="E260">
        <v>534.58001708984375</v>
      </c>
      <c r="F260">
        <v>5621000</v>
      </c>
      <c r="G260">
        <v>531.09332275390625</v>
      </c>
      <c r="H260" s="2">
        <f>MONTH(Query1[[#This Row],[Date]])</f>
        <v>1</v>
      </c>
      <c r="I260" s="3">
        <f>Query1[[#This Row],[Shares]]*Query1[[#This Row],[Adj Close]]</f>
        <v>623959.82589941903</v>
      </c>
      <c r="J260" s="3">
        <f>IF(ROW()&lt;3, Dashboard!$E$7, IF(Query1[[#This Row],[Month]]&lt;&gt;H259,J259*(1+Dashboard!$E$4)+Dashboard!$E$5,J259))</f>
        <v>588777.52109237888</v>
      </c>
      <c r="K260">
        <f>IF(ROW()&lt;3, 0,IF(Query1[[#This Row],[Month]]&lt;&gt;H259,IF((J260-I260&gt;0),J260-I260,0),0))</f>
        <v>0</v>
      </c>
      <c r="L260" s="2">
        <f t="shared" si="4"/>
        <v>1174.8591051078693</v>
      </c>
      <c r="M260">
        <f ca="1">IF(ROW()&lt;3,0,IF(Query1[[#This Row],[Month]]&lt;&gt;OFFSET(Query1[[#This Row],[Month]],-1,0),Dashboard!$J$5,0))</f>
        <v>0</v>
      </c>
      <c r="N260" s="2">
        <f ca="1">IF(ROW()&lt;3, Query1[[#This Row],[Shares]], IF(Query1[[#This Row],[Month]]&lt;&gt;H259, N259+Query1[[#This Row],[Fix Top Up]]/Query1[[#This Row],[Adj Close]], N259))</f>
        <v>1198.8034137502252</v>
      </c>
      <c r="O26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0" s="2">
        <f ca="1">IF(ROW()&lt;3, Query1[[#This Row],[Shares]], IF(Query1[[#This Row],[Month]]&lt;&gt;H259, P259+Query1[[#This Row],[Enhanced top up]]/Query1[[#This Row],[Adj Close]], P259))</f>
        <v>1198.2831011807702</v>
      </c>
      <c r="Q260" s="2">
        <f>IFERROR(AVERAGE(
  IF(ROW()&gt;20, INDEX(G:G, ROW()-20), 0) :
  INDEX(G:G, ROW())
),0)</f>
        <v>541.83530099051336</v>
      </c>
    </row>
    <row r="261" spans="1:17" x14ac:dyDescent="0.3">
      <c r="A261" s="1">
        <v>45671</v>
      </c>
      <c r="B261">
        <v>537.32000732421875</v>
      </c>
      <c r="C261">
        <v>537.90997314453125</v>
      </c>
      <c r="D261">
        <v>531.80999755859375</v>
      </c>
      <c r="E261">
        <v>535.260009765625</v>
      </c>
      <c r="F261">
        <v>8820000</v>
      </c>
      <c r="G261">
        <v>531.7689208984375</v>
      </c>
      <c r="H261" s="2">
        <f>MONTH(Query1[[#This Row],[Date]])</f>
        <v>1</v>
      </c>
      <c r="I261" s="3">
        <f>Query1[[#This Row],[Shares]]*Query1[[#This Row],[Adj Close]]</f>
        <v>624753.55853091564</v>
      </c>
      <c r="J261" s="3">
        <f>IF(ROW()&lt;3, Dashboard!$E$7, IF(Query1[[#This Row],[Month]]&lt;&gt;H260,J260*(1+Dashboard!$E$4)+Dashboard!$E$5,J260))</f>
        <v>588777.52109237888</v>
      </c>
      <c r="K261">
        <f>IF(ROW()&lt;3, 0,IF(Query1[[#This Row],[Month]]&lt;&gt;H260,IF((J261-I261&gt;0),J261-I261,0),0))</f>
        <v>0</v>
      </c>
      <c r="L261" s="2">
        <f t="shared" si="4"/>
        <v>1174.8591051078693</v>
      </c>
      <c r="M261">
        <f ca="1">IF(ROW()&lt;3,0,IF(Query1[[#This Row],[Month]]&lt;&gt;OFFSET(Query1[[#This Row],[Month]],-1,0),Dashboard!$J$5,0))</f>
        <v>0</v>
      </c>
      <c r="N261" s="2">
        <f ca="1">IF(ROW()&lt;3, Query1[[#This Row],[Shares]], IF(Query1[[#This Row],[Month]]&lt;&gt;H260, N260+Query1[[#This Row],[Fix Top Up]]/Query1[[#This Row],[Adj Close]], N260))</f>
        <v>1198.8034137502252</v>
      </c>
      <c r="O26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1" s="2">
        <f ca="1">IF(ROW()&lt;3, Query1[[#This Row],[Shares]], IF(Query1[[#This Row],[Month]]&lt;&gt;H260, P260+Query1[[#This Row],[Enhanced top up]]/Query1[[#This Row],[Adj Close]], P260))</f>
        <v>1198.2831011807702</v>
      </c>
      <c r="Q261" s="2">
        <f>IFERROR(AVERAGE(
  IF(ROW()&gt;20, INDEX(G:G, ROW()-20), 0) :
  INDEX(G:G, ROW())
),0)</f>
        <v>540.81873721168154</v>
      </c>
    </row>
    <row r="262" spans="1:17" x14ac:dyDescent="0.3">
      <c r="A262" s="1">
        <v>45672</v>
      </c>
      <c r="B262">
        <v>542.84002685546875</v>
      </c>
      <c r="C262">
        <v>546.1300048828125</v>
      </c>
      <c r="D262">
        <v>541.760009765625</v>
      </c>
      <c r="E262">
        <v>545.04998779296875</v>
      </c>
      <c r="F262">
        <v>5307300</v>
      </c>
      <c r="G262">
        <v>541.49505615234375</v>
      </c>
      <c r="H262" s="2">
        <f>MONTH(Query1[[#This Row],[Date]])</f>
        <v>1</v>
      </c>
      <c r="I262" s="3">
        <f>Query1[[#This Row],[Shares]]*Query1[[#This Row],[Adj Close]]</f>
        <v>636180.39709147799</v>
      </c>
      <c r="J262" s="3">
        <f>IF(ROW()&lt;3, Dashboard!$E$7, IF(Query1[[#This Row],[Month]]&lt;&gt;H261,J261*(1+Dashboard!$E$4)+Dashboard!$E$5,J261))</f>
        <v>588777.52109237888</v>
      </c>
      <c r="K262">
        <f>IF(ROW()&lt;3, 0,IF(Query1[[#This Row],[Month]]&lt;&gt;H261,IF((J262-I262&gt;0),J262-I262,0),0))</f>
        <v>0</v>
      </c>
      <c r="L262" s="2">
        <f t="shared" si="4"/>
        <v>1174.8591051078693</v>
      </c>
      <c r="M262">
        <f ca="1">IF(ROW()&lt;3,0,IF(Query1[[#This Row],[Month]]&lt;&gt;OFFSET(Query1[[#This Row],[Month]],-1,0),Dashboard!$J$5,0))</f>
        <v>0</v>
      </c>
      <c r="N262" s="2">
        <f ca="1">IF(ROW()&lt;3, Query1[[#This Row],[Shares]], IF(Query1[[#This Row],[Month]]&lt;&gt;H261, N261+Query1[[#This Row],[Fix Top Up]]/Query1[[#This Row],[Adj Close]], N261))</f>
        <v>1198.8034137502252</v>
      </c>
      <c r="O26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2" s="2">
        <f ca="1">IF(ROW()&lt;3, Query1[[#This Row],[Shares]], IF(Query1[[#This Row],[Month]]&lt;&gt;H261, P261+Query1[[#This Row],[Enhanced top up]]/Query1[[#This Row],[Adj Close]], P261))</f>
        <v>1198.2831011807702</v>
      </c>
      <c r="Q262" s="2">
        <f>IFERROR(AVERAGE(
  IF(ROW()&gt;20, INDEX(G:G, ROW()-20), 0) :
  INDEX(G:G, ROW())
),0)</f>
        <v>540.4011375790551</v>
      </c>
    </row>
    <row r="263" spans="1:17" x14ac:dyDescent="0.3">
      <c r="A263" s="1">
        <v>45673</v>
      </c>
      <c r="B263">
        <v>546.3499755859375</v>
      </c>
      <c r="C263">
        <v>546.510009765625</v>
      </c>
      <c r="D263">
        <v>543.3900146484375</v>
      </c>
      <c r="E263">
        <v>544.239990234375</v>
      </c>
      <c r="F263">
        <v>3632800</v>
      </c>
      <c r="G263">
        <v>540.6903076171875</v>
      </c>
      <c r="H263" s="2">
        <f>MONTH(Query1[[#This Row],[Date]])</f>
        <v>1</v>
      </c>
      <c r="I263" s="3">
        <f>Query1[[#This Row],[Shares]]*Query1[[#This Row],[Adj Close]]</f>
        <v>635234.93094762741</v>
      </c>
      <c r="J263" s="3">
        <f>IF(ROW()&lt;3, Dashboard!$E$7, IF(Query1[[#This Row],[Month]]&lt;&gt;H262,J262*(1+Dashboard!$E$4)+Dashboard!$E$5,J262))</f>
        <v>588777.52109237888</v>
      </c>
      <c r="K263">
        <f>IF(ROW()&lt;3, 0,IF(Query1[[#This Row],[Month]]&lt;&gt;H262,IF((J263-I263&gt;0),J263-I263,0),0))</f>
        <v>0</v>
      </c>
      <c r="L263" s="2">
        <f t="shared" si="4"/>
        <v>1174.8591051078693</v>
      </c>
      <c r="M263">
        <f ca="1">IF(ROW()&lt;3,0,IF(Query1[[#This Row],[Month]]&lt;&gt;OFFSET(Query1[[#This Row],[Month]],-1,0),Dashboard!$J$5,0))</f>
        <v>0</v>
      </c>
      <c r="N263" s="2">
        <f ca="1">IF(ROW()&lt;3, Query1[[#This Row],[Shares]], IF(Query1[[#This Row],[Month]]&lt;&gt;H262, N262+Query1[[#This Row],[Fix Top Up]]/Query1[[#This Row],[Adj Close]], N262))</f>
        <v>1198.8034137502252</v>
      </c>
      <c r="O26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3" s="2">
        <f ca="1">IF(ROW()&lt;3, Query1[[#This Row],[Shares]], IF(Query1[[#This Row],[Month]]&lt;&gt;H262, P262+Query1[[#This Row],[Enhanced top up]]/Query1[[#This Row],[Adj Close]], P262))</f>
        <v>1198.2831011807702</v>
      </c>
      <c r="Q263" s="2">
        <f>IFERROR(AVERAGE(
  IF(ROW()&gt;20, INDEX(G:G, ROW()-20), 0) :
  INDEX(G:G, ROW())
),0)</f>
        <v>539.94710286458337</v>
      </c>
    </row>
    <row r="264" spans="1:17" x14ac:dyDescent="0.3">
      <c r="A264" s="1">
        <v>45674</v>
      </c>
      <c r="B264">
        <v>548.91998291015625</v>
      </c>
      <c r="C264">
        <v>551.1199951171875</v>
      </c>
      <c r="D264">
        <v>547.67999267578125</v>
      </c>
      <c r="E264">
        <v>549.46002197265625</v>
      </c>
      <c r="F264">
        <v>6558700</v>
      </c>
      <c r="G264">
        <v>545.8763427734375</v>
      </c>
      <c r="H264" s="2">
        <f>MONTH(Query1[[#This Row],[Date]])</f>
        <v>1</v>
      </c>
      <c r="I264" s="3">
        <f>Query1[[#This Row],[Shares]]*Query1[[#This Row],[Adj Close]]</f>
        <v>641327.79157035728</v>
      </c>
      <c r="J264" s="3">
        <f>IF(ROW()&lt;3, Dashboard!$E$7, IF(Query1[[#This Row],[Month]]&lt;&gt;H263,J263*(1+Dashboard!$E$4)+Dashboard!$E$5,J263))</f>
        <v>588777.52109237888</v>
      </c>
      <c r="K264">
        <f>IF(ROW()&lt;3, 0,IF(Query1[[#This Row],[Month]]&lt;&gt;H263,IF((J264-I264&gt;0),J264-I264,0),0))</f>
        <v>0</v>
      </c>
      <c r="L264" s="2">
        <f t="shared" si="4"/>
        <v>1174.8591051078693</v>
      </c>
      <c r="M264">
        <f ca="1">IF(ROW()&lt;3,0,IF(Query1[[#This Row],[Month]]&lt;&gt;OFFSET(Query1[[#This Row],[Month]],-1,0),Dashboard!$J$5,0))</f>
        <v>0</v>
      </c>
      <c r="N264" s="2">
        <f ca="1">IF(ROW()&lt;3, Query1[[#This Row],[Shares]], IF(Query1[[#This Row],[Month]]&lt;&gt;H263, N263+Query1[[#This Row],[Fix Top Up]]/Query1[[#This Row],[Adj Close]], N263))</f>
        <v>1198.8034137502252</v>
      </c>
      <c r="O26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4" s="2">
        <f ca="1">IF(ROW()&lt;3, Query1[[#This Row],[Shares]], IF(Query1[[#This Row],[Month]]&lt;&gt;H263, P263+Query1[[#This Row],[Enhanced top up]]/Query1[[#This Row],[Adj Close]], P263))</f>
        <v>1198.2831011807702</v>
      </c>
      <c r="Q264" s="2">
        <f>IFERROR(AVERAGE(
  IF(ROW()&gt;20, INDEX(G:G, ROW()-20), 0) :
  INDEX(G:G, ROW())
),0)</f>
        <v>539.63721865699404</v>
      </c>
    </row>
    <row r="265" spans="1:17" x14ac:dyDescent="0.3">
      <c r="A265" s="1">
        <v>45678</v>
      </c>
      <c r="B265">
        <v>552.32000732421875</v>
      </c>
      <c r="C265">
        <v>554.46002197265625</v>
      </c>
      <c r="D265">
        <v>550.5</v>
      </c>
      <c r="E265">
        <v>554.46002197265625</v>
      </c>
      <c r="F265">
        <v>5301700</v>
      </c>
      <c r="G265">
        <v>550.84375</v>
      </c>
      <c r="H265" s="2">
        <f>MONTH(Query1[[#This Row],[Date]])</f>
        <v>1</v>
      </c>
      <c r="I265" s="3">
        <f>Query1[[#This Row],[Shares]]*Query1[[#This Row],[Adj Close]]</f>
        <v>647163.79517926287</v>
      </c>
      <c r="J265" s="3">
        <f>IF(ROW()&lt;3, Dashboard!$E$7, IF(Query1[[#This Row],[Month]]&lt;&gt;H264,J264*(1+Dashboard!$E$4)+Dashboard!$E$5,J264))</f>
        <v>588777.52109237888</v>
      </c>
      <c r="K265">
        <f>IF(ROW()&lt;3, 0,IF(Query1[[#This Row],[Month]]&lt;&gt;H264,IF((J265-I265&gt;0),J265-I265,0),0))</f>
        <v>0</v>
      </c>
      <c r="L265" s="2">
        <f t="shared" si="4"/>
        <v>1174.8591051078693</v>
      </c>
      <c r="M265">
        <f ca="1">IF(ROW()&lt;3,0,IF(Query1[[#This Row],[Month]]&lt;&gt;OFFSET(Query1[[#This Row],[Month]],-1,0),Dashboard!$J$5,0))</f>
        <v>0</v>
      </c>
      <c r="N265" s="2">
        <f ca="1">IF(ROW()&lt;3, Query1[[#This Row],[Shares]], IF(Query1[[#This Row],[Month]]&lt;&gt;H264, N264+Query1[[#This Row],[Fix Top Up]]/Query1[[#This Row],[Adj Close]], N264))</f>
        <v>1198.8034137502252</v>
      </c>
      <c r="O26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5" s="2">
        <f ca="1">IF(ROW()&lt;3, Query1[[#This Row],[Shares]], IF(Query1[[#This Row],[Month]]&lt;&gt;H264, P264+Query1[[#This Row],[Enhanced top up]]/Query1[[#This Row],[Adj Close]], P264))</f>
        <v>1198.2831011807702</v>
      </c>
      <c r="Q265" s="2">
        <f>IFERROR(AVERAGE(
  IF(ROW()&gt;20, INDEX(G:G, ROW()-20), 0) :
  INDEX(G:G, ROW())
),0)</f>
        <v>539.67422340029759</v>
      </c>
    </row>
    <row r="266" spans="1:17" x14ac:dyDescent="0.3">
      <c r="A266" s="1">
        <v>45679</v>
      </c>
      <c r="B266">
        <v>557.19000244140625</v>
      </c>
      <c r="C266">
        <v>558.92999267578125</v>
      </c>
      <c r="D266">
        <v>556.72998046875</v>
      </c>
      <c r="E266">
        <v>557.6099853515625</v>
      </c>
      <c r="F266">
        <v>4780000</v>
      </c>
      <c r="G266">
        <v>553.97314453125</v>
      </c>
      <c r="H266" s="2">
        <f>MONTH(Query1[[#This Row],[Date]])</f>
        <v>1</v>
      </c>
      <c r="I266" s="3">
        <f>Query1[[#This Row],[Shares]]*Query1[[#This Row],[Adj Close]]</f>
        <v>650840.39283777669</v>
      </c>
      <c r="J266" s="3">
        <f>IF(ROW()&lt;3, Dashboard!$E$7, IF(Query1[[#This Row],[Month]]&lt;&gt;H265,J265*(1+Dashboard!$E$4)+Dashboard!$E$5,J265))</f>
        <v>588777.52109237888</v>
      </c>
      <c r="K266">
        <f>IF(ROW()&lt;3, 0,IF(Query1[[#This Row],[Month]]&lt;&gt;H265,IF((J266-I266&gt;0),J266-I266,0),0))</f>
        <v>0</v>
      </c>
      <c r="L266" s="2">
        <f t="shared" si="4"/>
        <v>1174.8591051078693</v>
      </c>
      <c r="M266">
        <f ca="1">IF(ROW()&lt;3,0,IF(Query1[[#This Row],[Month]]&lt;&gt;OFFSET(Query1[[#This Row],[Month]],-1,0),Dashboard!$J$5,0))</f>
        <v>0</v>
      </c>
      <c r="N266" s="2">
        <f ca="1">IF(ROW()&lt;3, Query1[[#This Row],[Shares]], IF(Query1[[#This Row],[Month]]&lt;&gt;H265, N265+Query1[[#This Row],[Fix Top Up]]/Query1[[#This Row],[Adj Close]], N265))</f>
        <v>1198.8034137502252</v>
      </c>
      <c r="O26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6" s="2">
        <f ca="1">IF(ROW()&lt;3, Query1[[#This Row],[Shares]], IF(Query1[[#This Row],[Month]]&lt;&gt;H265, P265+Query1[[#This Row],[Enhanced top up]]/Query1[[#This Row],[Adj Close]], P265))</f>
        <v>1198.2831011807702</v>
      </c>
      <c r="Q266" s="2">
        <f>IFERROR(AVERAGE(
  IF(ROW()&gt;20, INDEX(G:G, ROW()-20), 0) :
  INDEX(G:G, ROW())
),0)</f>
        <v>540.62938871837798</v>
      </c>
    </row>
    <row r="267" spans="1:17" x14ac:dyDescent="0.3">
      <c r="A267" s="1">
        <v>45680</v>
      </c>
      <c r="B267">
        <v>557.03997802734375</v>
      </c>
      <c r="C267">
        <v>560.70001220703125</v>
      </c>
      <c r="D267">
        <v>556.79998779296875</v>
      </c>
      <c r="E267">
        <v>560.70001220703125</v>
      </c>
      <c r="F267">
        <v>6217900</v>
      </c>
      <c r="G267">
        <v>557.04296875</v>
      </c>
      <c r="H267" s="2">
        <f>MONTH(Query1[[#This Row],[Date]])</f>
        <v>1</v>
      </c>
      <c r="I267" s="3">
        <f>Query1[[#This Row],[Shares]]*Query1[[#This Row],[Adj Close]]</f>
        <v>654447.00377225573</v>
      </c>
      <c r="J267" s="3">
        <f>IF(ROW()&lt;3, Dashboard!$E$7, IF(Query1[[#This Row],[Month]]&lt;&gt;H266,J266*(1+Dashboard!$E$4)+Dashboard!$E$5,J266))</f>
        <v>588777.52109237888</v>
      </c>
      <c r="K267">
        <f>IF(ROW()&lt;3, 0,IF(Query1[[#This Row],[Month]]&lt;&gt;H266,IF((J267-I267&gt;0),J267-I267,0),0))</f>
        <v>0</v>
      </c>
      <c r="L267" s="2">
        <f t="shared" si="4"/>
        <v>1174.8591051078693</v>
      </c>
      <c r="M267">
        <f ca="1">IF(ROW()&lt;3,0,IF(Query1[[#This Row],[Month]]&lt;&gt;OFFSET(Query1[[#This Row],[Month]],-1,0),Dashboard!$J$5,0))</f>
        <v>0</v>
      </c>
      <c r="N267" s="2">
        <f ca="1">IF(ROW()&lt;3, Query1[[#This Row],[Shares]], IF(Query1[[#This Row],[Month]]&lt;&gt;H266, N266+Query1[[#This Row],[Fix Top Up]]/Query1[[#This Row],[Adj Close]], N266))</f>
        <v>1198.8034137502252</v>
      </c>
      <c r="O26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7" s="2">
        <f ca="1">IF(ROW()&lt;3, Query1[[#This Row],[Shares]], IF(Query1[[#This Row],[Month]]&lt;&gt;H266, P266+Query1[[#This Row],[Enhanced top up]]/Query1[[#This Row],[Adj Close]], P266))</f>
        <v>1198.2831011807702</v>
      </c>
      <c r="Q267" s="2">
        <f>IFERROR(AVERAGE(
  IF(ROW()&gt;20, INDEX(G:G, ROW()-20), 0) :
  INDEX(G:G, ROW())
),0)</f>
        <v>541.74017043340768</v>
      </c>
    </row>
    <row r="268" spans="1:17" x14ac:dyDescent="0.3">
      <c r="A268" s="1">
        <v>45681</v>
      </c>
      <c r="B268">
        <v>560.760009765625</v>
      </c>
      <c r="C268">
        <v>561.65997314453125</v>
      </c>
      <c r="D268">
        <v>558.02001953125</v>
      </c>
      <c r="E268">
        <v>559.010009765625</v>
      </c>
      <c r="F268">
        <v>3612100</v>
      </c>
      <c r="G268">
        <v>555.364013671875</v>
      </c>
      <c r="H268" s="2">
        <f>MONTH(Query1[[#This Row],[Date]])</f>
        <v>1</v>
      </c>
      <c r="I268" s="3">
        <f>Query1[[#This Row],[Shares]]*Query1[[#This Row],[Adj Close]]</f>
        <v>652474.46811165358</v>
      </c>
      <c r="J268" s="3">
        <f>IF(ROW()&lt;3, Dashboard!$E$7, IF(Query1[[#This Row],[Month]]&lt;&gt;H267,J267*(1+Dashboard!$E$4)+Dashboard!$E$5,J267))</f>
        <v>588777.52109237888</v>
      </c>
      <c r="K268">
        <f>IF(ROW()&lt;3, 0,IF(Query1[[#This Row],[Month]]&lt;&gt;H267,IF((J268-I268&gt;0),J268-I268,0),0))</f>
        <v>0</v>
      </c>
      <c r="L268" s="2">
        <f t="shared" si="4"/>
        <v>1174.8591051078693</v>
      </c>
      <c r="M268">
        <f ca="1">IF(ROW()&lt;3,0,IF(Query1[[#This Row],[Month]]&lt;&gt;OFFSET(Query1[[#This Row],[Month]],-1,0),Dashboard!$J$5,0))</f>
        <v>0</v>
      </c>
      <c r="N268" s="2">
        <f ca="1">IF(ROW()&lt;3, Query1[[#This Row],[Shares]], IF(Query1[[#This Row],[Month]]&lt;&gt;H267, N267+Query1[[#This Row],[Fix Top Up]]/Query1[[#This Row],[Adj Close]], N267))</f>
        <v>1198.8034137502252</v>
      </c>
      <c r="O26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8" s="2">
        <f ca="1">IF(ROW()&lt;3, Query1[[#This Row],[Shares]], IF(Query1[[#This Row],[Month]]&lt;&gt;H267, P267+Query1[[#This Row],[Enhanced top up]]/Query1[[#This Row],[Adj Close]], P267))</f>
        <v>1198.2831011807702</v>
      </c>
      <c r="Q268" s="2">
        <f>IFERROR(AVERAGE(
  IF(ROW()&gt;20, INDEX(G:G, ROW()-20), 0) :
  INDEX(G:G, ROW())
),0)</f>
        <v>542.48334030877982</v>
      </c>
    </row>
    <row r="269" spans="1:17" x14ac:dyDescent="0.3">
      <c r="A269" s="1">
        <v>45684</v>
      </c>
      <c r="B269">
        <v>546.92999267578125</v>
      </c>
      <c r="C269">
        <v>551.3900146484375</v>
      </c>
      <c r="D269">
        <v>546.83001708984375</v>
      </c>
      <c r="E269">
        <v>551.22998046875</v>
      </c>
      <c r="F269">
        <v>7617400</v>
      </c>
      <c r="G269">
        <v>547.634765625</v>
      </c>
      <c r="H269" s="2">
        <f>MONTH(Query1[[#This Row],[Date]])</f>
        <v>1</v>
      </c>
      <c r="I269" s="3">
        <f>Query1[[#This Row],[Shares]]*Query1[[#This Row],[Adj Close]]</f>
        <v>643393.69066814519</v>
      </c>
      <c r="J269" s="3">
        <f>IF(ROW()&lt;3, Dashboard!$E$7, IF(Query1[[#This Row],[Month]]&lt;&gt;H268,J268*(1+Dashboard!$E$4)+Dashboard!$E$5,J268))</f>
        <v>588777.52109237888</v>
      </c>
      <c r="K269">
        <f>IF(ROW()&lt;3, 0,IF(Query1[[#This Row],[Month]]&lt;&gt;H268,IF((J269-I269&gt;0),J269-I269,0),0))</f>
        <v>0</v>
      </c>
      <c r="L269" s="2">
        <f t="shared" si="4"/>
        <v>1174.8591051078693</v>
      </c>
      <c r="M269">
        <f ca="1">IF(ROW()&lt;3,0,IF(Query1[[#This Row],[Month]]&lt;&gt;OFFSET(Query1[[#This Row],[Month]],-1,0),Dashboard!$J$5,0))</f>
        <v>0</v>
      </c>
      <c r="N269" s="2">
        <f ca="1">IF(ROW()&lt;3, Query1[[#This Row],[Shares]], IF(Query1[[#This Row],[Month]]&lt;&gt;H268, N268+Query1[[#This Row],[Fix Top Up]]/Query1[[#This Row],[Adj Close]], N268))</f>
        <v>1198.8034137502252</v>
      </c>
      <c r="O26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69" s="2">
        <f ca="1">IF(ROW()&lt;3, Query1[[#This Row],[Shares]], IF(Query1[[#This Row],[Month]]&lt;&gt;H268, P268+Query1[[#This Row],[Enhanced top up]]/Query1[[#This Row],[Adj Close]], P268))</f>
        <v>1198.2831011807702</v>
      </c>
      <c r="Q269" s="2">
        <f>IFERROR(AVERAGE(
  IF(ROW()&gt;20, INDEX(G:G, ROW()-20), 0) :
  INDEX(G:G, ROW())
),0)</f>
        <v>542.67446754092259</v>
      </c>
    </row>
    <row r="270" spans="1:17" x14ac:dyDescent="0.3">
      <c r="A270" s="1">
        <v>45685</v>
      </c>
      <c r="B270">
        <v>552.29998779296875</v>
      </c>
      <c r="C270">
        <v>556.6500244140625</v>
      </c>
      <c r="D270">
        <v>549.219970703125</v>
      </c>
      <c r="E270">
        <v>555.8499755859375</v>
      </c>
      <c r="F270">
        <v>4164700</v>
      </c>
      <c r="G270">
        <v>552.224609375</v>
      </c>
      <c r="H270" s="2">
        <f>MONTH(Query1[[#This Row],[Date]])</f>
        <v>1</v>
      </c>
      <c r="I270" s="3">
        <f>Query1[[#This Row],[Shares]]*Query1[[#This Row],[Adj Close]]</f>
        <v>648786.11038885522</v>
      </c>
      <c r="J270" s="3">
        <f>IF(ROW()&lt;3, Dashboard!$E$7, IF(Query1[[#This Row],[Month]]&lt;&gt;H269,J269*(1+Dashboard!$E$4)+Dashboard!$E$5,J269))</f>
        <v>588777.52109237888</v>
      </c>
      <c r="K270">
        <f>IF(ROW()&lt;3, 0,IF(Query1[[#This Row],[Month]]&lt;&gt;H269,IF((J270-I270&gt;0),J270-I270,0),0))</f>
        <v>0</v>
      </c>
      <c r="L270" s="2">
        <f t="shared" si="4"/>
        <v>1174.8591051078693</v>
      </c>
      <c r="M270">
        <f ca="1">IF(ROW()&lt;3,0,IF(Query1[[#This Row],[Month]]&lt;&gt;OFFSET(Query1[[#This Row],[Month]],-1,0),Dashboard!$J$5,0))</f>
        <v>0</v>
      </c>
      <c r="N270" s="2">
        <f ca="1">IF(ROW()&lt;3, Query1[[#This Row],[Shares]], IF(Query1[[#This Row],[Month]]&lt;&gt;H269, N269+Query1[[#This Row],[Fix Top Up]]/Query1[[#This Row],[Adj Close]], N269))</f>
        <v>1198.8034137502252</v>
      </c>
      <c r="O27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0" s="2">
        <f ca="1">IF(ROW()&lt;3, Query1[[#This Row],[Shares]], IF(Query1[[#This Row],[Month]]&lt;&gt;H269, P269+Query1[[#This Row],[Enhanced top up]]/Query1[[#This Row],[Adj Close]], P269))</f>
        <v>1198.2831011807702</v>
      </c>
      <c r="Q270" s="2">
        <f>IFERROR(AVERAGE(
  IF(ROW()&gt;20, INDEX(G:G, ROW()-20), 0) :
  INDEX(G:G, ROW())
),0)</f>
        <v>542.81781005859375</v>
      </c>
    </row>
    <row r="271" spans="1:17" x14ac:dyDescent="0.3">
      <c r="A271" s="1">
        <v>45686</v>
      </c>
      <c r="B271">
        <v>555.16998291015625</v>
      </c>
      <c r="C271">
        <v>555.5</v>
      </c>
      <c r="D271">
        <v>550.969970703125</v>
      </c>
      <c r="E271">
        <v>553.40997314453125</v>
      </c>
      <c r="F271">
        <v>4174500</v>
      </c>
      <c r="G271">
        <v>549.800537109375</v>
      </c>
      <c r="H271" s="2">
        <f>MONTH(Query1[[#This Row],[Date]])</f>
        <v>1</v>
      </c>
      <c r="I271" s="3">
        <f>Query1[[#This Row],[Shares]]*Query1[[#This Row],[Adj Close]]</f>
        <v>645938.16701614612</v>
      </c>
      <c r="J271" s="3">
        <f>IF(ROW()&lt;3, Dashboard!$E$7, IF(Query1[[#This Row],[Month]]&lt;&gt;H270,J270*(1+Dashboard!$E$4)+Dashboard!$E$5,J270))</f>
        <v>588777.52109237888</v>
      </c>
      <c r="K271">
        <f>IF(ROW()&lt;3, 0,IF(Query1[[#This Row],[Month]]&lt;&gt;H270,IF((J271-I271&gt;0),J271-I271,0),0))</f>
        <v>0</v>
      </c>
      <c r="L271" s="2">
        <f t="shared" si="4"/>
        <v>1174.8591051078693</v>
      </c>
      <c r="M271">
        <f ca="1">IF(ROW()&lt;3,0,IF(Query1[[#This Row],[Month]]&lt;&gt;OFFSET(Query1[[#This Row],[Month]],-1,0),Dashboard!$J$5,0))</f>
        <v>0</v>
      </c>
      <c r="N271" s="2">
        <f ca="1">IF(ROW()&lt;3, Query1[[#This Row],[Shares]], IF(Query1[[#This Row],[Month]]&lt;&gt;H270, N270+Query1[[#This Row],[Fix Top Up]]/Query1[[#This Row],[Adj Close]], N270))</f>
        <v>1198.8034137502252</v>
      </c>
      <c r="O27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1" s="2">
        <f ca="1">IF(ROW()&lt;3, Query1[[#This Row],[Shares]], IF(Query1[[#This Row],[Month]]&lt;&gt;H270, P270+Query1[[#This Row],[Enhanced top up]]/Query1[[#This Row],[Adj Close]], P270))</f>
        <v>1198.2831011807702</v>
      </c>
      <c r="Q271" s="2">
        <f>IFERROR(AVERAGE(
  IF(ROW()&gt;20, INDEX(G:G, ROW()-20), 0) :
  INDEX(G:G, ROW())
),0)</f>
        <v>542.84619431268607</v>
      </c>
    </row>
    <row r="272" spans="1:17" x14ac:dyDescent="0.3">
      <c r="A272" s="1">
        <v>45687</v>
      </c>
      <c r="B272">
        <v>555.3699951171875</v>
      </c>
      <c r="C272">
        <v>557.780029296875</v>
      </c>
      <c r="D272">
        <v>552.3800048828125</v>
      </c>
      <c r="E272">
        <v>556.29998779296875</v>
      </c>
      <c r="F272">
        <v>4296500</v>
      </c>
      <c r="G272">
        <v>552.67169189453125</v>
      </c>
      <c r="H272" s="2">
        <f>MONTH(Query1[[#This Row],[Date]])</f>
        <v>1</v>
      </c>
      <c r="I272" s="3">
        <f>Query1[[#This Row],[Shares]]*Query1[[#This Row],[Adj Close]]</f>
        <v>649311.36935766099</v>
      </c>
      <c r="J272" s="3">
        <f>IF(ROW()&lt;3, Dashboard!$E$7, IF(Query1[[#This Row],[Month]]&lt;&gt;H271,J271*(1+Dashboard!$E$4)+Dashboard!$E$5,J271))</f>
        <v>588777.52109237888</v>
      </c>
      <c r="K272">
        <f>IF(ROW()&lt;3, 0,IF(Query1[[#This Row],[Month]]&lt;&gt;H271,IF((J272-I272&gt;0),J272-I272,0),0))</f>
        <v>0</v>
      </c>
      <c r="L272" s="2">
        <f t="shared" si="4"/>
        <v>1174.8591051078693</v>
      </c>
      <c r="M272">
        <f ca="1">IF(ROW()&lt;3,0,IF(Query1[[#This Row],[Month]]&lt;&gt;OFFSET(Query1[[#This Row],[Month]],-1,0),Dashboard!$J$5,0))</f>
        <v>0</v>
      </c>
      <c r="N272" s="2">
        <f ca="1">IF(ROW()&lt;3, Query1[[#This Row],[Shares]], IF(Query1[[#This Row],[Month]]&lt;&gt;H271, N271+Query1[[#This Row],[Fix Top Up]]/Query1[[#This Row],[Adj Close]], N271))</f>
        <v>1198.8034137502252</v>
      </c>
      <c r="O27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2" s="2">
        <f ca="1">IF(ROW()&lt;3, Query1[[#This Row],[Shares]], IF(Query1[[#This Row],[Month]]&lt;&gt;H271, P271+Query1[[#This Row],[Enhanced top up]]/Query1[[#This Row],[Adj Close]], P271))</f>
        <v>1198.2831011807702</v>
      </c>
      <c r="Q272" s="2">
        <f>IFERROR(AVERAGE(
  IF(ROW()&gt;20, INDEX(G:G, ROW()-20), 0) :
  INDEX(G:G, ROW())
),0)</f>
        <v>543.28237769717259</v>
      </c>
    </row>
    <row r="273" spans="1:17" x14ac:dyDescent="0.3">
      <c r="A273" s="1">
        <v>45688</v>
      </c>
      <c r="B273">
        <v>558.6199951171875</v>
      </c>
      <c r="C273">
        <v>560.8900146484375</v>
      </c>
      <c r="D273">
        <v>552.71002197265625</v>
      </c>
      <c r="E273">
        <v>553.33001708984375</v>
      </c>
      <c r="F273">
        <v>6233900</v>
      </c>
      <c r="G273">
        <v>549.7210693359375</v>
      </c>
      <c r="H273" s="2">
        <f>MONTH(Query1[[#This Row],[Date]])</f>
        <v>1</v>
      </c>
      <c r="I273" s="3">
        <f>Query1[[#This Row],[Shares]]*Query1[[#This Row],[Adj Close]]</f>
        <v>645844.80357896048</v>
      </c>
      <c r="J273" s="3">
        <f>IF(ROW()&lt;3, Dashboard!$E$7, IF(Query1[[#This Row],[Month]]&lt;&gt;H272,J272*(1+Dashboard!$E$4)+Dashboard!$E$5,J272))</f>
        <v>588777.52109237888</v>
      </c>
      <c r="K273">
        <f>IF(ROW()&lt;3, 0,IF(Query1[[#This Row],[Month]]&lt;&gt;H272,IF((J273-I273&gt;0),J273-I273,0),0))</f>
        <v>0</v>
      </c>
      <c r="L273" s="2">
        <f t="shared" si="4"/>
        <v>1174.8591051078693</v>
      </c>
      <c r="M273">
        <f ca="1">IF(ROW()&lt;3,0,IF(Query1[[#This Row],[Month]]&lt;&gt;OFFSET(Query1[[#This Row],[Month]],-1,0),Dashboard!$J$5,0))</f>
        <v>0</v>
      </c>
      <c r="N273" s="2">
        <f ca="1">IF(ROW()&lt;3, Query1[[#This Row],[Shares]], IF(Query1[[#This Row],[Month]]&lt;&gt;H272, N272+Query1[[#This Row],[Fix Top Up]]/Query1[[#This Row],[Adj Close]], N272))</f>
        <v>1198.8034137502252</v>
      </c>
      <c r="O27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3" s="2">
        <f ca="1">IF(ROW()&lt;3, Query1[[#This Row],[Shares]], IF(Query1[[#This Row],[Month]]&lt;&gt;H272, P272+Query1[[#This Row],[Enhanced top up]]/Query1[[#This Row],[Adj Close]], P272))</f>
        <v>1198.2831011807702</v>
      </c>
      <c r="Q273" s="2">
        <f>IFERROR(AVERAGE(
  IF(ROW()&gt;20, INDEX(G:G, ROW()-20), 0) :
  INDEX(G:G, ROW())
),0)</f>
        <v>543.86616443452385</v>
      </c>
    </row>
    <row r="274" spans="1:17" x14ac:dyDescent="0.3">
      <c r="A274" s="1">
        <v>45691</v>
      </c>
      <c r="B274">
        <v>544.989990234375</v>
      </c>
      <c r="C274">
        <v>551.96002197265625</v>
      </c>
      <c r="D274">
        <v>542.97998046875</v>
      </c>
      <c r="E274">
        <v>549.70001220703125</v>
      </c>
      <c r="F274">
        <v>7824000</v>
      </c>
      <c r="G274">
        <v>546.11474609375</v>
      </c>
      <c r="H274" s="2">
        <f>MONTH(Query1[[#This Row],[Date]])</f>
        <v>2</v>
      </c>
      <c r="I274" s="3">
        <f>Query1[[#This Row],[Shares]]*Query1[[#This Row],[Adj Close]]</f>
        <v>641607.88188191433</v>
      </c>
      <c r="J274" s="3">
        <f>IF(ROW()&lt;3, Dashboard!$E$7, IF(Query1[[#This Row],[Month]]&lt;&gt;H273,J273*(1+Dashboard!$E$4)+Dashboard!$E$5,J273))</f>
        <v>596665.29630330263</v>
      </c>
      <c r="K274">
        <f>IF(ROW()&lt;3, 0,IF(Query1[[#This Row],[Month]]&lt;&gt;H273,IF((J274-I274&gt;0),J274-I274,0),0))</f>
        <v>0</v>
      </c>
      <c r="L274" s="2">
        <f t="shared" si="4"/>
        <v>1174.8591051078693</v>
      </c>
      <c r="M274">
        <f ca="1">IF(ROW()&lt;3,0,IF(Query1[[#This Row],[Month]]&lt;&gt;OFFSET(Query1[[#This Row],[Month]],-1,0),Dashboard!$J$5,0))</f>
        <v>979.40350000000024</v>
      </c>
      <c r="N274" s="2">
        <f ca="1">IF(ROW()&lt;3, Query1[[#This Row],[Shares]], IF(Query1[[#This Row],[Month]]&lt;&gt;H273, N273+Query1[[#This Row],[Fix Top Up]]/Query1[[#This Row],[Adj Close]], N273))</f>
        <v>1200.5968161569638</v>
      </c>
      <c r="O27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274" s="2">
        <f ca="1">IF(ROW()&lt;3, Query1[[#This Row],[Shares]], IF(Query1[[#This Row],[Month]]&lt;&gt;H273, P273+Query1[[#This Row],[Enhanced top up]]/Query1[[#This Row],[Adj Close]], P273))</f>
        <v>1199.4356126346397</v>
      </c>
      <c r="Q274" s="2">
        <f>IFERROR(AVERAGE(
  IF(ROW()&gt;20, INDEX(G:G, ROW()-20), 0) :
  INDEX(G:G, ROW())
),0)</f>
        <v>544.38135346912202</v>
      </c>
    </row>
    <row r="275" spans="1:17" x14ac:dyDescent="0.3">
      <c r="A275" s="1">
        <v>45692</v>
      </c>
      <c r="B275">
        <v>549.70001220703125</v>
      </c>
      <c r="C275">
        <v>553.83001708984375</v>
      </c>
      <c r="D275">
        <v>549.22998046875</v>
      </c>
      <c r="E275">
        <v>553.3499755859375</v>
      </c>
      <c r="F275">
        <v>4181400</v>
      </c>
      <c r="G275">
        <v>549.74090576171875</v>
      </c>
      <c r="H275" s="2">
        <f>MONTH(Query1[[#This Row],[Date]])</f>
        <v>2</v>
      </c>
      <c r="I275" s="3">
        <f>Query1[[#This Row],[Shares]]*Query1[[#This Row],[Adj Close]]</f>
        <v>645868.10858440236</v>
      </c>
      <c r="J275" s="3">
        <f>IF(ROW()&lt;3, Dashboard!$E$7, IF(Query1[[#This Row],[Month]]&lt;&gt;H274,J274*(1+Dashboard!$E$4)+Dashboard!$E$5,J274))</f>
        <v>596665.29630330263</v>
      </c>
      <c r="K275">
        <f>IF(ROW()&lt;3, 0,IF(Query1[[#This Row],[Month]]&lt;&gt;H274,IF((J275-I275&gt;0),J275-I275,0),0))</f>
        <v>0</v>
      </c>
      <c r="L275" s="2">
        <f t="shared" si="4"/>
        <v>1174.8591051078693</v>
      </c>
      <c r="M275">
        <f ca="1">IF(ROW()&lt;3,0,IF(Query1[[#This Row],[Month]]&lt;&gt;OFFSET(Query1[[#This Row],[Month]],-1,0),Dashboard!$J$5,0))</f>
        <v>0</v>
      </c>
      <c r="N275" s="2">
        <f ca="1">IF(ROW()&lt;3, Query1[[#This Row],[Shares]], IF(Query1[[#This Row],[Month]]&lt;&gt;H274, N274+Query1[[#This Row],[Fix Top Up]]/Query1[[#This Row],[Adj Close]], N274))</f>
        <v>1200.5968161569638</v>
      </c>
      <c r="O27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5" s="2">
        <f ca="1">IF(ROW()&lt;3, Query1[[#This Row],[Shares]], IF(Query1[[#This Row],[Month]]&lt;&gt;H274, P274+Query1[[#This Row],[Enhanced top up]]/Query1[[#This Row],[Adj Close]], P274))</f>
        <v>1199.4356126346397</v>
      </c>
      <c r="Q275" s="2">
        <f>IFERROR(AVERAGE(
  IF(ROW()&gt;20, INDEX(G:G, ROW()-20), 0) :
  INDEX(G:G, ROW())
),0)</f>
        <v>545.13308279854914</v>
      </c>
    </row>
    <row r="276" spans="1:17" x14ac:dyDescent="0.3">
      <c r="A276" s="1">
        <v>45693</v>
      </c>
      <c r="B276">
        <v>552.34002685546875</v>
      </c>
      <c r="C276">
        <v>555.72998046875</v>
      </c>
      <c r="D276">
        <v>550.40997314453125</v>
      </c>
      <c r="E276">
        <v>555.6199951171875</v>
      </c>
      <c r="F276">
        <v>3424200</v>
      </c>
      <c r="G276">
        <v>551.99609375</v>
      </c>
      <c r="H276" s="2">
        <f>MONTH(Query1[[#This Row],[Date]])</f>
        <v>2</v>
      </c>
      <c r="I276" s="3">
        <f>Query1[[#This Row],[Shares]]*Query1[[#This Row],[Adj Close]]</f>
        <v>648517.63672616449</v>
      </c>
      <c r="J276" s="3">
        <f>IF(ROW()&lt;3, Dashboard!$E$7, IF(Query1[[#This Row],[Month]]&lt;&gt;H275,J275*(1+Dashboard!$E$4)+Dashboard!$E$5,J275))</f>
        <v>596665.29630330263</v>
      </c>
      <c r="K276">
        <f>IF(ROW()&lt;3, 0,IF(Query1[[#This Row],[Month]]&lt;&gt;H275,IF((J276-I276&gt;0),J276-I276,0),0))</f>
        <v>0</v>
      </c>
      <c r="L276" s="2">
        <f t="shared" si="4"/>
        <v>1174.8591051078693</v>
      </c>
      <c r="M276">
        <f ca="1">IF(ROW()&lt;3,0,IF(Query1[[#This Row],[Month]]&lt;&gt;OFFSET(Query1[[#This Row],[Month]],-1,0),Dashboard!$J$5,0))</f>
        <v>0</v>
      </c>
      <c r="N276" s="2">
        <f ca="1">IF(ROW()&lt;3, Query1[[#This Row],[Shares]], IF(Query1[[#This Row],[Month]]&lt;&gt;H275, N275+Query1[[#This Row],[Fix Top Up]]/Query1[[#This Row],[Adj Close]], N275))</f>
        <v>1200.5968161569638</v>
      </c>
      <c r="O27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6" s="2">
        <f ca="1">IF(ROW()&lt;3, Query1[[#This Row],[Shares]], IF(Query1[[#This Row],[Month]]&lt;&gt;H275, P275+Query1[[#This Row],[Enhanced top up]]/Query1[[#This Row],[Adj Close]], P275))</f>
        <v>1199.4356126346397</v>
      </c>
      <c r="Q276" s="2">
        <f>IFERROR(AVERAGE(
  IF(ROW()&gt;20, INDEX(G:G, ROW()-20), 0) :
  INDEX(G:G, ROW())
),0)</f>
        <v>545.66388230096732</v>
      </c>
    </row>
    <row r="277" spans="1:17" x14ac:dyDescent="0.3">
      <c r="A277" s="1">
        <v>45694</v>
      </c>
      <c r="B277">
        <v>557.28997802734375</v>
      </c>
      <c r="C277">
        <v>557.6500244140625</v>
      </c>
      <c r="D277">
        <v>554.19000244140625</v>
      </c>
      <c r="E277">
        <v>557.6199951171875</v>
      </c>
      <c r="F277">
        <v>3606300</v>
      </c>
      <c r="G277">
        <v>553.9830322265625</v>
      </c>
      <c r="H277" s="2">
        <f>MONTH(Query1[[#This Row],[Date]])</f>
        <v>2</v>
      </c>
      <c r="I277" s="3">
        <f>Query1[[#This Row],[Shares]]*Query1[[#This Row],[Adj Close]]</f>
        <v>650852.00948664313</v>
      </c>
      <c r="J277" s="3">
        <f>IF(ROW()&lt;3, Dashboard!$E$7, IF(Query1[[#This Row],[Month]]&lt;&gt;H276,J276*(1+Dashboard!$E$4)+Dashboard!$E$5,J276))</f>
        <v>596665.29630330263</v>
      </c>
      <c r="K277">
        <f>IF(ROW()&lt;3, 0,IF(Query1[[#This Row],[Month]]&lt;&gt;H276,IF((J277-I277&gt;0),J277-I277,0),0))</f>
        <v>0</v>
      </c>
      <c r="L277" s="2">
        <f t="shared" si="4"/>
        <v>1174.8591051078693</v>
      </c>
      <c r="M277">
        <f ca="1">IF(ROW()&lt;3,0,IF(Query1[[#This Row],[Month]]&lt;&gt;OFFSET(Query1[[#This Row],[Month]],-1,0),Dashboard!$J$5,0))</f>
        <v>0</v>
      </c>
      <c r="N277" s="2">
        <f ca="1">IF(ROW()&lt;3, Query1[[#This Row],[Shares]], IF(Query1[[#This Row],[Month]]&lt;&gt;H276, N276+Query1[[#This Row],[Fix Top Up]]/Query1[[#This Row],[Adj Close]], N276))</f>
        <v>1200.5968161569638</v>
      </c>
      <c r="O27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7" s="2">
        <f ca="1">IF(ROW()&lt;3, Query1[[#This Row],[Shares]], IF(Query1[[#This Row],[Month]]&lt;&gt;H276, P276+Query1[[#This Row],[Enhanced top up]]/Query1[[#This Row],[Adj Close]], P276))</f>
        <v>1199.4356126346397</v>
      </c>
      <c r="Q277" s="2">
        <f>IFERROR(AVERAGE(
  IF(ROW()&gt;20, INDEX(G:G, ROW()-20), 0) :
  INDEX(G:G, ROW())
),0)</f>
        <v>546.13933163597471</v>
      </c>
    </row>
    <row r="278" spans="1:17" x14ac:dyDescent="0.3">
      <c r="A278" s="1">
        <v>45695</v>
      </c>
      <c r="B278">
        <v>558.0999755859375</v>
      </c>
      <c r="C278">
        <v>559.20001220703125</v>
      </c>
      <c r="D278">
        <v>551.78997802734375</v>
      </c>
      <c r="E278">
        <v>552.20001220703125</v>
      </c>
      <c r="F278">
        <v>10161600</v>
      </c>
      <c r="G278">
        <v>548.59844970703125</v>
      </c>
      <c r="H278" s="2">
        <f>MONTH(Query1[[#This Row],[Date]])</f>
        <v>2</v>
      </c>
      <c r="I278" s="3">
        <f>Query1[[#This Row],[Shares]]*Query1[[#This Row],[Adj Close]]</f>
        <v>644525.88368636719</v>
      </c>
      <c r="J278" s="3">
        <f>IF(ROW()&lt;3, Dashboard!$E$7, IF(Query1[[#This Row],[Month]]&lt;&gt;H277,J277*(1+Dashboard!$E$4)+Dashboard!$E$5,J277))</f>
        <v>596665.29630330263</v>
      </c>
      <c r="K278">
        <f>IF(ROW()&lt;3, 0,IF(Query1[[#This Row],[Month]]&lt;&gt;H277,IF((J278-I278&gt;0),J278-I278,0),0))</f>
        <v>0</v>
      </c>
      <c r="L278" s="2">
        <f t="shared" si="4"/>
        <v>1174.8591051078693</v>
      </c>
      <c r="M278">
        <f ca="1">IF(ROW()&lt;3,0,IF(Query1[[#This Row],[Month]]&lt;&gt;OFFSET(Query1[[#This Row],[Month]],-1,0),Dashboard!$J$5,0))</f>
        <v>0</v>
      </c>
      <c r="N278" s="2">
        <f ca="1">IF(ROW()&lt;3, Query1[[#This Row],[Shares]], IF(Query1[[#This Row],[Month]]&lt;&gt;H277, N277+Query1[[#This Row],[Fix Top Up]]/Query1[[#This Row],[Adj Close]], N277))</f>
        <v>1200.5968161569638</v>
      </c>
      <c r="O27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8" s="2">
        <f ca="1">IF(ROW()&lt;3, Query1[[#This Row],[Shares]], IF(Query1[[#This Row],[Month]]&lt;&gt;H277, P277+Query1[[#This Row],[Enhanced top up]]/Query1[[#This Row],[Adj Close]], P277))</f>
        <v>1199.4356126346397</v>
      </c>
      <c r="Q278" s="2">
        <f>IFERROR(AVERAGE(
  IF(ROW()&gt;20, INDEX(G:G, ROW()-20), 0) :
  INDEX(G:G, ROW())
),0)</f>
        <v>546.64979189918154</v>
      </c>
    </row>
    <row r="279" spans="1:17" x14ac:dyDescent="0.3">
      <c r="A279" s="1">
        <v>45698</v>
      </c>
      <c r="B279">
        <v>555.44000244140625</v>
      </c>
      <c r="C279">
        <v>556.780029296875</v>
      </c>
      <c r="D279">
        <v>554.239990234375</v>
      </c>
      <c r="E279">
        <v>556.1500244140625</v>
      </c>
      <c r="F279">
        <v>3517600</v>
      </c>
      <c r="G279">
        <v>552.522705078125</v>
      </c>
      <c r="H279" s="2">
        <f>MONTH(Query1[[#This Row],[Date]])</f>
        <v>2</v>
      </c>
      <c r="I279" s="3">
        <f>Query1[[#This Row],[Shares]]*Query1[[#This Row],[Adj Close]]</f>
        <v>649136.33083986514</v>
      </c>
      <c r="J279" s="3">
        <f>IF(ROW()&lt;3, Dashboard!$E$7, IF(Query1[[#This Row],[Month]]&lt;&gt;H278,J278*(1+Dashboard!$E$4)+Dashboard!$E$5,J278))</f>
        <v>596665.29630330263</v>
      </c>
      <c r="K279">
        <f>IF(ROW()&lt;3, 0,IF(Query1[[#This Row],[Month]]&lt;&gt;H278,IF((J279-I279&gt;0),J279-I279,0),0))</f>
        <v>0</v>
      </c>
      <c r="L279" s="2">
        <f t="shared" si="4"/>
        <v>1174.8591051078693</v>
      </c>
      <c r="M279">
        <f ca="1">IF(ROW()&lt;3,0,IF(Query1[[#This Row],[Month]]&lt;&gt;OFFSET(Query1[[#This Row],[Month]],-1,0),Dashboard!$J$5,0))</f>
        <v>0</v>
      </c>
      <c r="N279" s="2">
        <f ca="1">IF(ROW()&lt;3, Query1[[#This Row],[Shares]], IF(Query1[[#This Row],[Month]]&lt;&gt;H278, N278+Query1[[#This Row],[Fix Top Up]]/Query1[[#This Row],[Adj Close]], N278))</f>
        <v>1200.5968161569638</v>
      </c>
      <c r="O27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79" s="2">
        <f ca="1">IF(ROW()&lt;3, Query1[[#This Row],[Shares]], IF(Query1[[#This Row],[Month]]&lt;&gt;H278, P278+Query1[[#This Row],[Enhanced top up]]/Query1[[#This Row],[Adj Close]], P278))</f>
        <v>1199.4356126346397</v>
      </c>
      <c r="Q279" s="2">
        <f>IFERROR(AVERAGE(
  IF(ROW()&gt;20, INDEX(G:G, ROW()-20), 0) :
  INDEX(G:G, ROW())
),0)</f>
        <v>547.31258428664432</v>
      </c>
    </row>
    <row r="280" spans="1:17" x14ac:dyDescent="0.3">
      <c r="A280" s="1">
        <v>45699</v>
      </c>
      <c r="B280">
        <v>554.0999755859375</v>
      </c>
      <c r="C280">
        <v>557.1199951171875</v>
      </c>
      <c r="D280">
        <v>553.989990234375</v>
      </c>
      <c r="E280">
        <v>556.6500244140625</v>
      </c>
      <c r="F280">
        <v>2752900</v>
      </c>
      <c r="G280">
        <v>553.0194091796875</v>
      </c>
      <c r="H280" s="2">
        <f>MONTH(Query1[[#This Row],[Date]])</f>
        <v>2</v>
      </c>
      <c r="I280" s="3">
        <f>Query1[[#This Row],[Shares]]*Query1[[#This Row],[Adj Close]]</f>
        <v>649719.88817613025</v>
      </c>
      <c r="J280" s="3">
        <f>IF(ROW()&lt;3, Dashboard!$E$7, IF(Query1[[#This Row],[Month]]&lt;&gt;H279,J279*(1+Dashboard!$E$4)+Dashboard!$E$5,J279))</f>
        <v>596665.29630330263</v>
      </c>
      <c r="K280">
        <f>IF(ROW()&lt;3, 0,IF(Query1[[#This Row],[Month]]&lt;&gt;H279,IF((J280-I280&gt;0),J280-I280,0),0))</f>
        <v>0</v>
      </c>
      <c r="L280" s="2">
        <f t="shared" si="4"/>
        <v>1174.8591051078693</v>
      </c>
      <c r="M280">
        <f ca="1">IF(ROW()&lt;3,0,IF(Query1[[#This Row],[Month]]&lt;&gt;OFFSET(Query1[[#This Row],[Month]],-1,0),Dashboard!$J$5,0))</f>
        <v>0</v>
      </c>
      <c r="N280" s="2">
        <f ca="1">IF(ROW()&lt;3, Query1[[#This Row],[Shares]], IF(Query1[[#This Row],[Month]]&lt;&gt;H279, N279+Query1[[#This Row],[Fix Top Up]]/Query1[[#This Row],[Adj Close]], N279))</f>
        <v>1200.5968161569638</v>
      </c>
      <c r="O28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0" s="2">
        <f ca="1">IF(ROW()&lt;3, Query1[[#This Row],[Shares]], IF(Query1[[#This Row],[Month]]&lt;&gt;H279, P279+Query1[[#This Row],[Enhanced top up]]/Query1[[#This Row],[Adj Close]], P279))</f>
        <v>1199.4356126346397</v>
      </c>
      <c r="Q280" s="2">
        <f>IFERROR(AVERAGE(
  IF(ROW()&gt;20, INDEX(G:G, ROW()-20), 0) :
  INDEX(G:G, ROW())
),0)</f>
        <v>548.38932582310269</v>
      </c>
    </row>
    <row r="281" spans="1:17" x14ac:dyDescent="0.3">
      <c r="A281" s="1">
        <v>45700</v>
      </c>
      <c r="B281">
        <v>551</v>
      </c>
      <c r="C281">
        <v>555.91998291015625</v>
      </c>
      <c r="D281">
        <v>550.3900146484375</v>
      </c>
      <c r="E281">
        <v>554.80999755859375</v>
      </c>
      <c r="F281">
        <v>3579500</v>
      </c>
      <c r="G281">
        <v>551.19140625</v>
      </c>
      <c r="H281" s="2">
        <f>MONTH(Query1[[#This Row],[Date]])</f>
        <v>2</v>
      </c>
      <c r="I281" s="3">
        <f>Query1[[#This Row],[Shares]]*Query1[[#This Row],[Adj Close]]</f>
        <v>647572.24229002302</v>
      </c>
      <c r="J281" s="3">
        <f>IF(ROW()&lt;3, Dashboard!$E$7, IF(Query1[[#This Row],[Month]]&lt;&gt;H280,J280*(1+Dashboard!$E$4)+Dashboard!$E$5,J280))</f>
        <v>596665.29630330263</v>
      </c>
      <c r="K281">
        <f>IF(ROW()&lt;3, 0,IF(Query1[[#This Row],[Month]]&lt;&gt;H280,IF((J281-I281&gt;0),J281-I281,0),0))</f>
        <v>0</v>
      </c>
      <c r="L281" s="2">
        <f t="shared" si="4"/>
        <v>1174.8591051078693</v>
      </c>
      <c r="M281">
        <f ca="1">IF(ROW()&lt;3,0,IF(Query1[[#This Row],[Month]]&lt;&gt;OFFSET(Query1[[#This Row],[Month]],-1,0),Dashboard!$J$5,0))</f>
        <v>0</v>
      </c>
      <c r="N281" s="2">
        <f ca="1">IF(ROW()&lt;3, Query1[[#This Row],[Shares]], IF(Query1[[#This Row],[Month]]&lt;&gt;H280, N280+Query1[[#This Row],[Fix Top Up]]/Query1[[#This Row],[Adj Close]], N280))</f>
        <v>1200.5968161569638</v>
      </c>
      <c r="O28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1" s="2">
        <f ca="1">IF(ROW()&lt;3, Query1[[#This Row],[Shares]], IF(Query1[[#This Row],[Month]]&lt;&gt;H280, P280+Query1[[#This Row],[Enhanced top up]]/Query1[[#This Row],[Adj Close]], P280))</f>
        <v>1199.4356126346397</v>
      </c>
      <c r="Q281" s="2">
        <f>IFERROR(AVERAGE(
  IF(ROW()&gt;20, INDEX(G:G, ROW()-20), 0) :
  INDEX(G:G, ROW())
),0)</f>
        <v>549.34637741815482</v>
      </c>
    </row>
    <row r="282" spans="1:17" x14ac:dyDescent="0.3">
      <c r="A282" s="1">
        <v>45701</v>
      </c>
      <c r="B282">
        <v>555.8699951171875</v>
      </c>
      <c r="C282">
        <v>560.8800048828125</v>
      </c>
      <c r="D282">
        <v>554.70001220703125</v>
      </c>
      <c r="E282">
        <v>560.66998291015625</v>
      </c>
      <c r="F282">
        <v>3388500</v>
      </c>
      <c r="G282">
        <v>557.01318359375</v>
      </c>
      <c r="H282" s="2">
        <f>MONTH(Query1[[#This Row],[Date]])</f>
        <v>2</v>
      </c>
      <c r="I282" s="3">
        <f>Query1[[#This Row],[Shares]]*Query1[[#This Row],[Adj Close]]</f>
        <v>654412.01041023841</v>
      </c>
      <c r="J282" s="3">
        <f>IF(ROW()&lt;3, Dashboard!$E$7, IF(Query1[[#This Row],[Month]]&lt;&gt;H281,J281*(1+Dashboard!$E$4)+Dashboard!$E$5,J281))</f>
        <v>596665.29630330263</v>
      </c>
      <c r="K282">
        <f>IF(ROW()&lt;3, 0,IF(Query1[[#This Row],[Month]]&lt;&gt;H281,IF((J282-I282&gt;0),J282-I282,0),0))</f>
        <v>0</v>
      </c>
      <c r="L282" s="2">
        <f t="shared" si="4"/>
        <v>1174.8591051078693</v>
      </c>
      <c r="M282">
        <f ca="1">IF(ROW()&lt;3,0,IF(Query1[[#This Row],[Month]]&lt;&gt;OFFSET(Query1[[#This Row],[Month]],-1,0),Dashboard!$J$5,0))</f>
        <v>0</v>
      </c>
      <c r="N282" s="2">
        <f ca="1">IF(ROW()&lt;3, Query1[[#This Row],[Shares]], IF(Query1[[#This Row],[Month]]&lt;&gt;H281, N281+Query1[[#This Row],[Fix Top Up]]/Query1[[#This Row],[Adj Close]], N281))</f>
        <v>1200.5968161569638</v>
      </c>
      <c r="O28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2" s="2">
        <f ca="1">IF(ROW()&lt;3, Query1[[#This Row],[Shares]], IF(Query1[[#This Row],[Month]]&lt;&gt;H281, P281+Query1[[#This Row],[Enhanced top up]]/Query1[[#This Row],[Adj Close]], P281))</f>
        <v>1199.4356126346397</v>
      </c>
      <c r="Q282" s="2">
        <f>IFERROR(AVERAGE(
  IF(ROW()&gt;20, INDEX(G:G, ROW()-20), 0) :
  INDEX(G:G, ROW())
),0)</f>
        <v>550.54848516555057</v>
      </c>
    </row>
    <row r="283" spans="1:17" x14ac:dyDescent="0.3">
      <c r="A283" s="1">
        <v>45702</v>
      </c>
      <c r="B283">
        <v>560.9000244140625</v>
      </c>
      <c r="C283">
        <v>561.8599853515625</v>
      </c>
      <c r="D283">
        <v>560.07000732421875</v>
      </c>
      <c r="E283">
        <v>560.69000244140625</v>
      </c>
      <c r="F283">
        <v>3380600</v>
      </c>
      <c r="G283">
        <v>557.0330810546875</v>
      </c>
      <c r="H283" s="2">
        <f>MONTH(Query1[[#This Row],[Date]])</f>
        <v>2</v>
      </c>
      <c r="I283" s="3">
        <f>Query1[[#This Row],[Shares]]*Query1[[#This Row],[Adj Close]]</f>
        <v>654435.3871233894</v>
      </c>
      <c r="J283" s="3">
        <f>IF(ROW()&lt;3, Dashboard!$E$7, IF(Query1[[#This Row],[Month]]&lt;&gt;H282,J282*(1+Dashboard!$E$4)+Dashboard!$E$5,J282))</f>
        <v>596665.29630330263</v>
      </c>
      <c r="K283">
        <f>IF(ROW()&lt;3, 0,IF(Query1[[#This Row],[Month]]&lt;&gt;H282,IF((J283-I283&gt;0),J283-I283,0),0))</f>
        <v>0</v>
      </c>
      <c r="L283" s="2">
        <f t="shared" si="4"/>
        <v>1174.8591051078693</v>
      </c>
      <c r="M283">
        <f ca="1">IF(ROW()&lt;3,0,IF(Query1[[#This Row],[Month]]&lt;&gt;OFFSET(Query1[[#This Row],[Month]],-1,0),Dashboard!$J$5,0))</f>
        <v>0</v>
      </c>
      <c r="N283" s="2">
        <f ca="1">IF(ROW()&lt;3, Query1[[#This Row],[Shares]], IF(Query1[[#This Row],[Month]]&lt;&gt;H282, N282+Query1[[#This Row],[Fix Top Up]]/Query1[[#This Row],[Adj Close]], N282))</f>
        <v>1200.5968161569638</v>
      </c>
      <c r="O28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3" s="2">
        <f ca="1">IF(ROW()&lt;3, Query1[[#This Row],[Shares]], IF(Query1[[#This Row],[Month]]&lt;&gt;H282, P282+Query1[[#This Row],[Enhanced top up]]/Query1[[#This Row],[Adj Close]], P282))</f>
        <v>1199.4356126346397</v>
      </c>
      <c r="Q283" s="2">
        <f>IFERROR(AVERAGE(
  IF(ROW()&gt;20, INDEX(G:G, ROW()-20), 0) :
  INDEX(G:G, ROW())
),0)</f>
        <v>551.28839111328125</v>
      </c>
    </row>
    <row r="284" spans="1:17" x14ac:dyDescent="0.3">
      <c r="A284" s="1">
        <v>45706</v>
      </c>
      <c r="B284">
        <v>561.79998779296875</v>
      </c>
      <c r="C284">
        <v>562.30999755859375</v>
      </c>
      <c r="D284">
        <v>559.489990234375</v>
      </c>
      <c r="E284">
        <v>562.30999755859375</v>
      </c>
      <c r="F284">
        <v>3844900</v>
      </c>
      <c r="G284">
        <v>558.64251708984375</v>
      </c>
      <c r="H284" s="2">
        <f>MONTH(Query1[[#This Row],[Date]])</f>
        <v>2</v>
      </c>
      <c r="I284" s="3">
        <f>Query1[[#This Row],[Shares]]*Query1[[#This Row],[Adj Close]]</f>
        <v>656326.24770338135</v>
      </c>
      <c r="J284" s="3">
        <f>IF(ROW()&lt;3, Dashboard!$E$7, IF(Query1[[#This Row],[Month]]&lt;&gt;H283,J283*(1+Dashboard!$E$4)+Dashboard!$E$5,J283))</f>
        <v>596665.29630330263</v>
      </c>
      <c r="K284">
        <f>IF(ROW()&lt;3, 0,IF(Query1[[#This Row],[Month]]&lt;&gt;H283,IF((J284-I284&gt;0),J284-I284,0),0))</f>
        <v>0</v>
      </c>
      <c r="L284" s="2">
        <f t="shared" si="4"/>
        <v>1174.8591051078693</v>
      </c>
      <c r="M284">
        <f ca="1">IF(ROW()&lt;3,0,IF(Query1[[#This Row],[Month]]&lt;&gt;OFFSET(Query1[[#This Row],[Month]],-1,0),Dashboard!$J$5,0))</f>
        <v>0</v>
      </c>
      <c r="N284" s="2">
        <f ca="1">IF(ROW()&lt;3, Query1[[#This Row],[Shares]], IF(Query1[[#This Row],[Month]]&lt;&gt;H283, N283+Query1[[#This Row],[Fix Top Up]]/Query1[[#This Row],[Adj Close]], N283))</f>
        <v>1200.5968161569638</v>
      </c>
      <c r="O28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4" s="2">
        <f ca="1">IF(ROW()&lt;3, Query1[[#This Row],[Shares]], IF(Query1[[#This Row],[Month]]&lt;&gt;H283, P283+Query1[[#This Row],[Enhanced top up]]/Query1[[#This Row],[Adj Close]], P283))</f>
        <v>1199.4356126346397</v>
      </c>
      <c r="Q284" s="2">
        <f>IFERROR(AVERAGE(
  IF(ROW()&gt;20, INDEX(G:G, ROW()-20), 0) :
  INDEX(G:G, ROW())
),0)</f>
        <v>552.14325823102683</v>
      </c>
    </row>
    <row r="285" spans="1:17" x14ac:dyDescent="0.3">
      <c r="A285" s="1">
        <v>45707</v>
      </c>
      <c r="B285">
        <v>561.02001953125</v>
      </c>
      <c r="C285">
        <v>563.91998291015625</v>
      </c>
      <c r="D285">
        <v>560.530029296875</v>
      </c>
      <c r="E285">
        <v>563.66998291015625</v>
      </c>
      <c r="F285">
        <v>3857600</v>
      </c>
      <c r="G285">
        <v>559.99359130859375</v>
      </c>
      <c r="H285" s="2">
        <f>MONTH(Query1[[#This Row],[Date]])</f>
        <v>2</v>
      </c>
      <c r="I285" s="3">
        <f>Query1[[#This Row],[Shares]]*Query1[[#This Row],[Adj Close]]</f>
        <v>657913.56955095637</v>
      </c>
      <c r="J285" s="3">
        <f>IF(ROW()&lt;3, Dashboard!$E$7, IF(Query1[[#This Row],[Month]]&lt;&gt;H284,J284*(1+Dashboard!$E$4)+Dashboard!$E$5,J284))</f>
        <v>596665.29630330263</v>
      </c>
      <c r="K285">
        <f>IF(ROW()&lt;3, 0,IF(Query1[[#This Row],[Month]]&lt;&gt;H284,IF((J285-I285&gt;0),J285-I285,0),0))</f>
        <v>0</v>
      </c>
      <c r="L285" s="2">
        <f t="shared" si="4"/>
        <v>1174.8591051078693</v>
      </c>
      <c r="M285">
        <f ca="1">IF(ROW()&lt;3,0,IF(Query1[[#This Row],[Month]]&lt;&gt;OFFSET(Query1[[#This Row],[Month]],-1,0),Dashboard!$J$5,0))</f>
        <v>0</v>
      </c>
      <c r="N285" s="2">
        <f ca="1">IF(ROW()&lt;3, Query1[[#This Row],[Shares]], IF(Query1[[#This Row],[Month]]&lt;&gt;H284, N284+Query1[[#This Row],[Fix Top Up]]/Query1[[#This Row],[Adj Close]], N284))</f>
        <v>1200.5968161569638</v>
      </c>
      <c r="O28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5" s="2">
        <f ca="1">IF(ROW()&lt;3, Query1[[#This Row],[Shares]], IF(Query1[[#This Row],[Month]]&lt;&gt;H284, P284+Query1[[#This Row],[Enhanced top up]]/Query1[[#This Row],[Adj Close]], P284))</f>
        <v>1199.4356126346397</v>
      </c>
      <c r="Q285" s="2">
        <f>IFERROR(AVERAGE(
  IF(ROW()&gt;20, INDEX(G:G, ROW()-20), 0) :
  INDEX(G:G, ROW())
),0)</f>
        <v>552.81550816127231</v>
      </c>
    </row>
    <row r="286" spans="1:17" x14ac:dyDescent="0.3">
      <c r="A286" s="1">
        <v>45708</v>
      </c>
      <c r="B286">
        <v>562.3900146484375</v>
      </c>
      <c r="C286">
        <v>562.47998046875</v>
      </c>
      <c r="D286">
        <v>558.219970703125</v>
      </c>
      <c r="E286">
        <v>561.29998779296875</v>
      </c>
      <c r="F286">
        <v>4446800</v>
      </c>
      <c r="G286">
        <v>557.63909912109375</v>
      </c>
      <c r="H286" s="2">
        <f>MONTH(Query1[[#This Row],[Date]])</f>
        <v>2</v>
      </c>
      <c r="I286" s="3">
        <f>Query1[[#This Row],[Shares]]*Query1[[#This Row],[Adj Close]]</f>
        <v>655147.37296656659</v>
      </c>
      <c r="J286" s="3">
        <f>IF(ROW()&lt;3, Dashboard!$E$7, IF(Query1[[#This Row],[Month]]&lt;&gt;H285,J285*(1+Dashboard!$E$4)+Dashboard!$E$5,J285))</f>
        <v>596665.29630330263</v>
      </c>
      <c r="K286">
        <f>IF(ROW()&lt;3, 0,IF(Query1[[#This Row],[Month]]&lt;&gt;H285,IF((J286-I286&gt;0),J286-I286,0),0))</f>
        <v>0</v>
      </c>
      <c r="L286" s="2">
        <f t="shared" si="4"/>
        <v>1174.8591051078693</v>
      </c>
      <c r="M286">
        <f ca="1">IF(ROW()&lt;3,0,IF(Query1[[#This Row],[Month]]&lt;&gt;OFFSET(Query1[[#This Row],[Month]],-1,0),Dashboard!$J$5,0))</f>
        <v>0</v>
      </c>
      <c r="N286" s="2">
        <f ca="1">IF(ROW()&lt;3, Query1[[#This Row],[Shares]], IF(Query1[[#This Row],[Month]]&lt;&gt;H285, N285+Query1[[#This Row],[Fix Top Up]]/Query1[[#This Row],[Adj Close]], N285))</f>
        <v>1200.5968161569638</v>
      </c>
      <c r="O28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6" s="2">
        <f ca="1">IF(ROW()&lt;3, Query1[[#This Row],[Shares]], IF(Query1[[#This Row],[Month]]&lt;&gt;H285, P285+Query1[[#This Row],[Enhanced top up]]/Query1[[#This Row],[Adj Close]], P285))</f>
        <v>1199.4356126346397</v>
      </c>
      <c r="Q286" s="2">
        <f>IFERROR(AVERAGE(
  IF(ROW()&gt;20, INDEX(G:G, ROW()-20), 0) :
  INDEX(G:G, ROW())
),0)</f>
        <v>553.13909621465768</v>
      </c>
    </row>
    <row r="287" spans="1:17" x14ac:dyDescent="0.3">
      <c r="A287" s="1">
        <v>45709</v>
      </c>
      <c r="B287">
        <v>561.0999755859375</v>
      </c>
      <c r="C287">
        <v>561.20001220703125</v>
      </c>
      <c r="D287">
        <v>551.27001953125</v>
      </c>
      <c r="E287">
        <v>551.75</v>
      </c>
      <c r="F287">
        <v>6148700</v>
      </c>
      <c r="G287">
        <v>548.1513671875</v>
      </c>
      <c r="H287" s="2">
        <f>MONTH(Query1[[#This Row],[Date]])</f>
        <v>2</v>
      </c>
      <c r="I287" s="3">
        <f>Query1[[#This Row],[Shares]]*Query1[[#This Row],[Adj Close]]</f>
        <v>644000.6247175613</v>
      </c>
      <c r="J287" s="3">
        <f>IF(ROW()&lt;3, Dashboard!$E$7, IF(Query1[[#This Row],[Month]]&lt;&gt;H286,J286*(1+Dashboard!$E$4)+Dashboard!$E$5,J286))</f>
        <v>596665.29630330263</v>
      </c>
      <c r="K287">
        <f>IF(ROW()&lt;3, 0,IF(Query1[[#This Row],[Month]]&lt;&gt;H286,IF((J287-I287&gt;0),J287-I287,0),0))</f>
        <v>0</v>
      </c>
      <c r="L287" s="2">
        <f t="shared" si="4"/>
        <v>1174.8591051078693</v>
      </c>
      <c r="M287">
        <f ca="1">IF(ROW()&lt;3,0,IF(Query1[[#This Row],[Month]]&lt;&gt;OFFSET(Query1[[#This Row],[Month]],-1,0),Dashboard!$J$5,0))</f>
        <v>0</v>
      </c>
      <c r="N287" s="2">
        <f ca="1">IF(ROW()&lt;3, Query1[[#This Row],[Shares]], IF(Query1[[#This Row],[Month]]&lt;&gt;H286, N286+Query1[[#This Row],[Fix Top Up]]/Query1[[#This Row],[Adj Close]], N286))</f>
        <v>1200.5968161569638</v>
      </c>
      <c r="O28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7" s="2">
        <f ca="1">IF(ROW()&lt;3, Query1[[#This Row],[Shares]], IF(Query1[[#This Row],[Month]]&lt;&gt;H286, P286+Query1[[#This Row],[Enhanced top up]]/Query1[[#This Row],[Adj Close]], P286))</f>
        <v>1199.4356126346397</v>
      </c>
      <c r="Q287" s="2">
        <f>IFERROR(AVERAGE(
  IF(ROW()&gt;20, INDEX(G:G, ROW()-20), 0) :
  INDEX(G:G, ROW())
),0)</f>
        <v>552.86186872209817</v>
      </c>
    </row>
    <row r="288" spans="1:17" x14ac:dyDescent="0.3">
      <c r="A288" s="1">
        <v>45712</v>
      </c>
      <c r="B288">
        <v>553.6099853515625</v>
      </c>
      <c r="C288">
        <v>554.510009765625</v>
      </c>
      <c r="D288">
        <v>548.510009765625</v>
      </c>
      <c r="E288">
        <v>549.1400146484375</v>
      </c>
      <c r="F288">
        <v>4772300</v>
      </c>
      <c r="G288">
        <v>545.55841064453125</v>
      </c>
      <c r="H288" s="2">
        <f>MONTH(Query1[[#This Row],[Date]])</f>
        <v>2</v>
      </c>
      <c r="I288" s="3">
        <f>Query1[[#This Row],[Shares]]*Query1[[#This Row],[Adj Close]]</f>
        <v>640954.26611390547</v>
      </c>
      <c r="J288" s="3">
        <f>IF(ROW()&lt;3, Dashboard!$E$7, IF(Query1[[#This Row],[Month]]&lt;&gt;H287,J287*(1+Dashboard!$E$4)+Dashboard!$E$5,J287))</f>
        <v>596665.29630330263</v>
      </c>
      <c r="K288">
        <f>IF(ROW()&lt;3, 0,IF(Query1[[#This Row],[Month]]&lt;&gt;H287,IF((J288-I288&gt;0),J288-I288,0),0))</f>
        <v>0</v>
      </c>
      <c r="L288" s="2">
        <f t="shared" si="4"/>
        <v>1174.8591051078693</v>
      </c>
      <c r="M288">
        <f ca="1">IF(ROW()&lt;3,0,IF(Query1[[#This Row],[Month]]&lt;&gt;OFFSET(Query1[[#This Row],[Month]],-1,0),Dashboard!$J$5,0))</f>
        <v>0</v>
      </c>
      <c r="N288" s="2">
        <f ca="1">IF(ROW()&lt;3, Query1[[#This Row],[Shares]], IF(Query1[[#This Row],[Month]]&lt;&gt;H287, N287+Query1[[#This Row],[Fix Top Up]]/Query1[[#This Row],[Adj Close]], N287))</f>
        <v>1200.5968161569638</v>
      </c>
      <c r="O28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8" s="2">
        <f ca="1">IF(ROW()&lt;3, Query1[[#This Row],[Shares]], IF(Query1[[#This Row],[Month]]&lt;&gt;H287, P287+Query1[[#This Row],[Enhanced top up]]/Query1[[#This Row],[Adj Close]], P287))</f>
        <v>1199.4356126346397</v>
      </c>
      <c r="Q288" s="2">
        <f>IFERROR(AVERAGE(
  IF(ROW()&gt;20, INDEX(G:G, ROW()-20), 0) :
  INDEX(G:G, ROW())
),0)</f>
        <v>552.31498500279019</v>
      </c>
    </row>
    <row r="289" spans="1:17" x14ac:dyDescent="0.3">
      <c r="A289" s="1">
        <v>45713</v>
      </c>
      <c r="B289">
        <v>549.17999267578125</v>
      </c>
      <c r="C289">
        <v>549.77001953125</v>
      </c>
      <c r="D289">
        <v>542.16998291015625</v>
      </c>
      <c r="E289">
        <v>546.40997314453125</v>
      </c>
      <c r="F289">
        <v>5491500</v>
      </c>
      <c r="G289">
        <v>542.84619140625</v>
      </c>
      <c r="H289" s="2">
        <f>MONTH(Query1[[#This Row],[Date]])</f>
        <v>2</v>
      </c>
      <c r="I289" s="3">
        <f>Query1[[#This Row],[Shares]]*Query1[[#This Row],[Adj Close]]</f>
        <v>637767.79064676201</v>
      </c>
      <c r="J289" s="3">
        <f>IF(ROW()&lt;3, Dashboard!$E$7, IF(Query1[[#This Row],[Month]]&lt;&gt;H288,J288*(1+Dashboard!$E$4)+Dashboard!$E$5,J288))</f>
        <v>596665.29630330263</v>
      </c>
      <c r="K289">
        <f>IF(ROW()&lt;3, 0,IF(Query1[[#This Row],[Month]]&lt;&gt;H288,IF((J289-I289&gt;0),J289-I289,0),0))</f>
        <v>0</v>
      </c>
      <c r="L289" s="2">
        <f t="shared" si="4"/>
        <v>1174.8591051078693</v>
      </c>
      <c r="M289">
        <f ca="1">IF(ROW()&lt;3,0,IF(Query1[[#This Row],[Month]]&lt;&gt;OFFSET(Query1[[#This Row],[Month]],-1,0),Dashboard!$J$5,0))</f>
        <v>0</v>
      </c>
      <c r="N289" s="2">
        <f ca="1">IF(ROW()&lt;3, Query1[[#This Row],[Shares]], IF(Query1[[#This Row],[Month]]&lt;&gt;H288, N288+Query1[[#This Row],[Fix Top Up]]/Query1[[#This Row],[Adj Close]], N288))</f>
        <v>1200.5968161569638</v>
      </c>
      <c r="O28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89" s="2">
        <f ca="1">IF(ROW()&lt;3, Query1[[#This Row],[Shares]], IF(Query1[[#This Row],[Month]]&lt;&gt;H288, P288+Query1[[#This Row],[Enhanced top up]]/Query1[[#This Row],[Adj Close]], P288))</f>
        <v>1199.4356126346397</v>
      </c>
      <c r="Q289" s="2">
        <f>IFERROR(AVERAGE(
  IF(ROW()&gt;20, INDEX(G:G, ROW()-20), 0) :
  INDEX(G:G, ROW())
),0)</f>
        <v>551.71889822823664</v>
      </c>
    </row>
    <row r="290" spans="1:17" x14ac:dyDescent="0.3">
      <c r="A290" s="1">
        <v>45714</v>
      </c>
      <c r="B290">
        <v>548.010009765625</v>
      </c>
      <c r="C290">
        <v>551.3499755859375</v>
      </c>
      <c r="D290">
        <v>544.25</v>
      </c>
      <c r="E290">
        <v>546.75</v>
      </c>
      <c r="F290">
        <v>4180800</v>
      </c>
      <c r="G290">
        <v>543.18402099609375</v>
      </c>
      <c r="H290" s="2">
        <f>MONTH(Query1[[#This Row],[Date]])</f>
        <v>2</v>
      </c>
      <c r="I290" s="3">
        <f>Query1[[#This Row],[Shares]]*Query1[[#This Row],[Adj Close]]</f>
        <v>638164.69281636481</v>
      </c>
      <c r="J290" s="3">
        <f>IF(ROW()&lt;3, Dashboard!$E$7, IF(Query1[[#This Row],[Month]]&lt;&gt;H289,J289*(1+Dashboard!$E$4)+Dashboard!$E$5,J289))</f>
        <v>596665.29630330263</v>
      </c>
      <c r="K290">
        <f>IF(ROW()&lt;3, 0,IF(Query1[[#This Row],[Month]]&lt;&gt;H289,IF((J290-I290&gt;0),J290-I290,0),0))</f>
        <v>0</v>
      </c>
      <c r="L290" s="2">
        <f t="shared" si="4"/>
        <v>1174.8591051078693</v>
      </c>
      <c r="M290">
        <f ca="1">IF(ROW()&lt;3,0,IF(Query1[[#This Row],[Month]]&lt;&gt;OFFSET(Query1[[#This Row],[Month]],-1,0),Dashboard!$J$5,0))</f>
        <v>0</v>
      </c>
      <c r="N290" s="2">
        <f ca="1">IF(ROW()&lt;3, Query1[[#This Row],[Shares]], IF(Query1[[#This Row],[Month]]&lt;&gt;H289, N289+Query1[[#This Row],[Fix Top Up]]/Query1[[#This Row],[Adj Close]], N289))</f>
        <v>1200.5968161569638</v>
      </c>
      <c r="O29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0" s="2">
        <f ca="1">IF(ROW()&lt;3, Query1[[#This Row],[Shares]], IF(Query1[[#This Row],[Month]]&lt;&gt;H289, P289+Query1[[#This Row],[Enhanced top up]]/Query1[[#This Row],[Adj Close]], P289))</f>
        <v>1199.4356126346397</v>
      </c>
      <c r="Q290" s="2">
        <f>IFERROR(AVERAGE(
  IF(ROW()&gt;20, INDEX(G:G, ROW()-20), 0) :
  INDEX(G:G, ROW())
),0)</f>
        <v>551.5069580078125</v>
      </c>
    </row>
    <row r="291" spans="1:17" x14ac:dyDescent="0.3">
      <c r="A291" s="1">
        <v>45715</v>
      </c>
      <c r="B291">
        <v>548.83001708984375</v>
      </c>
      <c r="C291">
        <v>549.8800048828125</v>
      </c>
      <c r="D291">
        <v>537.5999755859375</v>
      </c>
      <c r="E291">
        <v>537.969970703125</v>
      </c>
      <c r="F291">
        <v>5521400</v>
      </c>
      <c r="G291">
        <v>534.461181640625</v>
      </c>
      <c r="H291" s="2">
        <f>MONTH(Query1[[#This Row],[Date]])</f>
        <v>2</v>
      </c>
      <c r="I291" s="3">
        <f>Query1[[#This Row],[Shares]]*Query1[[#This Row],[Adj Close]]</f>
        <v>627916.585577199</v>
      </c>
      <c r="J291" s="3">
        <f>IF(ROW()&lt;3, Dashboard!$E$7, IF(Query1[[#This Row],[Month]]&lt;&gt;H290,J290*(1+Dashboard!$E$4)+Dashboard!$E$5,J290))</f>
        <v>596665.29630330263</v>
      </c>
      <c r="K291">
        <f>IF(ROW()&lt;3, 0,IF(Query1[[#This Row],[Month]]&lt;&gt;H290,IF((J291-I291&gt;0),J291-I291,0),0))</f>
        <v>0</v>
      </c>
      <c r="L291" s="2">
        <f t="shared" si="4"/>
        <v>1174.8591051078693</v>
      </c>
      <c r="M291">
        <f ca="1">IF(ROW()&lt;3,0,IF(Query1[[#This Row],[Month]]&lt;&gt;OFFSET(Query1[[#This Row],[Month]],-1,0),Dashboard!$J$5,0))</f>
        <v>0</v>
      </c>
      <c r="N291" s="2">
        <f ca="1">IF(ROW()&lt;3, Query1[[#This Row],[Shares]], IF(Query1[[#This Row],[Month]]&lt;&gt;H290, N290+Query1[[#This Row],[Fix Top Up]]/Query1[[#This Row],[Adj Close]], N290))</f>
        <v>1200.5968161569638</v>
      </c>
      <c r="O29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1" s="2">
        <f ca="1">IF(ROW()&lt;3, Query1[[#This Row],[Shares]], IF(Query1[[#This Row],[Month]]&lt;&gt;H290, P290+Query1[[#This Row],[Enhanced top up]]/Query1[[#This Row],[Adj Close]], P290))</f>
        <v>1199.4356126346397</v>
      </c>
      <c r="Q291" s="2">
        <f>IFERROR(AVERAGE(
  IF(ROW()&gt;20, INDEX(G:G, ROW()-20), 0) :
  INDEX(G:G, ROW())
),0)</f>
        <v>550.66108049665183</v>
      </c>
    </row>
    <row r="292" spans="1:17" x14ac:dyDescent="0.3">
      <c r="A292" s="1">
        <v>45716</v>
      </c>
      <c r="B292">
        <v>538.41998291015625</v>
      </c>
      <c r="C292">
        <v>546.8900146484375</v>
      </c>
      <c r="D292">
        <v>535.58001708984375</v>
      </c>
      <c r="E292">
        <v>546.33001708984375</v>
      </c>
      <c r="F292">
        <v>7328100</v>
      </c>
      <c r="G292">
        <v>542.7667236328125</v>
      </c>
      <c r="H292" s="2">
        <f>MONTH(Query1[[#This Row],[Date]])</f>
        <v>2</v>
      </c>
      <c r="I292" s="3">
        <f>Query1[[#This Row],[Shares]]*Query1[[#This Row],[Adj Close]]</f>
        <v>637674.42720957624</v>
      </c>
      <c r="J292" s="3">
        <f>IF(ROW()&lt;3, Dashboard!$E$7, IF(Query1[[#This Row],[Month]]&lt;&gt;H291,J291*(1+Dashboard!$E$4)+Dashboard!$E$5,J291))</f>
        <v>596665.29630330263</v>
      </c>
      <c r="K292">
        <f>IF(ROW()&lt;3, 0,IF(Query1[[#This Row],[Month]]&lt;&gt;H291,IF((J292-I292&gt;0),J292-I292,0),0))</f>
        <v>0</v>
      </c>
      <c r="L292" s="2">
        <f t="shared" si="4"/>
        <v>1174.8591051078693</v>
      </c>
      <c r="M292">
        <f ca="1">IF(ROW()&lt;3,0,IF(Query1[[#This Row],[Month]]&lt;&gt;OFFSET(Query1[[#This Row],[Month]],-1,0),Dashboard!$J$5,0))</f>
        <v>0</v>
      </c>
      <c r="N292" s="2">
        <f ca="1">IF(ROW()&lt;3, Query1[[#This Row],[Shares]], IF(Query1[[#This Row],[Month]]&lt;&gt;H291, N291+Query1[[#This Row],[Fix Top Up]]/Query1[[#This Row],[Adj Close]], N291))</f>
        <v>1200.5968161569638</v>
      </c>
      <c r="O29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2" s="2">
        <f ca="1">IF(ROW()&lt;3, Query1[[#This Row],[Shares]], IF(Query1[[#This Row],[Month]]&lt;&gt;H291, P291+Query1[[#This Row],[Enhanced top up]]/Query1[[#This Row],[Adj Close]], P291))</f>
        <v>1199.4356126346397</v>
      </c>
      <c r="Q292" s="2">
        <f>IFERROR(AVERAGE(
  IF(ROW()&gt;20, INDEX(G:G, ROW()-20), 0) :
  INDEX(G:G, ROW())
),0)</f>
        <v>550.32613699776789</v>
      </c>
    </row>
    <row r="293" spans="1:17" x14ac:dyDescent="0.3">
      <c r="A293" s="1">
        <v>45719</v>
      </c>
      <c r="B293">
        <v>548.20001220703125</v>
      </c>
      <c r="C293">
        <v>549.28997802734375</v>
      </c>
      <c r="D293">
        <v>533.25</v>
      </c>
      <c r="E293">
        <v>536.91998291015625</v>
      </c>
      <c r="F293">
        <v>7290000</v>
      </c>
      <c r="G293">
        <v>533.41802978515625</v>
      </c>
      <c r="H293" s="2">
        <f>MONTH(Query1[[#This Row],[Date]])</f>
        <v>3</v>
      </c>
      <c r="I293" s="3">
        <f>Query1[[#This Row],[Shares]]*Query1[[#This Row],[Adj Close]]</f>
        <v>626691.02912179136</v>
      </c>
      <c r="J293" s="3">
        <f>IF(ROW()&lt;3, Dashboard!$E$7, IF(Query1[[#This Row],[Month]]&lt;&gt;H292,J292*(1+Dashboard!$E$4)+Dashboard!$E$5,J292))</f>
        <v>604631.94926633569</v>
      </c>
      <c r="K293">
        <f>IF(ROW()&lt;3, 0,IF(Query1[[#This Row],[Month]]&lt;&gt;H292,IF((J293-I293&gt;0),J293-I293,0),0))</f>
        <v>0</v>
      </c>
      <c r="L293" s="2">
        <f t="shared" si="4"/>
        <v>1174.8591051078693</v>
      </c>
      <c r="M293">
        <f ca="1">IF(ROW()&lt;3,0,IF(Query1[[#This Row],[Month]]&lt;&gt;OFFSET(Query1[[#This Row],[Month]],-1,0),Dashboard!$J$5,0))</f>
        <v>979.40350000000024</v>
      </c>
      <c r="N293" s="2">
        <f ca="1">IF(ROW()&lt;3, Query1[[#This Row],[Shares]], IF(Query1[[#This Row],[Month]]&lt;&gt;H292, N292+Query1[[#This Row],[Fix Top Up]]/Query1[[#This Row],[Adj Close]], N292))</f>
        <v>1202.4329061376388</v>
      </c>
      <c r="O29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293" s="2">
        <f ca="1">IF(ROW()&lt;3, Query1[[#This Row],[Shares]], IF(Query1[[#This Row],[Month]]&lt;&gt;H292, P292+Query1[[#This Row],[Enhanced top up]]/Query1[[#This Row],[Adj Close]], P292))</f>
        <v>1202.4902591014197</v>
      </c>
      <c r="Q293" s="2">
        <f>IFERROR(AVERAGE(
  IF(ROW()&gt;20, INDEX(G:G, ROW()-20), 0) :
  INDEX(G:G, ROW())
),0)</f>
        <v>549.40929594494048</v>
      </c>
    </row>
    <row r="294" spans="1:17" x14ac:dyDescent="0.3">
      <c r="A294" s="1">
        <v>45720</v>
      </c>
      <c r="B294">
        <v>533.05999755859375</v>
      </c>
      <c r="C294">
        <v>538.280029296875</v>
      </c>
      <c r="D294">
        <v>526.15997314453125</v>
      </c>
      <c r="E294">
        <v>530.45001220703125</v>
      </c>
      <c r="F294">
        <v>10477400</v>
      </c>
      <c r="G294">
        <v>526.9903564453125</v>
      </c>
      <c r="H294" s="2">
        <f>MONTH(Query1[[#This Row],[Date]])</f>
        <v>3</v>
      </c>
      <c r="I294" s="3">
        <f>Query1[[#This Row],[Shares]]*Query1[[#This Row],[Adj Close]]</f>
        <v>619139.41857381689</v>
      </c>
      <c r="J294" s="3">
        <f>IF(ROW()&lt;3, Dashboard!$E$7, IF(Query1[[#This Row],[Month]]&lt;&gt;H293,J293*(1+Dashboard!$E$4)+Dashboard!$E$5,J293))</f>
        <v>604631.94926633569</v>
      </c>
      <c r="K294">
        <f>IF(ROW()&lt;3, 0,IF(Query1[[#This Row],[Month]]&lt;&gt;H293,IF((J294-I294&gt;0),J294-I294,0),0))</f>
        <v>0</v>
      </c>
      <c r="L294" s="2">
        <f t="shared" si="4"/>
        <v>1174.8591051078693</v>
      </c>
      <c r="M294">
        <f ca="1">IF(ROW()&lt;3,0,IF(Query1[[#This Row],[Month]]&lt;&gt;OFFSET(Query1[[#This Row],[Month]],-1,0),Dashboard!$J$5,0))</f>
        <v>0</v>
      </c>
      <c r="N294" s="2">
        <f ca="1">IF(ROW()&lt;3, Query1[[#This Row],[Shares]], IF(Query1[[#This Row],[Month]]&lt;&gt;H293, N293+Query1[[#This Row],[Fix Top Up]]/Query1[[#This Row],[Adj Close]], N293))</f>
        <v>1202.4329061376388</v>
      </c>
      <c r="O29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4" s="2">
        <f ca="1">IF(ROW()&lt;3, Query1[[#This Row],[Shares]], IF(Query1[[#This Row],[Month]]&lt;&gt;H293, P293+Query1[[#This Row],[Enhanced top up]]/Query1[[#This Row],[Adj Close]], P293))</f>
        <v>1202.4902591014197</v>
      </c>
      <c r="Q294" s="2">
        <f>IFERROR(AVERAGE(
  IF(ROW()&gt;20, INDEX(G:G, ROW()-20), 0) :
  INDEX(G:G, ROW())
),0)</f>
        <v>548.32688104538693</v>
      </c>
    </row>
    <row r="295" spans="1:17" x14ac:dyDescent="0.3">
      <c r="A295" s="1">
        <v>45721</v>
      </c>
      <c r="B295">
        <v>530.25</v>
      </c>
      <c r="C295">
        <v>537.78997802734375</v>
      </c>
      <c r="D295">
        <v>526.92999267578125</v>
      </c>
      <c r="E295">
        <v>536.4000244140625</v>
      </c>
      <c r="F295">
        <v>6221700</v>
      </c>
      <c r="G295">
        <v>532.90155029296875</v>
      </c>
      <c r="H295" s="2">
        <f>MONTH(Query1[[#This Row],[Date]])</f>
        <v>3</v>
      </c>
      <c r="I295" s="3">
        <f>Query1[[#This Row],[Shares]]*Query1[[#This Row],[Adj Close]]</f>
        <v>626084.23848779348</v>
      </c>
      <c r="J295" s="3">
        <f>IF(ROW()&lt;3, Dashboard!$E$7, IF(Query1[[#This Row],[Month]]&lt;&gt;H294,J294*(1+Dashboard!$E$4)+Dashboard!$E$5,J294))</f>
        <v>604631.94926633569</v>
      </c>
      <c r="K295">
        <f>IF(ROW()&lt;3, 0,IF(Query1[[#This Row],[Month]]&lt;&gt;H294,IF((J295-I295&gt;0),J295-I295,0),0))</f>
        <v>0</v>
      </c>
      <c r="L295" s="2">
        <f t="shared" si="4"/>
        <v>1174.8591051078693</v>
      </c>
      <c r="M295">
        <f ca="1">IF(ROW()&lt;3,0,IF(Query1[[#This Row],[Month]]&lt;&gt;OFFSET(Query1[[#This Row],[Month]],-1,0),Dashboard!$J$5,0))</f>
        <v>0</v>
      </c>
      <c r="N295" s="2">
        <f ca="1">IF(ROW()&lt;3, Query1[[#This Row],[Shares]], IF(Query1[[#This Row],[Month]]&lt;&gt;H294, N294+Query1[[#This Row],[Fix Top Up]]/Query1[[#This Row],[Adj Close]], N294))</f>
        <v>1202.4329061376388</v>
      </c>
      <c r="O29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5" s="2">
        <f ca="1">IF(ROW()&lt;3, Query1[[#This Row],[Shares]], IF(Query1[[#This Row],[Month]]&lt;&gt;H294, P294+Query1[[#This Row],[Enhanced top up]]/Query1[[#This Row],[Adj Close]], P294))</f>
        <v>1202.4902591014197</v>
      </c>
      <c r="Q295" s="2">
        <f>IFERROR(AVERAGE(
  IF(ROW()&gt;20, INDEX(G:G, ROW()-20), 0) :
  INDEX(G:G, ROW())
),0)</f>
        <v>547.69768124534971</v>
      </c>
    </row>
    <row r="296" spans="1:17" x14ac:dyDescent="0.3">
      <c r="A296" s="1">
        <v>45722</v>
      </c>
      <c r="B296">
        <v>529.19000244140625</v>
      </c>
      <c r="C296">
        <v>533.42999267578125</v>
      </c>
      <c r="D296">
        <v>524.219970703125</v>
      </c>
      <c r="E296">
        <v>526.66998291015625</v>
      </c>
      <c r="F296">
        <v>7228900</v>
      </c>
      <c r="G296">
        <v>523.23492431640625</v>
      </c>
      <c r="H296" s="2">
        <f>MONTH(Query1[[#This Row],[Date]])</f>
        <v>3</v>
      </c>
      <c r="I296" s="3">
        <f>Query1[[#This Row],[Shares]]*Query1[[#This Row],[Adj Close]]</f>
        <v>614727.31494355679</v>
      </c>
      <c r="J296" s="3">
        <f>IF(ROW()&lt;3, Dashboard!$E$7, IF(Query1[[#This Row],[Month]]&lt;&gt;H295,J295*(1+Dashboard!$E$4)+Dashboard!$E$5,J295))</f>
        <v>604631.94926633569</v>
      </c>
      <c r="K296">
        <f>IF(ROW()&lt;3, 0,IF(Query1[[#This Row],[Month]]&lt;&gt;H295,IF((J296-I296&gt;0),J296-I296,0),0))</f>
        <v>0</v>
      </c>
      <c r="L296" s="2">
        <f t="shared" si="4"/>
        <v>1174.8591051078693</v>
      </c>
      <c r="M296">
        <f ca="1">IF(ROW()&lt;3,0,IF(Query1[[#This Row],[Month]]&lt;&gt;OFFSET(Query1[[#This Row],[Month]],-1,0),Dashboard!$J$5,0))</f>
        <v>0</v>
      </c>
      <c r="N296" s="2">
        <f ca="1">IF(ROW()&lt;3, Query1[[#This Row],[Shares]], IF(Query1[[#This Row],[Month]]&lt;&gt;H295, N295+Query1[[#This Row],[Fix Top Up]]/Query1[[#This Row],[Adj Close]], N295))</f>
        <v>1202.4329061376388</v>
      </c>
      <c r="O29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6" s="2">
        <f ca="1">IF(ROW()&lt;3, Query1[[#This Row],[Shares]], IF(Query1[[#This Row],[Month]]&lt;&gt;H295, P295+Query1[[#This Row],[Enhanced top up]]/Query1[[#This Row],[Adj Close]], P295))</f>
        <v>1202.4902591014197</v>
      </c>
      <c r="Q296" s="2">
        <f>IFERROR(AVERAGE(
  IF(ROW()&gt;20, INDEX(G:G, ROW()-20), 0) :
  INDEX(G:G, ROW())
),0)</f>
        <v>546.43549165271577</v>
      </c>
    </row>
    <row r="297" spans="1:17" x14ac:dyDescent="0.3">
      <c r="A297" s="1">
        <v>45723</v>
      </c>
      <c r="B297">
        <v>524.9000244140625</v>
      </c>
      <c r="C297">
        <v>530.8800048828125</v>
      </c>
      <c r="D297">
        <v>520.1300048828125</v>
      </c>
      <c r="E297">
        <v>529.510009765625</v>
      </c>
      <c r="F297">
        <v>7308300</v>
      </c>
      <c r="G297">
        <v>526.05645751953125</v>
      </c>
      <c r="H297" s="2">
        <f>MONTH(Query1[[#This Row],[Date]])</f>
        <v>3</v>
      </c>
      <c r="I297" s="3">
        <f>Query1[[#This Row],[Shares]]*Query1[[#This Row],[Adj Close]]</f>
        <v>618042.21891761234</v>
      </c>
      <c r="J297" s="3">
        <f>IF(ROW()&lt;3, Dashboard!$E$7, IF(Query1[[#This Row],[Month]]&lt;&gt;H296,J296*(1+Dashboard!$E$4)+Dashboard!$E$5,J296))</f>
        <v>604631.94926633569</v>
      </c>
      <c r="K297">
        <f>IF(ROW()&lt;3, 0,IF(Query1[[#This Row],[Month]]&lt;&gt;H296,IF((J297-I297&gt;0),J297-I297,0),0))</f>
        <v>0</v>
      </c>
      <c r="L297" s="2">
        <f t="shared" si="4"/>
        <v>1174.8591051078693</v>
      </c>
      <c r="M297">
        <f ca="1">IF(ROW()&lt;3,0,IF(Query1[[#This Row],[Month]]&lt;&gt;OFFSET(Query1[[#This Row],[Month]],-1,0),Dashboard!$J$5,0))</f>
        <v>0</v>
      </c>
      <c r="N297" s="2">
        <f ca="1">IF(ROW()&lt;3, Query1[[#This Row],[Shares]], IF(Query1[[#This Row],[Month]]&lt;&gt;H296, N296+Query1[[#This Row],[Fix Top Up]]/Query1[[#This Row],[Adj Close]], N296))</f>
        <v>1202.4329061376388</v>
      </c>
      <c r="O29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7" s="2">
        <f ca="1">IF(ROW()&lt;3, Query1[[#This Row],[Shares]], IF(Query1[[#This Row],[Month]]&lt;&gt;H296, P296+Query1[[#This Row],[Enhanced top up]]/Query1[[#This Row],[Adj Close]], P296))</f>
        <v>1202.4902591014197</v>
      </c>
      <c r="Q297" s="2">
        <f>IFERROR(AVERAGE(
  IF(ROW()&gt;20, INDEX(G:G, ROW()-20), 0) :
  INDEX(G:G, ROW())
),0)</f>
        <v>545.20027087983635</v>
      </c>
    </row>
    <row r="298" spans="1:17" x14ac:dyDescent="0.3">
      <c r="A298" s="1">
        <v>45726</v>
      </c>
      <c r="B298">
        <v>521.9000244140625</v>
      </c>
      <c r="C298">
        <v>523.70001220703125</v>
      </c>
      <c r="D298">
        <v>510.82998657226563</v>
      </c>
      <c r="E298">
        <v>515.510009765625</v>
      </c>
      <c r="F298">
        <v>11176900</v>
      </c>
      <c r="G298">
        <v>512.14776611328125</v>
      </c>
      <c r="H298" s="2">
        <f>MONTH(Query1[[#This Row],[Date]])</f>
        <v>3</v>
      </c>
      <c r="I298" s="3">
        <f>Query1[[#This Row],[Shares]]*Query1[[#This Row],[Adj Close]]</f>
        <v>601701.46617884398</v>
      </c>
      <c r="J298" s="3">
        <f>IF(ROW()&lt;3, Dashboard!$E$7, IF(Query1[[#This Row],[Month]]&lt;&gt;H297,J297*(1+Dashboard!$E$4)+Dashboard!$E$5,J297))</f>
        <v>604631.94926633569</v>
      </c>
      <c r="K298">
        <f>IF(ROW()&lt;3, 0,IF(Query1[[#This Row],[Month]]&lt;&gt;H297,IF((J298-I298&gt;0),J298-I298,0),0))</f>
        <v>0</v>
      </c>
      <c r="L298" s="2">
        <f t="shared" si="4"/>
        <v>1174.8591051078693</v>
      </c>
      <c r="M298">
        <f ca="1">IF(ROW()&lt;3,0,IF(Query1[[#This Row],[Month]]&lt;&gt;OFFSET(Query1[[#This Row],[Month]],-1,0),Dashboard!$J$5,0))</f>
        <v>0</v>
      </c>
      <c r="N298" s="2">
        <f ca="1">IF(ROW()&lt;3, Query1[[#This Row],[Shares]], IF(Query1[[#This Row],[Month]]&lt;&gt;H297, N297+Query1[[#This Row],[Fix Top Up]]/Query1[[#This Row],[Adj Close]], N297))</f>
        <v>1202.4329061376388</v>
      </c>
      <c r="O29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8" s="2">
        <f ca="1">IF(ROW()&lt;3, Query1[[#This Row],[Shares]], IF(Query1[[#This Row],[Month]]&lt;&gt;H297, P297+Query1[[#This Row],[Enhanced top up]]/Query1[[#This Row],[Adj Close]], P297))</f>
        <v>1202.4902591014197</v>
      </c>
      <c r="Q298" s="2">
        <f>IFERROR(AVERAGE(
  IF(ROW()&gt;20, INDEX(G:G, ROW()-20), 0) :
  INDEX(G:G, ROW())
),0)</f>
        <v>543.2081153506324</v>
      </c>
    </row>
    <row r="299" spans="1:17" x14ac:dyDescent="0.3">
      <c r="A299" s="1">
        <v>45727</v>
      </c>
      <c r="B299">
        <v>514.33001708984375</v>
      </c>
      <c r="C299">
        <v>517.530029296875</v>
      </c>
      <c r="D299">
        <v>507.52999877929688</v>
      </c>
      <c r="E299">
        <v>511.27999877929688</v>
      </c>
      <c r="F299">
        <v>11208900</v>
      </c>
      <c r="G299">
        <v>507.94534301757813</v>
      </c>
      <c r="H299" s="2">
        <f>MONTH(Query1[[#This Row],[Date]])</f>
        <v>3</v>
      </c>
      <c r="I299" s="3">
        <f>Query1[[#This Row],[Shares]]*Query1[[#This Row],[Adj Close]]</f>
        <v>596764.21114134148</v>
      </c>
      <c r="J299" s="3">
        <f>IF(ROW()&lt;3, Dashboard!$E$7, IF(Query1[[#This Row],[Month]]&lt;&gt;H298,J298*(1+Dashboard!$E$4)+Dashboard!$E$5,J298))</f>
        <v>604631.94926633569</v>
      </c>
      <c r="K299">
        <f>IF(ROW()&lt;3, 0,IF(Query1[[#This Row],[Month]]&lt;&gt;H298,IF((J299-I299&gt;0),J299-I299,0),0))</f>
        <v>0</v>
      </c>
      <c r="L299" s="2">
        <f t="shared" si="4"/>
        <v>1174.8591051078693</v>
      </c>
      <c r="M299">
        <f ca="1">IF(ROW()&lt;3,0,IF(Query1[[#This Row],[Month]]&lt;&gt;OFFSET(Query1[[#This Row],[Month]],-1,0),Dashboard!$J$5,0))</f>
        <v>0</v>
      </c>
      <c r="N299" s="2">
        <f ca="1">IF(ROW()&lt;3, Query1[[#This Row],[Shares]], IF(Query1[[#This Row],[Month]]&lt;&gt;H298, N298+Query1[[#This Row],[Fix Top Up]]/Query1[[#This Row],[Adj Close]], N298))</f>
        <v>1202.4329061376388</v>
      </c>
      <c r="O29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299" s="2">
        <f ca="1">IF(ROW()&lt;3, Query1[[#This Row],[Shares]], IF(Query1[[#This Row],[Month]]&lt;&gt;H298, P298+Query1[[#This Row],[Enhanced top up]]/Query1[[#This Row],[Adj Close]], P298))</f>
        <v>1202.4902591014197</v>
      </c>
      <c r="Q299" s="2">
        <f>IFERROR(AVERAGE(
  IF(ROW()&gt;20, INDEX(G:G, ROW()-20), 0) :
  INDEX(G:G, ROW())
),0)</f>
        <v>541.27225312732514</v>
      </c>
    </row>
    <row r="300" spans="1:17" x14ac:dyDescent="0.3">
      <c r="A300" s="1">
        <v>45728</v>
      </c>
      <c r="B300">
        <v>516.8900146484375</v>
      </c>
      <c r="C300">
        <v>517.739990234375</v>
      </c>
      <c r="D300">
        <v>509.10000610351563</v>
      </c>
      <c r="E300">
        <v>513.760009765625</v>
      </c>
      <c r="F300">
        <v>8590600</v>
      </c>
      <c r="G300">
        <v>510.40914916992188</v>
      </c>
      <c r="H300" s="2">
        <f>MONTH(Query1[[#This Row],[Date]])</f>
        <v>3</v>
      </c>
      <c r="I300" s="3">
        <f>Query1[[#This Row],[Shares]]*Query1[[#This Row],[Adj Close]]</f>
        <v>599658.83623264334</v>
      </c>
      <c r="J300" s="3">
        <f>IF(ROW()&lt;3, Dashboard!$E$7, IF(Query1[[#This Row],[Month]]&lt;&gt;H299,J299*(1+Dashboard!$E$4)+Dashboard!$E$5,J299))</f>
        <v>604631.94926633569</v>
      </c>
      <c r="K300">
        <f>IF(ROW()&lt;3, 0,IF(Query1[[#This Row],[Month]]&lt;&gt;H299,IF((J300-I300&gt;0),J300-I300,0),0))</f>
        <v>0</v>
      </c>
      <c r="L300" s="2">
        <f t="shared" si="4"/>
        <v>1174.8591051078693</v>
      </c>
      <c r="M300">
        <f ca="1">IF(ROW()&lt;3,0,IF(Query1[[#This Row],[Month]]&lt;&gt;OFFSET(Query1[[#This Row],[Month]],-1,0),Dashboard!$J$5,0))</f>
        <v>0</v>
      </c>
      <c r="N300" s="2">
        <f ca="1">IF(ROW()&lt;3, Query1[[#This Row],[Shares]], IF(Query1[[#This Row],[Month]]&lt;&gt;H299, N299+Query1[[#This Row],[Fix Top Up]]/Query1[[#This Row],[Adj Close]], N299))</f>
        <v>1202.4329061376388</v>
      </c>
      <c r="O30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0" s="2">
        <f ca="1">IF(ROW()&lt;3, Query1[[#This Row],[Shares]], IF(Query1[[#This Row],[Month]]&lt;&gt;H299, P299+Query1[[#This Row],[Enhanced top up]]/Query1[[#This Row],[Adj Close]], P299))</f>
        <v>1202.4902591014197</v>
      </c>
      <c r="Q300" s="2">
        <f>IFERROR(AVERAGE(
  IF(ROW()&gt;20, INDEX(G:G, ROW()-20), 0) :
  INDEX(G:G, ROW())
),0)</f>
        <v>539.266845703125</v>
      </c>
    </row>
    <row r="301" spans="1:17" x14ac:dyDescent="0.3">
      <c r="A301" s="1">
        <v>45729</v>
      </c>
      <c r="B301">
        <v>513.510009765625</v>
      </c>
      <c r="C301">
        <v>514.05999755859375</v>
      </c>
      <c r="D301">
        <v>505.42001342773438</v>
      </c>
      <c r="E301">
        <v>507.04998779296875</v>
      </c>
      <c r="F301">
        <v>21650000</v>
      </c>
      <c r="G301">
        <v>503.74288940429688</v>
      </c>
      <c r="H301" s="2">
        <f>MONTH(Query1[[#This Row],[Date]])</f>
        <v>3</v>
      </c>
      <c r="I301" s="3">
        <f>Query1[[#This Row],[Shares]]*Query1[[#This Row],[Adj Close]]</f>
        <v>591826.9202499846</v>
      </c>
      <c r="J301" s="3">
        <f>IF(ROW()&lt;3, Dashboard!$E$7, IF(Query1[[#This Row],[Month]]&lt;&gt;H300,J300*(1+Dashboard!$E$4)+Dashboard!$E$5,J300))</f>
        <v>604631.94926633569</v>
      </c>
      <c r="K301">
        <f>IF(ROW()&lt;3, 0,IF(Query1[[#This Row],[Month]]&lt;&gt;H300,IF((J301-I301&gt;0),J301-I301,0),0))</f>
        <v>0</v>
      </c>
      <c r="L301" s="2">
        <f t="shared" si="4"/>
        <v>1174.8591051078693</v>
      </c>
      <c r="M301">
        <f ca="1">IF(ROW()&lt;3,0,IF(Query1[[#This Row],[Month]]&lt;&gt;OFFSET(Query1[[#This Row],[Month]],-1,0),Dashboard!$J$5,0))</f>
        <v>0</v>
      </c>
      <c r="N301" s="2">
        <f ca="1">IF(ROW()&lt;3, Query1[[#This Row],[Shares]], IF(Query1[[#This Row],[Month]]&lt;&gt;H300, N300+Query1[[#This Row],[Fix Top Up]]/Query1[[#This Row],[Adj Close]], N300))</f>
        <v>1202.4329061376388</v>
      </c>
      <c r="O30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1" s="2">
        <f ca="1">IF(ROW()&lt;3, Query1[[#This Row],[Shares]], IF(Query1[[#This Row],[Month]]&lt;&gt;H300, P300+Query1[[#This Row],[Enhanced top up]]/Query1[[#This Row],[Adj Close]], P300))</f>
        <v>1202.4902591014197</v>
      </c>
      <c r="Q301" s="2">
        <f>IFERROR(AVERAGE(
  IF(ROW()&gt;20, INDEX(G:G, ROW()-20), 0) :
  INDEX(G:G, ROW())
),0)</f>
        <v>536.92034476143976</v>
      </c>
    </row>
    <row r="302" spans="1:17" x14ac:dyDescent="0.3">
      <c r="A302" s="1">
        <v>45730</v>
      </c>
      <c r="B302">
        <v>511.27999877929688</v>
      </c>
      <c r="C302">
        <v>518.41998291015625</v>
      </c>
      <c r="D302">
        <v>510.83999633789063</v>
      </c>
      <c r="E302">
        <v>517.46002197265625</v>
      </c>
      <c r="F302">
        <v>7412300</v>
      </c>
      <c r="G302">
        <v>514.0850830078125</v>
      </c>
      <c r="H302" s="2">
        <f>MONTH(Query1[[#This Row],[Date]])</f>
        <v>3</v>
      </c>
      <c r="I302" s="3">
        <f>Query1[[#This Row],[Shares]]*Query1[[#This Row],[Adj Close]]</f>
        <v>603977.5405718633</v>
      </c>
      <c r="J302" s="3">
        <f>IF(ROW()&lt;3, Dashboard!$E$7, IF(Query1[[#This Row],[Month]]&lt;&gt;H301,J301*(1+Dashboard!$E$4)+Dashboard!$E$5,J301))</f>
        <v>604631.94926633569</v>
      </c>
      <c r="K302">
        <f>IF(ROW()&lt;3, 0,IF(Query1[[#This Row],[Month]]&lt;&gt;H301,IF((J302-I302&gt;0),J302-I302,0),0))</f>
        <v>0</v>
      </c>
      <c r="L302" s="2">
        <f t="shared" si="4"/>
        <v>1174.8591051078693</v>
      </c>
      <c r="M302">
        <f ca="1">IF(ROW()&lt;3,0,IF(Query1[[#This Row],[Month]]&lt;&gt;OFFSET(Query1[[#This Row],[Month]],-1,0),Dashboard!$J$5,0))</f>
        <v>0</v>
      </c>
      <c r="N302" s="2">
        <f ca="1">IF(ROW()&lt;3, Query1[[#This Row],[Shares]], IF(Query1[[#This Row],[Month]]&lt;&gt;H301, N301+Query1[[#This Row],[Fix Top Up]]/Query1[[#This Row],[Adj Close]], N301))</f>
        <v>1202.4329061376388</v>
      </c>
      <c r="O30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2" s="2">
        <f ca="1">IF(ROW()&lt;3, Query1[[#This Row],[Shares]], IF(Query1[[#This Row],[Month]]&lt;&gt;H301, P301+Query1[[#This Row],[Enhanced top up]]/Query1[[#This Row],[Adj Close]], P301))</f>
        <v>1202.4902591014197</v>
      </c>
      <c r="Q302" s="2">
        <f>IFERROR(AVERAGE(
  IF(ROW()&gt;20, INDEX(G:G, ROW()-20), 0) :
  INDEX(G:G, ROW())
),0)</f>
        <v>535.15337698800226</v>
      </c>
    </row>
    <row r="303" spans="1:17" x14ac:dyDescent="0.3">
      <c r="A303" s="1">
        <v>45733</v>
      </c>
      <c r="B303">
        <v>517.45001220703125</v>
      </c>
      <c r="C303">
        <v>523.84002685546875</v>
      </c>
      <c r="D303">
        <v>517.08001708984375</v>
      </c>
      <c r="E303">
        <v>521.40997314453125</v>
      </c>
      <c r="F303">
        <v>6269800</v>
      </c>
      <c r="G303">
        <v>518.00921630859375</v>
      </c>
      <c r="H303" s="2">
        <f>MONTH(Query1[[#This Row],[Date]])</f>
        <v>3</v>
      </c>
      <c r="I303" s="3">
        <f>Query1[[#This Row],[Shares]]*Query1[[#This Row],[Adj Close]]</f>
        <v>608587.84430994315</v>
      </c>
      <c r="J303" s="3">
        <f>IF(ROW()&lt;3, Dashboard!$E$7, IF(Query1[[#This Row],[Month]]&lt;&gt;H302,J302*(1+Dashboard!$E$4)+Dashboard!$E$5,J302))</f>
        <v>604631.94926633569</v>
      </c>
      <c r="K303">
        <f>IF(ROW()&lt;3, 0,IF(Query1[[#This Row],[Month]]&lt;&gt;H302,IF((J303-I303&gt;0),J303-I303,0),0))</f>
        <v>0</v>
      </c>
      <c r="L303" s="2">
        <f t="shared" si="4"/>
        <v>1174.8591051078693</v>
      </c>
      <c r="M303">
        <f ca="1">IF(ROW()&lt;3,0,IF(Query1[[#This Row],[Month]]&lt;&gt;OFFSET(Query1[[#This Row],[Month]],-1,0),Dashboard!$J$5,0))</f>
        <v>0</v>
      </c>
      <c r="N303" s="2">
        <f ca="1">IF(ROW()&lt;3, Query1[[#This Row],[Shares]], IF(Query1[[#This Row],[Month]]&lt;&gt;H302, N302+Query1[[#This Row],[Fix Top Up]]/Query1[[#This Row],[Adj Close]], N302))</f>
        <v>1202.4329061376388</v>
      </c>
      <c r="O30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3" s="2">
        <f ca="1">IF(ROW()&lt;3, Query1[[#This Row],[Shares]], IF(Query1[[#This Row],[Month]]&lt;&gt;H302, P302+Query1[[#This Row],[Enhanced top up]]/Query1[[#This Row],[Adj Close]], P302))</f>
        <v>1202.4902591014197</v>
      </c>
      <c r="Q303" s="2">
        <f>IFERROR(AVERAGE(
  IF(ROW()&gt;20, INDEX(G:G, ROW()-20), 0) :
  INDEX(G:G, ROW())
),0)</f>
        <v>533.29604521251861</v>
      </c>
    </row>
    <row r="304" spans="1:17" x14ac:dyDescent="0.3">
      <c r="A304" s="1">
        <v>45734</v>
      </c>
      <c r="B304">
        <v>519.32000732421875</v>
      </c>
      <c r="C304">
        <v>519.52001953125</v>
      </c>
      <c r="D304">
        <v>514.07000732421875</v>
      </c>
      <c r="E304">
        <v>515.90997314453125</v>
      </c>
      <c r="F304">
        <v>6010600</v>
      </c>
      <c r="G304">
        <v>512.54510498046875</v>
      </c>
      <c r="H304" s="2">
        <f>MONTH(Query1[[#This Row],[Date]])</f>
        <v>3</v>
      </c>
      <c r="I304" s="3">
        <f>Query1[[#This Row],[Shares]]*Query1[[#This Row],[Adj Close]]</f>
        <v>602168.28336477245</v>
      </c>
      <c r="J304" s="3">
        <f>IF(ROW()&lt;3, Dashboard!$E$7, IF(Query1[[#This Row],[Month]]&lt;&gt;H303,J303*(1+Dashboard!$E$4)+Dashboard!$E$5,J303))</f>
        <v>604631.94926633569</v>
      </c>
      <c r="K304">
        <f>IF(ROW()&lt;3, 0,IF(Query1[[#This Row],[Month]]&lt;&gt;H303,IF((J304-I304&gt;0),J304-I304,0),0))</f>
        <v>0</v>
      </c>
      <c r="L304" s="2">
        <f t="shared" si="4"/>
        <v>1174.8591051078693</v>
      </c>
      <c r="M304">
        <f ca="1">IF(ROW()&lt;3,0,IF(Query1[[#This Row],[Month]]&lt;&gt;OFFSET(Query1[[#This Row],[Month]],-1,0),Dashboard!$J$5,0))</f>
        <v>0</v>
      </c>
      <c r="N304" s="2">
        <f ca="1">IF(ROW()&lt;3, Query1[[#This Row],[Shares]], IF(Query1[[#This Row],[Month]]&lt;&gt;H303, N303+Query1[[#This Row],[Fix Top Up]]/Query1[[#This Row],[Adj Close]], N303))</f>
        <v>1202.4329061376388</v>
      </c>
      <c r="O30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4" s="2">
        <f ca="1">IF(ROW()&lt;3, Query1[[#This Row],[Shares]], IF(Query1[[#This Row],[Month]]&lt;&gt;H303, P303+Query1[[#This Row],[Enhanced top up]]/Query1[[#This Row],[Adj Close]], P303))</f>
        <v>1202.4902591014197</v>
      </c>
      <c r="Q304" s="2">
        <f>IFERROR(AVERAGE(
  IF(ROW()&gt;20, INDEX(G:G, ROW()-20), 0) :
  INDEX(G:G, ROW())
),0)</f>
        <v>531.17757016136534</v>
      </c>
    </row>
    <row r="305" spans="1:17" x14ac:dyDescent="0.3">
      <c r="A305" s="1">
        <v>45735</v>
      </c>
      <c r="B305">
        <v>517.53997802734375</v>
      </c>
      <c r="C305">
        <v>524.96002197265625</v>
      </c>
      <c r="D305">
        <v>516.41998291015625</v>
      </c>
      <c r="E305">
        <v>521.33001708984375</v>
      </c>
      <c r="F305">
        <v>5373900</v>
      </c>
      <c r="G305">
        <v>517.9298095703125</v>
      </c>
      <c r="H305" s="2">
        <f>MONTH(Query1[[#This Row],[Date]])</f>
        <v>3</v>
      </c>
      <c r="I305" s="3">
        <f>Query1[[#This Row],[Shares]]*Query1[[#This Row],[Adj Close]]</f>
        <v>608494.55258046649</v>
      </c>
      <c r="J305" s="3">
        <f>IF(ROW()&lt;3, Dashboard!$E$7, IF(Query1[[#This Row],[Month]]&lt;&gt;H304,J304*(1+Dashboard!$E$4)+Dashboard!$E$5,J304))</f>
        <v>604631.94926633569</v>
      </c>
      <c r="K305">
        <f>IF(ROW()&lt;3, 0,IF(Query1[[#This Row],[Month]]&lt;&gt;H304,IF((J305-I305&gt;0),J305-I305,0),0))</f>
        <v>0</v>
      </c>
      <c r="L305" s="2">
        <f t="shared" si="4"/>
        <v>1174.8591051078693</v>
      </c>
      <c r="M305">
        <f ca="1">IF(ROW()&lt;3,0,IF(Query1[[#This Row],[Month]]&lt;&gt;OFFSET(Query1[[#This Row],[Month]],-1,0),Dashboard!$J$5,0))</f>
        <v>0</v>
      </c>
      <c r="N305" s="2">
        <f ca="1">IF(ROW()&lt;3, Query1[[#This Row],[Shares]], IF(Query1[[#This Row],[Month]]&lt;&gt;H304, N304+Query1[[#This Row],[Fix Top Up]]/Query1[[#This Row],[Adj Close]], N304))</f>
        <v>1202.4329061376388</v>
      </c>
      <c r="O30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5" s="2">
        <f ca="1">IF(ROW()&lt;3, Query1[[#This Row],[Shares]], IF(Query1[[#This Row],[Month]]&lt;&gt;H304, P304+Query1[[#This Row],[Enhanced top up]]/Query1[[#This Row],[Adj Close]], P304))</f>
        <v>1202.4902591014197</v>
      </c>
      <c r="Q305" s="2">
        <f>IFERROR(AVERAGE(
  IF(ROW()&gt;20, INDEX(G:G, ROW()-20), 0) :
  INDEX(G:G, ROW())
),0)</f>
        <v>529.23886980329246</v>
      </c>
    </row>
    <row r="306" spans="1:17" x14ac:dyDescent="0.3">
      <c r="A306" s="1">
        <v>45736</v>
      </c>
      <c r="B306">
        <v>517.96002197265625</v>
      </c>
      <c r="C306">
        <v>524.6199951171875</v>
      </c>
      <c r="D306">
        <v>517.32000732421875</v>
      </c>
      <c r="E306">
        <v>520.1300048828125</v>
      </c>
      <c r="F306">
        <v>6029700</v>
      </c>
      <c r="G306">
        <v>516.73760986328125</v>
      </c>
      <c r="H306" s="2">
        <f>MONTH(Query1[[#This Row],[Date]])</f>
        <v>3</v>
      </c>
      <c r="I306" s="3">
        <f>Query1[[#This Row],[Shares]]*Query1[[#This Row],[Adj Close]]</f>
        <v>607093.88589955389</v>
      </c>
      <c r="J306" s="3">
        <f>IF(ROW()&lt;3, Dashboard!$E$7, IF(Query1[[#This Row],[Month]]&lt;&gt;H305,J305*(1+Dashboard!$E$4)+Dashboard!$E$5,J305))</f>
        <v>604631.94926633569</v>
      </c>
      <c r="K306">
        <f>IF(ROW()&lt;3, 0,IF(Query1[[#This Row],[Month]]&lt;&gt;H305,IF((J306-I306&gt;0),J306-I306,0),0))</f>
        <v>0</v>
      </c>
      <c r="L306" s="2">
        <f t="shared" si="4"/>
        <v>1174.8591051078693</v>
      </c>
      <c r="M306">
        <f ca="1">IF(ROW()&lt;3,0,IF(Query1[[#This Row],[Month]]&lt;&gt;OFFSET(Query1[[#This Row],[Month]],-1,0),Dashboard!$J$5,0))</f>
        <v>0</v>
      </c>
      <c r="N306" s="2">
        <f ca="1">IF(ROW()&lt;3, Query1[[#This Row],[Shares]], IF(Query1[[#This Row],[Month]]&lt;&gt;H305, N305+Query1[[#This Row],[Fix Top Up]]/Query1[[#This Row],[Adj Close]], N305))</f>
        <v>1202.4329061376388</v>
      </c>
      <c r="O30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6" s="2">
        <f ca="1">IF(ROW()&lt;3, Query1[[#This Row],[Shares]], IF(Query1[[#This Row],[Month]]&lt;&gt;H305, P305+Query1[[#This Row],[Enhanced top up]]/Query1[[#This Row],[Adj Close]], P305))</f>
        <v>1202.4902591014197</v>
      </c>
      <c r="Q306" s="2">
        <f>IFERROR(AVERAGE(
  IF(ROW()&gt;20, INDEX(G:G, ROW()-20), 0) :
  INDEX(G:G, ROW())
),0)</f>
        <v>527.17906116303948</v>
      </c>
    </row>
    <row r="307" spans="1:17" x14ac:dyDescent="0.3">
      <c r="A307" s="1">
        <v>45737</v>
      </c>
      <c r="B307">
        <v>515.78997802734375</v>
      </c>
      <c r="C307">
        <v>520.95001220703125</v>
      </c>
      <c r="D307">
        <v>514.65997314453125</v>
      </c>
      <c r="E307">
        <v>520.260009765625</v>
      </c>
      <c r="F307">
        <v>5059000</v>
      </c>
      <c r="G307">
        <v>516.86676025390625</v>
      </c>
      <c r="H307" s="2">
        <f>MONTH(Query1[[#This Row],[Date]])</f>
        <v>3</v>
      </c>
      <c r="I307" s="3">
        <f>Query1[[#This Row],[Shares]]*Query1[[#This Row],[Adj Close]]</f>
        <v>607245.61941190786</v>
      </c>
      <c r="J307" s="3">
        <f>IF(ROW()&lt;3, Dashboard!$E$7, IF(Query1[[#This Row],[Month]]&lt;&gt;H306,J306*(1+Dashboard!$E$4)+Dashboard!$E$5,J306))</f>
        <v>604631.94926633569</v>
      </c>
      <c r="K307">
        <f>IF(ROW()&lt;3, 0,IF(Query1[[#This Row],[Month]]&lt;&gt;H306,IF((J307-I307&gt;0),J307-I307,0),0))</f>
        <v>0</v>
      </c>
      <c r="L307" s="2">
        <f t="shared" si="4"/>
        <v>1174.8591051078693</v>
      </c>
      <c r="M307">
        <f ca="1">IF(ROW()&lt;3,0,IF(Query1[[#This Row],[Month]]&lt;&gt;OFFSET(Query1[[#This Row],[Month]],-1,0),Dashboard!$J$5,0))</f>
        <v>0</v>
      </c>
      <c r="N307" s="2">
        <f ca="1">IF(ROW()&lt;3, Query1[[#This Row],[Shares]], IF(Query1[[#This Row],[Month]]&lt;&gt;H306, N306+Query1[[#This Row],[Fix Top Up]]/Query1[[#This Row],[Adj Close]], N306))</f>
        <v>1202.4329061376388</v>
      </c>
      <c r="O30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7" s="2">
        <f ca="1">IF(ROW()&lt;3, Query1[[#This Row],[Shares]], IF(Query1[[#This Row],[Month]]&lt;&gt;H306, P306+Query1[[#This Row],[Enhanced top up]]/Query1[[#This Row],[Adj Close]], P306))</f>
        <v>1202.4902591014197</v>
      </c>
      <c r="Q307" s="2">
        <f>IFERROR(AVERAGE(
  IF(ROW()&gt;20, INDEX(G:G, ROW()-20), 0) :
  INDEX(G:G, ROW())
),0)</f>
        <v>525.23752121698294</v>
      </c>
    </row>
    <row r="308" spans="1:17" x14ac:dyDescent="0.3">
      <c r="A308" s="1">
        <v>45740</v>
      </c>
      <c r="B308">
        <v>526.47998046875</v>
      </c>
      <c r="C308">
        <v>530.3900146484375</v>
      </c>
      <c r="D308">
        <v>525.8800048828125</v>
      </c>
      <c r="E308">
        <v>529.3900146484375</v>
      </c>
      <c r="F308">
        <v>22376300</v>
      </c>
      <c r="G308">
        <v>525.93719482421875</v>
      </c>
      <c r="H308" s="2">
        <f>MONTH(Query1[[#This Row],[Date]])</f>
        <v>3</v>
      </c>
      <c r="I308" s="3">
        <f>Query1[[#This Row],[Shares]]*Query1[[#This Row],[Adj Close]]</f>
        <v>617902.1020541247</v>
      </c>
      <c r="J308" s="3">
        <f>IF(ROW()&lt;3, Dashboard!$E$7, IF(Query1[[#This Row],[Month]]&lt;&gt;H307,J307*(1+Dashboard!$E$4)+Dashboard!$E$5,J307))</f>
        <v>604631.94926633569</v>
      </c>
      <c r="K308">
        <f>IF(ROW()&lt;3, 0,IF(Query1[[#This Row],[Month]]&lt;&gt;H307,IF((J308-I308&gt;0),J308-I308,0),0))</f>
        <v>0</v>
      </c>
      <c r="L308" s="2">
        <f t="shared" si="4"/>
        <v>1174.8591051078693</v>
      </c>
      <c r="M308">
        <f ca="1">IF(ROW()&lt;3,0,IF(Query1[[#This Row],[Month]]&lt;&gt;OFFSET(Query1[[#This Row],[Month]],-1,0),Dashboard!$J$5,0))</f>
        <v>0</v>
      </c>
      <c r="N308" s="2">
        <f ca="1">IF(ROW()&lt;3, Query1[[#This Row],[Shares]], IF(Query1[[#This Row],[Month]]&lt;&gt;H307, N307+Query1[[#This Row],[Fix Top Up]]/Query1[[#This Row],[Adj Close]], N307))</f>
        <v>1202.4329061376388</v>
      </c>
      <c r="O30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8" s="2">
        <f ca="1">IF(ROW()&lt;3, Query1[[#This Row],[Shares]], IF(Query1[[#This Row],[Month]]&lt;&gt;H307, P307+Query1[[#This Row],[Enhanced top up]]/Query1[[#This Row],[Adj Close]], P307))</f>
        <v>1202.4902591014197</v>
      </c>
      <c r="Q308" s="2">
        <f>IFERROR(AVERAGE(
  IF(ROW()&gt;20, INDEX(G:G, ROW()-20), 0) :
  INDEX(G:G, ROW())
),0)</f>
        <v>524.17970348539802</v>
      </c>
    </row>
    <row r="309" spans="1:17" x14ac:dyDescent="0.3">
      <c r="A309" s="1">
        <v>45741</v>
      </c>
      <c r="B309">
        <v>530.59002685546875</v>
      </c>
      <c r="C309">
        <v>531.5999755859375</v>
      </c>
      <c r="D309">
        <v>529.1099853515625</v>
      </c>
      <c r="E309">
        <v>530.6500244140625</v>
      </c>
      <c r="F309">
        <v>6260200</v>
      </c>
      <c r="G309">
        <v>527.18902587890625</v>
      </c>
      <c r="H309" s="2">
        <f>MONTH(Query1[[#This Row],[Date]])</f>
        <v>3</v>
      </c>
      <c r="I309" s="3">
        <f>Query1[[#This Row],[Shares]]*Query1[[#This Row],[Adj Close]]</f>
        <v>619372.82716678118</v>
      </c>
      <c r="J309" s="3">
        <f>IF(ROW()&lt;3, Dashboard!$E$7, IF(Query1[[#This Row],[Month]]&lt;&gt;H308,J308*(1+Dashboard!$E$4)+Dashboard!$E$5,J308))</f>
        <v>604631.94926633569</v>
      </c>
      <c r="K309">
        <f>IF(ROW()&lt;3, 0,IF(Query1[[#This Row],[Month]]&lt;&gt;H308,IF((J309-I309&gt;0),J309-I309,0),0))</f>
        <v>0</v>
      </c>
      <c r="L309" s="2">
        <f t="shared" si="4"/>
        <v>1174.8591051078693</v>
      </c>
      <c r="M309">
        <f ca="1">IF(ROW()&lt;3,0,IF(Query1[[#This Row],[Month]]&lt;&gt;OFFSET(Query1[[#This Row],[Month]],-1,0),Dashboard!$J$5,0))</f>
        <v>0</v>
      </c>
      <c r="N309" s="2">
        <f ca="1">IF(ROW()&lt;3, Query1[[#This Row],[Shares]], IF(Query1[[#This Row],[Month]]&lt;&gt;H308, N308+Query1[[#This Row],[Fix Top Up]]/Query1[[#This Row],[Adj Close]], N308))</f>
        <v>1202.4329061376388</v>
      </c>
      <c r="O30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09" s="2">
        <f ca="1">IF(ROW()&lt;3, Query1[[#This Row],[Shares]], IF(Query1[[#This Row],[Month]]&lt;&gt;H308, P308+Query1[[#This Row],[Enhanced top up]]/Query1[[#This Row],[Adj Close]], P308))</f>
        <v>1202.4902591014197</v>
      </c>
      <c r="Q309" s="2">
        <f>IFERROR(AVERAGE(
  IF(ROW()&gt;20, INDEX(G:G, ROW()-20), 0) :
  INDEX(G:G, ROW())
),0)</f>
        <v>523.30497087751121</v>
      </c>
    </row>
    <row r="310" spans="1:17" x14ac:dyDescent="0.3">
      <c r="A310" s="1">
        <v>45742</v>
      </c>
      <c r="B310">
        <v>530.55999755859375</v>
      </c>
      <c r="C310">
        <v>531.40997314453125</v>
      </c>
      <c r="D310">
        <v>523.0999755859375</v>
      </c>
      <c r="E310">
        <v>524.46002197265625</v>
      </c>
      <c r="F310">
        <v>4410200</v>
      </c>
      <c r="G310">
        <v>521.0394287109375</v>
      </c>
      <c r="H310" s="2">
        <f>MONTH(Query1[[#This Row],[Date]])</f>
        <v>3</v>
      </c>
      <c r="I310" s="3">
        <f>Query1[[#This Row],[Shares]]*Query1[[#This Row],[Adj Close]]</f>
        <v>612147.91694124741</v>
      </c>
      <c r="J310" s="3">
        <f>IF(ROW()&lt;3, Dashboard!$E$7, IF(Query1[[#This Row],[Month]]&lt;&gt;H309,J309*(1+Dashboard!$E$4)+Dashboard!$E$5,J309))</f>
        <v>604631.94926633569</v>
      </c>
      <c r="K310">
        <f>IF(ROW()&lt;3, 0,IF(Query1[[#This Row],[Month]]&lt;&gt;H309,IF((J310-I310&gt;0),J310-I310,0),0))</f>
        <v>0</v>
      </c>
      <c r="L310" s="2">
        <f t="shared" si="4"/>
        <v>1174.8591051078693</v>
      </c>
      <c r="M310">
        <f ca="1">IF(ROW()&lt;3,0,IF(Query1[[#This Row],[Month]]&lt;&gt;OFFSET(Query1[[#This Row],[Month]],-1,0),Dashboard!$J$5,0))</f>
        <v>0</v>
      </c>
      <c r="N310" s="2">
        <f ca="1">IF(ROW()&lt;3, Query1[[#This Row],[Shares]], IF(Query1[[#This Row],[Month]]&lt;&gt;H309, N309+Query1[[#This Row],[Fix Top Up]]/Query1[[#This Row],[Adj Close]], N309))</f>
        <v>1202.4329061376388</v>
      </c>
      <c r="O31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0" s="2">
        <f ca="1">IF(ROW()&lt;3, Query1[[#This Row],[Shares]], IF(Query1[[#This Row],[Month]]&lt;&gt;H309, P309+Query1[[#This Row],[Enhanced top up]]/Query1[[#This Row],[Adj Close]], P309))</f>
        <v>1202.4902591014197</v>
      </c>
      <c r="Q310" s="2">
        <f>IFERROR(AVERAGE(
  IF(ROW()&gt;20, INDEX(G:G, ROW()-20), 0) :
  INDEX(G:G, ROW())
),0)</f>
        <v>522.26655360630582</v>
      </c>
    </row>
    <row r="311" spans="1:17" x14ac:dyDescent="0.3">
      <c r="A311" s="1">
        <v>45743</v>
      </c>
      <c r="B311">
        <v>521.28997802734375</v>
      </c>
      <c r="C311">
        <v>524.67999267578125</v>
      </c>
      <c r="D311">
        <v>519.22998046875</v>
      </c>
      <c r="E311">
        <v>521.21002197265625</v>
      </c>
      <c r="F311">
        <v>5534900</v>
      </c>
      <c r="G311">
        <v>519.6058349609375</v>
      </c>
      <c r="H311" s="2">
        <f>MONTH(Query1[[#This Row],[Date]])</f>
        <v>3</v>
      </c>
      <c r="I311" s="3">
        <f>Query1[[#This Row],[Shares]]*Query1[[#This Row],[Adj Close]]</f>
        <v>610463.64627103426</v>
      </c>
      <c r="J311" s="3">
        <f>IF(ROW()&lt;3, Dashboard!$E$7, IF(Query1[[#This Row],[Month]]&lt;&gt;H310,J310*(1+Dashboard!$E$4)+Dashboard!$E$5,J310))</f>
        <v>604631.94926633569</v>
      </c>
      <c r="K311">
        <f>IF(ROW()&lt;3, 0,IF(Query1[[#This Row],[Month]]&lt;&gt;H310,IF((J311-I311&gt;0),J311-I311,0),0))</f>
        <v>0</v>
      </c>
      <c r="L311" s="2">
        <f t="shared" si="4"/>
        <v>1174.8591051078693</v>
      </c>
      <c r="M311">
        <f ca="1">IF(ROW()&lt;3,0,IF(Query1[[#This Row],[Month]]&lt;&gt;OFFSET(Query1[[#This Row],[Month]],-1,0),Dashboard!$J$5,0))</f>
        <v>0</v>
      </c>
      <c r="N311" s="2">
        <f ca="1">IF(ROW()&lt;3, Query1[[#This Row],[Shares]], IF(Query1[[#This Row],[Month]]&lt;&gt;H310, N310+Query1[[#This Row],[Fix Top Up]]/Query1[[#This Row],[Adj Close]], N310))</f>
        <v>1202.4329061376388</v>
      </c>
      <c r="O31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1" s="2">
        <f ca="1">IF(ROW()&lt;3, Query1[[#This Row],[Shares]], IF(Query1[[#This Row],[Month]]&lt;&gt;H310, P310+Query1[[#This Row],[Enhanced top up]]/Query1[[#This Row],[Adj Close]], P310))</f>
        <v>1202.4902591014197</v>
      </c>
      <c r="Q311" s="2">
        <f>IFERROR(AVERAGE(
  IF(ROW()&gt;20, INDEX(G:G, ROW()-20), 0) :
  INDEX(G:G, ROW())
),0)</f>
        <v>521.14378284272698</v>
      </c>
    </row>
    <row r="312" spans="1:17" x14ac:dyDescent="0.3">
      <c r="A312" s="1">
        <v>45744</v>
      </c>
      <c r="B312">
        <v>519.760009765625</v>
      </c>
      <c r="C312">
        <v>520.46002197265625</v>
      </c>
      <c r="D312">
        <v>510.16000366210938</v>
      </c>
      <c r="E312">
        <v>510.79998779296875</v>
      </c>
      <c r="F312">
        <v>5831800</v>
      </c>
      <c r="G312">
        <v>509.22781372070313</v>
      </c>
      <c r="H312" s="2">
        <f>MONTH(Query1[[#This Row],[Date]])</f>
        <v>3</v>
      </c>
      <c r="I312" s="3">
        <f>Query1[[#This Row],[Shares]]*Query1[[#This Row],[Adj Close]]</f>
        <v>598270.93352394202</v>
      </c>
      <c r="J312" s="3">
        <f>IF(ROW()&lt;3, Dashboard!$E$7, IF(Query1[[#This Row],[Month]]&lt;&gt;H311,J311*(1+Dashboard!$E$4)+Dashboard!$E$5,J311))</f>
        <v>604631.94926633569</v>
      </c>
      <c r="K312">
        <f>IF(ROW()&lt;3, 0,IF(Query1[[#This Row],[Month]]&lt;&gt;H311,IF((J312-I312&gt;0),J312-I312,0),0))</f>
        <v>0</v>
      </c>
      <c r="L312" s="2">
        <f t="shared" si="4"/>
        <v>1174.8591051078693</v>
      </c>
      <c r="M312">
        <f ca="1">IF(ROW()&lt;3,0,IF(Query1[[#This Row],[Month]]&lt;&gt;OFFSET(Query1[[#This Row],[Month]],-1,0),Dashboard!$J$5,0))</f>
        <v>0</v>
      </c>
      <c r="N312" s="2">
        <f ca="1">IF(ROW()&lt;3, Query1[[#This Row],[Shares]], IF(Query1[[#This Row],[Month]]&lt;&gt;H311, N311+Query1[[#This Row],[Fix Top Up]]/Query1[[#This Row],[Adj Close]], N311))</f>
        <v>1202.4329061376388</v>
      </c>
      <c r="O31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2" s="2">
        <f ca="1">IF(ROW()&lt;3, Query1[[#This Row],[Shares]], IF(Query1[[#This Row],[Month]]&lt;&gt;H311, P311+Query1[[#This Row],[Enhanced top up]]/Query1[[#This Row],[Adj Close]], P311))</f>
        <v>1202.4902591014197</v>
      </c>
      <c r="Q312" s="2">
        <f>IFERROR(AVERAGE(
  IF(ROW()&gt;20, INDEX(G:G, ROW()-20), 0) :
  INDEX(G:G, ROW())
),0)</f>
        <v>519.94219389415923</v>
      </c>
    </row>
    <row r="313" spans="1:17" x14ac:dyDescent="0.3">
      <c r="A313" s="1">
        <v>45747</v>
      </c>
      <c r="B313">
        <v>505.30999755859375</v>
      </c>
      <c r="C313">
        <v>515.33001708984375</v>
      </c>
      <c r="D313">
        <v>502.6400146484375</v>
      </c>
      <c r="E313">
        <v>513.90997314453125</v>
      </c>
      <c r="F313">
        <v>8196700</v>
      </c>
      <c r="G313">
        <v>512.3282470703125</v>
      </c>
      <c r="H313" s="2">
        <f>MONTH(Query1[[#This Row],[Date]])</f>
        <v>3</v>
      </c>
      <c r="I313" s="3">
        <f>Query1[[#This Row],[Shares]]*Query1[[#This Row],[Adj Close]]</f>
        <v>601913.50587451074</v>
      </c>
      <c r="J313" s="3">
        <f>IF(ROW()&lt;3, Dashboard!$E$7, IF(Query1[[#This Row],[Month]]&lt;&gt;H312,J312*(1+Dashboard!$E$4)+Dashboard!$E$5,J312))</f>
        <v>604631.94926633569</v>
      </c>
      <c r="K313">
        <f>IF(ROW()&lt;3, 0,IF(Query1[[#This Row],[Month]]&lt;&gt;H312,IF((J313-I313&gt;0),J313-I313,0),0))</f>
        <v>0</v>
      </c>
      <c r="L313" s="2">
        <f t="shared" si="4"/>
        <v>1174.8591051078693</v>
      </c>
      <c r="M313">
        <f ca="1">IF(ROW()&lt;3,0,IF(Query1[[#This Row],[Month]]&lt;&gt;OFFSET(Query1[[#This Row],[Month]],-1,0),Dashboard!$J$5,0))</f>
        <v>0</v>
      </c>
      <c r="N313" s="2">
        <f ca="1">IF(ROW()&lt;3, Query1[[#This Row],[Shares]], IF(Query1[[#This Row],[Month]]&lt;&gt;H312, N312+Query1[[#This Row],[Fix Top Up]]/Query1[[#This Row],[Adj Close]], N312))</f>
        <v>1202.4329061376388</v>
      </c>
      <c r="O31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3" s="2">
        <f ca="1">IF(ROW()&lt;3, Query1[[#This Row],[Shares]], IF(Query1[[#This Row],[Month]]&lt;&gt;H312, P312+Query1[[#This Row],[Enhanced top up]]/Query1[[#This Row],[Adj Close]], P312))</f>
        <v>1202.4902591014197</v>
      </c>
      <c r="Q313" s="2">
        <f>IFERROR(AVERAGE(
  IF(ROW()&gt;20, INDEX(G:G, ROW()-20), 0) :
  INDEX(G:G, ROW())
),0)</f>
        <v>518.49274262927827</v>
      </c>
    </row>
    <row r="314" spans="1:17" x14ac:dyDescent="0.3">
      <c r="A314" s="1">
        <v>45748</v>
      </c>
      <c r="B314">
        <v>512.3599853515625</v>
      </c>
      <c r="C314">
        <v>517.3499755859375</v>
      </c>
      <c r="D314">
        <v>508.8800048828125</v>
      </c>
      <c r="E314">
        <v>515.79998779296875</v>
      </c>
      <c r="F314">
        <v>7697000</v>
      </c>
      <c r="G314">
        <v>514.21240234375</v>
      </c>
      <c r="H314" s="2">
        <f>MONTH(Query1[[#This Row],[Date]])</f>
        <v>4</v>
      </c>
      <c r="I314" s="3">
        <f>Query1[[#This Row],[Shares]]*Query1[[#This Row],[Adj Close]]</f>
        <v>604127.1228529457</v>
      </c>
      <c r="J314" s="3">
        <f>IF(ROW()&lt;3, Dashboard!$E$7, IF(Query1[[#This Row],[Month]]&lt;&gt;H313,J313*(1+Dashboard!$E$4)+Dashboard!$E$5,J313))</f>
        <v>612678.26875899907</v>
      </c>
      <c r="K314">
        <f>IF(ROW()&lt;3, 0,IF(Query1[[#This Row],[Month]]&lt;&gt;H313,IF((J314-I314&gt;0),J314-I314,0),0))</f>
        <v>8551.1459060533671</v>
      </c>
      <c r="L314" s="2">
        <f t="shared" si="4"/>
        <v>1174.8591051078693</v>
      </c>
      <c r="M314">
        <f ca="1">IF(ROW()&lt;3,0,IF(Query1[[#This Row],[Month]]&lt;&gt;OFFSET(Query1[[#This Row],[Month]],-1,0),Dashboard!$J$5,0))</f>
        <v>979.40350000000024</v>
      </c>
      <c r="N314" s="2">
        <f ca="1">IF(ROW()&lt;3, Query1[[#This Row],[Shares]], IF(Query1[[#This Row],[Month]]&lt;&gt;H313, N313+Query1[[#This Row],[Fix Top Up]]/Query1[[#This Row],[Adj Close]], N313))</f>
        <v>1204.3375733442949</v>
      </c>
      <c r="O31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314" s="2">
        <f ca="1">IF(ROW()&lt;3, Query1[[#This Row],[Shares]], IF(Query1[[#This Row],[Month]]&lt;&gt;H313, P313+Query1[[#This Row],[Enhanced top up]]/Query1[[#This Row],[Adj Close]], P313))</f>
        <v>1205.6589953912744</v>
      </c>
      <c r="Q314" s="2">
        <f>IFERROR(AVERAGE(
  IF(ROW()&gt;20, INDEX(G:G, ROW()-20), 0) :
  INDEX(G:G, ROW())
),0)</f>
        <v>517.57818894159232</v>
      </c>
    </row>
    <row r="315" spans="1:17" x14ac:dyDescent="0.3">
      <c r="A315" s="1">
        <v>45749</v>
      </c>
      <c r="B315">
        <v>510.1400146484375</v>
      </c>
      <c r="C315">
        <v>521.489990234375</v>
      </c>
      <c r="D315">
        <v>509.92999267578125</v>
      </c>
      <c r="E315">
        <v>518.90997314453125</v>
      </c>
      <c r="F315">
        <v>6308600</v>
      </c>
      <c r="G315">
        <v>517.3128662109375</v>
      </c>
      <c r="H315" s="2">
        <f>MONTH(Query1[[#This Row],[Date]])</f>
        <v>4</v>
      </c>
      <c r="I315" s="3">
        <f>Query1[[#This Row],[Shares]]*Query1[[#This Row],[Adj Close]]</f>
        <v>616372.43643336883</v>
      </c>
      <c r="J315" s="3">
        <f>IF(ROW()&lt;3, Dashboard!$E$7, IF(Query1[[#This Row],[Month]]&lt;&gt;H314,J314*(1+Dashboard!$E$4)+Dashboard!$E$5,J314))</f>
        <v>612678.26875899907</v>
      </c>
      <c r="K315">
        <f>IF(ROW()&lt;3, 0,IF(Query1[[#This Row],[Month]]&lt;&gt;H314,IF((J315-I315&gt;0),J315-I315,0),0))</f>
        <v>0</v>
      </c>
      <c r="L315" s="2">
        <f t="shared" si="4"/>
        <v>1191.4887038244265</v>
      </c>
      <c r="M315">
        <f ca="1">IF(ROW()&lt;3,0,IF(Query1[[#This Row],[Month]]&lt;&gt;OFFSET(Query1[[#This Row],[Month]],-1,0),Dashboard!$J$5,0))</f>
        <v>0</v>
      </c>
      <c r="N315" s="2">
        <f ca="1">IF(ROW()&lt;3, Query1[[#This Row],[Shares]], IF(Query1[[#This Row],[Month]]&lt;&gt;H314, N314+Query1[[#This Row],[Fix Top Up]]/Query1[[#This Row],[Adj Close]], N314))</f>
        <v>1204.3375733442949</v>
      </c>
      <c r="O31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5" s="2">
        <f ca="1">IF(ROW()&lt;3, Query1[[#This Row],[Shares]], IF(Query1[[#This Row],[Month]]&lt;&gt;H314, P314+Query1[[#This Row],[Enhanced top up]]/Query1[[#This Row],[Adj Close]], P314))</f>
        <v>1205.6589953912744</v>
      </c>
      <c r="Q315" s="2">
        <f>IFERROR(AVERAGE(
  IF(ROW()&gt;20, INDEX(G:G, ROW()-20), 0) :
  INDEX(G:G, ROW())
),0)</f>
        <v>517.11735607328865</v>
      </c>
    </row>
    <row r="316" spans="1:17" x14ac:dyDescent="0.3">
      <c r="A316" s="1">
        <v>45750</v>
      </c>
      <c r="B316">
        <v>501</v>
      </c>
      <c r="C316">
        <v>503.66000366210938</v>
      </c>
      <c r="D316">
        <v>493.5</v>
      </c>
      <c r="E316">
        <v>494.16000366210938</v>
      </c>
      <c r="F316">
        <v>16226000</v>
      </c>
      <c r="G316">
        <v>492.6390380859375</v>
      </c>
      <c r="H316" s="2">
        <f>MONTH(Query1[[#This Row],[Date]])</f>
        <v>4</v>
      </c>
      <c r="I316" s="3">
        <f>Query1[[#This Row],[Shares]]*Query1[[#This Row],[Adj Close]]</f>
        <v>586973.84894232592</v>
      </c>
      <c r="J316" s="3">
        <f>IF(ROW()&lt;3, Dashboard!$E$7, IF(Query1[[#This Row],[Month]]&lt;&gt;H315,J315*(1+Dashboard!$E$4)+Dashboard!$E$5,J315))</f>
        <v>612678.26875899907</v>
      </c>
      <c r="K316">
        <f>IF(ROW()&lt;3, 0,IF(Query1[[#This Row],[Month]]&lt;&gt;H315,IF((J316-I316&gt;0),J316-I316,0),0))</f>
        <v>0</v>
      </c>
      <c r="L316" s="2">
        <f t="shared" si="4"/>
        <v>1191.4887038244265</v>
      </c>
      <c r="M316">
        <f ca="1">IF(ROW()&lt;3,0,IF(Query1[[#This Row],[Month]]&lt;&gt;OFFSET(Query1[[#This Row],[Month]],-1,0),Dashboard!$J$5,0))</f>
        <v>0</v>
      </c>
      <c r="N316" s="2">
        <f ca="1">IF(ROW()&lt;3, Query1[[#This Row],[Shares]], IF(Query1[[#This Row],[Month]]&lt;&gt;H315, N315+Query1[[#This Row],[Fix Top Up]]/Query1[[#This Row],[Adj Close]], N315))</f>
        <v>1204.3375733442949</v>
      </c>
      <c r="O31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6" s="2">
        <f ca="1">IF(ROW()&lt;3, Query1[[#This Row],[Shares]], IF(Query1[[#This Row],[Month]]&lt;&gt;H315, P315+Query1[[#This Row],[Enhanced top up]]/Query1[[#This Row],[Adj Close]], P315))</f>
        <v>1205.6589953912744</v>
      </c>
      <c r="Q316" s="2">
        <f>IFERROR(AVERAGE(
  IF(ROW()&gt;20, INDEX(G:G, ROW()-20), 0) :
  INDEX(G:G, ROW())
),0)</f>
        <v>515.20009358723962</v>
      </c>
    </row>
    <row r="317" spans="1:17" x14ac:dyDescent="0.3">
      <c r="A317" s="1">
        <v>45751</v>
      </c>
      <c r="B317">
        <v>481.27999877929688</v>
      </c>
      <c r="C317">
        <v>483.29998779296875</v>
      </c>
      <c r="D317">
        <v>464.239990234375</v>
      </c>
      <c r="E317">
        <v>465.51998901367188</v>
      </c>
      <c r="F317">
        <v>30966500</v>
      </c>
      <c r="G317">
        <v>464.08718872070313</v>
      </c>
      <c r="H317" s="2">
        <f>MONTH(Query1[[#This Row],[Date]])</f>
        <v>4</v>
      </c>
      <c r="I317" s="3">
        <f>Query1[[#This Row],[Shares]]*Query1[[#This Row],[Adj Close]]</f>
        <v>552954.64295035251</v>
      </c>
      <c r="J317" s="3">
        <f>IF(ROW()&lt;3, Dashboard!$E$7, IF(Query1[[#This Row],[Month]]&lt;&gt;H316,J316*(1+Dashboard!$E$4)+Dashboard!$E$5,J316))</f>
        <v>612678.26875899907</v>
      </c>
      <c r="K317">
        <f>IF(ROW()&lt;3, 0,IF(Query1[[#This Row],[Month]]&lt;&gt;H316,IF((J317-I317&gt;0),J317-I317,0),0))</f>
        <v>0</v>
      </c>
      <c r="L317" s="2">
        <f t="shared" si="4"/>
        <v>1191.4887038244265</v>
      </c>
      <c r="M317">
        <f ca="1">IF(ROW()&lt;3,0,IF(Query1[[#This Row],[Month]]&lt;&gt;OFFSET(Query1[[#This Row],[Month]],-1,0),Dashboard!$J$5,0))</f>
        <v>0</v>
      </c>
      <c r="N317" s="2">
        <f ca="1">IF(ROW()&lt;3, Query1[[#This Row],[Shares]], IF(Query1[[#This Row],[Month]]&lt;&gt;H316, N316+Query1[[#This Row],[Fix Top Up]]/Query1[[#This Row],[Adj Close]], N316))</f>
        <v>1204.3375733442949</v>
      </c>
      <c r="O31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7" s="2">
        <f ca="1">IF(ROW()&lt;3, Query1[[#This Row],[Shares]], IF(Query1[[#This Row],[Month]]&lt;&gt;H316, P316+Query1[[#This Row],[Enhanced top up]]/Query1[[#This Row],[Adj Close]], P316))</f>
        <v>1205.6589953912744</v>
      </c>
      <c r="Q317" s="2">
        <f>IFERROR(AVERAGE(
  IF(ROW()&gt;20, INDEX(G:G, ROW()-20), 0) :
  INDEX(G:G, ROW())
),0)</f>
        <v>512.383534749349</v>
      </c>
    </row>
    <row r="318" spans="1:17" x14ac:dyDescent="0.3">
      <c r="A318" s="1">
        <v>45754</v>
      </c>
      <c r="B318">
        <v>449.54000854492188</v>
      </c>
      <c r="C318">
        <v>480.760009765625</v>
      </c>
      <c r="D318">
        <v>442.79998779296875</v>
      </c>
      <c r="E318">
        <v>463.55999755859375</v>
      </c>
      <c r="F318">
        <v>31285300</v>
      </c>
      <c r="G318">
        <v>462.13320922851563</v>
      </c>
      <c r="H318" s="2">
        <f>MONTH(Query1[[#This Row],[Date]])</f>
        <v>4</v>
      </c>
      <c r="I318" s="3">
        <f>Query1[[#This Row],[Shares]]*Query1[[#This Row],[Adj Close]]</f>
        <v>550626.49845790653</v>
      </c>
      <c r="J318" s="3">
        <f>IF(ROW()&lt;3, Dashboard!$E$7, IF(Query1[[#This Row],[Month]]&lt;&gt;H317,J317*(1+Dashboard!$E$4)+Dashboard!$E$5,J317))</f>
        <v>612678.26875899907</v>
      </c>
      <c r="K318">
        <f>IF(ROW()&lt;3, 0,IF(Query1[[#This Row],[Month]]&lt;&gt;H317,IF((J318-I318&gt;0),J318-I318,0),0))</f>
        <v>0</v>
      </c>
      <c r="L318" s="2">
        <f t="shared" si="4"/>
        <v>1191.4887038244265</v>
      </c>
      <c r="M318">
        <f ca="1">IF(ROW()&lt;3,0,IF(Query1[[#This Row],[Month]]&lt;&gt;OFFSET(Query1[[#This Row],[Month]],-1,0),Dashboard!$J$5,0))</f>
        <v>0</v>
      </c>
      <c r="N318" s="2">
        <f ca="1">IF(ROW()&lt;3, Query1[[#This Row],[Shares]], IF(Query1[[#This Row],[Month]]&lt;&gt;H317, N317+Query1[[#This Row],[Fix Top Up]]/Query1[[#This Row],[Adj Close]], N317))</f>
        <v>1204.3375733442949</v>
      </c>
      <c r="O31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8" s="2">
        <f ca="1">IF(ROW()&lt;3, Query1[[#This Row],[Shares]], IF(Query1[[#This Row],[Month]]&lt;&gt;H317, P317+Query1[[#This Row],[Enhanced top up]]/Query1[[#This Row],[Adj Close]], P317))</f>
        <v>1205.6589953912744</v>
      </c>
      <c r="Q318" s="2">
        <f>IFERROR(AVERAGE(
  IF(ROW()&gt;20, INDEX(G:G, ROW()-20), 0) :
  INDEX(G:G, ROW())
),0)</f>
        <v>509.33957054501491</v>
      </c>
    </row>
    <row r="319" spans="1:17" x14ac:dyDescent="0.3">
      <c r="A319" s="1">
        <v>45755</v>
      </c>
      <c r="B319">
        <v>479.67999267578125</v>
      </c>
      <c r="C319">
        <v>482.489990234375</v>
      </c>
      <c r="D319">
        <v>449.60000610351563</v>
      </c>
      <c r="E319">
        <v>456.739990234375</v>
      </c>
      <c r="F319">
        <v>19002700</v>
      </c>
      <c r="G319">
        <v>455.33419799804688</v>
      </c>
      <c r="H319" s="2">
        <f>MONTH(Query1[[#This Row],[Date]])</f>
        <v>4</v>
      </c>
      <c r="I319" s="3">
        <f>Query1[[#This Row],[Shares]]*Query1[[#This Row],[Adj Close]]</f>
        <v>542525.55337962764</v>
      </c>
      <c r="J319" s="3">
        <f>IF(ROW()&lt;3, Dashboard!$E$7, IF(Query1[[#This Row],[Month]]&lt;&gt;H318,J318*(1+Dashboard!$E$4)+Dashboard!$E$5,J318))</f>
        <v>612678.26875899907</v>
      </c>
      <c r="K319">
        <f>IF(ROW()&lt;3, 0,IF(Query1[[#This Row],[Month]]&lt;&gt;H318,IF((J319-I319&gt;0),J319-I319,0),0))</f>
        <v>0</v>
      </c>
      <c r="L319" s="2">
        <f t="shared" si="4"/>
        <v>1191.4887038244265</v>
      </c>
      <c r="M319">
        <f ca="1">IF(ROW()&lt;3,0,IF(Query1[[#This Row],[Month]]&lt;&gt;OFFSET(Query1[[#This Row],[Month]],-1,0),Dashboard!$J$5,0))</f>
        <v>0</v>
      </c>
      <c r="N319" s="2">
        <f ca="1">IF(ROW()&lt;3, Query1[[#This Row],[Shares]], IF(Query1[[#This Row],[Month]]&lt;&gt;H318, N318+Query1[[#This Row],[Fix Top Up]]/Query1[[#This Row],[Adj Close]], N318))</f>
        <v>1204.3375733442949</v>
      </c>
      <c r="O31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19" s="2">
        <f ca="1">IF(ROW()&lt;3, Query1[[#This Row],[Shares]], IF(Query1[[#This Row],[Month]]&lt;&gt;H318, P318+Query1[[#This Row],[Enhanced top up]]/Query1[[#This Row],[Adj Close]], P318))</f>
        <v>1205.6589953912744</v>
      </c>
      <c r="Q319" s="2">
        <f>IFERROR(AVERAGE(
  IF(ROW()&gt;20, INDEX(G:G, ROW()-20), 0) :
  INDEX(G:G, ROW())
),0)</f>
        <v>506.63416253952755</v>
      </c>
    </row>
    <row r="320" spans="1:17" x14ac:dyDescent="0.3">
      <c r="A320" s="1">
        <v>45756</v>
      </c>
      <c r="B320">
        <v>453.489990234375</v>
      </c>
      <c r="C320">
        <v>502.05999755859375</v>
      </c>
      <c r="D320">
        <v>453.16000366210938</v>
      </c>
      <c r="E320">
        <v>499.10000610351563</v>
      </c>
      <c r="F320">
        <v>29286600</v>
      </c>
      <c r="G320">
        <v>497.5638427734375</v>
      </c>
      <c r="H320" s="2">
        <f>MONTH(Query1[[#This Row],[Date]])</f>
        <v>4</v>
      </c>
      <c r="I320" s="3">
        <f>Query1[[#This Row],[Shares]]*Query1[[#This Row],[Adj Close]]</f>
        <v>592841.69809602376</v>
      </c>
      <c r="J320" s="3">
        <f>IF(ROW()&lt;3, Dashboard!$E$7, IF(Query1[[#This Row],[Month]]&lt;&gt;H319,J319*(1+Dashboard!$E$4)+Dashboard!$E$5,J319))</f>
        <v>612678.26875899907</v>
      </c>
      <c r="K320">
        <f>IF(ROW()&lt;3, 0,IF(Query1[[#This Row],[Month]]&lt;&gt;H319,IF((J320-I320&gt;0),J320-I320,0),0))</f>
        <v>0</v>
      </c>
      <c r="L320" s="2">
        <f t="shared" si="4"/>
        <v>1191.4887038244265</v>
      </c>
      <c r="M320">
        <f ca="1">IF(ROW()&lt;3,0,IF(Query1[[#This Row],[Month]]&lt;&gt;OFFSET(Query1[[#This Row],[Month]],-1,0),Dashboard!$J$5,0))</f>
        <v>0</v>
      </c>
      <c r="N320" s="2">
        <f ca="1">IF(ROW()&lt;3, Query1[[#This Row],[Shares]], IF(Query1[[#This Row],[Month]]&lt;&gt;H319, N319+Query1[[#This Row],[Fix Top Up]]/Query1[[#This Row],[Adj Close]], N319))</f>
        <v>1204.3375733442949</v>
      </c>
      <c r="O32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0" s="2">
        <f ca="1">IF(ROW()&lt;3, Query1[[#This Row],[Shares]], IF(Query1[[#This Row],[Month]]&lt;&gt;H319, P319+Query1[[#This Row],[Enhanced top up]]/Query1[[#This Row],[Adj Close]], P319))</f>
        <v>1205.6589953912744</v>
      </c>
      <c r="Q320" s="2">
        <f>IFERROR(AVERAGE(
  IF(ROW()&gt;20, INDEX(G:G, ROW()-20), 0) :
  INDEX(G:G, ROW())
),0)</f>
        <v>506.13980538504467</v>
      </c>
    </row>
    <row r="321" spans="1:17" x14ac:dyDescent="0.3">
      <c r="A321" s="1">
        <v>45757</v>
      </c>
      <c r="B321">
        <v>489.14999389648438</v>
      </c>
      <c r="C321">
        <v>490.29998779296875</v>
      </c>
      <c r="D321">
        <v>468.32998657226563</v>
      </c>
      <c r="E321">
        <v>482.05999755859375</v>
      </c>
      <c r="F321">
        <v>16651300</v>
      </c>
      <c r="G321">
        <v>480.5762939453125</v>
      </c>
      <c r="H321" s="2">
        <f>MONTH(Query1[[#This Row],[Date]])</f>
        <v>4</v>
      </c>
      <c r="I321" s="3">
        <f>Query1[[#This Row],[Shares]]*Query1[[#This Row],[Adj Close]]</f>
        <v>572601.22556164698</v>
      </c>
      <c r="J321" s="3">
        <f>IF(ROW()&lt;3, Dashboard!$E$7, IF(Query1[[#This Row],[Month]]&lt;&gt;H320,J320*(1+Dashboard!$E$4)+Dashboard!$E$5,J320))</f>
        <v>612678.26875899907</v>
      </c>
      <c r="K321">
        <f>IF(ROW()&lt;3, 0,IF(Query1[[#This Row],[Month]]&lt;&gt;H320,IF((J321-I321&gt;0),J321-I321,0),0))</f>
        <v>0</v>
      </c>
      <c r="L321" s="2">
        <f t="shared" si="4"/>
        <v>1191.4887038244265</v>
      </c>
      <c r="M321">
        <f ca="1">IF(ROW()&lt;3,0,IF(Query1[[#This Row],[Month]]&lt;&gt;OFFSET(Query1[[#This Row],[Month]],-1,0),Dashboard!$J$5,0))</f>
        <v>0</v>
      </c>
      <c r="N321" s="2">
        <f ca="1">IF(ROW()&lt;3, Query1[[#This Row],[Shares]], IF(Query1[[#This Row],[Month]]&lt;&gt;H320, N320+Query1[[#This Row],[Fix Top Up]]/Query1[[#This Row],[Adj Close]], N320))</f>
        <v>1204.3375733442949</v>
      </c>
      <c r="O32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1" s="2">
        <f ca="1">IF(ROW()&lt;3, Query1[[#This Row],[Shares]], IF(Query1[[#This Row],[Month]]&lt;&gt;H320, P320+Query1[[#This Row],[Enhanced top up]]/Query1[[#This Row],[Adj Close]], P320))</f>
        <v>1205.6589953912744</v>
      </c>
      <c r="Q321" s="2">
        <f>IFERROR(AVERAGE(
  IF(ROW()&gt;20, INDEX(G:G, ROW()-20), 0) :
  INDEX(G:G, ROW())
),0)</f>
        <v>504.71919323149183</v>
      </c>
    </row>
    <row r="322" spans="1:17" x14ac:dyDescent="0.3">
      <c r="A322" s="1">
        <v>45758</v>
      </c>
      <c r="B322">
        <v>480.69000244140625</v>
      </c>
      <c r="C322">
        <v>493</v>
      </c>
      <c r="D322">
        <v>478</v>
      </c>
      <c r="E322">
        <v>490.54998779296875</v>
      </c>
      <c r="F322">
        <v>11541200</v>
      </c>
      <c r="G322">
        <v>489.04013061523438</v>
      </c>
      <c r="H322" s="2">
        <f>MONTH(Query1[[#This Row],[Date]])</f>
        <v>4</v>
      </c>
      <c r="I322" s="3">
        <f>Query1[[#This Row],[Shares]]*Query1[[#This Row],[Adj Close]]</f>
        <v>582685.79134487384</v>
      </c>
      <c r="J322" s="3">
        <f>IF(ROW()&lt;3, Dashboard!$E$7, IF(Query1[[#This Row],[Month]]&lt;&gt;H321,J321*(1+Dashboard!$E$4)+Dashboard!$E$5,J321))</f>
        <v>612678.26875899907</v>
      </c>
      <c r="K322">
        <f>IF(ROW()&lt;3, 0,IF(Query1[[#This Row],[Month]]&lt;&gt;H321,IF((J322-I322&gt;0),J322-I322,0),0))</f>
        <v>0</v>
      </c>
      <c r="L322" s="2">
        <f t="shared" ref="L322:L385" si="5">IF(ROW()&lt;3, J322/G322, L321+K321/G321)</f>
        <v>1191.4887038244265</v>
      </c>
      <c r="M322">
        <f ca="1">IF(ROW()&lt;3,0,IF(Query1[[#This Row],[Month]]&lt;&gt;OFFSET(Query1[[#This Row],[Month]],-1,0),Dashboard!$J$5,0))</f>
        <v>0</v>
      </c>
      <c r="N322" s="2">
        <f ca="1">IF(ROW()&lt;3, Query1[[#This Row],[Shares]], IF(Query1[[#This Row],[Month]]&lt;&gt;H321, N321+Query1[[#This Row],[Fix Top Up]]/Query1[[#This Row],[Adj Close]], N321))</f>
        <v>1204.3375733442949</v>
      </c>
      <c r="O32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2" s="2">
        <f ca="1">IF(ROW()&lt;3, Query1[[#This Row],[Shares]], IF(Query1[[#This Row],[Month]]&lt;&gt;H321, P321+Query1[[#This Row],[Enhanced top up]]/Query1[[#This Row],[Adj Close]], P321))</f>
        <v>1205.6589953912744</v>
      </c>
      <c r="Q322" s="2">
        <f>IFERROR(AVERAGE(
  IF(ROW()&gt;20, INDEX(G:G, ROW()-20), 0) :
  INDEX(G:G, ROW())
),0)</f>
        <v>504.01906186058409</v>
      </c>
    </row>
    <row r="323" spans="1:17" x14ac:dyDescent="0.3">
      <c r="A323" s="1">
        <v>45761</v>
      </c>
      <c r="B323">
        <v>500.04998779296875</v>
      </c>
      <c r="C323">
        <v>500.260009765625</v>
      </c>
      <c r="D323">
        <v>490.69000244140625</v>
      </c>
      <c r="E323">
        <v>495.48001098632813</v>
      </c>
      <c r="F323">
        <v>7701500</v>
      </c>
      <c r="G323">
        <v>493.95498657226563</v>
      </c>
      <c r="H323" s="2">
        <f>MONTH(Query1[[#This Row],[Date]])</f>
        <v>4</v>
      </c>
      <c r="I323" s="3">
        <f>Query1[[#This Row],[Shares]]*Query1[[#This Row],[Adj Close]]</f>
        <v>588541.78669860074</v>
      </c>
      <c r="J323" s="3">
        <f>IF(ROW()&lt;3, Dashboard!$E$7, IF(Query1[[#This Row],[Month]]&lt;&gt;H322,J322*(1+Dashboard!$E$4)+Dashboard!$E$5,J322))</f>
        <v>612678.26875899907</v>
      </c>
      <c r="K323">
        <f>IF(ROW()&lt;3, 0,IF(Query1[[#This Row],[Month]]&lt;&gt;H322,IF((J323-I323&gt;0),J323-I323,0),0))</f>
        <v>0</v>
      </c>
      <c r="L323" s="2">
        <f t="shared" si="5"/>
        <v>1191.4887038244265</v>
      </c>
      <c r="M323">
        <f ca="1">IF(ROW()&lt;3,0,IF(Query1[[#This Row],[Month]]&lt;&gt;OFFSET(Query1[[#This Row],[Month]],-1,0),Dashboard!$J$5,0))</f>
        <v>0</v>
      </c>
      <c r="N323" s="2">
        <f ca="1">IF(ROW()&lt;3, Query1[[#This Row],[Shares]], IF(Query1[[#This Row],[Month]]&lt;&gt;H322, N322+Query1[[#This Row],[Fix Top Up]]/Query1[[#This Row],[Adj Close]], N322))</f>
        <v>1204.3375733442949</v>
      </c>
      <c r="O32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3" s="2">
        <f ca="1">IF(ROW()&lt;3, Query1[[#This Row],[Shares]], IF(Query1[[#This Row],[Month]]&lt;&gt;H322, P322+Query1[[#This Row],[Enhanced top up]]/Query1[[#This Row],[Adj Close]], P322))</f>
        <v>1205.6589953912744</v>
      </c>
      <c r="Q323" s="2">
        <f>IFERROR(AVERAGE(
  IF(ROW()&gt;20, INDEX(G:G, ROW()-20), 0) :
  INDEX(G:G, ROW())
),0)</f>
        <v>503.06048583984375</v>
      </c>
    </row>
    <row r="324" spans="1:17" x14ac:dyDescent="0.3">
      <c r="A324" s="1">
        <v>45762</v>
      </c>
      <c r="B324">
        <v>496.02999877929688</v>
      </c>
      <c r="C324">
        <v>499.26998901367188</v>
      </c>
      <c r="D324">
        <v>493.42001342773438</v>
      </c>
      <c r="E324">
        <v>494.08999633789063</v>
      </c>
      <c r="F324">
        <v>8200600</v>
      </c>
      <c r="G324">
        <v>492.56924438476563</v>
      </c>
      <c r="H324" s="2">
        <f>MONTH(Query1[[#This Row],[Date]])</f>
        <v>4</v>
      </c>
      <c r="I324" s="3">
        <f>Query1[[#This Row],[Shares]]*Query1[[#This Row],[Adj Close]]</f>
        <v>586890.69053578156</v>
      </c>
      <c r="J324" s="3">
        <f>IF(ROW()&lt;3, Dashboard!$E$7, IF(Query1[[#This Row],[Month]]&lt;&gt;H323,J323*(1+Dashboard!$E$4)+Dashboard!$E$5,J323))</f>
        <v>612678.26875899907</v>
      </c>
      <c r="K324">
        <f>IF(ROW()&lt;3, 0,IF(Query1[[#This Row],[Month]]&lt;&gt;H323,IF((J324-I324&gt;0),J324-I324,0),0))</f>
        <v>0</v>
      </c>
      <c r="L324" s="2">
        <f t="shared" si="5"/>
        <v>1191.4887038244265</v>
      </c>
      <c r="M324">
        <f ca="1">IF(ROW()&lt;3,0,IF(Query1[[#This Row],[Month]]&lt;&gt;OFFSET(Query1[[#This Row],[Month]],-1,0),Dashboard!$J$5,0))</f>
        <v>0</v>
      </c>
      <c r="N324" s="2">
        <f ca="1">IF(ROW()&lt;3, Query1[[#This Row],[Shares]], IF(Query1[[#This Row],[Month]]&lt;&gt;H323, N323+Query1[[#This Row],[Fix Top Up]]/Query1[[#This Row],[Adj Close]], N323))</f>
        <v>1204.3375733442949</v>
      </c>
      <c r="O32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4" s="2">
        <f ca="1">IF(ROW()&lt;3, Query1[[#This Row],[Shares]], IF(Query1[[#This Row],[Month]]&lt;&gt;H323, P323+Query1[[#This Row],[Enhanced top up]]/Query1[[#This Row],[Adj Close]], P323))</f>
        <v>1205.6589953912744</v>
      </c>
      <c r="Q324" s="2">
        <f>IFERROR(AVERAGE(
  IF(ROW()&gt;20, INDEX(G:G, ROW()-20), 0) :
  INDEX(G:G, ROW())
),0)</f>
        <v>501.84905860537572</v>
      </c>
    </row>
    <row r="325" spans="1:17" x14ac:dyDescent="0.3">
      <c r="A325" s="1">
        <v>45763</v>
      </c>
      <c r="B325">
        <v>488.64999389648438</v>
      </c>
      <c r="C325">
        <v>491.76998901367188</v>
      </c>
      <c r="D325">
        <v>478.23001098632813</v>
      </c>
      <c r="E325">
        <v>483.23001098632813</v>
      </c>
      <c r="F325">
        <v>6374900</v>
      </c>
      <c r="G325">
        <v>481.74270629882813</v>
      </c>
      <c r="H325" s="2">
        <f>MONTH(Query1[[#This Row],[Date]])</f>
        <v>4</v>
      </c>
      <c r="I325" s="3">
        <f>Query1[[#This Row],[Shares]]*Query1[[#This Row],[Adj Close]]</f>
        <v>573990.99270486215</v>
      </c>
      <c r="J325" s="3">
        <f>IF(ROW()&lt;3, Dashboard!$E$7, IF(Query1[[#This Row],[Month]]&lt;&gt;H324,J324*(1+Dashboard!$E$4)+Dashboard!$E$5,J324))</f>
        <v>612678.26875899907</v>
      </c>
      <c r="K325">
        <f>IF(ROW()&lt;3, 0,IF(Query1[[#This Row],[Month]]&lt;&gt;H324,IF((J325-I325&gt;0),J325-I325,0),0))</f>
        <v>0</v>
      </c>
      <c r="L325" s="2">
        <f t="shared" si="5"/>
        <v>1191.4887038244265</v>
      </c>
      <c r="M325">
        <f ca="1">IF(ROW()&lt;3,0,IF(Query1[[#This Row],[Month]]&lt;&gt;OFFSET(Query1[[#This Row],[Month]],-1,0),Dashboard!$J$5,0))</f>
        <v>0</v>
      </c>
      <c r="N325" s="2">
        <f ca="1">IF(ROW()&lt;3, Query1[[#This Row],[Shares]], IF(Query1[[#This Row],[Month]]&lt;&gt;H324, N324+Query1[[#This Row],[Fix Top Up]]/Query1[[#This Row],[Adj Close]], N324))</f>
        <v>1204.3375733442949</v>
      </c>
      <c r="O32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5" s="2">
        <f ca="1">IF(ROW()&lt;3, Query1[[#This Row],[Shares]], IF(Query1[[#This Row],[Month]]&lt;&gt;H324, P324+Query1[[#This Row],[Enhanced top up]]/Query1[[#This Row],[Adj Close]], P324))</f>
        <v>1205.6589953912744</v>
      </c>
      <c r="Q325" s="2">
        <f>IFERROR(AVERAGE(
  IF(ROW()&gt;20, INDEX(G:G, ROW()-20), 0) :
  INDEX(G:G, ROW())
),0)</f>
        <v>500.3822777157738</v>
      </c>
    </row>
    <row r="326" spans="1:17" x14ac:dyDescent="0.3">
      <c r="A326" s="1">
        <v>45764</v>
      </c>
      <c r="B326">
        <v>484.79000854492188</v>
      </c>
      <c r="C326">
        <v>488.16000366210938</v>
      </c>
      <c r="D326">
        <v>481.5</v>
      </c>
      <c r="E326">
        <v>483.89999389648438</v>
      </c>
      <c r="F326">
        <v>5638900</v>
      </c>
      <c r="G326">
        <v>482.41061401367188</v>
      </c>
      <c r="H326" s="2">
        <f>MONTH(Query1[[#This Row],[Date]])</f>
        <v>4</v>
      </c>
      <c r="I326" s="3">
        <f>Query1[[#This Row],[Shares]]*Query1[[#This Row],[Adj Close]]</f>
        <v>574786.79720229562</v>
      </c>
      <c r="J326" s="3">
        <f>IF(ROW()&lt;3, Dashboard!$E$7, IF(Query1[[#This Row],[Month]]&lt;&gt;H325,J325*(1+Dashboard!$E$4)+Dashboard!$E$5,J325))</f>
        <v>612678.26875899907</v>
      </c>
      <c r="K326">
        <f>IF(ROW()&lt;3, 0,IF(Query1[[#This Row],[Month]]&lt;&gt;H325,IF((J326-I326&gt;0),J326-I326,0),0))</f>
        <v>0</v>
      </c>
      <c r="L326" s="2">
        <f t="shared" si="5"/>
        <v>1191.4887038244265</v>
      </c>
      <c r="M326">
        <f ca="1">IF(ROW()&lt;3,0,IF(Query1[[#This Row],[Month]]&lt;&gt;OFFSET(Query1[[#This Row],[Month]],-1,0),Dashboard!$J$5,0))</f>
        <v>0</v>
      </c>
      <c r="N326" s="2">
        <f ca="1">IF(ROW()&lt;3, Query1[[#This Row],[Shares]], IF(Query1[[#This Row],[Month]]&lt;&gt;H325, N325+Query1[[#This Row],[Fix Top Up]]/Query1[[#This Row],[Adj Close]], N325))</f>
        <v>1204.3375733442949</v>
      </c>
      <c r="O32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6" s="2">
        <f ca="1">IF(ROW()&lt;3, Query1[[#This Row],[Shares]], IF(Query1[[#This Row],[Month]]&lt;&gt;H325, P325+Query1[[#This Row],[Enhanced top up]]/Query1[[#This Row],[Adj Close]], P325))</f>
        <v>1205.6589953912744</v>
      </c>
      <c r="Q326" s="2">
        <f>IFERROR(AVERAGE(
  IF(ROW()&gt;20, INDEX(G:G, ROW()-20), 0) :
  INDEX(G:G, ROW())
),0)</f>
        <v>498.69088745117188</v>
      </c>
    </row>
    <row r="327" spans="1:17" x14ac:dyDescent="0.3">
      <c r="A327" s="1">
        <v>45768</v>
      </c>
      <c r="B327">
        <v>479.01998901367188</v>
      </c>
      <c r="C327">
        <v>479.489990234375</v>
      </c>
      <c r="D327">
        <v>467.32998657226563</v>
      </c>
      <c r="E327">
        <v>472.3699951171875</v>
      </c>
      <c r="F327">
        <v>7762500</v>
      </c>
      <c r="G327">
        <v>470.91610717773438</v>
      </c>
      <c r="H327" s="2">
        <f>MONTH(Query1[[#This Row],[Date]])</f>
        <v>4</v>
      </c>
      <c r="I327" s="3">
        <f>Query1[[#This Row],[Shares]]*Query1[[#This Row],[Adj Close]]</f>
        <v>561091.22215124348</v>
      </c>
      <c r="J327" s="3">
        <f>IF(ROW()&lt;3, Dashboard!$E$7, IF(Query1[[#This Row],[Month]]&lt;&gt;H326,J326*(1+Dashboard!$E$4)+Dashboard!$E$5,J326))</f>
        <v>612678.26875899907</v>
      </c>
      <c r="K327">
        <f>IF(ROW()&lt;3, 0,IF(Query1[[#This Row],[Month]]&lt;&gt;H326,IF((J327-I327&gt;0),J327-I327,0),0))</f>
        <v>0</v>
      </c>
      <c r="L327" s="2">
        <f t="shared" si="5"/>
        <v>1191.4887038244265</v>
      </c>
      <c r="M327">
        <f ca="1">IF(ROW()&lt;3,0,IF(Query1[[#This Row],[Month]]&lt;&gt;OFFSET(Query1[[#This Row],[Month]],-1,0),Dashboard!$J$5,0))</f>
        <v>0</v>
      </c>
      <c r="N327" s="2">
        <f ca="1">IF(ROW()&lt;3, Query1[[#This Row],[Shares]], IF(Query1[[#This Row],[Month]]&lt;&gt;H326, N326+Query1[[#This Row],[Fix Top Up]]/Query1[[#This Row],[Adj Close]], N326))</f>
        <v>1204.3375733442949</v>
      </c>
      <c r="O32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7" s="2">
        <f ca="1">IF(ROW()&lt;3, Query1[[#This Row],[Shares]], IF(Query1[[#This Row],[Month]]&lt;&gt;H326, P326+Query1[[#This Row],[Enhanced top up]]/Query1[[#This Row],[Adj Close]], P326))</f>
        <v>1205.6589953912744</v>
      </c>
      <c r="Q327" s="2">
        <f>IFERROR(AVERAGE(
  IF(ROW()&gt;20, INDEX(G:G, ROW()-20), 0) :
  INDEX(G:G, ROW())
),0)</f>
        <v>496.5089111328125</v>
      </c>
    </row>
    <row r="328" spans="1:17" x14ac:dyDescent="0.3">
      <c r="A328" s="1">
        <v>45769</v>
      </c>
      <c r="B328">
        <v>478.07000732421875</v>
      </c>
      <c r="C328">
        <v>486.48001098632813</v>
      </c>
      <c r="D328">
        <v>477.19000244140625</v>
      </c>
      <c r="E328">
        <v>484.29000854492188</v>
      </c>
      <c r="F328">
        <v>6236300</v>
      </c>
      <c r="G328">
        <v>482.7994384765625</v>
      </c>
      <c r="H328" s="2">
        <f>MONTH(Query1[[#This Row],[Date]])</f>
        <v>4</v>
      </c>
      <c r="I328" s="3">
        <f>Query1[[#This Row],[Shares]]*Query1[[#This Row],[Adj Close]]</f>
        <v>575250.07715760043</v>
      </c>
      <c r="J328" s="3">
        <f>IF(ROW()&lt;3, Dashboard!$E$7, IF(Query1[[#This Row],[Month]]&lt;&gt;H327,J327*(1+Dashboard!$E$4)+Dashboard!$E$5,J327))</f>
        <v>612678.26875899907</v>
      </c>
      <c r="K328">
        <f>IF(ROW()&lt;3, 0,IF(Query1[[#This Row],[Month]]&lt;&gt;H327,IF((J328-I328&gt;0),J328-I328,0),0))</f>
        <v>0</v>
      </c>
      <c r="L328" s="2">
        <f t="shared" si="5"/>
        <v>1191.4887038244265</v>
      </c>
      <c r="M328">
        <f ca="1">IF(ROW()&lt;3,0,IF(Query1[[#This Row],[Month]]&lt;&gt;OFFSET(Query1[[#This Row],[Month]],-1,0),Dashboard!$J$5,0))</f>
        <v>0</v>
      </c>
      <c r="N328" s="2">
        <f ca="1">IF(ROW()&lt;3, Query1[[#This Row],[Shares]], IF(Query1[[#This Row],[Month]]&lt;&gt;H327, N327+Query1[[#This Row],[Fix Top Up]]/Query1[[#This Row],[Adj Close]], N327))</f>
        <v>1204.3375733442949</v>
      </c>
      <c r="O32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8" s="2">
        <f ca="1">IF(ROW()&lt;3, Query1[[#This Row],[Shares]], IF(Query1[[#This Row],[Month]]&lt;&gt;H327, P327+Query1[[#This Row],[Enhanced top up]]/Query1[[#This Row],[Adj Close]], P327))</f>
        <v>1205.6589953912744</v>
      </c>
      <c r="Q328" s="2">
        <f>IFERROR(AVERAGE(
  IF(ROW()&gt;20, INDEX(G:G, ROW()-20), 0) :
  INDEX(G:G, ROW())
),0)</f>
        <v>494.88665771484375</v>
      </c>
    </row>
    <row r="329" spans="1:17" x14ac:dyDescent="0.3">
      <c r="A329" s="1">
        <v>45770</v>
      </c>
      <c r="B329">
        <v>496.69000244140625</v>
      </c>
      <c r="C329">
        <v>501.17999267578125</v>
      </c>
      <c r="D329">
        <v>490.70001220703125</v>
      </c>
      <c r="E329">
        <v>492.07000732421875</v>
      </c>
      <c r="F329">
        <v>8047600</v>
      </c>
      <c r="G329">
        <v>490.55548095703125</v>
      </c>
      <c r="H329" s="2">
        <f>MONTH(Query1[[#This Row],[Date]])</f>
        <v>4</v>
      </c>
      <c r="I329" s="3">
        <f>Query1[[#This Row],[Shares]]*Query1[[#This Row],[Adj Close]]</f>
        <v>584491.3141594613</v>
      </c>
      <c r="J329" s="3">
        <f>IF(ROW()&lt;3, Dashboard!$E$7, IF(Query1[[#This Row],[Month]]&lt;&gt;H328,J328*(1+Dashboard!$E$4)+Dashboard!$E$5,J328))</f>
        <v>612678.26875899907</v>
      </c>
      <c r="K329">
        <f>IF(ROW()&lt;3, 0,IF(Query1[[#This Row],[Month]]&lt;&gt;H328,IF((J329-I329&gt;0),J329-I329,0),0))</f>
        <v>0</v>
      </c>
      <c r="L329" s="2">
        <f t="shared" si="5"/>
        <v>1191.4887038244265</v>
      </c>
      <c r="M329">
        <f ca="1">IF(ROW()&lt;3,0,IF(Query1[[#This Row],[Month]]&lt;&gt;OFFSET(Query1[[#This Row],[Month]],-1,0),Dashboard!$J$5,0))</f>
        <v>0</v>
      </c>
      <c r="N329" s="2">
        <f ca="1">IF(ROW()&lt;3, Query1[[#This Row],[Shares]], IF(Query1[[#This Row],[Month]]&lt;&gt;H328, N328+Query1[[#This Row],[Fix Top Up]]/Query1[[#This Row],[Adj Close]], N328))</f>
        <v>1204.3375733442949</v>
      </c>
      <c r="O32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29" s="2">
        <f ca="1">IF(ROW()&lt;3, Query1[[#This Row],[Shares]], IF(Query1[[#This Row],[Month]]&lt;&gt;H328, P328+Query1[[#This Row],[Enhanced top up]]/Query1[[#This Row],[Adj Close]], P328))</f>
        <v>1205.6589953912744</v>
      </c>
      <c r="Q329" s="2">
        <f>IFERROR(AVERAGE(
  IF(ROW()&gt;20, INDEX(G:G, ROW()-20), 0) :
  INDEX(G:G, ROW())
),0)</f>
        <v>493.20181419735866</v>
      </c>
    </row>
    <row r="330" spans="1:17" x14ac:dyDescent="0.3">
      <c r="A330" s="1">
        <v>45771</v>
      </c>
      <c r="B330">
        <v>493.260009765625</v>
      </c>
      <c r="C330">
        <v>503</v>
      </c>
      <c r="D330">
        <v>492.22000122070313</v>
      </c>
      <c r="E330">
        <v>502.41000366210938</v>
      </c>
      <c r="F330">
        <v>6184300</v>
      </c>
      <c r="G330">
        <v>500.8636474609375</v>
      </c>
      <c r="H330" s="2">
        <f>MONTH(Query1[[#This Row],[Date]])</f>
        <v>4</v>
      </c>
      <c r="I330" s="3">
        <f>Query1[[#This Row],[Shares]]*Query1[[#This Row],[Adj Close]]</f>
        <v>596773.37810600689</v>
      </c>
      <c r="J330" s="3">
        <f>IF(ROW()&lt;3, Dashboard!$E$7, IF(Query1[[#This Row],[Month]]&lt;&gt;H329,J329*(1+Dashboard!$E$4)+Dashboard!$E$5,J329))</f>
        <v>612678.26875899907</v>
      </c>
      <c r="K330">
        <f>IF(ROW()&lt;3, 0,IF(Query1[[#This Row],[Month]]&lt;&gt;H329,IF((J330-I330&gt;0),J330-I330,0),0))</f>
        <v>0</v>
      </c>
      <c r="L330" s="2">
        <f t="shared" si="5"/>
        <v>1191.4887038244265</v>
      </c>
      <c r="M330">
        <f ca="1">IF(ROW()&lt;3,0,IF(Query1[[#This Row],[Month]]&lt;&gt;OFFSET(Query1[[#This Row],[Month]],-1,0),Dashboard!$J$5,0))</f>
        <v>0</v>
      </c>
      <c r="N330" s="2">
        <f ca="1">IF(ROW()&lt;3, Query1[[#This Row],[Shares]], IF(Query1[[#This Row],[Month]]&lt;&gt;H329, N329+Query1[[#This Row],[Fix Top Up]]/Query1[[#This Row],[Adj Close]], N329))</f>
        <v>1204.3375733442949</v>
      </c>
      <c r="O33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0" s="2">
        <f ca="1">IF(ROW()&lt;3, Query1[[#This Row],[Shares]], IF(Query1[[#This Row],[Month]]&lt;&gt;H329, P329+Query1[[#This Row],[Enhanced top up]]/Query1[[#This Row],[Adj Close]], P329))</f>
        <v>1205.6589953912744</v>
      </c>
      <c r="Q330" s="2">
        <f>IFERROR(AVERAGE(
  IF(ROW()&gt;20, INDEX(G:G, ROW()-20), 0) :
  INDEX(G:G, ROW())
),0)</f>
        <v>491.94822474888394</v>
      </c>
    </row>
    <row r="331" spans="1:17" x14ac:dyDescent="0.3">
      <c r="A331" s="1">
        <v>45772</v>
      </c>
      <c r="B331">
        <v>502.44000244140625</v>
      </c>
      <c r="C331">
        <v>506.51998901367188</v>
      </c>
      <c r="D331">
        <v>499.75</v>
      </c>
      <c r="E331">
        <v>506.1099853515625</v>
      </c>
      <c r="F331">
        <v>6933400</v>
      </c>
      <c r="G331">
        <v>504.55224609375</v>
      </c>
      <c r="H331" s="2">
        <f>MONTH(Query1[[#This Row],[Date]])</f>
        <v>4</v>
      </c>
      <c r="I331" s="3">
        <f>Query1[[#This Row],[Shares]]*Query1[[#This Row],[Adj Close]]</f>
        <v>601168.3017099452</v>
      </c>
      <c r="J331" s="3">
        <f>IF(ROW()&lt;3, Dashboard!$E$7, IF(Query1[[#This Row],[Month]]&lt;&gt;H330,J330*(1+Dashboard!$E$4)+Dashboard!$E$5,J330))</f>
        <v>612678.26875899907</v>
      </c>
      <c r="K331">
        <f>IF(ROW()&lt;3, 0,IF(Query1[[#This Row],[Month]]&lt;&gt;H330,IF((J331-I331&gt;0),J331-I331,0),0))</f>
        <v>0</v>
      </c>
      <c r="L331" s="2">
        <f t="shared" si="5"/>
        <v>1191.4887038244265</v>
      </c>
      <c r="M331">
        <f ca="1">IF(ROW()&lt;3,0,IF(Query1[[#This Row],[Month]]&lt;&gt;OFFSET(Query1[[#This Row],[Month]],-1,0),Dashboard!$J$5,0))</f>
        <v>0</v>
      </c>
      <c r="N331" s="2">
        <f ca="1">IF(ROW()&lt;3, Query1[[#This Row],[Shares]], IF(Query1[[#This Row],[Month]]&lt;&gt;H330, N330+Query1[[#This Row],[Fix Top Up]]/Query1[[#This Row],[Adj Close]], N330))</f>
        <v>1204.3375733442949</v>
      </c>
      <c r="O33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1" s="2">
        <f ca="1">IF(ROW()&lt;3, Query1[[#This Row],[Shares]], IF(Query1[[#This Row],[Month]]&lt;&gt;H330, P330+Query1[[#This Row],[Enhanced top up]]/Query1[[#This Row],[Adj Close]], P330))</f>
        <v>1205.6589953912744</v>
      </c>
      <c r="Q331" s="2">
        <f>IFERROR(AVERAGE(
  IF(ROW()&gt;20, INDEX(G:G, ROW()-20), 0) :
  INDEX(G:G, ROW())
),0)</f>
        <v>491.16312081473217</v>
      </c>
    </row>
    <row r="332" spans="1:17" x14ac:dyDescent="0.3">
      <c r="A332" s="1">
        <v>45775</v>
      </c>
      <c r="B332">
        <v>506.80999755859375</v>
      </c>
      <c r="C332">
        <v>508.739990234375</v>
      </c>
      <c r="D332">
        <v>500.95999145507813</v>
      </c>
      <c r="E332">
        <v>506.42001342773438</v>
      </c>
      <c r="F332">
        <v>4210000</v>
      </c>
      <c r="G332">
        <v>504.861328125</v>
      </c>
      <c r="H332" s="2">
        <f>MONTH(Query1[[#This Row],[Date]])</f>
        <v>4</v>
      </c>
      <c r="I332" s="3">
        <f>Query1[[#This Row],[Shares]]*Query1[[#This Row],[Adj Close]]</f>
        <v>601536.56945873471</v>
      </c>
      <c r="J332" s="3">
        <f>IF(ROW()&lt;3, Dashboard!$E$7, IF(Query1[[#This Row],[Month]]&lt;&gt;H331,J331*(1+Dashboard!$E$4)+Dashboard!$E$5,J331))</f>
        <v>612678.26875899907</v>
      </c>
      <c r="K332">
        <f>IF(ROW()&lt;3, 0,IF(Query1[[#This Row],[Month]]&lt;&gt;H331,IF((J332-I332&gt;0),J332-I332,0),0))</f>
        <v>0</v>
      </c>
      <c r="L332" s="2">
        <f t="shared" si="5"/>
        <v>1191.4887038244265</v>
      </c>
      <c r="M332">
        <f ca="1">IF(ROW()&lt;3,0,IF(Query1[[#This Row],[Month]]&lt;&gt;OFFSET(Query1[[#This Row],[Month]],-1,0),Dashboard!$J$5,0))</f>
        <v>0</v>
      </c>
      <c r="N332" s="2">
        <f ca="1">IF(ROW()&lt;3, Query1[[#This Row],[Shares]], IF(Query1[[#This Row],[Month]]&lt;&gt;H331, N331+Query1[[#This Row],[Fix Top Up]]/Query1[[#This Row],[Adj Close]], N331))</f>
        <v>1204.3375733442949</v>
      </c>
      <c r="O33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2" s="2">
        <f ca="1">IF(ROW()&lt;3, Query1[[#This Row],[Shares]], IF(Query1[[#This Row],[Month]]&lt;&gt;H331, P331+Query1[[#This Row],[Enhanced top up]]/Query1[[#This Row],[Adj Close]], P331))</f>
        <v>1205.6589953912744</v>
      </c>
      <c r="Q332" s="2">
        <f>IFERROR(AVERAGE(
  IF(ROW()&gt;20, INDEX(G:G, ROW()-20), 0) :
  INDEX(G:G, ROW())
),0)</f>
        <v>490.46100144159226</v>
      </c>
    </row>
    <row r="333" spans="1:17" x14ac:dyDescent="0.3">
      <c r="A333" s="1">
        <v>45776</v>
      </c>
      <c r="B333">
        <v>504.54000854492188</v>
      </c>
      <c r="C333">
        <v>510.54998779296875</v>
      </c>
      <c r="D333">
        <v>504.260009765625</v>
      </c>
      <c r="E333">
        <v>509.489990234375</v>
      </c>
      <c r="F333">
        <v>6525500</v>
      </c>
      <c r="G333">
        <v>507.92184448242188</v>
      </c>
      <c r="H333" s="2">
        <f>MONTH(Query1[[#This Row],[Date]])</f>
        <v>4</v>
      </c>
      <c r="I333" s="3">
        <f>Query1[[#This Row],[Shares]]*Query1[[#This Row],[Adj Close]]</f>
        <v>605183.1401264728</v>
      </c>
      <c r="J333" s="3">
        <f>IF(ROW()&lt;3, Dashboard!$E$7, IF(Query1[[#This Row],[Month]]&lt;&gt;H332,J332*(1+Dashboard!$E$4)+Dashboard!$E$5,J332))</f>
        <v>612678.26875899907</v>
      </c>
      <c r="K333">
        <f>IF(ROW()&lt;3, 0,IF(Query1[[#This Row],[Month]]&lt;&gt;H332,IF((J333-I333&gt;0),J333-I333,0),0))</f>
        <v>0</v>
      </c>
      <c r="L333" s="2">
        <f t="shared" si="5"/>
        <v>1191.4887038244265</v>
      </c>
      <c r="M333">
        <f ca="1">IF(ROW()&lt;3,0,IF(Query1[[#This Row],[Month]]&lt;&gt;OFFSET(Query1[[#This Row],[Month]],-1,0),Dashboard!$J$5,0))</f>
        <v>0</v>
      </c>
      <c r="N333" s="2">
        <f ca="1">IF(ROW()&lt;3, Query1[[#This Row],[Shares]], IF(Query1[[#This Row],[Month]]&lt;&gt;H332, N332+Query1[[#This Row],[Fix Top Up]]/Query1[[#This Row],[Adj Close]], N332))</f>
        <v>1204.3375733442949</v>
      </c>
      <c r="O33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3" s="2">
        <f ca="1">IF(ROW()&lt;3, Query1[[#This Row],[Shares]], IF(Query1[[#This Row],[Month]]&lt;&gt;H332, P332+Query1[[#This Row],[Enhanced top up]]/Query1[[#This Row],[Adj Close]], P332))</f>
        <v>1205.6589953912744</v>
      </c>
      <c r="Q333" s="2">
        <f>IFERROR(AVERAGE(
  IF(ROW()&gt;20, INDEX(G:G, ROW()-20), 0) :
  INDEX(G:G, ROW())
),0)</f>
        <v>490.39881243024553</v>
      </c>
    </row>
    <row r="334" spans="1:17" x14ac:dyDescent="0.3">
      <c r="A334" s="1">
        <v>45777</v>
      </c>
      <c r="B334">
        <v>503.260009765625</v>
      </c>
      <c r="C334">
        <v>511.5</v>
      </c>
      <c r="D334">
        <v>497.760009765625</v>
      </c>
      <c r="E334">
        <v>509.739990234375</v>
      </c>
      <c r="F334">
        <v>7873700</v>
      </c>
      <c r="G334">
        <v>508.17108154296875</v>
      </c>
      <c r="H334" s="2">
        <f>MONTH(Query1[[#This Row],[Date]])</f>
        <v>4</v>
      </c>
      <c r="I334" s="3">
        <f>Query1[[#This Row],[Shares]]*Query1[[#This Row],[Adj Close]]</f>
        <v>605480.10326868878</v>
      </c>
      <c r="J334" s="3">
        <f>IF(ROW()&lt;3, Dashboard!$E$7, IF(Query1[[#This Row],[Month]]&lt;&gt;H333,J333*(1+Dashboard!$E$4)+Dashboard!$E$5,J333))</f>
        <v>612678.26875899907</v>
      </c>
      <c r="K334">
        <f>IF(ROW()&lt;3, 0,IF(Query1[[#This Row],[Month]]&lt;&gt;H333,IF((J334-I334&gt;0),J334-I334,0),0))</f>
        <v>0</v>
      </c>
      <c r="L334" s="2">
        <f t="shared" si="5"/>
        <v>1191.4887038244265</v>
      </c>
      <c r="M334">
        <f ca="1">IF(ROW()&lt;3,0,IF(Query1[[#This Row],[Month]]&lt;&gt;OFFSET(Query1[[#This Row],[Month]],-1,0),Dashboard!$J$5,0))</f>
        <v>0</v>
      </c>
      <c r="N334" s="2">
        <f ca="1">IF(ROW()&lt;3, Query1[[#This Row],[Shares]], IF(Query1[[#This Row],[Month]]&lt;&gt;H333, N333+Query1[[#This Row],[Fix Top Up]]/Query1[[#This Row],[Adj Close]], N333))</f>
        <v>1204.3375733442949</v>
      </c>
      <c r="O33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4" s="2">
        <f ca="1">IF(ROW()&lt;3, Query1[[#This Row],[Shares]], IF(Query1[[#This Row],[Month]]&lt;&gt;H333, P333+Query1[[#This Row],[Enhanced top up]]/Query1[[#This Row],[Adj Close]], P333))</f>
        <v>1205.6589953912744</v>
      </c>
      <c r="Q334" s="2">
        <f>IFERROR(AVERAGE(
  IF(ROW()&gt;20, INDEX(G:G, ROW()-20), 0) :
  INDEX(G:G, ROW())
),0)</f>
        <v>490.2008521670387</v>
      </c>
    </row>
    <row r="335" spans="1:17" x14ac:dyDescent="0.3">
      <c r="A335" s="1">
        <v>45778</v>
      </c>
      <c r="B335">
        <v>515.1300048828125</v>
      </c>
      <c r="C335">
        <v>518.44000244140625</v>
      </c>
      <c r="D335">
        <v>512.77001953125</v>
      </c>
      <c r="E335">
        <v>513.3499755859375</v>
      </c>
      <c r="F335">
        <v>5784500</v>
      </c>
      <c r="G335">
        <v>511.76995849609375</v>
      </c>
      <c r="H335" s="2">
        <f>MONTH(Query1[[#This Row],[Date]])</f>
        <v>5</v>
      </c>
      <c r="I335" s="3">
        <f>Query1[[#This Row],[Shares]]*Query1[[#This Row],[Adj Close]]</f>
        <v>609768.12450479122</v>
      </c>
      <c r="J335" s="3">
        <f>IF(ROW()&lt;3, Dashboard!$E$7, IF(Query1[[#This Row],[Month]]&lt;&gt;H334,J334*(1+Dashboard!$E$4)+Dashboard!$E$5,J334))</f>
        <v>620805.05144658906</v>
      </c>
      <c r="K335">
        <f>IF(ROW()&lt;3, 0,IF(Query1[[#This Row],[Month]]&lt;&gt;H334,IF((J335-I335&gt;0),J335-I335,0),0))</f>
        <v>11036.926941797836</v>
      </c>
      <c r="L335" s="2">
        <f t="shared" si="5"/>
        <v>1191.4887038244265</v>
      </c>
      <c r="M335">
        <f ca="1">IF(ROW()&lt;3,0,IF(Query1[[#This Row],[Month]]&lt;&gt;OFFSET(Query1[[#This Row],[Month]],-1,0),Dashboard!$J$5,0))</f>
        <v>979.40350000000024</v>
      </c>
      <c r="N335" s="2">
        <f ca="1">IF(ROW()&lt;3, Query1[[#This Row],[Shares]], IF(Query1[[#This Row],[Month]]&lt;&gt;H334, N334+Query1[[#This Row],[Fix Top Up]]/Query1[[#This Row],[Adj Close]], N334))</f>
        <v>1206.2513306560334</v>
      </c>
      <c r="O33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335" s="2">
        <f ca="1">IF(ROW()&lt;3, Query1[[#This Row],[Shares]], IF(Query1[[#This Row],[Month]]&lt;&gt;H334, P334+Query1[[#This Row],[Enhanced top up]]/Query1[[#This Row],[Adj Close]], P334))</f>
        <v>1206.88885167641</v>
      </c>
      <c r="Q335" s="2">
        <f>IFERROR(AVERAGE(
  IF(ROW()&gt;20, INDEX(G:G, ROW()-20), 0) :
  INDEX(G:G, ROW())
),0)</f>
        <v>490.08454531715029</v>
      </c>
    </row>
    <row r="336" spans="1:17" x14ac:dyDescent="0.3">
      <c r="A336" s="1">
        <v>45779</v>
      </c>
      <c r="B336">
        <v>519.1199951171875</v>
      </c>
      <c r="C336">
        <v>522.40997314453125</v>
      </c>
      <c r="D336">
        <v>516.8900146484375</v>
      </c>
      <c r="E336">
        <v>520.71002197265625</v>
      </c>
      <c r="F336">
        <v>6285400</v>
      </c>
      <c r="G336">
        <v>519.10736083984375</v>
      </c>
      <c r="H336" s="2">
        <f>MONTH(Query1[[#This Row],[Date]])</f>
        <v>5</v>
      </c>
      <c r="I336" s="3">
        <f>Query1[[#This Row],[Shares]]*Query1[[#This Row],[Adj Close]]</f>
        <v>629705.72325015068</v>
      </c>
      <c r="J336" s="3">
        <f>IF(ROW()&lt;3, Dashboard!$E$7, IF(Query1[[#This Row],[Month]]&lt;&gt;H335,J335*(1+Dashboard!$E$4)+Dashboard!$E$5,J335))</f>
        <v>620805.05144658906</v>
      </c>
      <c r="K336">
        <f>IF(ROW()&lt;3, 0,IF(Query1[[#This Row],[Month]]&lt;&gt;H335,IF((J336-I336&gt;0),J336-I336,0),0))</f>
        <v>0</v>
      </c>
      <c r="L336" s="2">
        <f t="shared" si="5"/>
        <v>1213.0548914416743</v>
      </c>
      <c r="M336">
        <f ca="1">IF(ROW()&lt;3,0,IF(Query1[[#This Row],[Month]]&lt;&gt;OFFSET(Query1[[#This Row],[Month]],-1,0),Dashboard!$J$5,0))</f>
        <v>0</v>
      </c>
      <c r="N336" s="2">
        <f ca="1">IF(ROW()&lt;3, Query1[[#This Row],[Shares]], IF(Query1[[#This Row],[Month]]&lt;&gt;H335, N335+Query1[[#This Row],[Fix Top Up]]/Query1[[#This Row],[Adj Close]], N335))</f>
        <v>1206.2513306560334</v>
      </c>
      <c r="O33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6" s="2">
        <f ca="1">IF(ROW()&lt;3, Query1[[#This Row],[Shares]], IF(Query1[[#This Row],[Month]]&lt;&gt;H335, P335+Query1[[#This Row],[Enhanced top up]]/Query1[[#This Row],[Adj Close]], P335))</f>
        <v>1206.88885167641</v>
      </c>
      <c r="Q336" s="2">
        <f>IFERROR(AVERAGE(
  IF(ROW()&gt;20, INDEX(G:G, ROW()-20), 0) :
  INDEX(G:G, ROW())
),0)</f>
        <v>490.1699974423363</v>
      </c>
    </row>
    <row r="337" spans="1:17" x14ac:dyDescent="0.3">
      <c r="A337" s="1">
        <v>45782</v>
      </c>
      <c r="B337">
        <v>517.08001708984375</v>
      </c>
      <c r="C337">
        <v>520.8499755859375</v>
      </c>
      <c r="D337">
        <v>516.27001953125</v>
      </c>
      <c r="E337">
        <v>517.989990234375</v>
      </c>
      <c r="F337">
        <v>4793500</v>
      </c>
      <c r="G337">
        <v>516.39569091796875</v>
      </c>
      <c r="H337" s="2">
        <f>MONTH(Query1[[#This Row],[Date]])</f>
        <v>5</v>
      </c>
      <c r="I337" s="3">
        <f>Query1[[#This Row],[Shares]]*Query1[[#This Row],[Adj Close]]</f>
        <v>626416.31878744496</v>
      </c>
      <c r="J337" s="3">
        <f>IF(ROW()&lt;3, Dashboard!$E$7, IF(Query1[[#This Row],[Month]]&lt;&gt;H336,J336*(1+Dashboard!$E$4)+Dashboard!$E$5,J336))</f>
        <v>620805.05144658906</v>
      </c>
      <c r="K337">
        <f>IF(ROW()&lt;3, 0,IF(Query1[[#This Row],[Month]]&lt;&gt;H336,IF((J337-I337&gt;0),J337-I337,0),0))</f>
        <v>0</v>
      </c>
      <c r="L337" s="2">
        <f t="shared" si="5"/>
        <v>1213.0548914416743</v>
      </c>
      <c r="M337">
        <f ca="1">IF(ROW()&lt;3,0,IF(Query1[[#This Row],[Month]]&lt;&gt;OFFSET(Query1[[#This Row],[Month]],-1,0),Dashboard!$J$5,0))</f>
        <v>0</v>
      </c>
      <c r="N337" s="2">
        <f ca="1">IF(ROW()&lt;3, Query1[[#This Row],[Shares]], IF(Query1[[#This Row],[Month]]&lt;&gt;H336, N336+Query1[[#This Row],[Fix Top Up]]/Query1[[#This Row],[Adj Close]], N336))</f>
        <v>1206.2513306560334</v>
      </c>
      <c r="O33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7" s="2">
        <f ca="1">IF(ROW()&lt;3, Query1[[#This Row],[Shares]], IF(Query1[[#This Row],[Month]]&lt;&gt;H336, P336+Query1[[#This Row],[Enhanced top up]]/Query1[[#This Row],[Adj Close]], P336))</f>
        <v>1206.88885167641</v>
      </c>
      <c r="Q337" s="2">
        <f>IFERROR(AVERAGE(
  IF(ROW()&gt;20, INDEX(G:G, ROW()-20), 0) :
  INDEX(G:G, ROW())
),0)</f>
        <v>491.30126662481399</v>
      </c>
    </row>
    <row r="338" spans="1:17" x14ac:dyDescent="0.3">
      <c r="A338" s="1">
        <v>45783</v>
      </c>
      <c r="B338">
        <v>512.8900146484375</v>
      </c>
      <c r="C338">
        <v>517.83001708984375</v>
      </c>
      <c r="D338">
        <v>511.94000244140625</v>
      </c>
      <c r="E338">
        <v>513.58001708984375</v>
      </c>
      <c r="F338">
        <v>4694300</v>
      </c>
      <c r="G338">
        <v>511.99929809570313</v>
      </c>
      <c r="H338" s="2">
        <f>MONTH(Query1[[#This Row],[Date]])</f>
        <v>5</v>
      </c>
      <c r="I338" s="3">
        <f>Query1[[#This Row],[Shares]]*Query1[[#This Row],[Adj Close]]</f>
        <v>621083.25296969654</v>
      </c>
      <c r="J338" s="3">
        <f>IF(ROW()&lt;3, Dashboard!$E$7, IF(Query1[[#This Row],[Month]]&lt;&gt;H337,J337*(1+Dashboard!$E$4)+Dashboard!$E$5,J337))</f>
        <v>620805.05144658906</v>
      </c>
      <c r="K338">
        <f>IF(ROW()&lt;3, 0,IF(Query1[[#This Row],[Month]]&lt;&gt;H337,IF((J338-I338&gt;0),J338-I338,0),0))</f>
        <v>0</v>
      </c>
      <c r="L338" s="2">
        <f t="shared" si="5"/>
        <v>1213.0548914416743</v>
      </c>
      <c r="M338">
        <f ca="1">IF(ROW()&lt;3,0,IF(Query1[[#This Row],[Month]]&lt;&gt;OFFSET(Query1[[#This Row],[Month]],-1,0),Dashboard!$J$5,0))</f>
        <v>0</v>
      </c>
      <c r="N338" s="2">
        <f ca="1">IF(ROW()&lt;3, Query1[[#This Row],[Shares]], IF(Query1[[#This Row],[Month]]&lt;&gt;H337, N337+Query1[[#This Row],[Fix Top Up]]/Query1[[#This Row],[Adj Close]], N337))</f>
        <v>1206.2513306560334</v>
      </c>
      <c r="O33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8" s="2">
        <f ca="1">IF(ROW()&lt;3, Query1[[#This Row],[Shares]], IF(Query1[[#This Row],[Month]]&lt;&gt;H337, P337+Query1[[#This Row],[Enhanced top up]]/Query1[[#This Row],[Adj Close]], P337))</f>
        <v>1206.88885167641</v>
      </c>
      <c r="Q338" s="2">
        <f>IFERROR(AVERAGE(
  IF(ROW()&gt;20, INDEX(G:G, ROW()-20), 0) :
  INDEX(G:G, ROW())
),0)</f>
        <v>493.58279564267116</v>
      </c>
    </row>
    <row r="339" spans="1:17" x14ac:dyDescent="0.3">
      <c r="A339" s="1">
        <v>45784</v>
      </c>
      <c r="B339">
        <v>514.91998291015625</v>
      </c>
      <c r="C339">
        <v>518.17999267578125</v>
      </c>
      <c r="D339">
        <v>511.10000610351563</v>
      </c>
      <c r="E339">
        <v>515.9000244140625</v>
      </c>
      <c r="F339">
        <v>5460000</v>
      </c>
      <c r="G339">
        <v>514.3121337890625</v>
      </c>
      <c r="H339" s="2">
        <f>MONTH(Query1[[#This Row],[Date]])</f>
        <v>5</v>
      </c>
      <c r="I339" s="3">
        <f>Query1[[#This Row],[Shares]]*Query1[[#This Row],[Adj Close]]</f>
        <v>623888.84962062712</v>
      </c>
      <c r="J339" s="3">
        <f>IF(ROW()&lt;3, Dashboard!$E$7, IF(Query1[[#This Row],[Month]]&lt;&gt;H338,J338*(1+Dashboard!$E$4)+Dashboard!$E$5,J338))</f>
        <v>620805.05144658906</v>
      </c>
      <c r="K339">
        <f>IF(ROW()&lt;3, 0,IF(Query1[[#This Row],[Month]]&lt;&gt;H338,IF((J339-I339&gt;0),J339-I339,0),0))</f>
        <v>0</v>
      </c>
      <c r="L339" s="2">
        <f t="shared" si="5"/>
        <v>1213.0548914416743</v>
      </c>
      <c r="M339">
        <f ca="1">IF(ROW()&lt;3,0,IF(Query1[[#This Row],[Month]]&lt;&gt;OFFSET(Query1[[#This Row],[Month]],-1,0),Dashboard!$J$5,0))</f>
        <v>0</v>
      </c>
      <c r="N339" s="2">
        <f ca="1">IF(ROW()&lt;3, Query1[[#This Row],[Shares]], IF(Query1[[#This Row],[Month]]&lt;&gt;H338, N338+Query1[[#This Row],[Fix Top Up]]/Query1[[#This Row],[Adj Close]], N338))</f>
        <v>1206.2513306560334</v>
      </c>
      <c r="O33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39" s="2">
        <f ca="1">IF(ROW()&lt;3, Query1[[#This Row],[Shares]], IF(Query1[[#This Row],[Month]]&lt;&gt;H338, P338+Query1[[#This Row],[Enhanced top up]]/Query1[[#This Row],[Adj Close]], P338))</f>
        <v>1206.88885167641</v>
      </c>
      <c r="Q339" s="2">
        <f>IFERROR(AVERAGE(
  IF(ROW()&gt;20, INDEX(G:G, ROW()-20), 0) :
  INDEX(G:G, ROW())
),0)</f>
        <v>496.06750633603053</v>
      </c>
    </row>
    <row r="340" spans="1:17" x14ac:dyDescent="0.3">
      <c r="A340" s="1">
        <v>45785</v>
      </c>
      <c r="B340">
        <v>519.53997802734375</v>
      </c>
      <c r="C340">
        <v>524.22998046875</v>
      </c>
      <c r="D340">
        <v>516.3499755859375</v>
      </c>
      <c r="E340">
        <v>519.34002685546875</v>
      </c>
      <c r="F340">
        <v>5088200</v>
      </c>
      <c r="G340">
        <v>517.7415771484375</v>
      </c>
      <c r="H340" s="2">
        <f>MONTH(Query1[[#This Row],[Date]])</f>
        <v>5</v>
      </c>
      <c r="I340" s="3">
        <f>Query1[[#This Row],[Shares]]*Query1[[#This Row],[Adj Close]]</f>
        <v>628048.95266263909</v>
      </c>
      <c r="J340" s="3">
        <f>IF(ROW()&lt;3, Dashboard!$E$7, IF(Query1[[#This Row],[Month]]&lt;&gt;H339,J339*(1+Dashboard!$E$4)+Dashboard!$E$5,J339))</f>
        <v>620805.05144658906</v>
      </c>
      <c r="K340">
        <f>IF(ROW()&lt;3, 0,IF(Query1[[#This Row],[Month]]&lt;&gt;H339,IF((J340-I340&gt;0),J340-I340,0),0))</f>
        <v>0</v>
      </c>
      <c r="L340" s="2">
        <f t="shared" si="5"/>
        <v>1213.0548914416743</v>
      </c>
      <c r="M340">
        <f ca="1">IF(ROW()&lt;3,0,IF(Query1[[#This Row],[Month]]&lt;&gt;OFFSET(Query1[[#This Row],[Month]],-1,0),Dashboard!$J$5,0))</f>
        <v>0</v>
      </c>
      <c r="N340" s="2">
        <f ca="1">IF(ROW()&lt;3, Query1[[#This Row],[Shares]], IF(Query1[[#This Row],[Month]]&lt;&gt;H339, N339+Query1[[#This Row],[Fix Top Up]]/Query1[[#This Row],[Adj Close]], N339))</f>
        <v>1206.2513306560334</v>
      </c>
      <c r="O34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0" s="2">
        <f ca="1">IF(ROW()&lt;3, Query1[[#This Row],[Shares]], IF(Query1[[#This Row],[Month]]&lt;&gt;H339, P339+Query1[[#This Row],[Enhanced top up]]/Query1[[#This Row],[Adj Close]], P339))</f>
        <v>1206.88885167641</v>
      </c>
      <c r="Q340" s="2">
        <f>IFERROR(AVERAGE(
  IF(ROW()&gt;20, INDEX(G:G, ROW()-20), 0) :
  INDEX(G:G, ROW())
),0)</f>
        <v>499.03928629557294</v>
      </c>
    </row>
    <row r="341" spans="1:17" x14ac:dyDescent="0.3">
      <c r="A341" s="1">
        <v>45786</v>
      </c>
      <c r="B341">
        <v>520.69000244140625</v>
      </c>
      <c r="C341">
        <v>521.6300048828125</v>
      </c>
      <c r="D341">
        <v>517.3599853515625</v>
      </c>
      <c r="E341">
        <v>518.6500244140625</v>
      </c>
      <c r="F341">
        <v>4739500</v>
      </c>
      <c r="G341">
        <v>517.0537109375</v>
      </c>
      <c r="H341" s="2">
        <f>MONTH(Query1[[#This Row],[Date]])</f>
        <v>5</v>
      </c>
      <c r="I341" s="3">
        <f>Query1[[#This Row],[Shares]]*Query1[[#This Row],[Adj Close]]</f>
        <v>627214.53319080384</v>
      </c>
      <c r="J341" s="3">
        <f>IF(ROW()&lt;3, Dashboard!$E$7, IF(Query1[[#This Row],[Month]]&lt;&gt;H340,J340*(1+Dashboard!$E$4)+Dashboard!$E$5,J340))</f>
        <v>620805.05144658906</v>
      </c>
      <c r="K341">
        <f>IF(ROW()&lt;3, 0,IF(Query1[[#This Row],[Month]]&lt;&gt;H340,IF((J341-I341&gt;0),J341-I341,0),0))</f>
        <v>0</v>
      </c>
      <c r="L341" s="2">
        <f t="shared" si="5"/>
        <v>1213.0548914416743</v>
      </c>
      <c r="M341">
        <f ca="1">IF(ROW()&lt;3,0,IF(Query1[[#This Row],[Month]]&lt;&gt;OFFSET(Query1[[#This Row],[Month]],-1,0),Dashboard!$J$5,0))</f>
        <v>0</v>
      </c>
      <c r="N341" s="2">
        <f ca="1">IF(ROW()&lt;3, Query1[[#This Row],[Shares]], IF(Query1[[#This Row],[Month]]&lt;&gt;H340, N340+Query1[[#This Row],[Fix Top Up]]/Query1[[#This Row],[Adj Close]], N340))</f>
        <v>1206.2513306560334</v>
      </c>
      <c r="O34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1" s="2">
        <f ca="1">IF(ROW()&lt;3, Query1[[#This Row],[Shares]], IF(Query1[[#This Row],[Month]]&lt;&gt;H340, P340+Query1[[#This Row],[Enhanced top up]]/Query1[[#This Row],[Adj Close]], P340))</f>
        <v>1206.88885167641</v>
      </c>
      <c r="Q341" s="2">
        <f>IFERROR(AVERAGE(
  IF(ROW()&gt;20, INDEX(G:G, ROW()-20), 0) :
  INDEX(G:G, ROW())
),0)</f>
        <v>499.96737525576634</v>
      </c>
    </row>
    <row r="342" spans="1:17" x14ac:dyDescent="0.3">
      <c r="A342" s="1">
        <v>45789</v>
      </c>
      <c r="B342">
        <v>534.5</v>
      </c>
      <c r="C342">
        <v>535.91998291015625</v>
      </c>
      <c r="D342">
        <v>530.3900146484375</v>
      </c>
      <c r="E342">
        <v>535.91998291015625</v>
      </c>
      <c r="F342">
        <v>7793600</v>
      </c>
      <c r="G342">
        <v>534.2705078125</v>
      </c>
      <c r="H342" s="2">
        <f>MONTH(Query1[[#This Row],[Date]])</f>
        <v>5</v>
      </c>
      <c r="I342" s="3">
        <f>Query1[[#This Row],[Shares]]*Query1[[#This Row],[Adj Close]]</f>
        <v>648099.45285498037</v>
      </c>
      <c r="J342" s="3">
        <f>IF(ROW()&lt;3, Dashboard!$E$7, IF(Query1[[#This Row],[Month]]&lt;&gt;H341,J341*(1+Dashboard!$E$4)+Dashboard!$E$5,J341))</f>
        <v>620805.05144658906</v>
      </c>
      <c r="K342">
        <f>IF(ROW()&lt;3, 0,IF(Query1[[#This Row],[Month]]&lt;&gt;H341,IF((J342-I342&gt;0),J342-I342,0),0))</f>
        <v>0</v>
      </c>
      <c r="L342" s="2">
        <f t="shared" si="5"/>
        <v>1213.0548914416743</v>
      </c>
      <c r="M342">
        <f ca="1">IF(ROW()&lt;3,0,IF(Query1[[#This Row],[Month]]&lt;&gt;OFFSET(Query1[[#This Row],[Month]],-1,0),Dashboard!$J$5,0))</f>
        <v>0</v>
      </c>
      <c r="N342" s="2">
        <f ca="1">IF(ROW()&lt;3, Query1[[#This Row],[Shares]], IF(Query1[[#This Row],[Month]]&lt;&gt;H341, N341+Query1[[#This Row],[Fix Top Up]]/Query1[[#This Row],[Adj Close]], N341))</f>
        <v>1206.2513306560334</v>
      </c>
      <c r="O34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2" s="2">
        <f ca="1">IF(ROW()&lt;3, Query1[[#This Row],[Shares]], IF(Query1[[#This Row],[Month]]&lt;&gt;H341, P341+Query1[[#This Row],[Enhanced top up]]/Query1[[#This Row],[Adj Close]], P341))</f>
        <v>1206.88885167641</v>
      </c>
      <c r="Q342" s="2">
        <f>IFERROR(AVERAGE(
  IF(ROW()&gt;20, INDEX(G:G, ROW()-20), 0) :
  INDEX(G:G, ROW())
),0)</f>
        <v>502.52424258277529</v>
      </c>
    </row>
    <row r="343" spans="1:17" x14ac:dyDescent="0.3">
      <c r="A343" s="1">
        <v>45790</v>
      </c>
      <c r="B343">
        <v>536.33001708984375</v>
      </c>
      <c r="C343">
        <v>541.47998046875</v>
      </c>
      <c r="D343">
        <v>535.780029296875</v>
      </c>
      <c r="E343">
        <v>539.44000244140625</v>
      </c>
      <c r="F343">
        <v>7356800</v>
      </c>
      <c r="G343">
        <v>537.7796630859375</v>
      </c>
      <c r="H343" s="2">
        <f>MONTH(Query1[[#This Row],[Date]])</f>
        <v>5</v>
      </c>
      <c r="I343" s="3">
        <f>Query1[[#This Row],[Shares]]*Query1[[#This Row],[Adj Close]]</f>
        <v>652356.25082425203</v>
      </c>
      <c r="J343" s="3">
        <f>IF(ROW()&lt;3, Dashboard!$E$7, IF(Query1[[#This Row],[Month]]&lt;&gt;H342,J342*(1+Dashboard!$E$4)+Dashboard!$E$5,J342))</f>
        <v>620805.05144658906</v>
      </c>
      <c r="K343">
        <f>IF(ROW()&lt;3, 0,IF(Query1[[#This Row],[Month]]&lt;&gt;H342,IF((J343-I343&gt;0),J343-I343,0),0))</f>
        <v>0</v>
      </c>
      <c r="L343" s="2">
        <f t="shared" si="5"/>
        <v>1213.0548914416743</v>
      </c>
      <c r="M343">
        <f ca="1">IF(ROW()&lt;3,0,IF(Query1[[#This Row],[Month]]&lt;&gt;OFFSET(Query1[[#This Row],[Month]],-1,0),Dashboard!$J$5,0))</f>
        <v>0</v>
      </c>
      <c r="N343" s="2">
        <f ca="1">IF(ROW()&lt;3, Query1[[#This Row],[Shares]], IF(Query1[[#This Row],[Month]]&lt;&gt;H342, N342+Query1[[#This Row],[Fix Top Up]]/Query1[[#This Row],[Adj Close]], N342))</f>
        <v>1206.2513306560334</v>
      </c>
      <c r="O34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3" s="2">
        <f ca="1">IF(ROW()&lt;3, Query1[[#This Row],[Shares]], IF(Query1[[#This Row],[Month]]&lt;&gt;H342, P342+Query1[[#This Row],[Enhanced top up]]/Query1[[#This Row],[Adj Close]], P342))</f>
        <v>1206.88885167641</v>
      </c>
      <c r="Q343" s="2">
        <f>IFERROR(AVERAGE(
  IF(ROW()&gt;20, INDEX(G:G, ROW()-20), 0) :
  INDEX(G:G, ROW())
),0)</f>
        <v>504.84517270042784</v>
      </c>
    </row>
    <row r="344" spans="1:17" x14ac:dyDescent="0.3">
      <c r="A344" s="1">
        <v>45791</v>
      </c>
      <c r="B344">
        <v>540.3699951171875</v>
      </c>
      <c r="C344">
        <v>541.41998291015625</v>
      </c>
      <c r="D344">
        <v>538.239990234375</v>
      </c>
      <c r="E344">
        <v>540.1099853515625</v>
      </c>
      <c r="F344">
        <v>5031300</v>
      </c>
      <c r="G344">
        <v>538.44757080078125</v>
      </c>
      <c r="H344" s="2">
        <f>MONTH(Query1[[#This Row],[Date]])</f>
        <v>5</v>
      </c>
      <c r="I344" s="3">
        <f>Query1[[#This Row],[Shares]]*Query1[[#This Row],[Adj Close]]</f>
        <v>653166.45954477496</v>
      </c>
      <c r="J344" s="3">
        <f>IF(ROW()&lt;3, Dashboard!$E$7, IF(Query1[[#This Row],[Month]]&lt;&gt;H343,J343*(1+Dashboard!$E$4)+Dashboard!$E$5,J343))</f>
        <v>620805.05144658906</v>
      </c>
      <c r="K344">
        <f>IF(ROW()&lt;3, 0,IF(Query1[[#This Row],[Month]]&lt;&gt;H343,IF((J344-I344&gt;0),J344-I344,0),0))</f>
        <v>0</v>
      </c>
      <c r="L344" s="2">
        <f t="shared" si="5"/>
        <v>1213.0548914416743</v>
      </c>
      <c r="M344">
        <f ca="1">IF(ROW()&lt;3,0,IF(Query1[[#This Row],[Month]]&lt;&gt;OFFSET(Query1[[#This Row],[Month]],-1,0),Dashboard!$J$5,0))</f>
        <v>0</v>
      </c>
      <c r="N344" s="2">
        <f ca="1">IF(ROW()&lt;3, Query1[[#This Row],[Shares]], IF(Query1[[#This Row],[Month]]&lt;&gt;H343, N343+Query1[[#This Row],[Fix Top Up]]/Query1[[#This Row],[Adj Close]], N343))</f>
        <v>1206.2513306560334</v>
      </c>
      <c r="O34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4" s="2">
        <f ca="1">IF(ROW()&lt;3, Query1[[#This Row],[Shares]], IF(Query1[[#This Row],[Month]]&lt;&gt;H343, P343+Query1[[#This Row],[Enhanced top up]]/Query1[[#This Row],[Adj Close]], P343))</f>
        <v>1206.88885167641</v>
      </c>
      <c r="Q344" s="2">
        <f>IFERROR(AVERAGE(
  IF(ROW()&gt;20, INDEX(G:G, ROW()-20), 0) :
  INDEX(G:G, ROW())
),0)</f>
        <v>506.9638671875</v>
      </c>
    </row>
    <row r="345" spans="1:17" x14ac:dyDescent="0.3">
      <c r="A345" s="1">
        <v>45792</v>
      </c>
      <c r="B345">
        <v>538.260009765625</v>
      </c>
      <c r="C345">
        <v>543.25</v>
      </c>
      <c r="D345">
        <v>537.84002685546875</v>
      </c>
      <c r="E345">
        <v>542.760009765625</v>
      </c>
      <c r="F345">
        <v>7362200</v>
      </c>
      <c r="G345">
        <v>541.0894775390625</v>
      </c>
      <c r="H345" s="2">
        <f>MONTH(Query1[[#This Row],[Date]])</f>
        <v>5</v>
      </c>
      <c r="I345" s="3">
        <f>Query1[[#This Row],[Shares]]*Query1[[#This Row],[Adj Close]]</f>
        <v>656371.23743637966</v>
      </c>
      <c r="J345" s="3">
        <f>IF(ROW()&lt;3, Dashboard!$E$7, IF(Query1[[#This Row],[Month]]&lt;&gt;H344,J344*(1+Dashboard!$E$4)+Dashboard!$E$5,J344))</f>
        <v>620805.05144658906</v>
      </c>
      <c r="K345">
        <f>IF(ROW()&lt;3, 0,IF(Query1[[#This Row],[Month]]&lt;&gt;H344,IF((J345-I345&gt;0),J345-I345,0),0))</f>
        <v>0</v>
      </c>
      <c r="L345" s="2">
        <f t="shared" si="5"/>
        <v>1213.0548914416743</v>
      </c>
      <c r="M345">
        <f ca="1">IF(ROW()&lt;3,0,IF(Query1[[#This Row],[Month]]&lt;&gt;OFFSET(Query1[[#This Row],[Month]],-1,0),Dashboard!$J$5,0))</f>
        <v>0</v>
      </c>
      <c r="N345" s="2">
        <f ca="1">IF(ROW()&lt;3, Query1[[#This Row],[Shares]], IF(Query1[[#This Row],[Month]]&lt;&gt;H344, N344+Query1[[#This Row],[Fix Top Up]]/Query1[[#This Row],[Adj Close]], N344))</f>
        <v>1206.2513306560334</v>
      </c>
      <c r="O34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5" s="2">
        <f ca="1">IF(ROW()&lt;3, Query1[[#This Row],[Shares]], IF(Query1[[#This Row],[Month]]&lt;&gt;H344, P344+Query1[[#This Row],[Enhanced top up]]/Query1[[#This Row],[Adj Close]], P344))</f>
        <v>1206.88885167641</v>
      </c>
      <c r="Q345" s="2">
        <f>IFERROR(AVERAGE(
  IF(ROW()&gt;20, INDEX(G:G, ROW()-20), 0) :
  INDEX(G:G, ROW())
),0)</f>
        <v>509.27435448056178</v>
      </c>
    </row>
    <row r="346" spans="1:17" x14ac:dyDescent="0.3">
      <c r="A346" s="1">
        <v>45793</v>
      </c>
      <c r="B346">
        <v>543.469970703125</v>
      </c>
      <c r="C346">
        <v>546.469970703125</v>
      </c>
      <c r="D346">
        <v>541.70001220703125</v>
      </c>
      <c r="E346">
        <v>546.260009765625</v>
      </c>
      <c r="F346">
        <v>7255300</v>
      </c>
      <c r="G346">
        <v>544.57867431640625</v>
      </c>
      <c r="H346" s="2">
        <f>MONTH(Query1[[#This Row],[Date]])</f>
        <v>5</v>
      </c>
      <c r="I346" s="3">
        <f>Query1[[#This Row],[Shares]]*Query1[[#This Row],[Adj Close]]</f>
        <v>660603.82465433911</v>
      </c>
      <c r="J346" s="3">
        <f>IF(ROW()&lt;3, Dashboard!$E$7, IF(Query1[[#This Row],[Month]]&lt;&gt;H345,J345*(1+Dashboard!$E$4)+Dashboard!$E$5,J345))</f>
        <v>620805.05144658906</v>
      </c>
      <c r="K346">
        <f>IF(ROW()&lt;3, 0,IF(Query1[[#This Row],[Month]]&lt;&gt;H345,IF((J346-I346&gt;0),J346-I346,0),0))</f>
        <v>0</v>
      </c>
      <c r="L346" s="2">
        <f t="shared" si="5"/>
        <v>1213.0548914416743</v>
      </c>
      <c r="M346">
        <f ca="1">IF(ROW()&lt;3,0,IF(Query1[[#This Row],[Month]]&lt;&gt;OFFSET(Query1[[#This Row],[Month]],-1,0),Dashboard!$J$5,0))</f>
        <v>0</v>
      </c>
      <c r="N346" s="2">
        <f ca="1">IF(ROW()&lt;3, Query1[[#This Row],[Shares]], IF(Query1[[#This Row],[Month]]&lt;&gt;H345, N345+Query1[[#This Row],[Fix Top Up]]/Query1[[#This Row],[Adj Close]], N345))</f>
        <v>1206.2513306560334</v>
      </c>
      <c r="O34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6" s="2">
        <f ca="1">IF(ROW()&lt;3, Query1[[#This Row],[Shares]], IF(Query1[[#This Row],[Month]]&lt;&gt;H345, P345+Query1[[#This Row],[Enhanced top up]]/Query1[[#This Row],[Adj Close]], P345))</f>
        <v>1206.88885167641</v>
      </c>
      <c r="Q346" s="2">
        <f>IFERROR(AVERAGE(
  IF(ROW()&gt;20, INDEX(G:G, ROW()-20), 0) :
  INDEX(G:G, ROW())
),0)</f>
        <v>512.26654343377982</v>
      </c>
    </row>
    <row r="347" spans="1:17" x14ac:dyDescent="0.3">
      <c r="A347" s="1">
        <v>45796</v>
      </c>
      <c r="B347">
        <v>540.6300048828125</v>
      </c>
      <c r="C347">
        <v>547.45001220703125</v>
      </c>
      <c r="D347">
        <v>540.58001708984375</v>
      </c>
      <c r="E347">
        <v>546.82000732421875</v>
      </c>
      <c r="F347">
        <v>7766100</v>
      </c>
      <c r="G347">
        <v>545.136962890625</v>
      </c>
      <c r="H347" s="2">
        <f>MONTH(Query1[[#This Row],[Date]])</f>
        <v>5</v>
      </c>
      <c r="I347" s="3">
        <f>Query1[[#This Row],[Shares]]*Query1[[#This Row],[Adj Close]]</f>
        <v>661281.05934013112</v>
      </c>
      <c r="J347" s="3">
        <f>IF(ROW()&lt;3, Dashboard!$E$7, IF(Query1[[#This Row],[Month]]&lt;&gt;H346,J346*(1+Dashboard!$E$4)+Dashboard!$E$5,J346))</f>
        <v>620805.05144658906</v>
      </c>
      <c r="K347">
        <f>IF(ROW()&lt;3, 0,IF(Query1[[#This Row],[Month]]&lt;&gt;H346,IF((J347-I347&gt;0),J347-I347,0),0))</f>
        <v>0</v>
      </c>
      <c r="L347" s="2">
        <f t="shared" si="5"/>
        <v>1213.0548914416743</v>
      </c>
      <c r="M347">
        <f ca="1">IF(ROW()&lt;3,0,IF(Query1[[#This Row],[Month]]&lt;&gt;OFFSET(Query1[[#This Row],[Month]],-1,0),Dashboard!$J$5,0))</f>
        <v>0</v>
      </c>
      <c r="N347" s="2">
        <f ca="1">IF(ROW()&lt;3, Query1[[#This Row],[Shares]], IF(Query1[[#This Row],[Month]]&lt;&gt;H346, N346+Query1[[#This Row],[Fix Top Up]]/Query1[[#This Row],[Adj Close]], N346))</f>
        <v>1206.2513306560334</v>
      </c>
      <c r="O34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7" s="2">
        <f ca="1">IF(ROW()&lt;3, Query1[[#This Row],[Shares]], IF(Query1[[#This Row],[Month]]&lt;&gt;H346, P346+Query1[[#This Row],[Enhanced top up]]/Query1[[#This Row],[Adj Close]], P346))</f>
        <v>1206.88885167641</v>
      </c>
      <c r="Q347" s="2">
        <f>IFERROR(AVERAGE(
  IF(ROW()&gt;20, INDEX(G:G, ROW()-20), 0) :
  INDEX(G:G, ROW())
),0)</f>
        <v>515.25351242792044</v>
      </c>
    </row>
    <row r="348" spans="1:17" x14ac:dyDescent="0.3">
      <c r="A348" s="1">
        <v>45797</v>
      </c>
      <c r="B348">
        <v>545.219970703125</v>
      </c>
      <c r="C348">
        <v>546.05999755859375</v>
      </c>
      <c r="D348">
        <v>541.989990234375</v>
      </c>
      <c r="E348">
        <v>544.8800048828125</v>
      </c>
      <c r="F348">
        <v>7158200</v>
      </c>
      <c r="G348">
        <v>543.20294189453125</v>
      </c>
      <c r="H348" s="2">
        <f>MONTH(Query1[[#This Row],[Date]])</f>
        <v>5</v>
      </c>
      <c r="I348" s="3">
        <f>Query1[[#This Row],[Shares]]*Query1[[#This Row],[Adj Close]]</f>
        <v>658934.98571066873</v>
      </c>
      <c r="J348" s="3">
        <f>IF(ROW()&lt;3, Dashboard!$E$7, IF(Query1[[#This Row],[Month]]&lt;&gt;H347,J347*(1+Dashboard!$E$4)+Dashboard!$E$5,J347))</f>
        <v>620805.05144658906</v>
      </c>
      <c r="K348">
        <f>IF(ROW()&lt;3, 0,IF(Query1[[#This Row],[Month]]&lt;&gt;H347,IF((J348-I348&gt;0),J348-I348,0),0))</f>
        <v>0</v>
      </c>
      <c r="L348" s="2">
        <f t="shared" si="5"/>
        <v>1213.0548914416743</v>
      </c>
      <c r="M348">
        <f ca="1">IF(ROW()&lt;3,0,IF(Query1[[#This Row],[Month]]&lt;&gt;OFFSET(Query1[[#This Row],[Month]],-1,0),Dashboard!$J$5,0))</f>
        <v>0</v>
      </c>
      <c r="N348" s="2">
        <f ca="1">IF(ROW()&lt;3, Query1[[#This Row],[Shares]], IF(Query1[[#This Row],[Month]]&lt;&gt;H347, N347+Query1[[#This Row],[Fix Top Up]]/Query1[[#This Row],[Adj Close]], N347))</f>
        <v>1206.2513306560334</v>
      </c>
      <c r="O34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8" s="2">
        <f ca="1">IF(ROW()&lt;3, Query1[[#This Row],[Shares]], IF(Query1[[#This Row],[Month]]&lt;&gt;H347, P347+Query1[[#This Row],[Enhanced top up]]/Query1[[#This Row],[Adj Close]], P347))</f>
        <v>1206.88885167641</v>
      </c>
      <c r="Q348" s="2">
        <f>IFERROR(AVERAGE(
  IF(ROW()&gt;20, INDEX(G:G, ROW()-20), 0) :
  INDEX(G:G, ROW())
),0)</f>
        <v>518.69574265252982</v>
      </c>
    </row>
    <row r="349" spans="1:17" x14ac:dyDescent="0.3">
      <c r="A349" s="1">
        <v>45798</v>
      </c>
      <c r="B349">
        <v>540.90997314453125</v>
      </c>
      <c r="C349">
        <v>544.69000244140625</v>
      </c>
      <c r="D349">
        <v>534.82000732421875</v>
      </c>
      <c r="E349">
        <v>535.77001953125</v>
      </c>
      <c r="F349">
        <v>6339500</v>
      </c>
      <c r="G349">
        <v>534.1209716796875</v>
      </c>
      <c r="H349" s="2">
        <f>MONTH(Query1[[#This Row],[Date]])</f>
        <v>5</v>
      </c>
      <c r="I349" s="3">
        <f>Query1[[#This Row],[Shares]]*Query1[[#This Row],[Adj Close]]</f>
        <v>647918.05731762492</v>
      </c>
      <c r="J349" s="3">
        <f>IF(ROW()&lt;3, Dashboard!$E$7, IF(Query1[[#This Row],[Month]]&lt;&gt;H348,J348*(1+Dashboard!$E$4)+Dashboard!$E$5,J348))</f>
        <v>620805.05144658906</v>
      </c>
      <c r="K349">
        <f>IF(ROW()&lt;3, 0,IF(Query1[[#This Row],[Month]]&lt;&gt;H348,IF((J349-I349&gt;0),J349-I349,0),0))</f>
        <v>0</v>
      </c>
      <c r="L349" s="2">
        <f t="shared" si="5"/>
        <v>1213.0548914416743</v>
      </c>
      <c r="M349">
        <f ca="1">IF(ROW()&lt;3,0,IF(Query1[[#This Row],[Month]]&lt;&gt;OFFSET(Query1[[#This Row],[Month]],-1,0),Dashboard!$J$5,0))</f>
        <v>0</v>
      </c>
      <c r="N349" s="2">
        <f ca="1">IF(ROW()&lt;3, Query1[[#This Row],[Shares]], IF(Query1[[#This Row],[Month]]&lt;&gt;H348, N348+Query1[[#This Row],[Fix Top Up]]/Query1[[#This Row],[Adj Close]], N348))</f>
        <v>1206.2513306560334</v>
      </c>
      <c r="O34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49" s="2">
        <f ca="1">IF(ROW()&lt;3, Query1[[#This Row],[Shares]], IF(Query1[[#This Row],[Month]]&lt;&gt;H348, P348+Query1[[#This Row],[Enhanced top up]]/Query1[[#This Row],[Adj Close]], P348))</f>
        <v>1206.88885167641</v>
      </c>
      <c r="Q349" s="2">
        <f>IFERROR(AVERAGE(
  IF(ROW()&gt;20, INDEX(G:G, ROW()-20), 0) :
  INDEX(G:G, ROW())
),0)</f>
        <v>521.13962518601193</v>
      </c>
    </row>
    <row r="350" spans="1:17" x14ac:dyDescent="0.3">
      <c r="A350" s="1">
        <v>45799</v>
      </c>
      <c r="B350">
        <v>535.5999755859375</v>
      </c>
      <c r="C350">
        <v>539.22998046875</v>
      </c>
      <c r="D350">
        <v>534.44000244140625</v>
      </c>
      <c r="E350">
        <v>536.02001953125</v>
      </c>
      <c r="F350">
        <v>5816600</v>
      </c>
      <c r="G350">
        <v>534.3702392578125</v>
      </c>
      <c r="H350" s="2">
        <f>MONTH(Query1[[#This Row],[Date]])</f>
        <v>5</v>
      </c>
      <c r="I350" s="3">
        <f>Query1[[#This Row],[Shares]]*Query1[[#This Row],[Adj Close]]</f>
        <v>648220.43257254723</v>
      </c>
      <c r="J350" s="3">
        <f>IF(ROW()&lt;3, Dashboard!$E$7, IF(Query1[[#This Row],[Month]]&lt;&gt;H349,J349*(1+Dashboard!$E$4)+Dashboard!$E$5,J349))</f>
        <v>620805.05144658906</v>
      </c>
      <c r="K350">
        <f>IF(ROW()&lt;3, 0,IF(Query1[[#This Row],[Month]]&lt;&gt;H349,IF((J350-I350&gt;0),J350-I350,0),0))</f>
        <v>0</v>
      </c>
      <c r="L350" s="2">
        <f t="shared" si="5"/>
        <v>1213.0548914416743</v>
      </c>
      <c r="M350">
        <f ca="1">IF(ROW()&lt;3,0,IF(Query1[[#This Row],[Month]]&lt;&gt;OFFSET(Query1[[#This Row],[Month]],-1,0),Dashboard!$J$5,0))</f>
        <v>0</v>
      </c>
      <c r="N350" s="2">
        <f ca="1">IF(ROW()&lt;3, Query1[[#This Row],[Shares]], IF(Query1[[#This Row],[Month]]&lt;&gt;H349, N349+Query1[[#This Row],[Fix Top Up]]/Query1[[#This Row],[Adj Close]], N349))</f>
        <v>1206.2513306560334</v>
      </c>
      <c r="O35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0" s="2">
        <f ca="1">IF(ROW()&lt;3, Query1[[#This Row],[Shares]], IF(Query1[[#This Row],[Month]]&lt;&gt;H349, P349+Query1[[#This Row],[Enhanced top up]]/Query1[[#This Row],[Adj Close]], P349))</f>
        <v>1206.88885167641</v>
      </c>
      <c r="Q350" s="2">
        <f>IFERROR(AVERAGE(
  IF(ROW()&gt;20, INDEX(G:G, ROW()-20), 0) :
  INDEX(G:G, ROW())
),0)</f>
        <v>523.22604224795384</v>
      </c>
    </row>
    <row r="351" spans="1:17" x14ac:dyDescent="0.3">
      <c r="A351" s="1">
        <v>45800</v>
      </c>
      <c r="B351">
        <v>529.42999267578125</v>
      </c>
      <c r="C351">
        <v>534.80999755859375</v>
      </c>
      <c r="D351">
        <v>529.1099853515625</v>
      </c>
      <c r="E351">
        <v>532.4000244140625</v>
      </c>
      <c r="F351">
        <v>6455900</v>
      </c>
      <c r="G351">
        <v>530.7613525390625</v>
      </c>
      <c r="H351" s="2">
        <f>MONTH(Query1[[#This Row],[Date]])</f>
        <v>5</v>
      </c>
      <c r="I351" s="3">
        <f>Query1[[#This Row],[Shares]]*Query1[[#This Row],[Adj Close]]</f>
        <v>643842.6548857087</v>
      </c>
      <c r="J351" s="3">
        <f>IF(ROW()&lt;3, Dashboard!$E$7, IF(Query1[[#This Row],[Month]]&lt;&gt;H350,J350*(1+Dashboard!$E$4)+Dashboard!$E$5,J350))</f>
        <v>620805.05144658906</v>
      </c>
      <c r="K351">
        <f>IF(ROW()&lt;3, 0,IF(Query1[[#This Row],[Month]]&lt;&gt;H350,IF((J351-I351&gt;0),J351-I351,0),0))</f>
        <v>0</v>
      </c>
      <c r="L351" s="2">
        <f t="shared" si="5"/>
        <v>1213.0548914416743</v>
      </c>
      <c r="M351">
        <f ca="1">IF(ROW()&lt;3,0,IF(Query1[[#This Row],[Month]]&lt;&gt;OFFSET(Query1[[#This Row],[Month]],-1,0),Dashboard!$J$5,0))</f>
        <v>0</v>
      </c>
      <c r="N351" s="2">
        <f ca="1">IF(ROW()&lt;3, Query1[[#This Row],[Shares]], IF(Query1[[#This Row],[Month]]&lt;&gt;H350, N350+Query1[[#This Row],[Fix Top Up]]/Query1[[#This Row],[Adj Close]], N350))</f>
        <v>1206.2513306560334</v>
      </c>
      <c r="O35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1" s="2">
        <f ca="1">IF(ROW()&lt;3, Query1[[#This Row],[Shares]], IF(Query1[[#This Row],[Month]]&lt;&gt;H350, P350+Query1[[#This Row],[Enhanced top up]]/Query1[[#This Row],[Adj Close]], P350))</f>
        <v>1206.88885167641</v>
      </c>
      <c r="Q351" s="2">
        <f>IFERROR(AVERAGE(
  IF(ROW()&gt;20, INDEX(G:G, ROW()-20), 0) :
  INDEX(G:G, ROW())
),0)</f>
        <v>524.64974248976932</v>
      </c>
    </row>
    <row r="352" spans="1:17" x14ac:dyDescent="0.3">
      <c r="A352" s="1">
        <v>45804</v>
      </c>
      <c r="B352">
        <v>538.719970703125</v>
      </c>
      <c r="C352">
        <v>543.52001953125</v>
      </c>
      <c r="D352">
        <v>537.17999267578125</v>
      </c>
      <c r="E352">
        <v>543.34002685546875</v>
      </c>
      <c r="F352">
        <v>6118100</v>
      </c>
      <c r="G352">
        <v>541.667724609375</v>
      </c>
      <c r="H352" s="2">
        <f>MONTH(Query1[[#This Row],[Date]])</f>
        <v>5</v>
      </c>
      <c r="I352" s="3">
        <f>Query1[[#This Row],[Shares]]*Query1[[#This Row],[Adj Close]]</f>
        <v>657072.6828734841</v>
      </c>
      <c r="J352" s="3">
        <f>IF(ROW()&lt;3, Dashboard!$E$7, IF(Query1[[#This Row],[Month]]&lt;&gt;H351,J351*(1+Dashboard!$E$4)+Dashboard!$E$5,J351))</f>
        <v>620805.05144658906</v>
      </c>
      <c r="K352">
        <f>IF(ROW()&lt;3, 0,IF(Query1[[#This Row],[Month]]&lt;&gt;H351,IF((J352-I352&gt;0),J352-I352,0),0))</f>
        <v>0</v>
      </c>
      <c r="L352" s="2">
        <f t="shared" si="5"/>
        <v>1213.0548914416743</v>
      </c>
      <c r="M352">
        <f ca="1">IF(ROW()&lt;3,0,IF(Query1[[#This Row],[Month]]&lt;&gt;OFFSET(Query1[[#This Row],[Month]],-1,0),Dashboard!$J$5,0))</f>
        <v>0</v>
      </c>
      <c r="N352" s="2">
        <f ca="1">IF(ROW()&lt;3, Query1[[#This Row],[Shares]], IF(Query1[[#This Row],[Month]]&lt;&gt;H351, N351+Query1[[#This Row],[Fix Top Up]]/Query1[[#This Row],[Adj Close]], N351))</f>
        <v>1206.2513306560334</v>
      </c>
      <c r="O35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2" s="2">
        <f ca="1">IF(ROW()&lt;3, Query1[[#This Row],[Shares]], IF(Query1[[#This Row],[Month]]&lt;&gt;H351, P351+Query1[[#This Row],[Enhanced top up]]/Query1[[#This Row],[Adj Close]], P351))</f>
        <v>1206.88885167641</v>
      </c>
      <c r="Q352" s="2">
        <f>IFERROR(AVERAGE(
  IF(ROW()&gt;20, INDEX(G:G, ROW()-20), 0) :
  INDEX(G:G, ROW())
),0)</f>
        <v>526.41714622860866</v>
      </c>
    </row>
    <row r="353" spans="1:17" x14ac:dyDescent="0.3">
      <c r="A353" s="1">
        <v>45805</v>
      </c>
      <c r="B353">
        <v>543.78997802734375</v>
      </c>
      <c r="C353">
        <v>544.9000244140625</v>
      </c>
      <c r="D353">
        <v>539.6099853515625</v>
      </c>
      <c r="E353">
        <v>540.239990234375</v>
      </c>
      <c r="F353">
        <v>4910500</v>
      </c>
      <c r="G353">
        <v>538.57720947265625</v>
      </c>
      <c r="H353" s="2">
        <f>MONTH(Query1[[#This Row],[Date]])</f>
        <v>5</v>
      </c>
      <c r="I353" s="3">
        <f>Query1[[#This Row],[Shares]]*Query1[[#This Row],[Adj Close]]</f>
        <v>653323.71836981294</v>
      </c>
      <c r="J353" s="3">
        <f>IF(ROW()&lt;3, Dashboard!$E$7, IF(Query1[[#This Row],[Month]]&lt;&gt;H352,J352*(1+Dashboard!$E$4)+Dashboard!$E$5,J352))</f>
        <v>620805.05144658906</v>
      </c>
      <c r="K353">
        <f>IF(ROW()&lt;3, 0,IF(Query1[[#This Row],[Month]]&lt;&gt;H352,IF((J353-I353&gt;0),J353-I353,0),0))</f>
        <v>0</v>
      </c>
      <c r="L353" s="2">
        <f t="shared" si="5"/>
        <v>1213.0548914416743</v>
      </c>
      <c r="M353">
        <f ca="1">IF(ROW()&lt;3,0,IF(Query1[[#This Row],[Month]]&lt;&gt;OFFSET(Query1[[#This Row],[Month]],-1,0),Dashboard!$J$5,0))</f>
        <v>0</v>
      </c>
      <c r="N353" s="2">
        <f ca="1">IF(ROW()&lt;3, Query1[[#This Row],[Shares]], IF(Query1[[#This Row],[Month]]&lt;&gt;H352, N352+Query1[[#This Row],[Fix Top Up]]/Query1[[#This Row],[Adj Close]], N352))</f>
        <v>1206.2513306560334</v>
      </c>
      <c r="O35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3" s="2">
        <f ca="1">IF(ROW()&lt;3, Query1[[#This Row],[Shares]], IF(Query1[[#This Row],[Month]]&lt;&gt;H352, P352+Query1[[#This Row],[Enhanced top up]]/Query1[[#This Row],[Adj Close]], P352))</f>
        <v>1206.88885167641</v>
      </c>
      <c r="Q353" s="2">
        <f>IFERROR(AVERAGE(
  IF(ROW()&gt;20, INDEX(G:G, ROW()-20), 0) :
  INDEX(G:G, ROW())
),0)</f>
        <v>528.02266438802087</v>
      </c>
    </row>
    <row r="354" spans="1:17" x14ac:dyDescent="0.3">
      <c r="A354" s="1">
        <v>45806</v>
      </c>
      <c r="B354">
        <v>545.1500244140625</v>
      </c>
      <c r="C354">
        <v>545.280029296875</v>
      </c>
      <c r="D354">
        <v>538.739990234375</v>
      </c>
      <c r="E354">
        <v>542.32000732421875</v>
      </c>
      <c r="F354">
        <v>4659500</v>
      </c>
      <c r="G354">
        <v>540.65081787109375</v>
      </c>
      <c r="H354" s="2">
        <f>MONTH(Query1[[#This Row],[Date]])</f>
        <v>5</v>
      </c>
      <c r="I354" s="3">
        <f>Query1[[#This Row],[Shares]]*Query1[[#This Row],[Adj Close]]</f>
        <v>655839.11918047199</v>
      </c>
      <c r="J354" s="3">
        <f>IF(ROW()&lt;3, Dashboard!$E$7, IF(Query1[[#This Row],[Month]]&lt;&gt;H353,J353*(1+Dashboard!$E$4)+Dashboard!$E$5,J353))</f>
        <v>620805.05144658906</v>
      </c>
      <c r="K354">
        <f>IF(ROW()&lt;3, 0,IF(Query1[[#This Row],[Month]]&lt;&gt;H353,IF((J354-I354&gt;0),J354-I354,0),0))</f>
        <v>0</v>
      </c>
      <c r="L354" s="2">
        <f t="shared" si="5"/>
        <v>1213.0548914416743</v>
      </c>
      <c r="M354">
        <f ca="1">IF(ROW()&lt;3,0,IF(Query1[[#This Row],[Month]]&lt;&gt;OFFSET(Query1[[#This Row],[Month]],-1,0),Dashboard!$J$5,0))</f>
        <v>0</v>
      </c>
      <c r="N354" s="2">
        <f ca="1">IF(ROW()&lt;3, Query1[[#This Row],[Shares]], IF(Query1[[#This Row],[Month]]&lt;&gt;H353, N353+Query1[[#This Row],[Fix Top Up]]/Query1[[#This Row],[Adj Close]], N353))</f>
        <v>1206.2513306560334</v>
      </c>
      <c r="O35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4" s="2">
        <f ca="1">IF(ROW()&lt;3, Query1[[#This Row],[Shares]], IF(Query1[[#This Row],[Month]]&lt;&gt;H353, P353+Query1[[#This Row],[Enhanced top up]]/Query1[[#This Row],[Adj Close]], P353))</f>
        <v>1206.88885167641</v>
      </c>
      <c r="Q354" s="2">
        <f>IFERROR(AVERAGE(
  IF(ROW()&gt;20, INDEX(G:G, ROW()-20), 0) :
  INDEX(G:G, ROW())
),0)</f>
        <v>529.5811869303385</v>
      </c>
    </row>
    <row r="355" spans="1:17" x14ac:dyDescent="0.3">
      <c r="A355" s="1">
        <v>45807</v>
      </c>
      <c r="B355">
        <v>541.3499755859375</v>
      </c>
      <c r="C355">
        <v>543.3900146484375</v>
      </c>
      <c r="D355">
        <v>536.15997314453125</v>
      </c>
      <c r="E355">
        <v>541.760009765625</v>
      </c>
      <c r="F355">
        <v>6171500</v>
      </c>
      <c r="G355">
        <v>540.092529296875</v>
      </c>
      <c r="H355" s="2">
        <f>MONTH(Query1[[#This Row],[Date]])</f>
        <v>5</v>
      </c>
      <c r="I355" s="3">
        <f>Query1[[#This Row],[Shares]]*Query1[[#This Row],[Adj Close]]</f>
        <v>655161.88449467998</v>
      </c>
      <c r="J355" s="3">
        <f>IF(ROW()&lt;3, Dashboard!$E$7, IF(Query1[[#This Row],[Month]]&lt;&gt;H354,J354*(1+Dashboard!$E$4)+Dashboard!$E$5,J354))</f>
        <v>620805.05144658906</v>
      </c>
      <c r="K355">
        <f>IF(ROW()&lt;3, 0,IF(Query1[[#This Row],[Month]]&lt;&gt;H354,IF((J355-I355&gt;0),J355-I355,0),0))</f>
        <v>0</v>
      </c>
      <c r="L355" s="2">
        <f t="shared" si="5"/>
        <v>1213.0548914416743</v>
      </c>
      <c r="M355">
        <f ca="1">IF(ROW()&lt;3,0,IF(Query1[[#This Row],[Month]]&lt;&gt;OFFSET(Query1[[#This Row],[Month]],-1,0),Dashboard!$J$5,0))</f>
        <v>0</v>
      </c>
      <c r="N355" s="2">
        <f ca="1">IF(ROW()&lt;3, Query1[[#This Row],[Shares]], IF(Query1[[#This Row],[Month]]&lt;&gt;H354, N354+Query1[[#This Row],[Fix Top Up]]/Query1[[#This Row],[Adj Close]], N354))</f>
        <v>1206.2513306560334</v>
      </c>
      <c r="O35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5" s="2">
        <f ca="1">IF(ROW()&lt;3, Query1[[#This Row],[Shares]], IF(Query1[[#This Row],[Month]]&lt;&gt;H354, P354+Query1[[#This Row],[Enhanced top up]]/Query1[[#This Row],[Adj Close]], P354))</f>
        <v>1206.88885167641</v>
      </c>
      <c r="Q355" s="2">
        <f>IFERROR(AVERAGE(
  IF(ROW()&gt;20, INDEX(G:G, ROW()-20), 0) :
  INDEX(G:G, ROW())
),0)</f>
        <v>531.10125587100072</v>
      </c>
    </row>
    <row r="356" spans="1:17" x14ac:dyDescent="0.3">
      <c r="A356" s="1">
        <v>45810</v>
      </c>
      <c r="B356">
        <v>540.25</v>
      </c>
      <c r="C356">
        <v>544.90997314453125</v>
      </c>
      <c r="D356">
        <v>537.79998779296875</v>
      </c>
      <c r="E356">
        <v>544.90997314453125</v>
      </c>
      <c r="F356">
        <v>5933500</v>
      </c>
      <c r="G356">
        <v>543.2327880859375</v>
      </c>
      <c r="H356" s="2">
        <f>MONTH(Query1[[#This Row],[Date]])</f>
        <v>6</v>
      </c>
      <c r="I356" s="3">
        <f>Query1[[#This Row],[Shares]]*Query1[[#This Row],[Adj Close]]</f>
        <v>658971.19077914499</v>
      </c>
      <c r="J356" s="3">
        <f>IF(ROW()&lt;3, Dashboard!$E$7, IF(Query1[[#This Row],[Month]]&lt;&gt;H355,J355*(1+Dashboard!$E$4)+Dashboard!$E$5,J355))</f>
        <v>629013.10196105496</v>
      </c>
      <c r="K356">
        <f>IF(ROW()&lt;3, 0,IF(Query1[[#This Row],[Month]]&lt;&gt;H355,IF((J356-I356&gt;0),J356-I356,0),0))</f>
        <v>0</v>
      </c>
      <c r="L356" s="2">
        <f t="shared" si="5"/>
        <v>1213.0548914416743</v>
      </c>
      <c r="M356">
        <f ca="1">IF(ROW()&lt;3,0,IF(Query1[[#This Row],[Month]]&lt;&gt;OFFSET(Query1[[#This Row],[Month]],-1,0),Dashboard!$J$5,0))</f>
        <v>979.40350000000024</v>
      </c>
      <c r="N356" s="2">
        <f ca="1">IF(ROW()&lt;3, Query1[[#This Row],[Shares]], IF(Query1[[#This Row],[Month]]&lt;&gt;H355, N355+Query1[[#This Row],[Fix Top Up]]/Query1[[#This Row],[Adj Close]], N355))</f>
        <v>1208.0542474193069</v>
      </c>
      <c r="O35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356" s="2">
        <f ca="1">IF(ROW()&lt;3, Query1[[#This Row],[Shares]], IF(Query1[[#This Row],[Month]]&lt;&gt;H355, P355+Query1[[#This Row],[Enhanced top up]]/Query1[[#This Row],[Adj Close]], P355))</f>
        <v>1208.047477432815</v>
      </c>
      <c r="Q356" s="2">
        <f>IFERROR(AVERAGE(
  IF(ROW()&gt;20, INDEX(G:G, ROW()-20), 0) :
  INDEX(G:G, ROW())
),0)</f>
        <v>532.59948585146947</v>
      </c>
    </row>
    <row r="357" spans="1:17" x14ac:dyDescent="0.3">
      <c r="A357" s="1">
        <v>45811</v>
      </c>
      <c r="B357">
        <v>544.530029296875</v>
      </c>
      <c r="C357">
        <v>548.8699951171875</v>
      </c>
      <c r="D357">
        <v>544.09002685546875</v>
      </c>
      <c r="E357">
        <v>548</v>
      </c>
      <c r="F357">
        <v>4993600</v>
      </c>
      <c r="G357">
        <v>546.3133544921875</v>
      </c>
      <c r="H357" s="2">
        <f>MONTH(Query1[[#This Row],[Date]])</f>
        <v>6</v>
      </c>
      <c r="I357" s="3">
        <f>Query1[[#This Row],[Shares]]*Query1[[#This Row],[Adj Close]]</f>
        <v>662708.08692665747</v>
      </c>
      <c r="J357" s="3">
        <f>IF(ROW()&lt;3, Dashboard!$E$7, IF(Query1[[#This Row],[Month]]&lt;&gt;H356,J356*(1+Dashboard!$E$4)+Dashboard!$E$5,J356))</f>
        <v>629013.10196105496</v>
      </c>
      <c r="K357">
        <f>IF(ROW()&lt;3, 0,IF(Query1[[#This Row],[Month]]&lt;&gt;H356,IF((J357-I357&gt;0),J357-I357,0),0))</f>
        <v>0</v>
      </c>
      <c r="L357" s="2">
        <f t="shared" si="5"/>
        <v>1213.0548914416743</v>
      </c>
      <c r="M357">
        <f ca="1">IF(ROW()&lt;3,0,IF(Query1[[#This Row],[Month]]&lt;&gt;OFFSET(Query1[[#This Row],[Month]],-1,0),Dashboard!$J$5,0))</f>
        <v>0</v>
      </c>
      <c r="N357" s="2">
        <f ca="1">IF(ROW()&lt;3, Query1[[#This Row],[Shares]], IF(Query1[[#This Row],[Month]]&lt;&gt;H356, N356+Query1[[#This Row],[Fix Top Up]]/Query1[[#This Row],[Adj Close]], N356))</f>
        <v>1208.0542474193069</v>
      </c>
      <c r="O35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7" s="2">
        <f ca="1">IF(ROW()&lt;3, Query1[[#This Row],[Shares]], IF(Query1[[#This Row],[Month]]&lt;&gt;H356, P356+Query1[[#This Row],[Enhanced top up]]/Query1[[#This Row],[Adj Close]], P356))</f>
        <v>1208.047477432815</v>
      </c>
      <c r="Q357" s="2">
        <f>IFERROR(AVERAGE(
  IF(ROW()&gt;20, INDEX(G:G, ROW()-20), 0) :
  INDEX(G:G, ROW())
),0)</f>
        <v>533.895009358724</v>
      </c>
    </row>
    <row r="358" spans="1:17" x14ac:dyDescent="0.3">
      <c r="A358" s="1">
        <v>45812</v>
      </c>
      <c r="B358">
        <v>548.75</v>
      </c>
      <c r="C358">
        <v>549.6500244140625</v>
      </c>
      <c r="D358">
        <v>547.44000244140625</v>
      </c>
      <c r="E358">
        <v>547.6500244140625</v>
      </c>
      <c r="F358">
        <v>4543400</v>
      </c>
      <c r="G358">
        <v>545.96441650390625</v>
      </c>
      <c r="H358" s="2">
        <f>MONTH(Query1[[#This Row],[Date]])</f>
        <v>6</v>
      </c>
      <c r="I358" s="3">
        <f>Query1[[#This Row],[Shares]]*Query1[[#This Row],[Adj Close]]</f>
        <v>662284.80599316303</v>
      </c>
      <c r="J358" s="3">
        <f>IF(ROW()&lt;3, Dashboard!$E$7, IF(Query1[[#This Row],[Month]]&lt;&gt;H357,J357*(1+Dashboard!$E$4)+Dashboard!$E$5,J357))</f>
        <v>629013.10196105496</v>
      </c>
      <c r="K358">
        <f>IF(ROW()&lt;3, 0,IF(Query1[[#This Row],[Month]]&lt;&gt;H357,IF((J358-I358&gt;0),J358-I358,0),0))</f>
        <v>0</v>
      </c>
      <c r="L358" s="2">
        <f t="shared" si="5"/>
        <v>1213.0548914416743</v>
      </c>
      <c r="M358">
        <f ca="1">IF(ROW()&lt;3,0,IF(Query1[[#This Row],[Month]]&lt;&gt;OFFSET(Query1[[#This Row],[Month]],-1,0),Dashboard!$J$5,0))</f>
        <v>0</v>
      </c>
      <c r="N358" s="2">
        <f ca="1">IF(ROW()&lt;3, Query1[[#This Row],[Shares]], IF(Query1[[#This Row],[Month]]&lt;&gt;H357, N357+Query1[[#This Row],[Fix Top Up]]/Query1[[#This Row],[Adj Close]], N357))</f>
        <v>1208.0542474193069</v>
      </c>
      <c r="O35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8" s="2">
        <f ca="1">IF(ROW()&lt;3, Query1[[#This Row],[Shares]], IF(Query1[[#This Row],[Month]]&lt;&gt;H357, P357+Query1[[#This Row],[Enhanced top up]]/Query1[[#This Row],[Adj Close]], P357))</f>
        <v>1208.047477432815</v>
      </c>
      <c r="Q358" s="2">
        <f>IFERROR(AVERAGE(
  IF(ROW()&gt;20, INDEX(G:G, ROW()-20), 0) :
  INDEX(G:G, ROW())
),0)</f>
        <v>535.30304391043524</v>
      </c>
    </row>
    <row r="359" spans="1:17" x14ac:dyDescent="0.3">
      <c r="A359" s="1">
        <v>45813</v>
      </c>
      <c r="B359">
        <v>549.47998046875</v>
      </c>
      <c r="C359">
        <v>550.6300048828125</v>
      </c>
      <c r="D359">
        <v>543.34002685546875</v>
      </c>
      <c r="E359">
        <v>545.09002685546875</v>
      </c>
      <c r="F359">
        <v>6372100</v>
      </c>
      <c r="G359">
        <v>543.41229248046875</v>
      </c>
      <c r="H359" s="2">
        <f>MONTH(Query1[[#This Row],[Date]])</f>
        <v>6</v>
      </c>
      <c r="I359" s="3">
        <f>Query1[[#This Row],[Shares]]*Query1[[#This Row],[Adj Close]]</f>
        <v>659188.9394629664</v>
      </c>
      <c r="J359" s="3">
        <f>IF(ROW()&lt;3, Dashboard!$E$7, IF(Query1[[#This Row],[Month]]&lt;&gt;H358,J358*(1+Dashboard!$E$4)+Dashboard!$E$5,J358))</f>
        <v>629013.10196105496</v>
      </c>
      <c r="K359">
        <f>IF(ROW()&lt;3, 0,IF(Query1[[#This Row],[Month]]&lt;&gt;H358,IF((J359-I359&gt;0),J359-I359,0),0))</f>
        <v>0</v>
      </c>
      <c r="L359" s="2">
        <f t="shared" si="5"/>
        <v>1213.0548914416743</v>
      </c>
      <c r="M359">
        <f ca="1">IF(ROW()&lt;3,0,IF(Query1[[#This Row],[Month]]&lt;&gt;OFFSET(Query1[[#This Row],[Month]],-1,0),Dashboard!$J$5,0))</f>
        <v>0</v>
      </c>
      <c r="N359" s="2">
        <f ca="1">IF(ROW()&lt;3, Query1[[#This Row],[Shares]], IF(Query1[[#This Row],[Month]]&lt;&gt;H358, N358+Query1[[#This Row],[Fix Top Up]]/Query1[[#This Row],[Adj Close]], N358))</f>
        <v>1208.0542474193069</v>
      </c>
      <c r="O35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59" s="2">
        <f ca="1">IF(ROW()&lt;3, Query1[[#This Row],[Shares]], IF(Query1[[#This Row],[Month]]&lt;&gt;H358, P358+Query1[[#This Row],[Enhanced top up]]/Query1[[#This Row],[Adj Close]], P358))</f>
        <v>1208.047477432815</v>
      </c>
      <c r="Q359" s="2">
        <f>IFERROR(AVERAGE(
  IF(ROW()&gt;20, INDEX(G:G, ROW()-20), 0) :
  INDEX(G:G, ROW())
),0)</f>
        <v>536.79890078590029</v>
      </c>
    </row>
    <row r="360" spans="1:17" x14ac:dyDescent="0.3">
      <c r="A360" s="1">
        <v>45814</v>
      </c>
      <c r="B360">
        <v>550.29998779296875</v>
      </c>
      <c r="C360">
        <v>552.32000732421875</v>
      </c>
      <c r="D360">
        <v>548.70001220703125</v>
      </c>
      <c r="E360">
        <v>550.65997314453125</v>
      </c>
      <c r="F360">
        <v>4736000</v>
      </c>
      <c r="G360">
        <v>548.965087890625</v>
      </c>
      <c r="H360" s="2">
        <f>MONTH(Query1[[#This Row],[Date]])</f>
        <v>6</v>
      </c>
      <c r="I360" s="3">
        <f>Query1[[#This Row],[Shares]]*Query1[[#This Row],[Adj Close]]</f>
        <v>665924.78509643127</v>
      </c>
      <c r="J360" s="3">
        <f>IF(ROW()&lt;3, Dashboard!$E$7, IF(Query1[[#This Row],[Month]]&lt;&gt;H359,J359*(1+Dashboard!$E$4)+Dashboard!$E$5,J359))</f>
        <v>629013.10196105496</v>
      </c>
      <c r="K360">
        <f>IF(ROW()&lt;3, 0,IF(Query1[[#This Row],[Month]]&lt;&gt;H359,IF((J360-I360&gt;0),J360-I360,0),0))</f>
        <v>0</v>
      </c>
      <c r="L360" s="2">
        <f t="shared" si="5"/>
        <v>1213.0548914416743</v>
      </c>
      <c r="M360">
        <f ca="1">IF(ROW()&lt;3,0,IF(Query1[[#This Row],[Month]]&lt;&gt;OFFSET(Query1[[#This Row],[Month]],-1,0),Dashboard!$J$5,0))</f>
        <v>0</v>
      </c>
      <c r="N360" s="2">
        <f ca="1">IF(ROW()&lt;3, Query1[[#This Row],[Shares]], IF(Query1[[#This Row],[Month]]&lt;&gt;H359, N359+Query1[[#This Row],[Fix Top Up]]/Query1[[#This Row],[Adj Close]], N359))</f>
        <v>1208.0542474193069</v>
      </c>
      <c r="O36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0" s="2">
        <f ca="1">IF(ROW()&lt;3, Query1[[#This Row],[Shares]], IF(Query1[[#This Row],[Month]]&lt;&gt;H359, P359+Query1[[#This Row],[Enhanced top up]]/Query1[[#This Row],[Adj Close]], P359))</f>
        <v>1208.047477432815</v>
      </c>
      <c r="Q360" s="2">
        <f>IFERROR(AVERAGE(
  IF(ROW()&gt;20, INDEX(G:G, ROW()-20), 0) :
  INDEX(G:G, ROW())
),0)</f>
        <v>538.44904145740327</v>
      </c>
    </row>
    <row r="361" spans="1:17" x14ac:dyDescent="0.3">
      <c r="A361" s="1">
        <v>45817</v>
      </c>
      <c r="B361">
        <v>551.29998779296875</v>
      </c>
      <c r="C361">
        <v>552.70001220703125</v>
      </c>
      <c r="D361">
        <v>550.20001220703125</v>
      </c>
      <c r="E361">
        <v>551.25</v>
      </c>
      <c r="F361">
        <v>4516400</v>
      </c>
      <c r="G361">
        <v>549.5533447265625</v>
      </c>
      <c r="H361" s="2">
        <f>MONTH(Query1[[#This Row],[Date]])</f>
        <v>6</v>
      </c>
      <c r="I361" s="3">
        <f>Query1[[#This Row],[Shares]]*Query1[[#This Row],[Adj Close]]</f>
        <v>666638.37292868923</v>
      </c>
      <c r="J361" s="3">
        <f>IF(ROW()&lt;3, Dashboard!$E$7, IF(Query1[[#This Row],[Month]]&lt;&gt;H360,J360*(1+Dashboard!$E$4)+Dashboard!$E$5,J360))</f>
        <v>629013.10196105496</v>
      </c>
      <c r="K361">
        <f>IF(ROW()&lt;3, 0,IF(Query1[[#This Row],[Month]]&lt;&gt;H360,IF((J361-I361&gt;0),J361-I361,0),0))</f>
        <v>0</v>
      </c>
      <c r="L361" s="2">
        <f t="shared" si="5"/>
        <v>1213.0548914416743</v>
      </c>
      <c r="M361">
        <f ca="1">IF(ROW()&lt;3,0,IF(Query1[[#This Row],[Month]]&lt;&gt;OFFSET(Query1[[#This Row],[Month]],-1,0),Dashboard!$J$5,0))</f>
        <v>0</v>
      </c>
      <c r="N361" s="2">
        <f ca="1">IF(ROW()&lt;3, Query1[[#This Row],[Shares]], IF(Query1[[#This Row],[Month]]&lt;&gt;H360, N360+Query1[[#This Row],[Fix Top Up]]/Query1[[#This Row],[Adj Close]], N360))</f>
        <v>1208.0542474193069</v>
      </c>
      <c r="O36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1" s="2">
        <f ca="1">IF(ROW()&lt;3, Query1[[#This Row],[Shares]], IF(Query1[[#This Row],[Month]]&lt;&gt;H360, P360+Query1[[#This Row],[Enhanced top up]]/Query1[[#This Row],[Adj Close]], P360))</f>
        <v>1208.047477432815</v>
      </c>
      <c r="Q361" s="2">
        <f>IFERROR(AVERAGE(
  IF(ROW()&gt;20, INDEX(G:G, ROW()-20), 0) :
  INDEX(G:G, ROW())
),0)</f>
        <v>539.96388753255212</v>
      </c>
    </row>
    <row r="362" spans="1:17" x14ac:dyDescent="0.3">
      <c r="A362" s="1">
        <v>45818</v>
      </c>
      <c r="B362">
        <v>551.780029296875</v>
      </c>
      <c r="C362">
        <v>554.739990234375</v>
      </c>
      <c r="D362">
        <v>550.739990234375</v>
      </c>
      <c r="E362">
        <v>554.3900146484375</v>
      </c>
      <c r="F362">
        <v>5984100</v>
      </c>
      <c r="G362">
        <v>552.68365478515625</v>
      </c>
      <c r="H362" s="2">
        <f>MONTH(Query1[[#This Row],[Date]])</f>
        <v>6</v>
      </c>
      <c r="I362" s="3">
        <f>Query1[[#This Row],[Shares]]*Query1[[#This Row],[Adj Close]]</f>
        <v>670435.61085699545</v>
      </c>
      <c r="J362" s="3">
        <f>IF(ROW()&lt;3, Dashboard!$E$7, IF(Query1[[#This Row],[Month]]&lt;&gt;H361,J361*(1+Dashboard!$E$4)+Dashboard!$E$5,J361))</f>
        <v>629013.10196105496</v>
      </c>
      <c r="K362">
        <f>IF(ROW()&lt;3, 0,IF(Query1[[#This Row],[Month]]&lt;&gt;H361,IF((J362-I362&gt;0),J362-I362,0),0))</f>
        <v>0</v>
      </c>
      <c r="L362" s="2">
        <f t="shared" si="5"/>
        <v>1213.0548914416743</v>
      </c>
      <c r="M362">
        <f ca="1">IF(ROW()&lt;3,0,IF(Query1[[#This Row],[Month]]&lt;&gt;OFFSET(Query1[[#This Row],[Month]],-1,0),Dashboard!$J$5,0))</f>
        <v>0</v>
      </c>
      <c r="N362" s="2">
        <f ca="1">IF(ROW()&lt;3, Query1[[#This Row],[Shares]], IF(Query1[[#This Row],[Month]]&lt;&gt;H361, N361+Query1[[#This Row],[Fix Top Up]]/Query1[[#This Row],[Adj Close]], N361))</f>
        <v>1208.0542474193069</v>
      </c>
      <c r="O36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2" s="2">
        <f ca="1">IF(ROW()&lt;3, Query1[[#This Row],[Shares]], IF(Query1[[#This Row],[Month]]&lt;&gt;H361, P361+Query1[[#This Row],[Enhanced top up]]/Query1[[#This Row],[Adj Close]], P361))</f>
        <v>1208.047477432815</v>
      </c>
      <c r="Q362" s="2">
        <f>IFERROR(AVERAGE(
  IF(ROW()&gt;20, INDEX(G:G, ROW()-20), 0) :
  INDEX(G:G, ROW())
),0)</f>
        <v>541.66055152529759</v>
      </c>
    </row>
    <row r="363" spans="1:17" x14ac:dyDescent="0.3">
      <c r="A363" s="1">
        <v>45819</v>
      </c>
      <c r="B363">
        <v>555.40997314453125</v>
      </c>
      <c r="C363">
        <v>556.22998046875</v>
      </c>
      <c r="D363">
        <v>550.90997314453125</v>
      </c>
      <c r="E363">
        <v>552.8599853515625</v>
      </c>
      <c r="F363">
        <v>20800600</v>
      </c>
      <c r="G363">
        <v>551.15838623046875</v>
      </c>
      <c r="H363" s="2">
        <f>MONTH(Query1[[#This Row],[Date]])</f>
        <v>6</v>
      </c>
      <c r="I363" s="3">
        <f>Query1[[#This Row],[Shares]]*Query1[[#This Row],[Adj Close]]</f>
        <v>668585.37637596962</v>
      </c>
      <c r="J363" s="3">
        <f>IF(ROW()&lt;3, Dashboard!$E$7, IF(Query1[[#This Row],[Month]]&lt;&gt;H362,J362*(1+Dashboard!$E$4)+Dashboard!$E$5,J362))</f>
        <v>629013.10196105496</v>
      </c>
      <c r="K363">
        <f>IF(ROW()&lt;3, 0,IF(Query1[[#This Row],[Month]]&lt;&gt;H362,IF((J363-I363&gt;0),J363-I363,0),0))</f>
        <v>0</v>
      </c>
      <c r="L363" s="2">
        <f t="shared" si="5"/>
        <v>1213.0548914416743</v>
      </c>
      <c r="M363">
        <f ca="1">IF(ROW()&lt;3,0,IF(Query1[[#This Row],[Month]]&lt;&gt;OFFSET(Query1[[#This Row],[Month]],-1,0),Dashboard!$J$5,0))</f>
        <v>0</v>
      </c>
      <c r="N363" s="2">
        <f ca="1">IF(ROW()&lt;3, Query1[[#This Row],[Shares]], IF(Query1[[#This Row],[Month]]&lt;&gt;H362, N362+Query1[[#This Row],[Fix Top Up]]/Query1[[#This Row],[Adj Close]], N362))</f>
        <v>1208.0542474193069</v>
      </c>
      <c r="O36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3" s="2">
        <f ca="1">IF(ROW()&lt;3, Query1[[#This Row],[Shares]], IF(Query1[[#This Row],[Month]]&lt;&gt;H362, P362+Query1[[#This Row],[Enhanced top up]]/Query1[[#This Row],[Adj Close]], P362))</f>
        <v>1208.047477432815</v>
      </c>
      <c r="Q363" s="2">
        <f>IFERROR(AVERAGE(
  IF(ROW()&gt;20, INDEX(G:G, ROW()-20), 0) :
  INDEX(G:G, ROW())
),0)</f>
        <v>542.4647362118676</v>
      </c>
    </row>
    <row r="364" spans="1:17" x14ac:dyDescent="0.3">
      <c r="A364" s="1">
        <v>45820</v>
      </c>
      <c r="B364">
        <v>551.5999755859375</v>
      </c>
      <c r="C364">
        <v>555</v>
      </c>
      <c r="D364">
        <v>551.1300048828125</v>
      </c>
      <c r="E364">
        <v>554.95001220703125</v>
      </c>
      <c r="F364">
        <v>8422900</v>
      </c>
      <c r="G364">
        <v>553.241943359375</v>
      </c>
      <c r="H364" s="2">
        <f>MONTH(Query1[[#This Row],[Date]])</f>
        <v>6</v>
      </c>
      <c r="I364" s="3">
        <f>Query1[[#This Row],[Shares]]*Query1[[#This Row],[Adj Close]]</f>
        <v>671112.84554278757</v>
      </c>
      <c r="J364" s="3">
        <f>IF(ROW()&lt;3, Dashboard!$E$7, IF(Query1[[#This Row],[Month]]&lt;&gt;H363,J363*(1+Dashboard!$E$4)+Dashboard!$E$5,J363))</f>
        <v>629013.10196105496</v>
      </c>
      <c r="K364">
        <f>IF(ROW()&lt;3, 0,IF(Query1[[#This Row],[Month]]&lt;&gt;H363,IF((J364-I364&gt;0),J364-I364,0),0))</f>
        <v>0</v>
      </c>
      <c r="L364" s="2">
        <f t="shared" si="5"/>
        <v>1213.0548914416743</v>
      </c>
      <c r="M364">
        <f ca="1">IF(ROW()&lt;3,0,IF(Query1[[#This Row],[Month]]&lt;&gt;OFFSET(Query1[[#This Row],[Month]],-1,0),Dashboard!$J$5,0))</f>
        <v>0</v>
      </c>
      <c r="N364" s="2">
        <f ca="1">IF(ROW()&lt;3, Query1[[#This Row],[Shares]], IF(Query1[[#This Row],[Month]]&lt;&gt;H363, N363+Query1[[#This Row],[Fix Top Up]]/Query1[[#This Row],[Adj Close]], N363))</f>
        <v>1208.0542474193069</v>
      </c>
      <c r="O36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4" s="2">
        <f ca="1">IF(ROW()&lt;3, Query1[[#This Row],[Shares]], IF(Query1[[#This Row],[Month]]&lt;&gt;H363, P363+Query1[[#This Row],[Enhanced top up]]/Query1[[#This Row],[Adj Close]], P363))</f>
        <v>1208.047477432815</v>
      </c>
      <c r="Q364" s="2">
        <f>IFERROR(AVERAGE(
  IF(ROW()&gt;20, INDEX(G:G, ROW()-20), 0) :
  INDEX(G:G, ROW())
),0)</f>
        <v>543.2010352725074</v>
      </c>
    </row>
    <row r="365" spans="1:17" x14ac:dyDescent="0.3">
      <c r="A365" s="1">
        <v>45821</v>
      </c>
      <c r="B365">
        <v>550.239990234375</v>
      </c>
      <c r="C365">
        <v>553.25</v>
      </c>
      <c r="D365">
        <v>547.40997314453125</v>
      </c>
      <c r="E365">
        <v>548.77001953125</v>
      </c>
      <c r="F365">
        <v>7100600</v>
      </c>
      <c r="G365">
        <v>547.08099365234375</v>
      </c>
      <c r="H365" s="2">
        <f>MONTH(Query1[[#This Row],[Date]])</f>
        <v>6</v>
      </c>
      <c r="I365" s="3">
        <f>Query1[[#This Row],[Shares]]*Query1[[#This Row],[Adj Close]]</f>
        <v>663639.27536474715</v>
      </c>
      <c r="J365" s="3">
        <f>IF(ROW()&lt;3, Dashboard!$E$7, IF(Query1[[#This Row],[Month]]&lt;&gt;H364,J364*(1+Dashboard!$E$4)+Dashboard!$E$5,J364))</f>
        <v>629013.10196105496</v>
      </c>
      <c r="K365">
        <f>IF(ROW()&lt;3, 0,IF(Query1[[#This Row],[Month]]&lt;&gt;H364,IF((J365-I365&gt;0),J365-I365,0),0))</f>
        <v>0</v>
      </c>
      <c r="L365" s="2">
        <f t="shared" si="5"/>
        <v>1213.0548914416743</v>
      </c>
      <c r="M365">
        <f ca="1">IF(ROW()&lt;3,0,IF(Query1[[#This Row],[Month]]&lt;&gt;OFFSET(Query1[[#This Row],[Month]],-1,0),Dashboard!$J$5,0))</f>
        <v>0</v>
      </c>
      <c r="N365" s="2">
        <f ca="1">IF(ROW()&lt;3, Query1[[#This Row],[Shares]], IF(Query1[[#This Row],[Month]]&lt;&gt;H364, N364+Query1[[#This Row],[Fix Top Up]]/Query1[[#This Row],[Adj Close]], N364))</f>
        <v>1208.0542474193069</v>
      </c>
      <c r="O36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5" s="2">
        <f ca="1">IF(ROW()&lt;3, Query1[[#This Row],[Shares]], IF(Query1[[#This Row],[Month]]&lt;&gt;H364, P364+Query1[[#This Row],[Enhanced top up]]/Query1[[#This Row],[Adj Close]], P364))</f>
        <v>1208.047477432815</v>
      </c>
      <c r="Q365" s="2">
        <f>IFERROR(AVERAGE(
  IF(ROW()&gt;20, INDEX(G:G, ROW()-20), 0) :
  INDEX(G:G, ROW())
),0)</f>
        <v>543.61215064639134</v>
      </c>
    </row>
    <row r="366" spans="1:17" x14ac:dyDescent="0.3">
      <c r="A366" s="1">
        <v>45824</v>
      </c>
      <c r="B366">
        <v>551.94000244140625</v>
      </c>
      <c r="C366">
        <v>555.69000244140625</v>
      </c>
      <c r="D366">
        <v>551.8699951171875</v>
      </c>
      <c r="E366">
        <v>554.07000732421875</v>
      </c>
      <c r="F366">
        <v>7421300</v>
      </c>
      <c r="G366">
        <v>552.36468505859375</v>
      </c>
      <c r="H366" s="2">
        <f>MONTH(Query1[[#This Row],[Date]])</f>
        <v>6</v>
      </c>
      <c r="I366" s="3">
        <f>Query1[[#This Row],[Shares]]*Query1[[#This Row],[Adj Close]]</f>
        <v>670048.68306996708</v>
      </c>
      <c r="J366" s="3">
        <f>IF(ROW()&lt;3, Dashboard!$E$7, IF(Query1[[#This Row],[Month]]&lt;&gt;H365,J365*(1+Dashboard!$E$4)+Dashboard!$E$5,J365))</f>
        <v>629013.10196105496</v>
      </c>
      <c r="K366">
        <f>IF(ROW()&lt;3, 0,IF(Query1[[#This Row],[Month]]&lt;&gt;H365,IF((J366-I366&gt;0),J366-I366,0),0))</f>
        <v>0</v>
      </c>
      <c r="L366" s="2">
        <f t="shared" si="5"/>
        <v>1213.0548914416743</v>
      </c>
      <c r="M366">
        <f ca="1">IF(ROW()&lt;3,0,IF(Query1[[#This Row],[Month]]&lt;&gt;OFFSET(Query1[[#This Row],[Month]],-1,0),Dashboard!$J$5,0))</f>
        <v>0</v>
      </c>
      <c r="N366" s="2">
        <f ca="1">IF(ROW()&lt;3, Query1[[#This Row],[Shares]], IF(Query1[[#This Row],[Month]]&lt;&gt;H365, N365+Query1[[#This Row],[Fix Top Up]]/Query1[[#This Row],[Adj Close]], N365))</f>
        <v>1208.0542474193069</v>
      </c>
      <c r="O36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6" s="2">
        <f ca="1">IF(ROW()&lt;3, Query1[[#This Row],[Shares]], IF(Query1[[#This Row],[Month]]&lt;&gt;H365, P365+Query1[[#This Row],[Enhanced top up]]/Query1[[#This Row],[Adj Close]], P365))</f>
        <v>1208.047477432815</v>
      </c>
      <c r="Q366" s="2">
        <f>IFERROR(AVERAGE(
  IF(ROW()&gt;20, INDEX(G:G, ROW()-20), 0) :
  INDEX(G:G, ROW())
),0)</f>
        <v>544.14906529017856</v>
      </c>
    </row>
    <row r="367" spans="1:17" x14ac:dyDescent="0.3">
      <c r="A367" s="1">
        <v>45825</v>
      </c>
      <c r="B367">
        <v>551.78997802734375</v>
      </c>
      <c r="C367">
        <v>553.15997314453125</v>
      </c>
      <c r="D367">
        <v>548.6400146484375</v>
      </c>
      <c r="E367">
        <v>549.3499755859375</v>
      </c>
      <c r="F367">
        <v>4753300</v>
      </c>
      <c r="G367">
        <v>547.6591796875</v>
      </c>
      <c r="H367" s="2">
        <f>MONTH(Query1[[#This Row],[Date]])</f>
        <v>6</v>
      </c>
      <c r="I367" s="3">
        <f>Query1[[#This Row],[Shares]]*Query1[[#This Row],[Adj Close]]</f>
        <v>664340.64676285675</v>
      </c>
      <c r="J367" s="3">
        <f>IF(ROW()&lt;3, Dashboard!$E$7, IF(Query1[[#This Row],[Month]]&lt;&gt;H366,J366*(1+Dashboard!$E$4)+Dashboard!$E$5,J366))</f>
        <v>629013.10196105496</v>
      </c>
      <c r="K367">
        <f>IF(ROW()&lt;3, 0,IF(Query1[[#This Row],[Month]]&lt;&gt;H366,IF((J367-I367&gt;0),J367-I367,0),0))</f>
        <v>0</v>
      </c>
      <c r="L367" s="2">
        <f t="shared" si="5"/>
        <v>1213.0548914416743</v>
      </c>
      <c r="M367">
        <f ca="1">IF(ROW()&lt;3,0,IF(Query1[[#This Row],[Month]]&lt;&gt;OFFSET(Query1[[#This Row],[Month]],-1,0),Dashboard!$J$5,0))</f>
        <v>0</v>
      </c>
      <c r="N367" s="2">
        <f ca="1">IF(ROW()&lt;3, Query1[[#This Row],[Shares]], IF(Query1[[#This Row],[Month]]&lt;&gt;H366, N366+Query1[[#This Row],[Fix Top Up]]/Query1[[#This Row],[Adj Close]], N366))</f>
        <v>1208.0542474193069</v>
      </c>
      <c r="O36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7" s="2">
        <f ca="1">IF(ROW()&lt;3, Query1[[#This Row],[Shares]], IF(Query1[[#This Row],[Month]]&lt;&gt;H366, P366+Query1[[#This Row],[Enhanced top up]]/Query1[[#This Row],[Adj Close]], P366))</f>
        <v>1208.047477432815</v>
      </c>
      <c r="Q367" s="2">
        <f>IFERROR(AVERAGE(
  IF(ROW()&gt;20, INDEX(G:G, ROW()-20), 0) :
  INDEX(G:G, ROW())
),0)</f>
        <v>544.29575602213538</v>
      </c>
    </row>
    <row r="368" spans="1:17" x14ac:dyDescent="0.3">
      <c r="A368" s="1">
        <v>45826</v>
      </c>
      <c r="B368">
        <v>550.15997314453125</v>
      </c>
      <c r="C368">
        <v>552.71002197265625</v>
      </c>
      <c r="D368">
        <v>548.3900146484375</v>
      </c>
      <c r="E368">
        <v>549.239990234375</v>
      </c>
      <c r="F368">
        <v>4602300</v>
      </c>
      <c r="G368">
        <v>547.54949951171875</v>
      </c>
      <c r="H368" s="2">
        <f>MONTH(Query1[[#This Row],[Date]])</f>
        <v>6</v>
      </c>
      <c r="I368" s="3">
        <f>Query1[[#This Row],[Shares]]*Query1[[#This Row],[Adj Close]]</f>
        <v>664207.59868913109</v>
      </c>
      <c r="J368" s="3">
        <f>IF(ROW()&lt;3, Dashboard!$E$7, IF(Query1[[#This Row],[Month]]&lt;&gt;H367,J367*(1+Dashboard!$E$4)+Dashboard!$E$5,J367))</f>
        <v>629013.10196105496</v>
      </c>
      <c r="K368">
        <f>IF(ROW()&lt;3, 0,IF(Query1[[#This Row],[Month]]&lt;&gt;H367,IF((J368-I368&gt;0),J368-I368,0),0))</f>
        <v>0</v>
      </c>
      <c r="L368" s="2">
        <f t="shared" si="5"/>
        <v>1213.0548914416743</v>
      </c>
      <c r="M368">
        <f ca="1">IF(ROW()&lt;3,0,IF(Query1[[#This Row],[Month]]&lt;&gt;OFFSET(Query1[[#This Row],[Month]],-1,0),Dashboard!$J$5,0))</f>
        <v>0</v>
      </c>
      <c r="N368" s="2">
        <f ca="1">IF(ROW()&lt;3, Query1[[#This Row],[Shares]], IF(Query1[[#This Row],[Month]]&lt;&gt;H367, N367+Query1[[#This Row],[Fix Top Up]]/Query1[[#This Row],[Adj Close]], N367))</f>
        <v>1208.0542474193069</v>
      </c>
      <c r="O36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8" s="2">
        <f ca="1">IF(ROW()&lt;3, Query1[[#This Row],[Shares]], IF(Query1[[#This Row],[Month]]&lt;&gt;H367, P367+Query1[[#This Row],[Enhanced top up]]/Query1[[#This Row],[Adj Close]], P367))</f>
        <v>1208.047477432815</v>
      </c>
      <c r="Q368" s="2">
        <f>IFERROR(AVERAGE(
  IF(ROW()&gt;20, INDEX(G:G, ROW()-20), 0) :
  INDEX(G:G, ROW())
),0)</f>
        <v>544.41063871837798</v>
      </c>
    </row>
    <row r="369" spans="1:17" x14ac:dyDescent="0.3">
      <c r="A369" s="1">
        <v>45828</v>
      </c>
      <c r="B369">
        <v>551.719970703125</v>
      </c>
      <c r="C369">
        <v>552.719970703125</v>
      </c>
      <c r="D369">
        <v>546.6199951171875</v>
      </c>
      <c r="E369">
        <v>547.719970703125</v>
      </c>
      <c r="F369">
        <v>9978500</v>
      </c>
      <c r="G369">
        <v>546.0341796875</v>
      </c>
      <c r="H369" s="2">
        <f>MONTH(Query1[[#This Row],[Date]])</f>
        <v>6</v>
      </c>
      <c r="I369" s="3">
        <f>Query1[[#This Row],[Shares]]*Query1[[#This Row],[Adj Close]]</f>
        <v>662369.43256426393</v>
      </c>
      <c r="J369" s="3">
        <f>IF(ROW()&lt;3, Dashboard!$E$7, IF(Query1[[#This Row],[Month]]&lt;&gt;H368,J368*(1+Dashboard!$E$4)+Dashboard!$E$5,J368))</f>
        <v>629013.10196105496</v>
      </c>
      <c r="K369">
        <f>IF(ROW()&lt;3, 0,IF(Query1[[#This Row],[Month]]&lt;&gt;H368,IF((J369-I369&gt;0),J369-I369,0),0))</f>
        <v>0</v>
      </c>
      <c r="L369" s="2">
        <f t="shared" si="5"/>
        <v>1213.0548914416743</v>
      </c>
      <c r="M369">
        <f ca="1">IF(ROW()&lt;3,0,IF(Query1[[#This Row],[Month]]&lt;&gt;OFFSET(Query1[[#This Row],[Month]],-1,0),Dashboard!$J$5,0))</f>
        <v>0</v>
      </c>
      <c r="N369" s="2">
        <f ca="1">IF(ROW()&lt;3, Query1[[#This Row],[Shares]], IF(Query1[[#This Row],[Month]]&lt;&gt;H368, N368+Query1[[#This Row],[Fix Top Up]]/Query1[[#This Row],[Adj Close]], N368))</f>
        <v>1208.0542474193069</v>
      </c>
      <c r="O36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69" s="2">
        <f ca="1">IF(ROW()&lt;3, Query1[[#This Row],[Shares]], IF(Query1[[#This Row],[Month]]&lt;&gt;H368, P368+Query1[[#This Row],[Enhanced top up]]/Query1[[#This Row],[Adj Close]], P368))</f>
        <v>1208.047477432815</v>
      </c>
      <c r="Q369" s="2">
        <f>IFERROR(AVERAGE(
  IF(ROW()&gt;20, INDEX(G:G, ROW()-20), 0) :
  INDEX(G:G, ROW())
),0)</f>
        <v>544.54545956566221</v>
      </c>
    </row>
    <row r="370" spans="1:17" x14ac:dyDescent="0.3">
      <c r="A370" s="1">
        <v>45831</v>
      </c>
      <c r="B370">
        <v>548.65997314453125</v>
      </c>
      <c r="C370">
        <v>553.70001220703125</v>
      </c>
      <c r="D370">
        <v>545.75</v>
      </c>
      <c r="E370">
        <v>553.3599853515625</v>
      </c>
      <c r="F370">
        <v>9820200</v>
      </c>
      <c r="G370">
        <v>551.65679931640625</v>
      </c>
      <c r="H370" s="2">
        <f>MONTH(Query1[[#This Row],[Date]])</f>
        <v>6</v>
      </c>
      <c r="I370" s="3">
        <f>Query1[[#This Row],[Shares]]*Query1[[#This Row],[Adj Close]]</f>
        <v>669189.97880782466</v>
      </c>
      <c r="J370" s="3">
        <f>IF(ROW()&lt;3, Dashboard!$E$7, IF(Query1[[#This Row],[Month]]&lt;&gt;H369,J369*(1+Dashboard!$E$4)+Dashboard!$E$5,J369))</f>
        <v>629013.10196105496</v>
      </c>
      <c r="K370">
        <f>IF(ROW()&lt;3, 0,IF(Query1[[#This Row],[Month]]&lt;&gt;H369,IF((J370-I370&gt;0),J370-I370,0),0))</f>
        <v>0</v>
      </c>
      <c r="L370" s="2">
        <f t="shared" si="5"/>
        <v>1213.0548914416743</v>
      </c>
      <c r="M370">
        <f ca="1">IF(ROW()&lt;3,0,IF(Query1[[#This Row],[Month]]&lt;&gt;OFFSET(Query1[[#This Row],[Month]],-1,0),Dashboard!$J$5,0))</f>
        <v>0</v>
      </c>
      <c r="N370" s="2">
        <f ca="1">IF(ROW()&lt;3, Query1[[#This Row],[Shares]], IF(Query1[[#This Row],[Month]]&lt;&gt;H369, N369+Query1[[#This Row],[Fix Top Up]]/Query1[[#This Row],[Adj Close]], N369))</f>
        <v>1208.0542474193069</v>
      </c>
      <c r="O37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0" s="2">
        <f ca="1">IF(ROW()&lt;3, Query1[[#This Row],[Shares]], IF(Query1[[#This Row],[Month]]&lt;&gt;H369, P369+Query1[[#This Row],[Enhanced top up]]/Query1[[#This Row],[Adj Close]], P369))</f>
        <v>1208.047477432815</v>
      </c>
      <c r="Q370" s="2">
        <f>IFERROR(AVERAGE(
  IF(ROW()&gt;20, INDEX(G:G, ROW()-20), 0) :
  INDEX(G:G, ROW())
),0)</f>
        <v>545.38049897693452</v>
      </c>
    </row>
    <row r="371" spans="1:17" x14ac:dyDescent="0.3">
      <c r="A371" s="1">
        <v>45832</v>
      </c>
      <c r="B371">
        <v>557.17999267578125</v>
      </c>
      <c r="C371">
        <v>560.42999267578125</v>
      </c>
      <c r="D371">
        <v>556.3699951171875</v>
      </c>
      <c r="E371">
        <v>559.44000244140625</v>
      </c>
      <c r="F371">
        <v>6770000</v>
      </c>
      <c r="G371">
        <v>557.7181396484375</v>
      </c>
      <c r="H371" s="2">
        <f>MONTH(Query1[[#This Row],[Date]])</f>
        <v>6</v>
      </c>
      <c r="I371" s="3">
        <f>Query1[[#This Row],[Shares]]*Query1[[#This Row],[Adj Close]]</f>
        <v>676542.71734628791</v>
      </c>
      <c r="J371" s="3">
        <f>IF(ROW()&lt;3, Dashboard!$E$7, IF(Query1[[#This Row],[Month]]&lt;&gt;H370,J370*(1+Dashboard!$E$4)+Dashboard!$E$5,J370))</f>
        <v>629013.10196105496</v>
      </c>
      <c r="K371">
        <f>IF(ROW()&lt;3, 0,IF(Query1[[#This Row],[Month]]&lt;&gt;H370,IF((J371-I371&gt;0),J371-I371,0),0))</f>
        <v>0</v>
      </c>
      <c r="L371" s="2">
        <f t="shared" si="5"/>
        <v>1213.0548914416743</v>
      </c>
      <c r="M371">
        <f ca="1">IF(ROW()&lt;3,0,IF(Query1[[#This Row],[Month]]&lt;&gt;OFFSET(Query1[[#This Row],[Month]],-1,0),Dashboard!$J$5,0))</f>
        <v>0</v>
      </c>
      <c r="N371" s="2">
        <f ca="1">IF(ROW()&lt;3, Query1[[#This Row],[Shares]], IF(Query1[[#This Row],[Month]]&lt;&gt;H370, N370+Query1[[#This Row],[Fix Top Up]]/Query1[[#This Row],[Adj Close]], N370))</f>
        <v>1208.0542474193069</v>
      </c>
      <c r="O37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1" s="2">
        <f ca="1">IF(ROW()&lt;3, Query1[[#This Row],[Shares]], IF(Query1[[#This Row],[Month]]&lt;&gt;H370, P370+Query1[[#This Row],[Enhanced top up]]/Query1[[#This Row],[Adj Close]], P370))</f>
        <v>1208.047477432815</v>
      </c>
      <c r="Q371" s="2">
        <f>IFERROR(AVERAGE(
  IF(ROW()&gt;20, INDEX(G:G, ROW()-20), 0) :
  INDEX(G:G, ROW())
),0)</f>
        <v>546.49230375744048</v>
      </c>
    </row>
    <row r="372" spans="1:17" x14ac:dyDescent="0.3">
      <c r="A372" s="1">
        <v>45833</v>
      </c>
      <c r="B372">
        <v>560.52001953125</v>
      </c>
      <c r="C372">
        <v>561.02001953125</v>
      </c>
      <c r="D372">
        <v>558.34002685546875</v>
      </c>
      <c r="E372">
        <v>559.719970703125</v>
      </c>
      <c r="F372">
        <v>16472300</v>
      </c>
      <c r="G372">
        <v>557.99725341796875</v>
      </c>
      <c r="H372" s="2">
        <f>MONTH(Query1[[#This Row],[Date]])</f>
        <v>6</v>
      </c>
      <c r="I372" s="3">
        <f>Query1[[#This Row],[Shares]]*Query1[[#This Row],[Adj Close]]</f>
        <v>676881.29766968649</v>
      </c>
      <c r="J372" s="3">
        <f>IF(ROW()&lt;3, Dashboard!$E$7, IF(Query1[[#This Row],[Month]]&lt;&gt;H371,J371*(1+Dashboard!$E$4)+Dashboard!$E$5,J371))</f>
        <v>629013.10196105496</v>
      </c>
      <c r="K372">
        <f>IF(ROW()&lt;3, 0,IF(Query1[[#This Row],[Month]]&lt;&gt;H371,IF((J372-I372&gt;0),J372-I372,0),0))</f>
        <v>0</v>
      </c>
      <c r="L372" s="2">
        <f t="shared" si="5"/>
        <v>1213.0548914416743</v>
      </c>
      <c r="M372">
        <f ca="1">IF(ROW()&lt;3,0,IF(Query1[[#This Row],[Month]]&lt;&gt;OFFSET(Query1[[#This Row],[Month]],-1,0),Dashboard!$J$5,0))</f>
        <v>0</v>
      </c>
      <c r="N372" s="2">
        <f ca="1">IF(ROW()&lt;3, Query1[[#This Row],[Shares]], IF(Query1[[#This Row],[Month]]&lt;&gt;H371, N371+Query1[[#This Row],[Fix Top Up]]/Query1[[#This Row],[Adj Close]], N371))</f>
        <v>1208.0542474193069</v>
      </c>
      <c r="O37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2" s="2">
        <f ca="1">IF(ROW()&lt;3, Query1[[#This Row],[Shares]], IF(Query1[[#This Row],[Month]]&lt;&gt;H371, P371+Query1[[#This Row],[Enhanced top up]]/Query1[[#This Row],[Adj Close]], P371))</f>
        <v>1208.047477432815</v>
      </c>
      <c r="Q372" s="2">
        <f>IFERROR(AVERAGE(
  IF(ROW()&gt;20, INDEX(G:G, ROW()-20), 0) :
  INDEX(G:G, ROW())
),0)</f>
        <v>547.78925141834077</v>
      </c>
    </row>
    <row r="373" spans="1:17" x14ac:dyDescent="0.3">
      <c r="A373" s="1">
        <v>45834</v>
      </c>
      <c r="B373">
        <v>561.52001953125</v>
      </c>
      <c r="C373">
        <v>564.54998779296875</v>
      </c>
      <c r="D373">
        <v>560.96002197265625</v>
      </c>
      <c r="E373">
        <v>564.1500244140625</v>
      </c>
      <c r="F373">
        <v>6081400</v>
      </c>
      <c r="G373">
        <v>562.41363525390625</v>
      </c>
      <c r="H373" s="2">
        <f>MONTH(Query1[[#This Row],[Date]])</f>
        <v>6</v>
      </c>
      <c r="I373" s="3">
        <f>Query1[[#This Row],[Shares]]*Query1[[#This Row],[Adj Close]]</f>
        <v>682238.61125824461</v>
      </c>
      <c r="J373" s="3">
        <f>IF(ROW()&lt;3, Dashboard!$E$7, IF(Query1[[#This Row],[Month]]&lt;&gt;H372,J372*(1+Dashboard!$E$4)+Dashboard!$E$5,J372))</f>
        <v>629013.10196105496</v>
      </c>
      <c r="K373">
        <f>IF(ROW()&lt;3, 0,IF(Query1[[#This Row],[Month]]&lt;&gt;H372,IF((J373-I373&gt;0),J373-I373,0),0))</f>
        <v>0</v>
      </c>
      <c r="L373" s="2">
        <f t="shared" si="5"/>
        <v>1213.0548914416743</v>
      </c>
      <c r="M373">
        <f ca="1">IF(ROW()&lt;3,0,IF(Query1[[#This Row],[Month]]&lt;&gt;OFFSET(Query1[[#This Row],[Month]],-1,0),Dashboard!$J$5,0))</f>
        <v>0</v>
      </c>
      <c r="N373" s="2">
        <f ca="1">IF(ROW()&lt;3, Query1[[#This Row],[Shares]], IF(Query1[[#This Row],[Month]]&lt;&gt;H372, N372+Query1[[#This Row],[Fix Top Up]]/Query1[[#This Row],[Adj Close]], N372))</f>
        <v>1208.0542474193069</v>
      </c>
      <c r="O37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3" s="2">
        <f ca="1">IF(ROW()&lt;3, Query1[[#This Row],[Shares]], IF(Query1[[#This Row],[Month]]&lt;&gt;H372, P372+Query1[[#This Row],[Enhanced top up]]/Query1[[#This Row],[Adj Close]], P372))</f>
        <v>1208.047477432815</v>
      </c>
      <c r="Q373" s="2">
        <f>IFERROR(AVERAGE(
  IF(ROW()&gt;20, INDEX(G:G, ROW()-20), 0) :
  INDEX(G:G, ROW())
),0)</f>
        <v>548.77715192522317</v>
      </c>
    </row>
    <row r="374" spans="1:17" x14ac:dyDescent="0.3">
      <c r="A374" s="1">
        <v>45835</v>
      </c>
      <c r="B374">
        <v>565.1099853515625</v>
      </c>
      <c r="C374">
        <v>568.33001708984375</v>
      </c>
      <c r="D374">
        <v>563.21002197265625</v>
      </c>
      <c r="E374">
        <v>566.95001220703125</v>
      </c>
      <c r="F374">
        <v>6056500</v>
      </c>
      <c r="G374">
        <v>565.20501708984375</v>
      </c>
      <c r="H374" s="2">
        <f>MONTH(Query1[[#This Row],[Date]])</f>
        <v>6</v>
      </c>
      <c r="I374" s="3">
        <f>Query1[[#This Row],[Shares]]*Query1[[#This Row],[Adj Close]]</f>
        <v>685624.71064821002</v>
      </c>
      <c r="J374" s="3">
        <f>IF(ROW()&lt;3, Dashboard!$E$7, IF(Query1[[#This Row],[Month]]&lt;&gt;H373,J373*(1+Dashboard!$E$4)+Dashboard!$E$5,J373))</f>
        <v>629013.10196105496</v>
      </c>
      <c r="K374">
        <f>IF(ROW()&lt;3, 0,IF(Query1[[#This Row],[Month]]&lt;&gt;H373,IF((J374-I374&gt;0),J374-I374,0),0))</f>
        <v>0</v>
      </c>
      <c r="L374" s="2">
        <f t="shared" si="5"/>
        <v>1213.0548914416743</v>
      </c>
      <c r="M374">
        <f ca="1">IF(ROW()&lt;3,0,IF(Query1[[#This Row],[Month]]&lt;&gt;OFFSET(Query1[[#This Row],[Month]],-1,0),Dashboard!$J$5,0))</f>
        <v>0</v>
      </c>
      <c r="N374" s="2">
        <f ca="1">IF(ROW()&lt;3, Query1[[#This Row],[Shares]], IF(Query1[[#This Row],[Month]]&lt;&gt;H373, N373+Query1[[#This Row],[Fix Top Up]]/Query1[[#This Row],[Adj Close]], N373))</f>
        <v>1208.0542474193069</v>
      </c>
      <c r="O37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4" s="2">
        <f ca="1">IF(ROW()&lt;3, Query1[[#This Row],[Shares]], IF(Query1[[#This Row],[Month]]&lt;&gt;H373, P373+Query1[[#This Row],[Enhanced top up]]/Query1[[#This Row],[Adj Close]], P373))</f>
        <v>1208.047477432815</v>
      </c>
      <c r="Q374" s="2">
        <f>IFERROR(AVERAGE(
  IF(ROW()&gt;20, INDEX(G:G, ROW()-20), 0) :
  INDEX(G:G, ROW())
),0)</f>
        <v>550.04514276413693</v>
      </c>
    </row>
    <row r="375" spans="1:17" x14ac:dyDescent="0.3">
      <c r="A375" s="1">
        <v>45838</v>
      </c>
      <c r="B375">
        <v>567.5</v>
      </c>
      <c r="C375">
        <v>569.1500244140625</v>
      </c>
      <c r="D375">
        <v>565.3800048828125</v>
      </c>
      <c r="E375">
        <v>568.030029296875</v>
      </c>
      <c r="F375">
        <v>5750600</v>
      </c>
      <c r="G375">
        <v>568.030029296875</v>
      </c>
      <c r="H375" s="2">
        <f>MONTH(Query1[[#This Row],[Date]])</f>
        <v>6</v>
      </c>
      <c r="I375" s="3">
        <f>Query1[[#This Row],[Shares]]*Query1[[#This Row],[Adj Close]]</f>
        <v>689051.6055243318</v>
      </c>
      <c r="J375" s="3">
        <f>IF(ROW()&lt;3, Dashboard!$E$7, IF(Query1[[#This Row],[Month]]&lt;&gt;H374,J374*(1+Dashboard!$E$4)+Dashboard!$E$5,J374))</f>
        <v>629013.10196105496</v>
      </c>
      <c r="K375">
        <f>IF(ROW()&lt;3, 0,IF(Query1[[#This Row],[Month]]&lt;&gt;H374,IF((J375-I375&gt;0),J375-I375,0),0))</f>
        <v>0</v>
      </c>
      <c r="L375" s="2">
        <f t="shared" si="5"/>
        <v>1213.0548914416743</v>
      </c>
      <c r="M375">
        <f ca="1">IF(ROW()&lt;3,0,IF(Query1[[#This Row],[Month]]&lt;&gt;OFFSET(Query1[[#This Row],[Month]],-1,0),Dashboard!$J$5,0))</f>
        <v>0</v>
      </c>
      <c r="N375" s="2">
        <f ca="1">IF(ROW()&lt;3, Query1[[#This Row],[Shares]], IF(Query1[[#This Row],[Month]]&lt;&gt;H374, N374+Query1[[#This Row],[Fix Top Up]]/Query1[[#This Row],[Adj Close]], N374))</f>
        <v>1208.0542474193069</v>
      </c>
      <c r="O37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5" s="2">
        <f ca="1">IF(ROW()&lt;3, Query1[[#This Row],[Shares]], IF(Query1[[#This Row],[Month]]&lt;&gt;H374, P374+Query1[[#This Row],[Enhanced top up]]/Query1[[#This Row],[Adj Close]], P374))</f>
        <v>1208.047477432815</v>
      </c>
      <c r="Q375" s="2">
        <f>IFERROR(AVERAGE(
  IF(ROW()&gt;20, INDEX(G:G, ROW()-20), 0) :
  INDEX(G:G, ROW())
),0)</f>
        <v>551.34891473679318</v>
      </c>
    </row>
    <row r="376" spans="1:17" x14ac:dyDescent="0.3">
      <c r="A376" s="1">
        <v>45839</v>
      </c>
      <c r="B376">
        <v>566.55999755859375</v>
      </c>
      <c r="C376">
        <v>568.79998779296875</v>
      </c>
      <c r="D376">
        <v>565.79998779296875</v>
      </c>
      <c r="E376">
        <v>567.77001953125</v>
      </c>
      <c r="F376">
        <v>7412700</v>
      </c>
      <c r="G376">
        <v>567.77001953125</v>
      </c>
      <c r="H376" s="2">
        <f>MONTH(Query1[[#This Row],[Date]])</f>
        <v>7</v>
      </c>
      <c r="I376" s="3">
        <f>Query1[[#This Row],[Shares]]*Query1[[#This Row],[Adj Close]]</f>
        <v>688736.19940631778</v>
      </c>
      <c r="J376" s="3">
        <f>IF(ROW()&lt;3, Dashboard!$E$7, IF(Query1[[#This Row],[Month]]&lt;&gt;H375,J375*(1+Dashboard!$E$4)+Dashboard!$E$5,J375))</f>
        <v>637303.23298066552</v>
      </c>
      <c r="K376">
        <f>IF(ROW()&lt;3, 0,IF(Query1[[#This Row],[Month]]&lt;&gt;H375,IF((J376-I376&gt;0),J376-I376,0),0))</f>
        <v>0</v>
      </c>
      <c r="L376" s="2">
        <f t="shared" si="5"/>
        <v>1213.0548914416743</v>
      </c>
      <c r="M376">
        <f ca="1">IF(ROW()&lt;3,0,IF(Query1[[#This Row],[Month]]&lt;&gt;OFFSET(Query1[[#This Row],[Month]],-1,0),Dashboard!$J$5,0))</f>
        <v>979.40350000000024</v>
      </c>
      <c r="N376" s="2">
        <f ca="1">IF(ROW()&lt;3, Query1[[#This Row],[Shares]], IF(Query1[[#This Row],[Month]]&lt;&gt;H375, N375+Query1[[#This Row],[Fix Top Up]]/Query1[[#This Row],[Adj Close]], N375))</f>
        <v>1209.7792478002862</v>
      </c>
      <c r="O37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376" s="2">
        <f ca="1">IF(ROW()&lt;3, Query1[[#This Row],[Shares]], IF(Query1[[#This Row],[Month]]&lt;&gt;H375, P375+Query1[[#This Row],[Enhanced top up]]/Query1[[#This Row],[Adj Close]], P375))</f>
        <v>1209.1560310343589</v>
      </c>
      <c r="Q376" s="2">
        <f>IFERROR(AVERAGE(
  IF(ROW()&gt;20, INDEX(G:G, ROW()-20), 0) :
  INDEX(G:G, ROW())
),0)</f>
        <v>552.66689046223962</v>
      </c>
    </row>
    <row r="377" spans="1:17" x14ac:dyDescent="0.3">
      <c r="A377" s="1">
        <v>45840</v>
      </c>
      <c r="B377">
        <v>567.3699951171875</v>
      </c>
      <c r="C377">
        <v>570.34002685546875</v>
      </c>
      <c r="D377">
        <v>566.80999755859375</v>
      </c>
      <c r="E377">
        <v>570.28997802734375</v>
      </c>
      <c r="F377">
        <v>6164000</v>
      </c>
      <c r="G377">
        <v>570.28997802734375</v>
      </c>
      <c r="H377" s="2">
        <f>MONTH(Query1[[#This Row],[Date]])</f>
        <v>7</v>
      </c>
      <c r="I377" s="3">
        <f>Query1[[#This Row],[Shares]]*Query1[[#This Row],[Adj Close]]</f>
        <v>691793.04738623428</v>
      </c>
      <c r="J377" s="3">
        <f>IF(ROW()&lt;3, Dashboard!$E$7, IF(Query1[[#This Row],[Month]]&lt;&gt;H376,J376*(1+Dashboard!$E$4)+Dashboard!$E$5,J376))</f>
        <v>637303.23298066552</v>
      </c>
      <c r="K377">
        <f>IF(ROW()&lt;3, 0,IF(Query1[[#This Row],[Month]]&lt;&gt;H376,IF((J377-I377&gt;0),J377-I377,0),0))</f>
        <v>0</v>
      </c>
      <c r="L377" s="2">
        <f t="shared" si="5"/>
        <v>1213.0548914416743</v>
      </c>
      <c r="M377">
        <f ca="1">IF(ROW()&lt;3,0,IF(Query1[[#This Row],[Month]]&lt;&gt;OFFSET(Query1[[#This Row],[Month]],-1,0),Dashboard!$J$5,0))</f>
        <v>0</v>
      </c>
      <c r="N377" s="2">
        <f ca="1">IF(ROW()&lt;3, Query1[[#This Row],[Shares]], IF(Query1[[#This Row],[Month]]&lt;&gt;H376, N376+Query1[[#This Row],[Fix Top Up]]/Query1[[#This Row],[Adj Close]], N376))</f>
        <v>1209.7792478002862</v>
      </c>
      <c r="O37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7" s="2">
        <f ca="1">IF(ROW()&lt;3, Query1[[#This Row],[Shares]], IF(Query1[[#This Row],[Month]]&lt;&gt;H376, P376+Query1[[#This Row],[Enhanced top up]]/Query1[[#This Row],[Adj Close]], P376))</f>
        <v>1209.1560310343589</v>
      </c>
      <c r="Q377" s="2">
        <f>IFERROR(AVERAGE(
  IF(ROW()&gt;20, INDEX(G:G, ROW()-20), 0) :
  INDEX(G:G, ROW())
),0)</f>
        <v>553.95532807849702</v>
      </c>
    </row>
    <row r="378" spans="1:17" x14ac:dyDescent="0.3">
      <c r="A378" s="1">
        <v>45841</v>
      </c>
      <c r="B378">
        <v>572.17999267578125</v>
      </c>
      <c r="C378">
        <v>575.66998291015625</v>
      </c>
      <c r="D378">
        <v>572.1300048828125</v>
      </c>
      <c r="E378">
        <v>575.219970703125</v>
      </c>
      <c r="F378">
        <v>4837000</v>
      </c>
      <c r="G378">
        <v>575.219970703125</v>
      </c>
      <c r="H378" s="2">
        <f>MONTH(Query1[[#This Row],[Date]])</f>
        <v>7</v>
      </c>
      <c r="I378" s="3">
        <f>Query1[[#This Row],[Shares]]*Query1[[#This Row],[Adj Close]]</f>
        <v>697773.39911636233</v>
      </c>
      <c r="J378" s="3">
        <f>IF(ROW()&lt;3, Dashboard!$E$7, IF(Query1[[#This Row],[Month]]&lt;&gt;H377,J377*(1+Dashboard!$E$4)+Dashboard!$E$5,J377))</f>
        <v>637303.23298066552</v>
      </c>
      <c r="K378">
        <f>IF(ROW()&lt;3, 0,IF(Query1[[#This Row],[Month]]&lt;&gt;H377,IF((J378-I378&gt;0),J378-I378,0),0))</f>
        <v>0</v>
      </c>
      <c r="L378" s="2">
        <f t="shared" si="5"/>
        <v>1213.0548914416743</v>
      </c>
      <c r="M378">
        <f ca="1">IF(ROW()&lt;3,0,IF(Query1[[#This Row],[Month]]&lt;&gt;OFFSET(Query1[[#This Row],[Month]],-1,0),Dashboard!$J$5,0))</f>
        <v>0</v>
      </c>
      <c r="N378" s="2">
        <f ca="1">IF(ROW()&lt;3, Query1[[#This Row],[Shares]], IF(Query1[[#This Row],[Month]]&lt;&gt;H377, N377+Query1[[#This Row],[Fix Top Up]]/Query1[[#This Row],[Adj Close]], N377))</f>
        <v>1209.7792478002862</v>
      </c>
      <c r="O37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8" s="2">
        <f ca="1">IF(ROW()&lt;3, Query1[[#This Row],[Shares]], IF(Query1[[#This Row],[Month]]&lt;&gt;H377, P377+Query1[[#This Row],[Enhanced top up]]/Query1[[#This Row],[Adj Close]], P377))</f>
        <v>1209.1560310343589</v>
      </c>
      <c r="Q378" s="2">
        <f>IFERROR(AVERAGE(
  IF(ROW()&gt;20, INDEX(G:G, ROW()-20), 0) :
  INDEX(G:G, ROW())
),0)</f>
        <v>555.33183361235115</v>
      </c>
    </row>
    <row r="379" spans="1:17" x14ac:dyDescent="0.3">
      <c r="A379" s="1">
        <v>45845</v>
      </c>
      <c r="B379">
        <v>573</v>
      </c>
      <c r="C379">
        <v>573.59002685546875</v>
      </c>
      <c r="D379">
        <v>567.97998046875</v>
      </c>
      <c r="E379">
        <v>570.6099853515625</v>
      </c>
      <c r="F379">
        <v>6417800</v>
      </c>
      <c r="G379">
        <v>570.6099853515625</v>
      </c>
      <c r="H379" s="2">
        <f>MONTH(Query1[[#This Row],[Date]])</f>
        <v>7</v>
      </c>
      <c r="I379" s="3">
        <f>Query1[[#This Row],[Shares]]*Query1[[#This Row],[Adj Close]]</f>
        <v>692181.23383617494</v>
      </c>
      <c r="J379" s="3">
        <f>IF(ROW()&lt;3, Dashboard!$E$7, IF(Query1[[#This Row],[Month]]&lt;&gt;H378,J378*(1+Dashboard!$E$4)+Dashboard!$E$5,J378))</f>
        <v>637303.23298066552</v>
      </c>
      <c r="K379">
        <f>IF(ROW()&lt;3, 0,IF(Query1[[#This Row],[Month]]&lt;&gt;H378,IF((J379-I379&gt;0),J379-I379,0),0))</f>
        <v>0</v>
      </c>
      <c r="L379" s="2">
        <f t="shared" si="5"/>
        <v>1213.0548914416743</v>
      </c>
      <c r="M379">
        <f ca="1">IF(ROW()&lt;3,0,IF(Query1[[#This Row],[Month]]&lt;&gt;OFFSET(Query1[[#This Row],[Month]],-1,0),Dashboard!$J$5,0))</f>
        <v>0</v>
      </c>
      <c r="N379" s="2">
        <f ca="1">IF(ROW()&lt;3, Query1[[#This Row],[Shares]], IF(Query1[[#This Row],[Month]]&lt;&gt;H378, N378+Query1[[#This Row],[Fix Top Up]]/Query1[[#This Row],[Adj Close]], N378))</f>
        <v>1209.7792478002862</v>
      </c>
      <c r="O37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79" s="2">
        <f ca="1">IF(ROW()&lt;3, Query1[[#This Row],[Shares]], IF(Query1[[#This Row],[Month]]&lt;&gt;H378, P378+Query1[[#This Row],[Enhanced top up]]/Query1[[#This Row],[Adj Close]], P378))</f>
        <v>1209.1560310343589</v>
      </c>
      <c r="Q379" s="2">
        <f>IFERROR(AVERAGE(
  IF(ROW()&gt;20, INDEX(G:G, ROW()-20), 0) :
  INDEX(G:G, ROW())
),0)</f>
        <v>556.50543212890625</v>
      </c>
    </row>
    <row r="380" spans="1:17" x14ac:dyDescent="0.3">
      <c r="A380" s="1">
        <v>45846</v>
      </c>
      <c r="B380">
        <v>571.1500244140625</v>
      </c>
      <c r="C380">
        <v>571.83001708984375</v>
      </c>
      <c r="D380">
        <v>569.47998046875</v>
      </c>
      <c r="E380">
        <v>570.22998046875</v>
      </c>
      <c r="F380">
        <v>6944600</v>
      </c>
      <c r="G380">
        <v>570.22998046875</v>
      </c>
      <c r="H380" s="2">
        <f>MONTH(Query1[[#This Row],[Date]])</f>
        <v>7</v>
      </c>
      <c r="I380" s="3">
        <f>Query1[[#This Row],[Shares]]*Query1[[#This Row],[Adj Close]]</f>
        <v>691720.26705430762</v>
      </c>
      <c r="J380" s="3">
        <f>IF(ROW()&lt;3, Dashboard!$E$7, IF(Query1[[#This Row],[Month]]&lt;&gt;H379,J379*(1+Dashboard!$E$4)+Dashboard!$E$5,J379))</f>
        <v>637303.23298066552</v>
      </c>
      <c r="K380">
        <f>IF(ROW()&lt;3, 0,IF(Query1[[#This Row],[Month]]&lt;&gt;H379,IF((J380-I380&gt;0),J380-I380,0),0))</f>
        <v>0</v>
      </c>
      <c r="L380" s="2">
        <f t="shared" si="5"/>
        <v>1213.0548914416743</v>
      </c>
      <c r="M380">
        <f ca="1">IF(ROW()&lt;3,0,IF(Query1[[#This Row],[Month]]&lt;&gt;OFFSET(Query1[[#This Row],[Month]],-1,0),Dashboard!$J$5,0))</f>
        <v>0</v>
      </c>
      <c r="N380" s="2">
        <f ca="1">IF(ROW()&lt;3, Query1[[#This Row],[Shares]], IF(Query1[[#This Row],[Month]]&lt;&gt;H379, N379+Query1[[#This Row],[Fix Top Up]]/Query1[[#This Row],[Adj Close]], N379))</f>
        <v>1209.7792478002862</v>
      </c>
      <c r="O38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0" s="2">
        <f ca="1">IF(ROW()&lt;3, Query1[[#This Row],[Shares]], IF(Query1[[#This Row],[Month]]&lt;&gt;H379, P379+Query1[[#This Row],[Enhanced top up]]/Query1[[#This Row],[Adj Close]], P379))</f>
        <v>1209.1560310343589</v>
      </c>
      <c r="Q380" s="2">
        <f>IFERROR(AVERAGE(
  IF(ROW()&gt;20, INDEX(G:G, ROW()-20), 0) :
  INDEX(G:G, ROW())
),0)</f>
        <v>557.78246489025298</v>
      </c>
    </row>
    <row r="381" spans="1:17" x14ac:dyDescent="0.3">
      <c r="A381" s="1">
        <v>45847</v>
      </c>
      <c r="B381">
        <v>572.46002197265625</v>
      </c>
      <c r="C381">
        <v>574.260009765625</v>
      </c>
      <c r="D381">
        <v>570.760009765625</v>
      </c>
      <c r="E381">
        <v>573.6099853515625</v>
      </c>
      <c r="F381">
        <v>7156500</v>
      </c>
      <c r="G381">
        <v>573.6099853515625</v>
      </c>
      <c r="H381" s="2">
        <f>MONTH(Query1[[#This Row],[Date]])</f>
        <v>7</v>
      </c>
      <c r="I381" s="3">
        <f>Query1[[#This Row],[Shares]]*Query1[[#This Row],[Adj Close]]</f>
        <v>695820.39851049997</v>
      </c>
      <c r="J381" s="3">
        <f>IF(ROW()&lt;3, Dashboard!$E$7, IF(Query1[[#This Row],[Month]]&lt;&gt;H380,J380*(1+Dashboard!$E$4)+Dashboard!$E$5,J380))</f>
        <v>637303.23298066552</v>
      </c>
      <c r="K381">
        <f>IF(ROW()&lt;3, 0,IF(Query1[[#This Row],[Month]]&lt;&gt;H380,IF((J381-I381&gt;0),J381-I381,0),0))</f>
        <v>0</v>
      </c>
      <c r="L381" s="2">
        <f t="shared" si="5"/>
        <v>1213.0548914416743</v>
      </c>
      <c r="M381">
        <f ca="1">IF(ROW()&lt;3,0,IF(Query1[[#This Row],[Month]]&lt;&gt;OFFSET(Query1[[#This Row],[Month]],-1,0),Dashboard!$J$5,0))</f>
        <v>0</v>
      </c>
      <c r="N381" s="2">
        <f ca="1">IF(ROW()&lt;3, Query1[[#This Row],[Shares]], IF(Query1[[#This Row],[Month]]&lt;&gt;H380, N380+Query1[[#This Row],[Fix Top Up]]/Query1[[#This Row],[Adj Close]], N380))</f>
        <v>1209.7792478002862</v>
      </c>
      <c r="O38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1" s="2">
        <f ca="1">IF(ROW()&lt;3, Query1[[#This Row],[Shares]], IF(Query1[[#This Row],[Month]]&lt;&gt;H380, P380+Query1[[#This Row],[Enhanced top up]]/Query1[[#This Row],[Adj Close]], P380))</f>
        <v>1209.1560310343589</v>
      </c>
      <c r="Q381" s="2">
        <f>IFERROR(AVERAGE(
  IF(ROW()&gt;20, INDEX(G:G, ROW()-20), 0) :
  INDEX(G:G, ROW())
),0)</f>
        <v>558.95603143601193</v>
      </c>
    </row>
    <row r="382" spans="1:17" x14ac:dyDescent="0.3">
      <c r="A382" s="1">
        <v>45848</v>
      </c>
      <c r="B382">
        <v>573.780029296875</v>
      </c>
      <c r="C382">
        <v>576.260009765625</v>
      </c>
      <c r="D382">
        <v>572.70001220703125</v>
      </c>
      <c r="E382">
        <v>575.28997802734375</v>
      </c>
      <c r="F382">
        <v>4961700</v>
      </c>
      <c r="G382">
        <v>575.28997802734375</v>
      </c>
      <c r="H382" s="2">
        <f>MONTH(Query1[[#This Row],[Date]])</f>
        <v>7</v>
      </c>
      <c r="I382" s="3">
        <f>Query1[[#This Row],[Shares]]*Query1[[#This Row],[Adj Close]]</f>
        <v>697858.32184344262</v>
      </c>
      <c r="J382" s="3">
        <f>IF(ROW()&lt;3, Dashboard!$E$7, IF(Query1[[#This Row],[Month]]&lt;&gt;H381,J381*(1+Dashboard!$E$4)+Dashboard!$E$5,J381))</f>
        <v>637303.23298066552</v>
      </c>
      <c r="K382">
        <f>IF(ROW()&lt;3, 0,IF(Query1[[#This Row],[Month]]&lt;&gt;H381,IF((J382-I382&gt;0),J382-I382,0),0))</f>
        <v>0</v>
      </c>
      <c r="L382" s="2">
        <f t="shared" si="5"/>
        <v>1213.0548914416743</v>
      </c>
      <c r="M382">
        <f ca="1">IF(ROW()&lt;3,0,IF(Query1[[#This Row],[Month]]&lt;&gt;OFFSET(Query1[[#This Row],[Month]],-1,0),Dashboard!$J$5,0))</f>
        <v>0</v>
      </c>
      <c r="N382" s="2">
        <f ca="1">IF(ROW()&lt;3, Query1[[#This Row],[Shares]], IF(Query1[[#This Row],[Month]]&lt;&gt;H381, N381+Query1[[#This Row],[Fix Top Up]]/Query1[[#This Row],[Adj Close]], N381))</f>
        <v>1209.7792478002862</v>
      </c>
      <c r="O38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2" s="2">
        <f ca="1">IF(ROW()&lt;3, Query1[[#This Row],[Shares]], IF(Query1[[#This Row],[Month]]&lt;&gt;H381, P381+Query1[[#This Row],[Enhanced top up]]/Query1[[#This Row],[Adj Close]], P381))</f>
        <v>1209.1560310343589</v>
      </c>
      <c r="Q382" s="2">
        <f>IFERROR(AVERAGE(
  IF(ROW()&gt;20, INDEX(G:G, ROW()-20), 0) :
  INDEX(G:G, ROW())
),0)</f>
        <v>560.18158540271577</v>
      </c>
    </row>
    <row r="383" spans="1:17" x14ac:dyDescent="0.3">
      <c r="A383" s="1">
        <v>45849</v>
      </c>
      <c r="B383">
        <v>572.45001220703125</v>
      </c>
      <c r="C383">
        <v>574.3800048828125</v>
      </c>
      <c r="D383">
        <v>571.3699951171875</v>
      </c>
      <c r="E383">
        <v>573.219970703125</v>
      </c>
      <c r="F383">
        <v>4428900</v>
      </c>
      <c r="G383">
        <v>573.219970703125</v>
      </c>
      <c r="H383" s="2">
        <f>MONTH(Query1[[#This Row],[Date]])</f>
        <v>7</v>
      </c>
      <c r="I383" s="3">
        <f>Query1[[#This Row],[Shares]]*Query1[[#This Row],[Adj Close]]</f>
        <v>695347.28933347901</v>
      </c>
      <c r="J383" s="3">
        <f>IF(ROW()&lt;3, Dashboard!$E$7, IF(Query1[[#This Row],[Month]]&lt;&gt;H382,J382*(1+Dashboard!$E$4)+Dashboard!$E$5,J382))</f>
        <v>637303.23298066552</v>
      </c>
      <c r="K383">
        <f>IF(ROW()&lt;3, 0,IF(Query1[[#This Row],[Month]]&lt;&gt;H382,IF((J383-I383&gt;0),J383-I383,0),0))</f>
        <v>0</v>
      </c>
      <c r="L383" s="2">
        <f t="shared" si="5"/>
        <v>1213.0548914416743</v>
      </c>
      <c r="M383">
        <f ca="1">IF(ROW()&lt;3,0,IF(Query1[[#This Row],[Month]]&lt;&gt;OFFSET(Query1[[#This Row],[Month]],-1,0),Dashboard!$J$5,0))</f>
        <v>0</v>
      </c>
      <c r="N383" s="2">
        <f ca="1">IF(ROW()&lt;3, Query1[[#This Row],[Shares]], IF(Query1[[#This Row],[Month]]&lt;&gt;H382, N382+Query1[[#This Row],[Fix Top Up]]/Query1[[#This Row],[Adj Close]], N382))</f>
        <v>1209.7792478002862</v>
      </c>
      <c r="O38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3" s="2">
        <f ca="1">IF(ROW()&lt;3, Query1[[#This Row],[Shares]], IF(Query1[[#This Row],[Month]]&lt;&gt;H382, P382+Query1[[#This Row],[Enhanced top up]]/Query1[[#This Row],[Adj Close]], P382))</f>
        <v>1209.1560310343589</v>
      </c>
      <c r="Q383" s="2">
        <f>IFERROR(AVERAGE(
  IF(ROW()&gt;20, INDEX(G:G, ROW()-20), 0) :
  INDEX(G:G, ROW())
),0)</f>
        <v>561.15950520833337</v>
      </c>
    </row>
    <row r="384" spans="1:17" x14ac:dyDescent="0.3">
      <c r="A384" s="1">
        <v>45852</v>
      </c>
      <c r="B384">
        <v>572.8499755859375</v>
      </c>
      <c r="C384">
        <v>574.67999267578125</v>
      </c>
      <c r="D384">
        <v>571.58001708984375</v>
      </c>
      <c r="E384">
        <v>574.3499755859375</v>
      </c>
      <c r="F384">
        <v>4747000</v>
      </c>
      <c r="G384">
        <v>574.3499755859375</v>
      </c>
      <c r="H384" s="2">
        <f>MONTH(Query1[[#This Row],[Date]])</f>
        <v>7</v>
      </c>
      <c r="I384" s="3">
        <f>Query1[[#This Row],[Shares]]*Query1[[#This Row],[Adj Close]]</f>
        <v>696718.04728392768</v>
      </c>
      <c r="J384" s="3">
        <f>IF(ROW()&lt;3, Dashboard!$E$7, IF(Query1[[#This Row],[Month]]&lt;&gt;H383,J383*(1+Dashboard!$E$4)+Dashboard!$E$5,J383))</f>
        <v>637303.23298066552</v>
      </c>
      <c r="K384">
        <f>IF(ROW()&lt;3, 0,IF(Query1[[#This Row],[Month]]&lt;&gt;H383,IF((J384-I384&gt;0),J384-I384,0),0))</f>
        <v>0</v>
      </c>
      <c r="L384" s="2">
        <f t="shared" si="5"/>
        <v>1213.0548914416743</v>
      </c>
      <c r="M384">
        <f ca="1">IF(ROW()&lt;3,0,IF(Query1[[#This Row],[Month]]&lt;&gt;OFFSET(Query1[[#This Row],[Month]],-1,0),Dashboard!$J$5,0))</f>
        <v>0</v>
      </c>
      <c r="N384" s="2">
        <f ca="1">IF(ROW()&lt;3, Query1[[#This Row],[Shares]], IF(Query1[[#This Row],[Month]]&lt;&gt;H383, N383+Query1[[#This Row],[Fix Top Up]]/Query1[[#This Row],[Adj Close]], N383))</f>
        <v>1209.7792478002862</v>
      </c>
      <c r="O38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4" s="2">
        <f ca="1">IF(ROW()&lt;3, Query1[[#This Row],[Shares]], IF(Query1[[#This Row],[Month]]&lt;&gt;H383, P383+Query1[[#This Row],[Enhanced top up]]/Query1[[#This Row],[Adj Close]], P383))</f>
        <v>1209.1560310343589</v>
      </c>
      <c r="Q384" s="2">
        <f>IFERROR(AVERAGE(
  IF(ROW()&gt;20, INDEX(G:G, ROW()-20), 0) :
  INDEX(G:G, ROW())
),0)</f>
        <v>562.26386660621279</v>
      </c>
    </row>
    <row r="385" spans="1:17" x14ac:dyDescent="0.3">
      <c r="A385" s="1">
        <v>45853</v>
      </c>
      <c r="B385">
        <v>576.8499755859375</v>
      </c>
      <c r="C385">
        <v>577.15997314453125</v>
      </c>
      <c r="D385">
        <v>571.8499755859375</v>
      </c>
      <c r="E385">
        <v>571.8599853515625</v>
      </c>
      <c r="F385">
        <v>5399000</v>
      </c>
      <c r="G385">
        <v>571.8599853515625</v>
      </c>
      <c r="H385" s="2">
        <f>MONTH(Query1[[#This Row],[Date]])</f>
        <v>7</v>
      </c>
      <c r="I385" s="3">
        <f>Query1[[#This Row],[Shares]]*Query1[[#This Row],[Adj Close]]</f>
        <v>693697.55245047715</v>
      </c>
      <c r="J385" s="3">
        <f>IF(ROW()&lt;3, Dashboard!$E$7, IF(Query1[[#This Row],[Month]]&lt;&gt;H384,J384*(1+Dashboard!$E$4)+Dashboard!$E$5,J384))</f>
        <v>637303.23298066552</v>
      </c>
      <c r="K385">
        <f>IF(ROW()&lt;3, 0,IF(Query1[[#This Row],[Month]]&lt;&gt;H384,IF((J385-I385&gt;0),J385-I385,0),0))</f>
        <v>0</v>
      </c>
      <c r="L385" s="2">
        <f t="shared" si="5"/>
        <v>1213.0548914416743</v>
      </c>
      <c r="M385">
        <f ca="1">IF(ROW()&lt;3,0,IF(Query1[[#This Row],[Month]]&lt;&gt;OFFSET(Query1[[#This Row],[Month]],-1,0),Dashboard!$J$5,0))</f>
        <v>0</v>
      </c>
      <c r="N385" s="2">
        <f ca="1">IF(ROW()&lt;3, Query1[[#This Row],[Shares]], IF(Query1[[#This Row],[Month]]&lt;&gt;H384, N384+Query1[[#This Row],[Fix Top Up]]/Query1[[#This Row],[Adj Close]], N384))</f>
        <v>1209.7792478002862</v>
      </c>
      <c r="O38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5" s="2">
        <f ca="1">IF(ROW()&lt;3, Query1[[#This Row],[Shares]], IF(Query1[[#This Row],[Month]]&lt;&gt;H384, P384+Query1[[#This Row],[Enhanced top up]]/Query1[[#This Row],[Adj Close]], P384))</f>
        <v>1209.1560310343589</v>
      </c>
      <c r="Q385" s="2">
        <f>IFERROR(AVERAGE(
  IF(ROW()&gt;20, INDEX(G:G, ROW()-20), 0) :
  INDEX(G:G, ROW())
),0)</f>
        <v>563.15044003441221</v>
      </c>
    </row>
    <row r="386" spans="1:17" x14ac:dyDescent="0.3">
      <c r="A386" s="1">
        <v>45854</v>
      </c>
      <c r="B386">
        <v>573.4000244140625</v>
      </c>
      <c r="C386">
        <v>574.260009765625</v>
      </c>
      <c r="D386">
        <v>568.16998291015625</v>
      </c>
      <c r="E386">
        <v>573.739990234375</v>
      </c>
      <c r="F386">
        <v>6141200</v>
      </c>
      <c r="G386">
        <v>573.739990234375</v>
      </c>
      <c r="H386" s="2">
        <f>MONTH(Query1[[#This Row],[Date]])</f>
        <v>7</v>
      </c>
      <c r="I386" s="3">
        <f>Query1[[#This Row],[Shares]]*Query1[[#This Row],[Adj Close]]</f>
        <v>695978.10156950704</v>
      </c>
      <c r="J386" s="3">
        <f>IF(ROW()&lt;3, Dashboard!$E$7, IF(Query1[[#This Row],[Month]]&lt;&gt;H385,J385*(1+Dashboard!$E$4)+Dashboard!$E$5,J385))</f>
        <v>637303.23298066552</v>
      </c>
      <c r="K386">
        <f>IF(ROW()&lt;3, 0,IF(Query1[[#This Row],[Month]]&lt;&gt;H385,IF((J386-I386&gt;0),J386-I386,0),0))</f>
        <v>0</v>
      </c>
      <c r="L386" s="2">
        <f t="shared" ref="L386:L434" si="6">IF(ROW()&lt;3, J386/G386, L385+K385/G385)</f>
        <v>1213.0548914416743</v>
      </c>
      <c r="M386">
        <f ca="1">IF(ROW()&lt;3,0,IF(Query1[[#This Row],[Month]]&lt;&gt;OFFSET(Query1[[#This Row],[Month]],-1,0),Dashboard!$J$5,0))</f>
        <v>0</v>
      </c>
      <c r="N386" s="2">
        <f ca="1">IF(ROW()&lt;3, Query1[[#This Row],[Shares]], IF(Query1[[#This Row],[Month]]&lt;&gt;H385, N385+Query1[[#This Row],[Fix Top Up]]/Query1[[#This Row],[Adj Close]], N385))</f>
        <v>1209.7792478002862</v>
      </c>
      <c r="O38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6" s="2">
        <f ca="1">IF(ROW()&lt;3, Query1[[#This Row],[Shares]], IF(Query1[[#This Row],[Month]]&lt;&gt;H385, P385+Query1[[#This Row],[Enhanced top up]]/Query1[[#This Row],[Adj Close]], P385))</f>
        <v>1209.1560310343589</v>
      </c>
      <c r="Q386" s="2">
        <f>IFERROR(AVERAGE(
  IF(ROW()&gt;20, INDEX(G:G, ROW()-20), 0) :
  INDEX(G:G, ROW())
),0)</f>
        <v>564.41991606212798</v>
      </c>
    </row>
    <row r="387" spans="1:17" x14ac:dyDescent="0.3">
      <c r="A387" s="1">
        <v>45855</v>
      </c>
      <c r="B387">
        <v>574.02001953125</v>
      </c>
      <c r="C387">
        <v>577.6500244140625</v>
      </c>
      <c r="D387">
        <v>573.79998779296875</v>
      </c>
      <c r="E387">
        <v>577.17999267578125</v>
      </c>
      <c r="F387">
        <v>6495300</v>
      </c>
      <c r="G387">
        <v>577.17999267578125</v>
      </c>
      <c r="H387" s="2">
        <f>MONTH(Query1[[#This Row],[Date]])</f>
        <v>7</v>
      </c>
      <c r="I387" s="3">
        <f>Query1[[#This Row],[Shares]]*Query1[[#This Row],[Adj Close]]</f>
        <v>700151.01335762616</v>
      </c>
      <c r="J387" s="3">
        <f>IF(ROW()&lt;3, Dashboard!$E$7, IF(Query1[[#This Row],[Month]]&lt;&gt;H386,J386*(1+Dashboard!$E$4)+Dashboard!$E$5,J386))</f>
        <v>637303.23298066552</v>
      </c>
      <c r="K387">
        <f>IF(ROW()&lt;3, 0,IF(Query1[[#This Row],[Month]]&lt;&gt;H386,IF((J387-I387&gt;0),J387-I387,0),0))</f>
        <v>0</v>
      </c>
      <c r="L387" s="2">
        <f t="shared" si="6"/>
        <v>1213.0548914416743</v>
      </c>
      <c r="M387">
        <f ca="1">IF(ROW()&lt;3,0,IF(Query1[[#This Row],[Month]]&lt;&gt;OFFSET(Query1[[#This Row],[Month]],-1,0),Dashboard!$J$5,0))</f>
        <v>0</v>
      </c>
      <c r="N387" s="2">
        <f ca="1">IF(ROW()&lt;3, Query1[[#This Row],[Shares]], IF(Query1[[#This Row],[Month]]&lt;&gt;H386, N386+Query1[[#This Row],[Fix Top Up]]/Query1[[#This Row],[Adj Close]], N386))</f>
        <v>1209.7792478002862</v>
      </c>
      <c r="O38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7" s="2">
        <f ca="1">IF(ROW()&lt;3, Query1[[#This Row],[Shares]], IF(Query1[[#This Row],[Month]]&lt;&gt;H386, P386+Query1[[#This Row],[Enhanced top up]]/Query1[[#This Row],[Adj Close]], P386))</f>
        <v>1209.1560310343589</v>
      </c>
      <c r="Q387" s="2">
        <f>IFERROR(AVERAGE(
  IF(ROW()&gt;20, INDEX(G:G, ROW()-20), 0) :
  INDEX(G:G, ROW())
),0)</f>
        <v>565.60159737723211</v>
      </c>
    </row>
    <row r="388" spans="1:17" x14ac:dyDescent="0.3">
      <c r="A388" s="1">
        <v>45856</v>
      </c>
      <c r="B388">
        <v>578.469970703125</v>
      </c>
      <c r="C388">
        <v>578.5</v>
      </c>
      <c r="D388">
        <v>575.84002685546875</v>
      </c>
      <c r="E388">
        <v>576.91998291015625</v>
      </c>
      <c r="F388">
        <v>4262400</v>
      </c>
      <c r="G388">
        <v>576.91998291015625</v>
      </c>
      <c r="H388" s="2">
        <f>MONTH(Query1[[#This Row],[Date]])</f>
        <v>7</v>
      </c>
      <c r="I388" s="3">
        <f>Query1[[#This Row],[Shares]]*Query1[[#This Row],[Adj Close]]</f>
        <v>699835.60723961215</v>
      </c>
      <c r="J388" s="3">
        <f>IF(ROW()&lt;3, Dashboard!$E$7, IF(Query1[[#This Row],[Month]]&lt;&gt;H387,J387*(1+Dashboard!$E$4)+Dashboard!$E$5,J387))</f>
        <v>637303.23298066552</v>
      </c>
      <c r="K388">
        <f>IF(ROW()&lt;3, 0,IF(Query1[[#This Row],[Month]]&lt;&gt;H387,IF((J388-I388&gt;0),J388-I388,0),0))</f>
        <v>0</v>
      </c>
      <c r="L388" s="2">
        <f t="shared" si="6"/>
        <v>1213.0548914416743</v>
      </c>
      <c r="M388">
        <f ca="1">IF(ROW()&lt;3,0,IF(Query1[[#This Row],[Month]]&lt;&gt;OFFSET(Query1[[#This Row],[Month]],-1,0),Dashboard!$J$5,0))</f>
        <v>0</v>
      </c>
      <c r="N388" s="2">
        <f ca="1">IF(ROW()&lt;3, Query1[[#This Row],[Shares]], IF(Query1[[#This Row],[Month]]&lt;&gt;H387, N387+Query1[[#This Row],[Fix Top Up]]/Query1[[#This Row],[Adj Close]], N387))</f>
        <v>1209.7792478002862</v>
      </c>
      <c r="O38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8" s="2">
        <f ca="1">IF(ROW()&lt;3, Query1[[#This Row],[Shares]], IF(Query1[[#This Row],[Month]]&lt;&gt;H387, P387+Query1[[#This Row],[Enhanced top up]]/Query1[[#This Row],[Adj Close]], P387))</f>
        <v>1209.1560310343589</v>
      </c>
      <c r="Q388" s="2">
        <f>IFERROR(AVERAGE(
  IF(ROW()&gt;20, INDEX(G:G, ROW()-20), 0) :
  INDEX(G:G, ROW())
),0)</f>
        <v>566.99496895926336</v>
      </c>
    </row>
    <row r="389" spans="1:17" x14ac:dyDescent="0.3">
      <c r="A389" s="1">
        <v>45859</v>
      </c>
      <c r="B389">
        <v>577.97998046875</v>
      </c>
      <c r="C389">
        <v>580.530029296875</v>
      </c>
      <c r="D389">
        <v>577.59002685546875</v>
      </c>
      <c r="E389">
        <v>577.95001220703125</v>
      </c>
      <c r="F389">
        <v>5913800</v>
      </c>
      <c r="G389">
        <v>577.95001220703125</v>
      </c>
      <c r="H389" s="2">
        <f>MONTH(Query1[[#This Row],[Date]])</f>
        <v>7</v>
      </c>
      <c r="I389" s="3">
        <f>Query1[[#This Row],[Shares]]*Query1[[#This Row],[Adj Close]]</f>
        <v>701085.08931651467</v>
      </c>
      <c r="J389" s="3">
        <f>IF(ROW()&lt;3, Dashboard!$E$7, IF(Query1[[#This Row],[Month]]&lt;&gt;H388,J388*(1+Dashboard!$E$4)+Dashboard!$E$5,J388))</f>
        <v>637303.23298066552</v>
      </c>
      <c r="K389">
        <f>IF(ROW()&lt;3, 0,IF(Query1[[#This Row],[Month]]&lt;&gt;H388,IF((J389-I389&gt;0),J389-I389,0),0))</f>
        <v>0</v>
      </c>
      <c r="L389" s="2">
        <f t="shared" si="6"/>
        <v>1213.0548914416743</v>
      </c>
      <c r="M389">
        <f ca="1">IF(ROW()&lt;3,0,IF(Query1[[#This Row],[Month]]&lt;&gt;OFFSET(Query1[[#This Row],[Month]],-1,0),Dashboard!$J$5,0))</f>
        <v>0</v>
      </c>
      <c r="N389" s="2">
        <f ca="1">IF(ROW()&lt;3, Query1[[#This Row],[Shares]], IF(Query1[[#This Row],[Month]]&lt;&gt;H388, N388+Query1[[#This Row],[Fix Top Up]]/Query1[[#This Row],[Adj Close]], N388))</f>
        <v>1209.7792478002862</v>
      </c>
      <c r="O38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89" s="2">
        <f ca="1">IF(ROW()&lt;3, Query1[[#This Row],[Shares]], IF(Query1[[#This Row],[Month]]&lt;&gt;H388, P388+Query1[[#This Row],[Enhanced top up]]/Query1[[#This Row],[Adj Close]], P388))</f>
        <v>1209.1560310343589</v>
      </c>
      <c r="Q389" s="2">
        <f>IFERROR(AVERAGE(
  IF(ROW()&gt;20, INDEX(G:G, ROW()-20), 0) :
  INDEX(G:G, ROW())
),0)</f>
        <v>568.4426124209449</v>
      </c>
    </row>
    <row r="390" spans="1:17" x14ac:dyDescent="0.3">
      <c r="A390" s="1">
        <v>45860</v>
      </c>
      <c r="B390">
        <v>578.280029296875</v>
      </c>
      <c r="C390">
        <v>578.84002685546875</v>
      </c>
      <c r="D390">
        <v>575.6400146484375</v>
      </c>
      <c r="E390">
        <v>577.95001220703125</v>
      </c>
      <c r="F390">
        <v>4767700</v>
      </c>
      <c r="G390">
        <v>577.95001220703125</v>
      </c>
      <c r="H390" s="2">
        <f>MONTH(Query1[[#This Row],[Date]])</f>
        <v>7</v>
      </c>
      <c r="I390" s="3">
        <f>Query1[[#This Row],[Shares]]*Query1[[#This Row],[Adj Close]]</f>
        <v>701085.08931651467</v>
      </c>
      <c r="J390" s="3">
        <f>IF(ROW()&lt;3, Dashboard!$E$7, IF(Query1[[#This Row],[Month]]&lt;&gt;H389,J389*(1+Dashboard!$E$4)+Dashboard!$E$5,J389))</f>
        <v>637303.23298066552</v>
      </c>
      <c r="K390">
        <f>IF(ROW()&lt;3, 0,IF(Query1[[#This Row],[Month]]&lt;&gt;H389,IF((J390-I390&gt;0),J390-I390,0),0))</f>
        <v>0</v>
      </c>
      <c r="L390" s="2">
        <f t="shared" si="6"/>
        <v>1213.0548914416743</v>
      </c>
      <c r="M390">
        <f ca="1">IF(ROW()&lt;3,0,IF(Query1[[#This Row],[Month]]&lt;&gt;OFFSET(Query1[[#This Row],[Month]],-1,0),Dashboard!$J$5,0))</f>
        <v>0</v>
      </c>
      <c r="N390" s="2">
        <f ca="1">IF(ROW()&lt;3, Query1[[#This Row],[Shares]], IF(Query1[[#This Row],[Month]]&lt;&gt;H389, N389+Query1[[#This Row],[Fix Top Up]]/Query1[[#This Row],[Adj Close]], N389))</f>
        <v>1209.7792478002862</v>
      </c>
      <c r="O39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0" s="2">
        <f ca="1">IF(ROW()&lt;3, Query1[[#This Row],[Shares]], IF(Query1[[#This Row],[Month]]&lt;&gt;H389, P389+Query1[[#This Row],[Enhanced top up]]/Query1[[#This Row],[Adj Close]], P389))</f>
        <v>1209.1560310343589</v>
      </c>
      <c r="Q390" s="2">
        <f>IFERROR(AVERAGE(
  IF(ROW()&gt;20, INDEX(G:G, ROW()-20), 0) :
  INDEX(G:G, ROW())
),0)</f>
        <v>569.96241396949404</v>
      </c>
    </row>
    <row r="391" spans="1:17" x14ac:dyDescent="0.3">
      <c r="A391" s="1">
        <v>45861</v>
      </c>
      <c r="B391">
        <v>580.57000732421875</v>
      </c>
      <c r="C391">
        <v>582.96002197265625</v>
      </c>
      <c r="D391">
        <v>578.8699951171875</v>
      </c>
      <c r="E391">
        <v>582.8599853515625</v>
      </c>
      <c r="F391">
        <v>4257300</v>
      </c>
      <c r="G391">
        <v>582.8599853515625</v>
      </c>
      <c r="H391" s="2">
        <f>MONTH(Query1[[#This Row],[Date]])</f>
        <v>7</v>
      </c>
      <c r="I391" s="3">
        <f>Query1[[#This Row],[Shares]]*Query1[[#This Row],[Adj Close]]</f>
        <v>707041.15625633555</v>
      </c>
      <c r="J391" s="3">
        <f>IF(ROW()&lt;3, Dashboard!$E$7, IF(Query1[[#This Row],[Month]]&lt;&gt;H390,J390*(1+Dashboard!$E$4)+Dashboard!$E$5,J390))</f>
        <v>637303.23298066552</v>
      </c>
      <c r="K391">
        <f>IF(ROW()&lt;3, 0,IF(Query1[[#This Row],[Month]]&lt;&gt;H390,IF((J391-I391&gt;0),J391-I391,0),0))</f>
        <v>0</v>
      </c>
      <c r="L391" s="2">
        <f t="shared" si="6"/>
        <v>1213.0548914416743</v>
      </c>
      <c r="M391">
        <f ca="1">IF(ROW()&lt;3,0,IF(Query1[[#This Row],[Month]]&lt;&gt;OFFSET(Query1[[#This Row],[Month]],-1,0),Dashboard!$J$5,0))</f>
        <v>0</v>
      </c>
      <c r="N391" s="2">
        <f ca="1">IF(ROW()&lt;3, Query1[[#This Row],[Shares]], IF(Query1[[#This Row],[Month]]&lt;&gt;H390, N390+Query1[[#This Row],[Fix Top Up]]/Query1[[#This Row],[Adj Close]], N390))</f>
        <v>1209.7792478002862</v>
      </c>
      <c r="O39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1" s="2">
        <f ca="1">IF(ROW()&lt;3, Query1[[#This Row],[Shares]], IF(Query1[[#This Row],[Month]]&lt;&gt;H390, P390+Query1[[#This Row],[Enhanced top up]]/Query1[[#This Row],[Adj Close]], P390))</f>
        <v>1209.1560310343589</v>
      </c>
      <c r="Q391" s="2">
        <f>IFERROR(AVERAGE(
  IF(ROW()&gt;20, INDEX(G:G, ROW()-20), 0) :
  INDEX(G:G, ROW())
),0)</f>
        <v>571.44827997116818</v>
      </c>
    </row>
    <row r="392" spans="1:17" x14ac:dyDescent="0.3">
      <c r="A392" s="1">
        <v>45862</v>
      </c>
      <c r="B392">
        <v>583.34002685546875</v>
      </c>
      <c r="C392">
        <v>584.75</v>
      </c>
      <c r="D392">
        <v>582.719970703125</v>
      </c>
      <c r="E392">
        <v>583.260009765625</v>
      </c>
      <c r="F392">
        <v>3840900</v>
      </c>
      <c r="G392">
        <v>583.260009765625</v>
      </c>
      <c r="H392" s="2">
        <f>MONTH(Query1[[#This Row],[Date]])</f>
        <v>7</v>
      </c>
      <c r="I392" s="3">
        <f>Query1[[#This Row],[Shares]]*Query1[[#This Row],[Adj Close]]</f>
        <v>707526.40782851016</v>
      </c>
      <c r="J392" s="3">
        <f>IF(ROW()&lt;3, Dashboard!$E$7, IF(Query1[[#This Row],[Month]]&lt;&gt;H391,J391*(1+Dashboard!$E$4)+Dashboard!$E$5,J391))</f>
        <v>637303.23298066552</v>
      </c>
      <c r="K392">
        <f>IF(ROW()&lt;3, 0,IF(Query1[[#This Row],[Month]]&lt;&gt;H391,IF((J392-I392&gt;0),J392-I392,0),0))</f>
        <v>0</v>
      </c>
      <c r="L392" s="2">
        <f t="shared" si="6"/>
        <v>1213.0548914416743</v>
      </c>
      <c r="M392">
        <f ca="1">IF(ROW()&lt;3,0,IF(Query1[[#This Row],[Month]]&lt;&gt;OFFSET(Query1[[#This Row],[Month]],-1,0),Dashboard!$J$5,0))</f>
        <v>0</v>
      </c>
      <c r="N392" s="2">
        <f ca="1">IF(ROW()&lt;3, Query1[[#This Row],[Shares]], IF(Query1[[#This Row],[Month]]&lt;&gt;H391, N391+Query1[[#This Row],[Fix Top Up]]/Query1[[#This Row],[Adj Close]], N391))</f>
        <v>1209.7792478002862</v>
      </c>
      <c r="O39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2" s="2">
        <f ca="1">IF(ROW()&lt;3, Query1[[#This Row],[Shares]], IF(Query1[[#This Row],[Month]]&lt;&gt;H391, P391+Query1[[#This Row],[Enhanced top up]]/Query1[[#This Row],[Adj Close]], P391))</f>
        <v>1209.1560310343589</v>
      </c>
      <c r="Q392" s="2">
        <f>IFERROR(AVERAGE(
  IF(ROW()&gt;20, INDEX(G:G, ROW()-20), 0) :
  INDEX(G:G, ROW())
),0)</f>
        <v>572.66455950055808</v>
      </c>
    </row>
    <row r="393" spans="1:17" x14ac:dyDescent="0.3">
      <c r="A393" s="1">
        <v>45863</v>
      </c>
      <c r="B393">
        <v>583.80999755859375</v>
      </c>
      <c r="C393">
        <v>586.03997802734375</v>
      </c>
      <c r="D393">
        <v>583.59002685546875</v>
      </c>
      <c r="E393">
        <v>585.58001708984375</v>
      </c>
      <c r="F393">
        <v>4210100</v>
      </c>
      <c r="G393">
        <v>585.58001708984375</v>
      </c>
      <c r="H393" s="2">
        <f>MONTH(Query1[[#This Row],[Date]])</f>
        <v>7</v>
      </c>
      <c r="I393" s="3">
        <f>Query1[[#This Row],[Shares]]*Query1[[#This Row],[Adj Close]]</f>
        <v>710340.70406133414</v>
      </c>
      <c r="J393" s="3">
        <f>IF(ROW()&lt;3, Dashboard!$E$7, IF(Query1[[#This Row],[Month]]&lt;&gt;H392,J392*(1+Dashboard!$E$4)+Dashboard!$E$5,J392))</f>
        <v>637303.23298066552</v>
      </c>
      <c r="K393">
        <f>IF(ROW()&lt;3, 0,IF(Query1[[#This Row],[Month]]&lt;&gt;H392,IF((J393-I393&gt;0),J393-I393,0),0))</f>
        <v>0</v>
      </c>
      <c r="L393" s="2">
        <f t="shared" si="6"/>
        <v>1213.0548914416743</v>
      </c>
      <c r="M393">
        <f ca="1">IF(ROW()&lt;3,0,IF(Query1[[#This Row],[Month]]&lt;&gt;OFFSET(Query1[[#This Row],[Month]],-1,0),Dashboard!$J$5,0))</f>
        <v>0</v>
      </c>
      <c r="N393" s="2">
        <f ca="1">IF(ROW()&lt;3, Query1[[#This Row],[Shares]], IF(Query1[[#This Row],[Month]]&lt;&gt;H392, N392+Query1[[#This Row],[Fix Top Up]]/Query1[[#This Row],[Adj Close]], N392))</f>
        <v>1209.7792478002862</v>
      </c>
      <c r="O39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3" s="2">
        <f ca="1">IF(ROW()&lt;3, Query1[[#This Row],[Shares]], IF(Query1[[#This Row],[Month]]&lt;&gt;H392, P392+Query1[[#This Row],[Enhanced top up]]/Query1[[#This Row],[Adj Close]], P392))</f>
        <v>1209.1560310343589</v>
      </c>
      <c r="Q393" s="2">
        <f>IFERROR(AVERAGE(
  IF(ROW()&gt;20, INDEX(G:G, ROW()-20), 0) :
  INDEX(G:G, ROW())
),0)</f>
        <v>573.97802443731393</v>
      </c>
    </row>
    <row r="394" spans="1:17" x14ac:dyDescent="0.3">
      <c r="A394" s="1">
        <v>45866</v>
      </c>
      <c r="B394">
        <v>586.03997802734375</v>
      </c>
      <c r="C394">
        <v>586.5</v>
      </c>
      <c r="D394">
        <v>584.239990234375</v>
      </c>
      <c r="E394">
        <v>585.44000244140625</v>
      </c>
      <c r="F394">
        <v>4193100</v>
      </c>
      <c r="G394">
        <v>585.44000244140625</v>
      </c>
      <c r="H394" s="2">
        <f>MONTH(Query1[[#This Row],[Date]])</f>
        <v>7</v>
      </c>
      <c r="I394" s="3">
        <f>Query1[[#This Row],[Shares]]*Query1[[#This Row],[Adj Close]]</f>
        <v>710170.85860717355</v>
      </c>
      <c r="J394" s="3">
        <f>IF(ROW()&lt;3, Dashboard!$E$7, IF(Query1[[#This Row],[Month]]&lt;&gt;H393,J393*(1+Dashboard!$E$4)+Dashboard!$E$5,J393))</f>
        <v>637303.23298066552</v>
      </c>
      <c r="K394">
        <f>IF(ROW()&lt;3, 0,IF(Query1[[#This Row],[Month]]&lt;&gt;H393,IF((J394-I394&gt;0),J394-I394,0),0))</f>
        <v>0</v>
      </c>
      <c r="L394" s="2">
        <f t="shared" si="6"/>
        <v>1213.0548914416743</v>
      </c>
      <c r="M394">
        <f ca="1">IF(ROW()&lt;3,0,IF(Query1[[#This Row],[Month]]&lt;&gt;OFFSET(Query1[[#This Row],[Month]],-1,0),Dashboard!$J$5,0))</f>
        <v>0</v>
      </c>
      <c r="N394" s="2">
        <f ca="1">IF(ROW()&lt;3, Query1[[#This Row],[Shares]], IF(Query1[[#This Row],[Month]]&lt;&gt;H393, N393+Query1[[#This Row],[Fix Top Up]]/Query1[[#This Row],[Adj Close]], N393))</f>
        <v>1209.7792478002862</v>
      </c>
      <c r="O39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4" s="2">
        <f ca="1">IF(ROW()&lt;3, Query1[[#This Row],[Shares]], IF(Query1[[#This Row],[Month]]&lt;&gt;H393, P393+Query1[[#This Row],[Enhanced top up]]/Query1[[#This Row],[Adj Close]], P393))</f>
        <v>1209.1560310343589</v>
      </c>
      <c r="Q394" s="2">
        <f>IFERROR(AVERAGE(
  IF(ROW()&gt;20, INDEX(G:G, ROW()-20), 0) :
  INDEX(G:G, ROW())
),0)</f>
        <v>575.07451811290923</v>
      </c>
    </row>
    <row r="395" spans="1:17" x14ac:dyDescent="0.3">
      <c r="A395" s="1">
        <v>45867</v>
      </c>
      <c r="B395">
        <v>586.82000732421875</v>
      </c>
      <c r="C395">
        <v>587.08001708984375</v>
      </c>
      <c r="D395">
        <v>583.1199951171875</v>
      </c>
      <c r="E395">
        <v>583.91998291015625</v>
      </c>
      <c r="F395">
        <v>5053400</v>
      </c>
      <c r="G395">
        <v>583.91998291015625</v>
      </c>
      <c r="H395" s="2">
        <f>MONTH(Query1[[#This Row],[Date]])</f>
        <v>7</v>
      </c>
      <c r="I395" s="3">
        <f>Query1[[#This Row],[Shares]]*Query1[[#This Row],[Adj Close]]</f>
        <v>708326.99147970392</v>
      </c>
      <c r="J395" s="3">
        <f>IF(ROW()&lt;3, Dashboard!$E$7, IF(Query1[[#This Row],[Month]]&lt;&gt;H394,J394*(1+Dashboard!$E$4)+Dashboard!$E$5,J394))</f>
        <v>637303.23298066552</v>
      </c>
      <c r="K395">
        <f>IF(ROW()&lt;3, 0,IF(Query1[[#This Row],[Month]]&lt;&gt;H394,IF((J395-I395&gt;0),J395-I395,0),0))</f>
        <v>0</v>
      </c>
      <c r="L395" s="2">
        <f t="shared" si="6"/>
        <v>1213.0548914416743</v>
      </c>
      <c r="M395">
        <f ca="1">IF(ROW()&lt;3,0,IF(Query1[[#This Row],[Month]]&lt;&gt;OFFSET(Query1[[#This Row],[Month]],-1,0),Dashboard!$J$5,0))</f>
        <v>0</v>
      </c>
      <c r="N395" s="2">
        <f ca="1">IF(ROW()&lt;3, Query1[[#This Row],[Shares]], IF(Query1[[#This Row],[Month]]&lt;&gt;H394, N394+Query1[[#This Row],[Fix Top Up]]/Query1[[#This Row],[Adj Close]], N394))</f>
        <v>1209.7792478002862</v>
      </c>
      <c r="O39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5" s="2">
        <f ca="1">IF(ROW()&lt;3, Query1[[#This Row],[Shares]], IF(Query1[[#This Row],[Month]]&lt;&gt;H394, P394+Query1[[#This Row],[Enhanced top up]]/Query1[[#This Row],[Adj Close]], P394))</f>
        <v>1209.1560310343589</v>
      </c>
      <c r="Q395" s="2">
        <f>IFERROR(AVERAGE(
  IF(ROW()&gt;20, INDEX(G:G, ROW()-20), 0) :
  INDEX(G:G, ROW())
),0)</f>
        <v>575.96570696149558</v>
      </c>
    </row>
    <row r="396" spans="1:17" x14ac:dyDescent="0.3">
      <c r="A396" s="1">
        <v>45868</v>
      </c>
      <c r="B396">
        <v>584.65997314453125</v>
      </c>
      <c r="C396">
        <v>586.1500244140625</v>
      </c>
      <c r="D396">
        <v>580.54998779296875</v>
      </c>
      <c r="E396">
        <v>583.21002197265625</v>
      </c>
      <c r="F396">
        <v>6974700</v>
      </c>
      <c r="G396">
        <v>583.21002197265625</v>
      </c>
      <c r="H396" s="2">
        <f>MONTH(Query1[[#This Row],[Date]])</f>
        <v>7</v>
      </c>
      <c r="I396" s="3">
        <f>Query1[[#This Row],[Shares]]*Query1[[#This Row],[Adj Close]]</f>
        <v>707465.76989173703</v>
      </c>
      <c r="J396" s="3">
        <f>IF(ROW()&lt;3, Dashboard!$E$7, IF(Query1[[#This Row],[Month]]&lt;&gt;H395,J395*(1+Dashboard!$E$4)+Dashboard!$E$5,J395))</f>
        <v>637303.23298066552</v>
      </c>
      <c r="K396">
        <f>IF(ROW()&lt;3, 0,IF(Query1[[#This Row],[Month]]&lt;&gt;H395,IF((J396-I396&gt;0),J396-I396,0),0))</f>
        <v>0</v>
      </c>
      <c r="L396" s="2">
        <f t="shared" si="6"/>
        <v>1213.0548914416743</v>
      </c>
      <c r="M396">
        <f ca="1">IF(ROW()&lt;3,0,IF(Query1[[#This Row],[Month]]&lt;&gt;OFFSET(Query1[[#This Row],[Month]],-1,0),Dashboard!$J$5,0))</f>
        <v>0</v>
      </c>
      <c r="N396" s="2">
        <f ca="1">IF(ROW()&lt;3, Query1[[#This Row],[Shares]], IF(Query1[[#This Row],[Month]]&lt;&gt;H395, N395+Query1[[#This Row],[Fix Top Up]]/Query1[[#This Row],[Adj Close]], N395))</f>
        <v>1209.7792478002862</v>
      </c>
      <c r="O39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6" s="2">
        <f ca="1">IF(ROW()&lt;3, Query1[[#This Row],[Shares]], IF(Query1[[#This Row],[Month]]&lt;&gt;H395, P395+Query1[[#This Row],[Enhanced top up]]/Query1[[#This Row],[Adj Close]], P395))</f>
        <v>1209.1560310343589</v>
      </c>
      <c r="Q396" s="2">
        <f>IFERROR(AVERAGE(
  IF(ROW()&gt;20, INDEX(G:G, ROW()-20), 0) :
  INDEX(G:G, ROW())
),0)</f>
        <v>576.68856375558039</v>
      </c>
    </row>
    <row r="397" spans="1:17" x14ac:dyDescent="0.3">
      <c r="A397" s="1">
        <v>45869</v>
      </c>
      <c r="B397">
        <v>587.83001708984375</v>
      </c>
      <c r="C397">
        <v>588.15997314453125</v>
      </c>
      <c r="D397">
        <v>579.84002685546875</v>
      </c>
      <c r="E397">
        <v>581.02001953125</v>
      </c>
      <c r="F397">
        <v>7046800</v>
      </c>
      <c r="G397">
        <v>581.02001953125</v>
      </c>
      <c r="H397" s="2">
        <f>MONTH(Query1[[#This Row],[Date]])</f>
        <v>7</v>
      </c>
      <c r="I397" s="3">
        <f>Query1[[#This Row],[Shares]]*Query1[[#This Row],[Adj Close]]</f>
        <v>704809.17671791988</v>
      </c>
      <c r="J397" s="3">
        <f>IF(ROW()&lt;3, Dashboard!$E$7, IF(Query1[[#This Row],[Month]]&lt;&gt;H396,J396*(1+Dashboard!$E$4)+Dashboard!$E$5,J396))</f>
        <v>637303.23298066552</v>
      </c>
      <c r="K397">
        <f>IF(ROW()&lt;3, 0,IF(Query1[[#This Row],[Month]]&lt;&gt;H396,IF((J397-I397&gt;0),J397-I397,0),0))</f>
        <v>0</v>
      </c>
      <c r="L397" s="2">
        <f t="shared" si="6"/>
        <v>1213.0548914416743</v>
      </c>
      <c r="M397">
        <f ca="1">IF(ROW()&lt;3,0,IF(Query1[[#This Row],[Month]]&lt;&gt;OFFSET(Query1[[#This Row],[Month]],-1,0),Dashboard!$J$5,0))</f>
        <v>0</v>
      </c>
      <c r="N397" s="2">
        <f ca="1">IF(ROW()&lt;3, Query1[[#This Row],[Shares]], IF(Query1[[#This Row],[Month]]&lt;&gt;H396, N396+Query1[[#This Row],[Fix Top Up]]/Query1[[#This Row],[Adj Close]], N396))</f>
        <v>1209.7792478002862</v>
      </c>
      <c r="O39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7" s="2">
        <f ca="1">IF(ROW()&lt;3, Query1[[#This Row],[Shares]], IF(Query1[[#This Row],[Month]]&lt;&gt;H396, P396+Query1[[#This Row],[Enhanced top up]]/Query1[[#This Row],[Adj Close]], P396))</f>
        <v>1209.1560310343589</v>
      </c>
      <c r="Q397" s="2">
        <f>IFERROR(AVERAGE(
  IF(ROW()&gt;20, INDEX(G:G, ROW()-20), 0) :
  INDEX(G:G, ROW())
),0)</f>
        <v>577.31951613653268</v>
      </c>
    </row>
    <row r="398" spans="1:17" x14ac:dyDescent="0.3">
      <c r="A398" s="1">
        <v>45870</v>
      </c>
      <c r="B398">
        <v>575.72998046875</v>
      </c>
      <c r="C398">
        <v>575.739990234375</v>
      </c>
      <c r="D398">
        <v>569.28997802734375</v>
      </c>
      <c r="E398">
        <v>571.45001220703125</v>
      </c>
      <c r="F398">
        <v>8781300</v>
      </c>
      <c r="G398">
        <v>571.45001220703125</v>
      </c>
      <c r="H398" s="2">
        <f>MONTH(Query1[[#This Row],[Date]])</f>
        <v>8</v>
      </c>
      <c r="I398" s="3">
        <f>Query1[[#This Row],[Shares]]*Query1[[#This Row],[Adj Close]]</f>
        <v>693200.23252214375</v>
      </c>
      <c r="J398" s="3">
        <f>IF(ROW()&lt;3, Dashboard!$E$7, IF(Query1[[#This Row],[Month]]&lt;&gt;H397,J397*(1+Dashboard!$E$4)+Dashboard!$E$5,J397))</f>
        <v>645676.26531047223</v>
      </c>
      <c r="K398">
        <f>IF(ROW()&lt;3, 0,IF(Query1[[#This Row],[Month]]&lt;&gt;H397,IF((J398-I398&gt;0),J398-I398,0),0))</f>
        <v>0</v>
      </c>
      <c r="L398" s="2">
        <f t="shared" si="6"/>
        <v>1213.0548914416743</v>
      </c>
      <c r="M398">
        <f ca="1">IF(ROW()&lt;3,0,IF(Query1[[#This Row],[Month]]&lt;&gt;OFFSET(Query1[[#This Row],[Month]],-1,0),Dashboard!$J$5,0))</f>
        <v>979.40350000000024</v>
      </c>
      <c r="N398" s="2">
        <f ca="1">IF(ROW()&lt;3, Query1[[#This Row],[Shares]], IF(Query1[[#This Row],[Month]]&lt;&gt;H397, N397+Query1[[#This Row],[Fix Top Up]]/Query1[[#This Row],[Adj Close]], N397))</f>
        <v>1211.4931396177303</v>
      </c>
      <c r="O39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1629.4035000000003</v>
      </c>
      <c r="P398" s="2">
        <f ca="1">IF(ROW()&lt;3, Query1[[#This Row],[Shares]], IF(Query1[[#This Row],[Month]]&lt;&gt;H397, P397+Query1[[#This Row],[Enhanced top up]]/Query1[[#This Row],[Adj Close]], P397))</f>
        <v>1212.0073801728547</v>
      </c>
      <c r="Q398" s="2">
        <f>IFERROR(AVERAGE(
  IF(ROW()&gt;20, INDEX(G:G, ROW()-20), 0) :
  INDEX(G:G, ROW())
),0)</f>
        <v>577.374755859375</v>
      </c>
    </row>
    <row r="399" spans="1:17" x14ac:dyDescent="0.3">
      <c r="A399" s="1">
        <v>45873</v>
      </c>
      <c r="B399">
        <v>575.16998291015625</v>
      </c>
      <c r="C399">
        <v>580.21002197265625</v>
      </c>
      <c r="D399">
        <v>575.08001708984375</v>
      </c>
      <c r="E399">
        <v>580.1400146484375</v>
      </c>
      <c r="F399">
        <v>6640100</v>
      </c>
      <c r="G399">
        <v>580.1400146484375</v>
      </c>
      <c r="H399" s="2">
        <f>MONTH(Query1[[#This Row],[Date]])</f>
        <v>8</v>
      </c>
      <c r="I399" s="3">
        <f>Query1[[#This Row],[Shares]]*Query1[[#This Row],[Adj Close]]</f>
        <v>703741.6824903317</v>
      </c>
      <c r="J399" s="3">
        <f>IF(ROW()&lt;3, Dashboard!$E$7, IF(Query1[[#This Row],[Month]]&lt;&gt;H398,J398*(1+Dashboard!$E$4)+Dashboard!$E$5,J398))</f>
        <v>645676.26531047223</v>
      </c>
      <c r="K399">
        <f>IF(ROW()&lt;3, 0,IF(Query1[[#This Row],[Month]]&lt;&gt;H398,IF((J399-I399&gt;0),J399-I399,0),0))</f>
        <v>0</v>
      </c>
      <c r="L399" s="2">
        <f t="shared" si="6"/>
        <v>1213.0548914416743</v>
      </c>
      <c r="M399">
        <f ca="1">IF(ROW()&lt;3,0,IF(Query1[[#This Row],[Month]]&lt;&gt;OFFSET(Query1[[#This Row],[Month]],-1,0),Dashboard!$J$5,0))</f>
        <v>0</v>
      </c>
      <c r="N399" s="2">
        <f ca="1">IF(ROW()&lt;3, Query1[[#This Row],[Shares]], IF(Query1[[#This Row],[Month]]&lt;&gt;H398, N398+Query1[[#This Row],[Fix Top Up]]/Query1[[#This Row],[Adj Close]], N398))</f>
        <v>1211.4931396177303</v>
      </c>
      <c r="O39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399" s="2">
        <f ca="1">IF(ROW()&lt;3, Query1[[#This Row],[Shares]], IF(Query1[[#This Row],[Month]]&lt;&gt;H398, P398+Query1[[#This Row],[Enhanced top up]]/Query1[[#This Row],[Adj Close]], P398))</f>
        <v>1212.0073801728547</v>
      </c>
      <c r="Q399" s="2">
        <f>IFERROR(AVERAGE(
  IF(ROW()&gt;20, INDEX(G:G, ROW()-20), 0) :
  INDEX(G:G, ROW())
),0)</f>
        <v>577.60904366629461</v>
      </c>
    </row>
    <row r="400" spans="1:17" x14ac:dyDescent="0.3">
      <c r="A400" s="1">
        <v>45874</v>
      </c>
      <c r="B400">
        <v>580.78997802734375</v>
      </c>
      <c r="C400">
        <v>581.5</v>
      </c>
      <c r="D400">
        <v>576.4000244140625</v>
      </c>
      <c r="E400">
        <v>577.3499755859375</v>
      </c>
      <c r="F400">
        <v>4647400</v>
      </c>
      <c r="G400">
        <v>577.3499755859375</v>
      </c>
      <c r="H400" s="2">
        <f>MONTH(Query1[[#This Row],[Date]])</f>
        <v>8</v>
      </c>
      <c r="I400" s="3">
        <f>Query1[[#This Row],[Shares]]*Query1[[#This Row],[Adj Close]]</f>
        <v>700357.21195825271</v>
      </c>
      <c r="J400" s="3">
        <f>IF(ROW()&lt;3, Dashboard!$E$7, IF(Query1[[#This Row],[Month]]&lt;&gt;H399,J399*(1+Dashboard!$E$4)+Dashboard!$E$5,J399))</f>
        <v>645676.26531047223</v>
      </c>
      <c r="K400">
        <f>IF(ROW()&lt;3, 0,IF(Query1[[#This Row],[Month]]&lt;&gt;H399,IF((J400-I400&gt;0),J400-I400,0),0))</f>
        <v>0</v>
      </c>
      <c r="L400" s="2">
        <f t="shared" si="6"/>
        <v>1213.0548914416743</v>
      </c>
      <c r="M400">
        <f ca="1">IF(ROW()&lt;3,0,IF(Query1[[#This Row],[Month]]&lt;&gt;OFFSET(Query1[[#This Row],[Month]],-1,0),Dashboard!$J$5,0))</f>
        <v>0</v>
      </c>
      <c r="N400" s="2">
        <f ca="1">IF(ROW()&lt;3, Query1[[#This Row],[Shares]], IF(Query1[[#This Row],[Month]]&lt;&gt;H399, N399+Query1[[#This Row],[Fix Top Up]]/Query1[[#This Row],[Adj Close]], N399))</f>
        <v>1211.4931396177303</v>
      </c>
      <c r="O40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0" s="2">
        <f ca="1">IF(ROW()&lt;3, Query1[[#This Row],[Shares]], IF(Query1[[#This Row],[Month]]&lt;&gt;H399, P399+Query1[[#This Row],[Enhanced top up]]/Query1[[#This Row],[Adj Close]], P399))</f>
        <v>1212.0073801728547</v>
      </c>
      <c r="Q400" s="2">
        <f>IFERROR(AVERAGE(
  IF(ROW()&gt;20, INDEX(G:G, ROW()-20), 0) :
  INDEX(G:G, ROW())
),0)</f>
        <v>577.92999558221732</v>
      </c>
    </row>
    <row r="401" spans="1:17" x14ac:dyDescent="0.3">
      <c r="A401" s="1">
        <v>45875</v>
      </c>
      <c r="B401">
        <v>578.25</v>
      </c>
      <c r="C401">
        <v>582.27001953125</v>
      </c>
      <c r="D401">
        <v>577.40997314453125</v>
      </c>
      <c r="E401">
        <v>581.6400146484375</v>
      </c>
      <c r="F401">
        <v>4545000</v>
      </c>
      <c r="G401">
        <v>581.6400146484375</v>
      </c>
      <c r="H401" s="2">
        <f>MONTH(Query1[[#This Row],[Date]])</f>
        <v>8</v>
      </c>
      <c r="I401" s="3">
        <f>Query1[[#This Row],[Shares]]*Query1[[#This Row],[Adj Close]]</f>
        <v>705561.26482749416</v>
      </c>
      <c r="J401" s="3">
        <f>IF(ROW()&lt;3, Dashboard!$E$7, IF(Query1[[#This Row],[Month]]&lt;&gt;H400,J400*(1+Dashboard!$E$4)+Dashboard!$E$5,J400))</f>
        <v>645676.26531047223</v>
      </c>
      <c r="K401">
        <f>IF(ROW()&lt;3, 0,IF(Query1[[#This Row],[Month]]&lt;&gt;H400,IF((J401-I401&gt;0),J401-I401,0),0))</f>
        <v>0</v>
      </c>
      <c r="L401" s="2">
        <f t="shared" si="6"/>
        <v>1213.0548914416743</v>
      </c>
      <c r="M401">
        <f ca="1">IF(ROW()&lt;3,0,IF(Query1[[#This Row],[Month]]&lt;&gt;OFFSET(Query1[[#This Row],[Month]],-1,0),Dashboard!$J$5,0))</f>
        <v>0</v>
      </c>
      <c r="N401" s="2">
        <f ca="1">IF(ROW()&lt;3, Query1[[#This Row],[Shares]], IF(Query1[[#This Row],[Month]]&lt;&gt;H400, N400+Query1[[#This Row],[Fix Top Up]]/Query1[[#This Row],[Adj Close]], N400))</f>
        <v>1211.4931396177303</v>
      </c>
      <c r="O40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1" s="2">
        <f ca="1">IF(ROW()&lt;3, Query1[[#This Row],[Shares]], IF(Query1[[#This Row],[Month]]&lt;&gt;H400, P400+Query1[[#This Row],[Enhanced top up]]/Query1[[#This Row],[Adj Close]], P400))</f>
        <v>1212.0073801728547</v>
      </c>
      <c r="Q401" s="2">
        <f>IFERROR(AVERAGE(
  IF(ROW()&gt;20, INDEX(G:G, ROW()-20), 0) :
  INDEX(G:G, ROW())
),0)</f>
        <v>578.47333054315482</v>
      </c>
    </row>
    <row r="402" spans="1:17" x14ac:dyDescent="0.3">
      <c r="A402" s="1">
        <v>45876</v>
      </c>
      <c r="B402">
        <v>584.8699951171875</v>
      </c>
      <c r="C402">
        <v>585.52001953125</v>
      </c>
      <c r="D402">
        <v>578.30999755859375</v>
      </c>
      <c r="E402">
        <v>581.28997802734375</v>
      </c>
      <c r="F402">
        <v>4594300</v>
      </c>
      <c r="G402">
        <v>581.28997802734375</v>
      </c>
      <c r="H402" s="2">
        <f>MONTH(Query1[[#This Row],[Date]])</f>
        <v>8</v>
      </c>
      <c r="I402" s="3">
        <f>Query1[[#This Row],[Shares]]*Query1[[#This Row],[Adj Close]]</f>
        <v>705136.65119209269</v>
      </c>
      <c r="J402" s="3">
        <f>IF(ROW()&lt;3, Dashboard!$E$7, IF(Query1[[#This Row],[Month]]&lt;&gt;H401,J401*(1+Dashboard!$E$4)+Dashboard!$E$5,J401))</f>
        <v>645676.26531047223</v>
      </c>
      <c r="K402">
        <f>IF(ROW()&lt;3, 0,IF(Query1[[#This Row],[Month]]&lt;&gt;H401,IF((J402-I402&gt;0),J402-I402,0),0))</f>
        <v>0</v>
      </c>
      <c r="L402" s="2">
        <f t="shared" si="6"/>
        <v>1213.0548914416743</v>
      </c>
      <c r="M402">
        <f ca="1">IF(ROW()&lt;3,0,IF(Query1[[#This Row],[Month]]&lt;&gt;OFFSET(Query1[[#This Row],[Month]],-1,0),Dashboard!$J$5,0))</f>
        <v>0</v>
      </c>
      <c r="N402" s="2">
        <f ca="1">IF(ROW()&lt;3, Query1[[#This Row],[Shares]], IF(Query1[[#This Row],[Month]]&lt;&gt;H401, N401+Query1[[#This Row],[Fix Top Up]]/Query1[[#This Row],[Adj Close]], N401))</f>
        <v>1211.4931396177303</v>
      </c>
      <c r="O40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2" s="2">
        <f ca="1">IF(ROW()&lt;3, Query1[[#This Row],[Shares]], IF(Query1[[#This Row],[Month]]&lt;&gt;H401, P401+Query1[[#This Row],[Enhanced top up]]/Query1[[#This Row],[Adj Close]], P401))</f>
        <v>1212.0073801728547</v>
      </c>
      <c r="Q402" s="2">
        <f>IFERROR(AVERAGE(
  IF(ROW()&gt;20, INDEX(G:G, ROW()-20), 0) :
  INDEX(G:G, ROW())
),0)</f>
        <v>578.83904448009673</v>
      </c>
    </row>
    <row r="403" spans="1:17" x14ac:dyDescent="0.3">
      <c r="A403" s="1">
        <v>45877</v>
      </c>
      <c r="B403">
        <v>582.92999267578125</v>
      </c>
      <c r="C403">
        <v>586.16998291015625</v>
      </c>
      <c r="D403">
        <v>582.5999755859375</v>
      </c>
      <c r="E403">
        <v>585.739990234375</v>
      </c>
      <c r="F403">
        <v>4342300</v>
      </c>
      <c r="G403">
        <v>585.739990234375</v>
      </c>
      <c r="H403" s="2">
        <f>MONTH(Query1[[#This Row],[Date]])</f>
        <v>8</v>
      </c>
      <c r="I403" s="3">
        <f>Query1[[#This Row],[Shares]]*Query1[[#This Row],[Adj Close]]</f>
        <v>710534.76026680716</v>
      </c>
      <c r="J403" s="3">
        <f>IF(ROW()&lt;3, Dashboard!$E$7, IF(Query1[[#This Row],[Month]]&lt;&gt;H402,J402*(1+Dashboard!$E$4)+Dashboard!$E$5,J402))</f>
        <v>645676.26531047223</v>
      </c>
      <c r="K403">
        <f>IF(ROW()&lt;3, 0,IF(Query1[[#This Row],[Month]]&lt;&gt;H402,IF((J403-I403&gt;0),J403-I403,0),0))</f>
        <v>0</v>
      </c>
      <c r="L403" s="2">
        <f t="shared" si="6"/>
        <v>1213.0548914416743</v>
      </c>
      <c r="M403">
        <f ca="1">IF(ROW()&lt;3,0,IF(Query1[[#This Row],[Month]]&lt;&gt;OFFSET(Query1[[#This Row],[Month]],-1,0),Dashboard!$J$5,0))</f>
        <v>0</v>
      </c>
      <c r="N403" s="2">
        <f ca="1">IF(ROW()&lt;3, Query1[[#This Row],[Shares]], IF(Query1[[#This Row],[Month]]&lt;&gt;H402, N402+Query1[[#This Row],[Fix Top Up]]/Query1[[#This Row],[Adj Close]], N402))</f>
        <v>1211.4931396177303</v>
      </c>
      <c r="O40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3" s="2">
        <f ca="1">IF(ROW()&lt;3, Query1[[#This Row],[Shares]], IF(Query1[[#This Row],[Month]]&lt;&gt;H402, P402+Query1[[#This Row],[Enhanced top up]]/Query1[[#This Row],[Adj Close]], P402))</f>
        <v>1212.0073801728547</v>
      </c>
      <c r="Q403" s="2">
        <f>IFERROR(AVERAGE(
  IF(ROW()&gt;20, INDEX(G:G, ROW()-20), 0) :
  INDEX(G:G, ROW())
),0)</f>
        <v>579.33666410900298</v>
      </c>
    </row>
    <row r="404" spans="1:17" x14ac:dyDescent="0.3">
      <c r="A404" s="1">
        <v>45880</v>
      </c>
      <c r="B404">
        <v>586.030029296875</v>
      </c>
      <c r="C404">
        <v>587.3599853515625</v>
      </c>
      <c r="D404">
        <v>583.44000244140625</v>
      </c>
      <c r="E404">
        <v>584.53997802734375</v>
      </c>
      <c r="F404">
        <v>5373900</v>
      </c>
      <c r="G404">
        <v>584.53997802734375</v>
      </c>
      <c r="H404" s="2">
        <f>MONTH(Query1[[#This Row],[Date]])</f>
        <v>8</v>
      </c>
      <c r="I404" s="3">
        <f>Query1[[#This Row],[Shares]]*Query1[[#This Row],[Adj Close]]</f>
        <v>709079.07958927809</v>
      </c>
      <c r="J404" s="3">
        <f>IF(ROW()&lt;3, Dashboard!$E$7, IF(Query1[[#This Row],[Month]]&lt;&gt;H403,J403*(1+Dashboard!$E$4)+Dashboard!$E$5,J403))</f>
        <v>645676.26531047223</v>
      </c>
      <c r="K404">
        <f>IF(ROW()&lt;3, 0,IF(Query1[[#This Row],[Month]]&lt;&gt;H403,IF((J404-I404&gt;0),J404-I404,0),0))</f>
        <v>0</v>
      </c>
      <c r="L404" s="2">
        <f t="shared" si="6"/>
        <v>1213.0548914416743</v>
      </c>
      <c r="M404">
        <f ca="1">IF(ROW()&lt;3,0,IF(Query1[[#This Row],[Month]]&lt;&gt;OFFSET(Query1[[#This Row],[Month]],-1,0),Dashboard!$J$5,0))</f>
        <v>0</v>
      </c>
      <c r="N404" s="2">
        <f ca="1">IF(ROW()&lt;3, Query1[[#This Row],[Shares]], IF(Query1[[#This Row],[Month]]&lt;&gt;H403, N403+Query1[[#This Row],[Fix Top Up]]/Query1[[#This Row],[Adj Close]], N403))</f>
        <v>1211.4931396177303</v>
      </c>
      <c r="O40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4" s="2">
        <f ca="1">IF(ROW()&lt;3, Query1[[#This Row],[Shares]], IF(Query1[[#This Row],[Month]]&lt;&gt;H403, P403+Query1[[#This Row],[Enhanced top up]]/Query1[[#This Row],[Adj Close]], P403))</f>
        <v>1212.0073801728547</v>
      </c>
      <c r="Q404" s="2">
        <f>IFERROR(AVERAGE(
  IF(ROW()&gt;20, INDEX(G:G, ROW()-20), 0) :
  INDEX(G:G, ROW())
),0)</f>
        <v>579.87571207682288</v>
      </c>
    </row>
    <row r="405" spans="1:17" x14ac:dyDescent="0.3">
      <c r="A405" s="1">
        <v>45881</v>
      </c>
      <c r="B405">
        <v>586.75</v>
      </c>
      <c r="C405">
        <v>590.96002197265625</v>
      </c>
      <c r="D405">
        <v>585.42999267578125</v>
      </c>
      <c r="E405">
        <v>590.780029296875</v>
      </c>
      <c r="F405">
        <v>5851900</v>
      </c>
      <c r="G405">
        <v>590.780029296875</v>
      </c>
      <c r="H405" s="2">
        <f>MONTH(Query1[[#This Row],[Date]])</f>
        <v>8</v>
      </c>
      <c r="I405" s="3">
        <f>Query1[[#This Row],[Shares]]*Query1[[#This Row],[Adj Close]]</f>
        <v>716648.60430462984</v>
      </c>
      <c r="J405" s="3">
        <f>IF(ROW()&lt;3, Dashboard!$E$7, IF(Query1[[#This Row],[Month]]&lt;&gt;H404,J404*(1+Dashboard!$E$4)+Dashboard!$E$5,J404))</f>
        <v>645676.26531047223</v>
      </c>
      <c r="K405">
        <f>IF(ROW()&lt;3, 0,IF(Query1[[#This Row],[Month]]&lt;&gt;H404,IF((J405-I405&gt;0),J405-I405,0),0))</f>
        <v>0</v>
      </c>
      <c r="L405" s="2">
        <f t="shared" si="6"/>
        <v>1213.0548914416743</v>
      </c>
      <c r="M405">
        <f ca="1">IF(ROW()&lt;3,0,IF(Query1[[#This Row],[Month]]&lt;&gt;OFFSET(Query1[[#This Row],[Month]],-1,0),Dashboard!$J$5,0))</f>
        <v>0</v>
      </c>
      <c r="N405" s="2">
        <f ca="1">IF(ROW()&lt;3, Query1[[#This Row],[Shares]], IF(Query1[[#This Row],[Month]]&lt;&gt;H404, N404+Query1[[#This Row],[Fix Top Up]]/Query1[[#This Row],[Adj Close]], N404))</f>
        <v>1211.4931396177303</v>
      </c>
      <c r="O40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5" s="2">
        <f ca="1">IF(ROW()&lt;3, Query1[[#This Row],[Shares]], IF(Query1[[#This Row],[Month]]&lt;&gt;H404, P404+Query1[[#This Row],[Enhanced top up]]/Query1[[#This Row],[Adj Close]], P404))</f>
        <v>1212.0073801728547</v>
      </c>
      <c r="Q405" s="2">
        <f>IFERROR(AVERAGE(
  IF(ROW()&gt;20, INDEX(G:G, ROW()-20), 0) :
  INDEX(G:G, ROW())
),0)</f>
        <v>580.6580955868676</v>
      </c>
    </row>
    <row r="406" spans="1:17" x14ac:dyDescent="0.3">
      <c r="A406" s="1">
        <v>45882</v>
      </c>
      <c r="B406">
        <v>592.8599853515625</v>
      </c>
      <c r="C406">
        <v>594.030029296875</v>
      </c>
      <c r="D406">
        <v>590.80999755859375</v>
      </c>
      <c r="E406">
        <v>592.84002685546875</v>
      </c>
      <c r="F406">
        <v>5393000</v>
      </c>
      <c r="G406">
        <v>592.84002685546875</v>
      </c>
      <c r="H406" s="2">
        <f>MONTH(Query1[[#This Row],[Date]])</f>
        <v>8</v>
      </c>
      <c r="I406" s="3">
        <f>Query1[[#This Row],[Shares]]*Query1[[#This Row],[Adj Close]]</f>
        <v>719147.49441943993</v>
      </c>
      <c r="J406" s="3">
        <f>IF(ROW()&lt;3, Dashboard!$E$7, IF(Query1[[#This Row],[Month]]&lt;&gt;H405,J405*(1+Dashboard!$E$4)+Dashboard!$E$5,J405))</f>
        <v>645676.26531047223</v>
      </c>
      <c r="K406">
        <f>IF(ROW()&lt;3, 0,IF(Query1[[#This Row],[Month]]&lt;&gt;H405,IF((J406-I406&gt;0),J406-I406,0),0))</f>
        <v>0</v>
      </c>
      <c r="L406" s="2">
        <f t="shared" si="6"/>
        <v>1213.0548914416743</v>
      </c>
      <c r="M406">
        <f ca="1">IF(ROW()&lt;3,0,IF(Query1[[#This Row],[Month]]&lt;&gt;OFFSET(Query1[[#This Row],[Month]],-1,0),Dashboard!$J$5,0))</f>
        <v>0</v>
      </c>
      <c r="N406" s="2">
        <f ca="1">IF(ROW()&lt;3, Query1[[#This Row],[Shares]], IF(Query1[[#This Row],[Month]]&lt;&gt;H405, N405+Query1[[#This Row],[Fix Top Up]]/Query1[[#This Row],[Adj Close]], N405))</f>
        <v>1211.4931396177303</v>
      </c>
      <c r="O40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6" s="2">
        <f ca="1">IF(ROW()&lt;3, Query1[[#This Row],[Shares]], IF(Query1[[#This Row],[Month]]&lt;&gt;H405, P405+Query1[[#This Row],[Enhanced top up]]/Query1[[#This Row],[Adj Close]], P405))</f>
        <v>1212.0073801728547</v>
      </c>
      <c r="Q406" s="2">
        <f>IFERROR(AVERAGE(
  IF(ROW()&gt;20, INDEX(G:G, ROW()-20), 0) :
  INDEX(G:G, ROW())
),0)</f>
        <v>581.65714518229163</v>
      </c>
    </row>
    <row r="407" spans="1:17" x14ac:dyDescent="0.3">
      <c r="A407" s="1">
        <v>45883</v>
      </c>
      <c r="B407">
        <v>590.91998291015625</v>
      </c>
      <c r="C407">
        <v>593.510009765625</v>
      </c>
      <c r="D407">
        <v>590.5</v>
      </c>
      <c r="E407">
        <v>592.8499755859375</v>
      </c>
      <c r="F407">
        <v>6236700</v>
      </c>
      <c r="G407">
        <v>592.8499755859375</v>
      </c>
      <c r="H407" s="2">
        <f>MONTH(Query1[[#This Row],[Date]])</f>
        <v>8</v>
      </c>
      <c r="I407" s="3">
        <f>Query1[[#This Row],[Shares]]*Query1[[#This Row],[Adj Close]]</f>
        <v>719159.56277559861</v>
      </c>
      <c r="J407" s="3">
        <f>IF(ROW()&lt;3, Dashboard!$E$7, IF(Query1[[#This Row],[Month]]&lt;&gt;H406,J406*(1+Dashboard!$E$4)+Dashboard!$E$5,J406))</f>
        <v>645676.26531047223</v>
      </c>
      <c r="K407">
        <f>IF(ROW()&lt;3, 0,IF(Query1[[#This Row],[Month]]&lt;&gt;H406,IF((J407-I407&gt;0),J407-I407,0),0))</f>
        <v>0</v>
      </c>
      <c r="L407" s="2">
        <f t="shared" si="6"/>
        <v>1213.0548914416743</v>
      </c>
      <c r="M407">
        <f ca="1">IF(ROW()&lt;3,0,IF(Query1[[#This Row],[Month]]&lt;&gt;OFFSET(Query1[[#This Row],[Month]],-1,0),Dashboard!$J$5,0))</f>
        <v>0</v>
      </c>
      <c r="N407" s="2">
        <f ca="1">IF(ROW()&lt;3, Query1[[#This Row],[Shares]], IF(Query1[[#This Row],[Month]]&lt;&gt;H406, N406+Query1[[#This Row],[Fix Top Up]]/Query1[[#This Row],[Adj Close]], N406))</f>
        <v>1211.4931396177303</v>
      </c>
      <c r="O40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7" s="2">
        <f ca="1">IF(ROW()&lt;3, Query1[[#This Row],[Shares]], IF(Query1[[#This Row],[Month]]&lt;&gt;H406, P406+Query1[[#This Row],[Enhanced top up]]/Query1[[#This Row],[Adj Close]], P406))</f>
        <v>1212.0073801728547</v>
      </c>
      <c r="Q407" s="2">
        <f>IFERROR(AVERAGE(
  IF(ROW()&gt;20, INDEX(G:G, ROW()-20), 0) :
  INDEX(G:G, ROW())
),0)</f>
        <v>582.56714448474702</v>
      </c>
    </row>
    <row r="408" spans="1:17" x14ac:dyDescent="0.3">
      <c r="A408" s="1">
        <v>45884</v>
      </c>
      <c r="B408">
        <v>593.8599853515625</v>
      </c>
      <c r="C408">
        <v>593.95001220703125</v>
      </c>
      <c r="D408">
        <v>590.65997314453125</v>
      </c>
      <c r="E408">
        <v>591.57000732421875</v>
      </c>
      <c r="F408">
        <v>7196300</v>
      </c>
      <c r="G408">
        <v>591.57000732421875</v>
      </c>
      <c r="H408" s="2">
        <f>MONTH(Query1[[#This Row],[Date]])</f>
        <v>8</v>
      </c>
      <c r="I408" s="3">
        <f>Query1[[#This Row],[Shares]]*Query1[[#This Row],[Adj Close]]</f>
        <v>717606.89101483067</v>
      </c>
      <c r="J408" s="3">
        <f>IF(ROW()&lt;3, Dashboard!$E$7, IF(Query1[[#This Row],[Month]]&lt;&gt;H407,J407*(1+Dashboard!$E$4)+Dashboard!$E$5,J407))</f>
        <v>645676.26531047223</v>
      </c>
      <c r="K408">
        <f>IF(ROW()&lt;3, 0,IF(Query1[[#This Row],[Month]]&lt;&gt;H407,IF((J408-I408&gt;0),J408-I408,0),0))</f>
        <v>0</v>
      </c>
      <c r="L408" s="2">
        <f t="shared" si="6"/>
        <v>1213.0548914416743</v>
      </c>
      <c r="M408">
        <f ca="1">IF(ROW()&lt;3,0,IF(Query1[[#This Row],[Month]]&lt;&gt;OFFSET(Query1[[#This Row],[Month]],-1,0),Dashboard!$J$5,0))</f>
        <v>0</v>
      </c>
      <c r="N408" s="2">
        <f ca="1">IF(ROW()&lt;3, Query1[[#This Row],[Shares]], IF(Query1[[#This Row],[Month]]&lt;&gt;H407, N407+Query1[[#This Row],[Fix Top Up]]/Query1[[#This Row],[Adj Close]], N407))</f>
        <v>1211.4931396177303</v>
      </c>
      <c r="O40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8" s="2">
        <f ca="1">IF(ROW()&lt;3, Query1[[#This Row],[Shares]], IF(Query1[[#This Row],[Month]]&lt;&gt;H407, P407+Query1[[#This Row],[Enhanced top up]]/Query1[[#This Row],[Adj Close]], P407))</f>
        <v>1212.0073801728547</v>
      </c>
      <c r="Q408" s="2">
        <f>IFERROR(AVERAGE(
  IF(ROW()&gt;20, INDEX(G:G, ROW()-20), 0) :
  INDEX(G:G, ROW())
),0)</f>
        <v>583.25238327752982</v>
      </c>
    </row>
    <row r="409" spans="1:17" x14ac:dyDescent="0.3">
      <c r="A409" s="1">
        <v>45887</v>
      </c>
      <c r="B409">
        <v>590.97998046875</v>
      </c>
      <c r="C409">
        <v>592.02001953125</v>
      </c>
      <c r="D409">
        <v>590.3499755859375</v>
      </c>
      <c r="E409">
        <v>591.3599853515625</v>
      </c>
      <c r="F409">
        <v>5311700</v>
      </c>
      <c r="G409">
        <v>591.3599853515625</v>
      </c>
      <c r="H409" s="2">
        <f>MONTH(Query1[[#This Row],[Date]])</f>
        <v>8</v>
      </c>
      <c r="I409" s="3">
        <f>Query1[[#This Row],[Shares]]*Query1[[#This Row],[Adj Close]]</f>
        <v>717352.12283358979</v>
      </c>
      <c r="J409" s="3">
        <f>IF(ROW()&lt;3, Dashboard!$E$7, IF(Query1[[#This Row],[Month]]&lt;&gt;H408,J408*(1+Dashboard!$E$4)+Dashboard!$E$5,J408))</f>
        <v>645676.26531047223</v>
      </c>
      <c r="K409">
        <f>IF(ROW()&lt;3, 0,IF(Query1[[#This Row],[Month]]&lt;&gt;H408,IF((J409-I409&gt;0),J409-I409,0),0))</f>
        <v>0</v>
      </c>
      <c r="L409" s="2">
        <f t="shared" si="6"/>
        <v>1213.0548914416743</v>
      </c>
      <c r="M409">
        <f ca="1">IF(ROW()&lt;3,0,IF(Query1[[#This Row],[Month]]&lt;&gt;OFFSET(Query1[[#This Row],[Month]],-1,0),Dashboard!$J$5,0))</f>
        <v>0</v>
      </c>
      <c r="N409" s="2">
        <f ca="1">IF(ROW()&lt;3, Query1[[#This Row],[Shares]], IF(Query1[[#This Row],[Month]]&lt;&gt;H408, N408+Query1[[#This Row],[Fix Top Up]]/Query1[[#This Row],[Adj Close]], N408))</f>
        <v>1211.4931396177303</v>
      </c>
      <c r="O40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09" s="2">
        <f ca="1">IF(ROW()&lt;3, Query1[[#This Row],[Shares]], IF(Query1[[#This Row],[Month]]&lt;&gt;H408, P408+Query1[[#This Row],[Enhanced top up]]/Query1[[#This Row],[Adj Close]], P408))</f>
        <v>1212.0073801728547</v>
      </c>
      <c r="Q409" s="2">
        <f>IFERROR(AVERAGE(
  IF(ROW()&gt;20, INDEX(G:G, ROW()-20), 0) :
  INDEX(G:G, ROW())
),0)</f>
        <v>583.94000244140625</v>
      </c>
    </row>
    <row r="410" spans="1:17" x14ac:dyDescent="0.3">
      <c r="A410" s="1">
        <v>45888</v>
      </c>
      <c r="B410">
        <v>591.25</v>
      </c>
      <c r="C410">
        <v>592.1199951171875</v>
      </c>
      <c r="D410">
        <v>586.94000244140625</v>
      </c>
      <c r="E410">
        <v>588.1300048828125</v>
      </c>
      <c r="F410">
        <v>6739300</v>
      </c>
      <c r="G410">
        <v>588.1300048828125</v>
      </c>
      <c r="H410" s="2">
        <f>MONTH(Query1[[#This Row],[Date]])</f>
        <v>8</v>
      </c>
      <c r="I410" s="3">
        <f>Query1[[#This Row],[Shares]]*Query1[[#This Row],[Adj Close]]</f>
        <v>713433.97922671144</v>
      </c>
      <c r="J410" s="3">
        <f>IF(ROW()&lt;3, Dashboard!$E$7, IF(Query1[[#This Row],[Month]]&lt;&gt;H409,J409*(1+Dashboard!$E$4)+Dashboard!$E$5,J409))</f>
        <v>645676.26531047223</v>
      </c>
      <c r="K410">
        <f>IF(ROW()&lt;3, 0,IF(Query1[[#This Row],[Month]]&lt;&gt;H409,IF((J410-I410&gt;0),J410-I410,0),0))</f>
        <v>0</v>
      </c>
      <c r="L410" s="2">
        <f t="shared" si="6"/>
        <v>1213.0548914416743</v>
      </c>
      <c r="M410">
        <f ca="1">IF(ROW()&lt;3,0,IF(Query1[[#This Row],[Month]]&lt;&gt;OFFSET(Query1[[#This Row],[Month]],-1,0),Dashboard!$J$5,0))</f>
        <v>0</v>
      </c>
      <c r="N410" s="2">
        <f ca="1">IF(ROW()&lt;3, Query1[[#This Row],[Shares]], IF(Query1[[#This Row],[Month]]&lt;&gt;H409, N409+Query1[[#This Row],[Fix Top Up]]/Query1[[#This Row],[Adj Close]], N409))</f>
        <v>1211.4931396177303</v>
      </c>
      <c r="O41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0" s="2">
        <f ca="1">IF(ROW()&lt;3, Query1[[#This Row],[Shares]], IF(Query1[[#This Row],[Month]]&lt;&gt;H409, P409+Query1[[#This Row],[Enhanced top up]]/Query1[[#This Row],[Adj Close]], P409))</f>
        <v>1212.0073801728547</v>
      </c>
      <c r="Q410" s="2">
        <f>IFERROR(AVERAGE(
  IF(ROW()&gt;20, INDEX(G:G, ROW()-20), 0) :
  INDEX(G:G, ROW())
),0)</f>
        <v>584.42476399739587</v>
      </c>
    </row>
    <row r="411" spans="1:17" x14ac:dyDescent="0.3">
      <c r="A411" s="1">
        <v>45889</v>
      </c>
      <c r="B411">
        <v>587.80999755859375</v>
      </c>
      <c r="C411">
        <v>588</v>
      </c>
      <c r="D411">
        <v>581.8499755859375</v>
      </c>
      <c r="E411">
        <v>586.58001708984375</v>
      </c>
      <c r="F411">
        <v>7113600</v>
      </c>
      <c r="G411">
        <v>586.58001708984375</v>
      </c>
      <c r="H411" s="2">
        <f>MONTH(Query1[[#This Row],[Date]])</f>
        <v>8</v>
      </c>
      <c r="I411" s="3">
        <f>Query1[[#This Row],[Shares]]*Query1[[#This Row],[Adj Close]]</f>
        <v>711553.75895277585</v>
      </c>
      <c r="J411" s="3">
        <f>IF(ROW()&lt;3, Dashboard!$E$7, IF(Query1[[#This Row],[Month]]&lt;&gt;H410,J410*(1+Dashboard!$E$4)+Dashboard!$E$5,J410))</f>
        <v>645676.26531047223</v>
      </c>
      <c r="K411">
        <f>IF(ROW()&lt;3, 0,IF(Query1[[#This Row],[Month]]&lt;&gt;H410,IF((J411-I411&gt;0),J411-I411,0),0))</f>
        <v>0</v>
      </c>
      <c r="L411" s="2">
        <f t="shared" si="6"/>
        <v>1213.0548914416743</v>
      </c>
      <c r="M411">
        <f ca="1">IF(ROW()&lt;3,0,IF(Query1[[#This Row],[Month]]&lt;&gt;OFFSET(Query1[[#This Row],[Month]],-1,0),Dashboard!$J$5,0))</f>
        <v>0</v>
      </c>
      <c r="N411" s="2">
        <f ca="1">IF(ROW()&lt;3, Query1[[#This Row],[Shares]], IF(Query1[[#This Row],[Month]]&lt;&gt;H410, N410+Query1[[#This Row],[Fix Top Up]]/Query1[[#This Row],[Adj Close]], N410))</f>
        <v>1211.4931396177303</v>
      </c>
      <c r="O41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1" s="2">
        <f ca="1">IF(ROW()&lt;3, Query1[[#This Row],[Shares]], IF(Query1[[#This Row],[Month]]&lt;&gt;H410, P410+Query1[[#This Row],[Enhanced top up]]/Query1[[#This Row],[Adj Close]], P410))</f>
        <v>1212.0073801728547</v>
      </c>
      <c r="Q411" s="2">
        <f>IFERROR(AVERAGE(
  IF(ROW()&gt;20, INDEX(G:G, ROW()-20), 0) :
  INDEX(G:G, ROW())
),0)</f>
        <v>584.83571661086307</v>
      </c>
    </row>
    <row r="412" spans="1:17" x14ac:dyDescent="0.3">
      <c r="A412" s="1">
        <v>45890</v>
      </c>
      <c r="B412">
        <v>584.92999267578125</v>
      </c>
      <c r="C412">
        <v>586.46002197265625</v>
      </c>
      <c r="D412">
        <v>582.6500244140625</v>
      </c>
      <c r="E412">
        <v>584.27001953125</v>
      </c>
      <c r="F412">
        <v>4807300</v>
      </c>
      <c r="G412">
        <v>584.27001953125</v>
      </c>
      <c r="H412" s="2">
        <f>MONTH(Query1[[#This Row],[Date]])</f>
        <v>8</v>
      </c>
      <c r="I412" s="3">
        <f>Query1[[#This Row],[Shares]]*Query1[[#This Row],[Adj Close]]</f>
        <v>708751.6051151054</v>
      </c>
      <c r="J412" s="3">
        <f>IF(ROW()&lt;3, Dashboard!$E$7, IF(Query1[[#This Row],[Month]]&lt;&gt;H411,J411*(1+Dashboard!$E$4)+Dashboard!$E$5,J411))</f>
        <v>645676.26531047223</v>
      </c>
      <c r="K412">
        <f>IF(ROW()&lt;3, 0,IF(Query1[[#This Row],[Month]]&lt;&gt;H411,IF((J412-I412&gt;0),J412-I412,0),0))</f>
        <v>0</v>
      </c>
      <c r="L412" s="2">
        <f t="shared" si="6"/>
        <v>1213.0548914416743</v>
      </c>
      <c r="M412">
        <f ca="1">IF(ROW()&lt;3,0,IF(Query1[[#This Row],[Month]]&lt;&gt;OFFSET(Query1[[#This Row],[Month]],-1,0),Dashboard!$J$5,0))</f>
        <v>0</v>
      </c>
      <c r="N412" s="2">
        <f ca="1">IF(ROW()&lt;3, Query1[[#This Row],[Shares]], IF(Query1[[#This Row],[Month]]&lt;&gt;H411, N411+Query1[[#This Row],[Fix Top Up]]/Query1[[#This Row],[Adj Close]], N411))</f>
        <v>1211.4931396177303</v>
      </c>
      <c r="O41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2" s="2">
        <f ca="1">IF(ROW()&lt;3, Query1[[#This Row],[Shares]], IF(Query1[[#This Row],[Month]]&lt;&gt;H411, P411+Query1[[#This Row],[Enhanced top up]]/Query1[[#This Row],[Adj Close]], P411))</f>
        <v>1212.0073801728547</v>
      </c>
      <c r="Q412" s="2">
        <f>IFERROR(AVERAGE(
  IF(ROW()&gt;20, INDEX(G:G, ROW()-20), 0) :
  INDEX(G:G, ROW())
),0)</f>
        <v>584.90286109561009</v>
      </c>
    </row>
    <row r="413" spans="1:17" x14ac:dyDescent="0.3">
      <c r="A413" s="1">
        <v>45891</v>
      </c>
      <c r="B413">
        <v>586.27001953125</v>
      </c>
      <c r="C413">
        <v>594.32000732421875</v>
      </c>
      <c r="D413">
        <v>585.84002685546875</v>
      </c>
      <c r="E413">
        <v>593.21002197265625</v>
      </c>
      <c r="F413">
        <v>6389300</v>
      </c>
      <c r="G413">
        <v>593.21002197265625</v>
      </c>
      <c r="H413" s="2">
        <f>MONTH(Query1[[#This Row],[Date]])</f>
        <v>8</v>
      </c>
      <c r="I413" s="3">
        <f>Query1[[#This Row],[Shares]]*Query1[[#This Row],[Adj Close]]</f>
        <v>719596.31880615372</v>
      </c>
      <c r="J413" s="3">
        <f>IF(ROW()&lt;3, Dashboard!$E$7, IF(Query1[[#This Row],[Month]]&lt;&gt;H412,J412*(1+Dashboard!$E$4)+Dashboard!$E$5,J412))</f>
        <v>645676.26531047223</v>
      </c>
      <c r="K413">
        <f>IF(ROW()&lt;3, 0,IF(Query1[[#This Row],[Month]]&lt;&gt;H412,IF((J413-I413&gt;0),J413-I413,0),0))</f>
        <v>0</v>
      </c>
      <c r="L413" s="2">
        <f t="shared" si="6"/>
        <v>1213.0548914416743</v>
      </c>
      <c r="M413">
        <f ca="1">IF(ROW()&lt;3,0,IF(Query1[[#This Row],[Month]]&lt;&gt;OFFSET(Query1[[#This Row],[Month]],-1,0),Dashboard!$J$5,0))</f>
        <v>0</v>
      </c>
      <c r="N413" s="2">
        <f ca="1">IF(ROW()&lt;3, Query1[[#This Row],[Shares]], IF(Query1[[#This Row],[Month]]&lt;&gt;H412, N412+Query1[[#This Row],[Fix Top Up]]/Query1[[#This Row],[Adj Close]], N412))</f>
        <v>1211.4931396177303</v>
      </c>
      <c r="O41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3" s="2">
        <f ca="1">IF(ROW()&lt;3, Query1[[#This Row],[Shares]], IF(Query1[[#This Row],[Month]]&lt;&gt;H412, P412+Query1[[#This Row],[Enhanced top up]]/Query1[[#This Row],[Adj Close]], P412))</f>
        <v>1212.0073801728547</v>
      </c>
      <c r="Q413" s="2">
        <f>IFERROR(AVERAGE(
  IF(ROW()&gt;20, INDEX(G:G, ROW()-20), 0) :
  INDEX(G:G, ROW())
),0)</f>
        <v>585.37667120070682</v>
      </c>
    </row>
    <row r="414" spans="1:17" x14ac:dyDescent="0.3">
      <c r="A414" s="1">
        <v>45894</v>
      </c>
      <c r="B414">
        <v>592.04998779296875</v>
      </c>
      <c r="C414">
        <v>593.22998046875</v>
      </c>
      <c r="D414">
        <v>590.54998779296875</v>
      </c>
      <c r="E414">
        <v>590.70001220703125</v>
      </c>
      <c r="F414">
        <v>6483000</v>
      </c>
      <c r="G414">
        <v>590.70001220703125</v>
      </c>
      <c r="H414" s="2">
        <f>MONTH(Query1[[#This Row],[Date]])</f>
        <v>8</v>
      </c>
      <c r="I414" s="3">
        <f>Query1[[#This Row],[Shares]]*Query1[[#This Row],[Adj Close]]</f>
        <v>716551.53918239591</v>
      </c>
      <c r="J414" s="3">
        <f>IF(ROW()&lt;3, Dashboard!$E$7, IF(Query1[[#This Row],[Month]]&lt;&gt;H413,J413*(1+Dashboard!$E$4)+Dashboard!$E$5,J413))</f>
        <v>645676.26531047223</v>
      </c>
      <c r="K414">
        <f>IF(ROW()&lt;3, 0,IF(Query1[[#This Row],[Month]]&lt;&gt;H413,IF((J414-I414&gt;0),J414-I414,0),0))</f>
        <v>0</v>
      </c>
      <c r="L414" s="2">
        <f t="shared" si="6"/>
        <v>1213.0548914416743</v>
      </c>
      <c r="M414">
        <f ca="1">IF(ROW()&lt;3,0,IF(Query1[[#This Row],[Month]]&lt;&gt;OFFSET(Query1[[#This Row],[Month]],-1,0),Dashboard!$J$5,0))</f>
        <v>0</v>
      </c>
      <c r="N414" s="2">
        <f ca="1">IF(ROW()&lt;3, Query1[[#This Row],[Shares]], IF(Query1[[#This Row],[Month]]&lt;&gt;H413, N413+Query1[[#This Row],[Fix Top Up]]/Query1[[#This Row],[Adj Close]], N413))</f>
        <v>1211.4931396177303</v>
      </c>
      <c r="O41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4" s="2">
        <f ca="1">IF(ROW()&lt;3, Query1[[#This Row],[Shares]], IF(Query1[[#This Row],[Month]]&lt;&gt;H413, P413+Query1[[#This Row],[Enhanced top up]]/Query1[[#This Row],[Adj Close]], P413))</f>
        <v>1212.0073801728547</v>
      </c>
      <c r="Q414" s="2">
        <f>IFERROR(AVERAGE(
  IF(ROW()&gt;20, INDEX(G:G, ROW()-20), 0) :
  INDEX(G:G, ROW())
),0)</f>
        <v>585.62048049200143</v>
      </c>
    </row>
    <row r="415" spans="1:17" x14ac:dyDescent="0.3">
      <c r="A415" s="1">
        <v>45895</v>
      </c>
      <c r="B415">
        <v>590.3800048828125</v>
      </c>
      <c r="C415">
        <v>593.42999267578125</v>
      </c>
      <c r="D415">
        <v>589.78997802734375</v>
      </c>
      <c r="E415">
        <v>593.05999755859375</v>
      </c>
      <c r="F415">
        <v>4776600</v>
      </c>
      <c r="G415">
        <v>593.05999755859375</v>
      </c>
      <c r="H415" s="2">
        <f>MONTH(Query1[[#This Row],[Date]])</f>
        <v>8</v>
      </c>
      <c r="I415" s="3">
        <f>Query1[[#This Row],[Shares]]*Query1[[#This Row],[Adj Close]]</f>
        <v>719414.33095683961</v>
      </c>
      <c r="J415" s="3">
        <f>IF(ROW()&lt;3, Dashboard!$E$7, IF(Query1[[#This Row],[Month]]&lt;&gt;H414,J414*(1+Dashboard!$E$4)+Dashboard!$E$5,J414))</f>
        <v>645676.26531047223</v>
      </c>
      <c r="K415">
        <f>IF(ROW()&lt;3, 0,IF(Query1[[#This Row],[Month]]&lt;&gt;H414,IF((J415-I415&gt;0),J415-I415,0),0))</f>
        <v>0</v>
      </c>
      <c r="L415" s="2">
        <f t="shared" si="6"/>
        <v>1213.0548914416743</v>
      </c>
      <c r="M415">
        <f ca="1">IF(ROW()&lt;3,0,IF(Query1[[#This Row],[Month]]&lt;&gt;OFFSET(Query1[[#This Row],[Month]],-1,0),Dashboard!$J$5,0))</f>
        <v>0</v>
      </c>
      <c r="N415" s="2">
        <f ca="1">IF(ROW()&lt;3, Query1[[#This Row],[Shares]], IF(Query1[[#This Row],[Month]]&lt;&gt;H414, N414+Query1[[#This Row],[Fix Top Up]]/Query1[[#This Row],[Adj Close]], N414))</f>
        <v>1211.4931396177303</v>
      </c>
      <c r="O41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5" s="2">
        <f ca="1">IF(ROW()&lt;3, Query1[[#This Row],[Shares]], IF(Query1[[#This Row],[Month]]&lt;&gt;H414, P414+Query1[[#This Row],[Enhanced top up]]/Query1[[#This Row],[Adj Close]], P414))</f>
        <v>1212.0073801728547</v>
      </c>
      <c r="Q415" s="2">
        <f>IFERROR(AVERAGE(
  IF(ROW()&gt;20, INDEX(G:G, ROW()-20), 0) :
  INDEX(G:G, ROW())
),0)</f>
        <v>585.98333740234375</v>
      </c>
    </row>
    <row r="416" spans="1:17" x14ac:dyDescent="0.3">
      <c r="A416" s="1">
        <v>45896</v>
      </c>
      <c r="B416">
        <v>592.52001953125</v>
      </c>
      <c r="C416">
        <v>595.1400146484375</v>
      </c>
      <c r="D416">
        <v>592.44000244140625</v>
      </c>
      <c r="E416">
        <v>594.41998291015625</v>
      </c>
      <c r="F416">
        <v>6171400</v>
      </c>
      <c r="G416">
        <v>594.41998291015625</v>
      </c>
      <c r="H416" s="2">
        <f>MONTH(Query1[[#This Row],[Date]])</f>
        <v>8</v>
      </c>
      <c r="I416" s="3">
        <f>Query1[[#This Row],[Shares]]*Query1[[#This Row],[Adj Close]]</f>
        <v>721064.06783984147</v>
      </c>
      <c r="J416" s="3">
        <f>IF(ROW()&lt;3, Dashboard!$E$7, IF(Query1[[#This Row],[Month]]&lt;&gt;H415,J415*(1+Dashboard!$E$4)+Dashboard!$E$5,J415))</f>
        <v>645676.26531047223</v>
      </c>
      <c r="K416">
        <f>IF(ROW()&lt;3, 0,IF(Query1[[#This Row],[Month]]&lt;&gt;H415,IF((J416-I416&gt;0),J416-I416,0),0))</f>
        <v>0</v>
      </c>
      <c r="L416" s="2">
        <f t="shared" si="6"/>
        <v>1213.0548914416743</v>
      </c>
      <c r="M416">
        <f ca="1">IF(ROW()&lt;3,0,IF(Query1[[#This Row],[Month]]&lt;&gt;OFFSET(Query1[[#This Row],[Month]],-1,0),Dashboard!$J$5,0))</f>
        <v>0</v>
      </c>
      <c r="N416" s="2">
        <f ca="1">IF(ROW()&lt;3, Query1[[#This Row],[Shares]], IF(Query1[[#This Row],[Month]]&lt;&gt;H415, N415+Query1[[#This Row],[Fix Top Up]]/Query1[[#This Row],[Adj Close]], N415))</f>
        <v>1211.4931396177303</v>
      </c>
      <c r="O41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6" s="2">
        <f ca="1">IF(ROW()&lt;3, Query1[[#This Row],[Shares]], IF(Query1[[#This Row],[Month]]&lt;&gt;H415, P415+Query1[[#This Row],[Enhanced top up]]/Query1[[#This Row],[Adj Close]], P415))</f>
        <v>1212.0073801728547</v>
      </c>
      <c r="Q416" s="2">
        <f>IFERROR(AVERAGE(
  IF(ROW()&gt;20, INDEX(G:G, ROW()-20), 0) :
  INDEX(G:G, ROW())
),0)</f>
        <v>586.48333740234375</v>
      </c>
    </row>
    <row r="417" spans="1:17" x14ac:dyDescent="0.3">
      <c r="A417" s="1">
        <v>45897</v>
      </c>
      <c r="B417">
        <v>595.07000732421875</v>
      </c>
      <c r="C417">
        <v>597.07000732421875</v>
      </c>
      <c r="D417">
        <v>593.27001953125</v>
      </c>
      <c r="E417">
        <v>596.52001953125</v>
      </c>
      <c r="F417">
        <v>5058700</v>
      </c>
      <c r="G417">
        <v>596.52001953125</v>
      </c>
      <c r="H417" s="2">
        <f>MONTH(Query1[[#This Row],[Date]])</f>
        <v>8</v>
      </c>
      <c r="I417" s="3">
        <f>Query1[[#This Row],[Shares]]*Query1[[#This Row],[Adj Close]]</f>
        <v>723611.52753526589</v>
      </c>
      <c r="J417" s="3">
        <f>IF(ROW()&lt;3, Dashboard!$E$7, IF(Query1[[#This Row],[Month]]&lt;&gt;H416,J416*(1+Dashboard!$E$4)+Dashboard!$E$5,J416))</f>
        <v>645676.26531047223</v>
      </c>
      <c r="K417">
        <f>IF(ROW()&lt;3, 0,IF(Query1[[#This Row],[Month]]&lt;&gt;H416,IF((J417-I417&gt;0),J417-I417,0),0))</f>
        <v>0</v>
      </c>
      <c r="L417" s="2">
        <f t="shared" si="6"/>
        <v>1213.0548914416743</v>
      </c>
      <c r="M417">
        <f ca="1">IF(ROW()&lt;3,0,IF(Query1[[#This Row],[Month]]&lt;&gt;OFFSET(Query1[[#This Row],[Month]],-1,0),Dashboard!$J$5,0))</f>
        <v>0</v>
      </c>
      <c r="N417" s="2">
        <f ca="1">IF(ROW()&lt;3, Query1[[#This Row],[Shares]], IF(Query1[[#This Row],[Month]]&lt;&gt;H416, N416+Query1[[#This Row],[Fix Top Up]]/Query1[[#This Row],[Adj Close]], N416))</f>
        <v>1211.4931396177303</v>
      </c>
      <c r="O41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7" s="2">
        <f ca="1">IF(ROW()&lt;3, Query1[[#This Row],[Shares]], IF(Query1[[#This Row],[Month]]&lt;&gt;H416, P416+Query1[[#This Row],[Enhanced top up]]/Query1[[#This Row],[Adj Close]], P416))</f>
        <v>1212.0073801728547</v>
      </c>
      <c r="Q417" s="2">
        <f>IFERROR(AVERAGE(
  IF(ROW()&gt;20, INDEX(G:G, ROW()-20), 0) :
  INDEX(G:G, ROW())
),0)</f>
        <v>587.11714680989587</v>
      </c>
    </row>
    <row r="418" spans="1:17" x14ac:dyDescent="0.3">
      <c r="A418" s="1">
        <v>45898</v>
      </c>
      <c r="B418">
        <v>595.239990234375</v>
      </c>
      <c r="C418">
        <v>595.54998779296875</v>
      </c>
      <c r="D418">
        <v>591.25</v>
      </c>
      <c r="E418">
        <v>593.08001708984375</v>
      </c>
      <c r="F418">
        <v>7512000</v>
      </c>
      <c r="G418">
        <v>593.08001708984375</v>
      </c>
      <c r="H418" s="2">
        <f>MONTH(Query1[[#This Row],[Date]])</f>
        <v>8</v>
      </c>
      <c r="I418" s="3">
        <f>Query1[[#This Row],[Shares]]*Query1[[#This Row],[Adj Close]]</f>
        <v>719438.61574714677</v>
      </c>
      <c r="J418" s="3">
        <f>IF(ROW()&lt;3, Dashboard!$E$7, IF(Query1[[#This Row],[Month]]&lt;&gt;H417,J417*(1+Dashboard!$E$4)+Dashboard!$E$5,J417))</f>
        <v>645676.26531047223</v>
      </c>
      <c r="K418">
        <f>IF(ROW()&lt;3, 0,IF(Query1[[#This Row],[Month]]&lt;&gt;H417,IF((J418-I418&gt;0),J418-I418,0),0))</f>
        <v>0</v>
      </c>
      <c r="L418" s="2">
        <f t="shared" si="6"/>
        <v>1213.0548914416743</v>
      </c>
      <c r="M418">
        <f ca="1">IF(ROW()&lt;3,0,IF(Query1[[#This Row],[Month]]&lt;&gt;OFFSET(Query1[[#This Row],[Month]],-1,0),Dashboard!$J$5,0))</f>
        <v>0</v>
      </c>
      <c r="N418" s="2">
        <f ca="1">IF(ROW()&lt;3, Query1[[#This Row],[Shares]], IF(Query1[[#This Row],[Month]]&lt;&gt;H417, N417+Query1[[#This Row],[Fix Top Up]]/Query1[[#This Row],[Adj Close]], N417))</f>
        <v>1211.4931396177303</v>
      </c>
      <c r="O41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18" s="2">
        <f ca="1">IF(ROW()&lt;3, Query1[[#This Row],[Shares]], IF(Query1[[#This Row],[Month]]&lt;&gt;H417, P417+Query1[[#This Row],[Enhanced top up]]/Query1[[#This Row],[Adj Close]], P417))</f>
        <v>1212.0073801728547</v>
      </c>
      <c r="Q418" s="2">
        <f>IFERROR(AVERAGE(
  IF(ROW()&gt;20, INDEX(G:G, ROW()-20), 0) :
  INDEX(G:G, ROW())
),0)</f>
        <v>587.69143240792414</v>
      </c>
    </row>
    <row r="419" spans="1:17" x14ac:dyDescent="0.3">
      <c r="A419" s="1">
        <v>45902</v>
      </c>
      <c r="B419">
        <v>586.05999755859375</v>
      </c>
      <c r="C419">
        <v>588.79998779296875</v>
      </c>
      <c r="D419">
        <v>583.66998291015625</v>
      </c>
      <c r="E419">
        <v>588.71002197265625</v>
      </c>
      <c r="F419">
        <v>11116700</v>
      </c>
      <c r="G419">
        <v>588.71002197265625</v>
      </c>
      <c r="H419" s="2">
        <f>MONTH(Query1[[#This Row],[Date]])</f>
        <v>9</v>
      </c>
      <c r="I419" s="3">
        <f>Query1[[#This Row],[Shares]]*Query1[[#This Row],[Adj Close]]</f>
        <v>714137.57179466623</v>
      </c>
      <c r="J419" s="3">
        <f>IF(ROW()&lt;3, Dashboard!$E$7, IF(Query1[[#This Row],[Month]]&lt;&gt;H418,J418*(1+Dashboard!$E$4)+Dashboard!$E$5,J418))</f>
        <v>654133.02796357695</v>
      </c>
      <c r="K419">
        <f>IF(ROW()&lt;3, 0,IF(Query1[[#This Row],[Month]]&lt;&gt;H418,IF((J419-I419&gt;0),J419-I419,0),0))</f>
        <v>0</v>
      </c>
      <c r="L419" s="2">
        <f t="shared" si="6"/>
        <v>1213.0548914416743</v>
      </c>
      <c r="M419">
        <f ca="1">IF(ROW()&lt;3,0,IF(Query1[[#This Row],[Month]]&lt;&gt;OFFSET(Query1[[#This Row],[Month]],-1,0),Dashboard!$J$5,0))</f>
        <v>979.40350000000024</v>
      </c>
      <c r="N419" s="2">
        <f ca="1">IF(ROW()&lt;3, Query1[[#This Row],[Shares]], IF(Query1[[#This Row],[Month]]&lt;&gt;H418, N418+Query1[[#This Row],[Fix Top Up]]/Query1[[#This Row],[Adj Close]], N418))</f>
        <v>1213.156782945422</v>
      </c>
      <c r="O41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629.40350000000035</v>
      </c>
      <c r="P419" s="2">
        <f ca="1">IF(ROW()&lt;3, Query1[[#This Row],[Shares]], IF(Query1[[#This Row],[Month]]&lt;&gt;H418, P418+Query1[[#This Row],[Enhanced top up]]/Query1[[#This Row],[Adj Close]], P418))</f>
        <v>1213.0765033005553</v>
      </c>
      <c r="Q419" s="2">
        <f>IFERROR(AVERAGE(
  IF(ROW()&gt;20, INDEX(G:G, ROW()-20), 0) :
  INDEX(G:G, ROW())
),0)</f>
        <v>588.51333763485866</v>
      </c>
    </row>
    <row r="420" spans="1:17" x14ac:dyDescent="0.3">
      <c r="A420" s="1">
        <v>45903</v>
      </c>
      <c r="B420">
        <v>590.80999755859375</v>
      </c>
      <c r="C420">
        <v>592.22998046875</v>
      </c>
      <c r="D420">
        <v>588.780029296875</v>
      </c>
      <c r="E420">
        <v>591.719970703125</v>
      </c>
      <c r="F420">
        <v>8205900</v>
      </c>
      <c r="G420">
        <v>591.719970703125</v>
      </c>
      <c r="H420" s="2">
        <f>MONTH(Query1[[#This Row],[Date]])</f>
        <v>9</v>
      </c>
      <c r="I420" s="3">
        <f>Query1[[#This Row],[Shares]]*Query1[[#This Row],[Adj Close]]</f>
        <v>717788.80482514994</v>
      </c>
      <c r="J420" s="3">
        <f>IF(ROW()&lt;3, Dashboard!$E$7, IF(Query1[[#This Row],[Month]]&lt;&gt;H419,J419*(1+Dashboard!$E$4)+Dashboard!$E$5,J419))</f>
        <v>654133.02796357695</v>
      </c>
      <c r="K420">
        <f>IF(ROW()&lt;3, 0,IF(Query1[[#This Row],[Month]]&lt;&gt;H419,IF((J420-I420&gt;0),J420-I420,0),0))</f>
        <v>0</v>
      </c>
      <c r="L420" s="2">
        <f t="shared" si="6"/>
        <v>1213.0548914416743</v>
      </c>
      <c r="M420">
        <f ca="1">IF(ROW()&lt;3,0,IF(Query1[[#This Row],[Month]]&lt;&gt;OFFSET(Query1[[#This Row],[Month]],-1,0),Dashboard!$J$5,0))</f>
        <v>0</v>
      </c>
      <c r="N420" s="2">
        <f ca="1">IF(ROW()&lt;3, Query1[[#This Row],[Shares]], IF(Query1[[#This Row],[Month]]&lt;&gt;H419, N419+Query1[[#This Row],[Fix Top Up]]/Query1[[#This Row],[Adj Close]], N419))</f>
        <v>1213.156782945422</v>
      </c>
      <c r="O42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0" s="2">
        <f ca="1">IF(ROW()&lt;3, Query1[[#This Row],[Shares]], IF(Query1[[#This Row],[Month]]&lt;&gt;H419, P419+Query1[[#This Row],[Enhanced top up]]/Query1[[#This Row],[Adj Close]], P419))</f>
        <v>1213.0765033005553</v>
      </c>
      <c r="Q420" s="2">
        <f>IFERROR(AVERAGE(
  IF(ROW()&gt;20, INDEX(G:G, ROW()-20), 0) :
  INDEX(G:G, ROW())
),0)</f>
        <v>589.06476411365327</v>
      </c>
    </row>
    <row r="421" spans="1:17" x14ac:dyDescent="0.3">
      <c r="A421" s="1">
        <v>45904</v>
      </c>
      <c r="B421">
        <v>592.469970703125</v>
      </c>
      <c r="C421">
        <v>596.77001953125</v>
      </c>
      <c r="D421">
        <v>591.5999755859375</v>
      </c>
      <c r="E421">
        <v>596.59002685546875</v>
      </c>
      <c r="F421">
        <v>8045600</v>
      </c>
      <c r="G421">
        <v>596.59002685546875</v>
      </c>
      <c r="H421" s="2">
        <f>MONTH(Query1[[#This Row],[Date]])</f>
        <v>9</v>
      </c>
      <c r="I421" s="3">
        <f>Query1[[#This Row],[Shares]]*Query1[[#This Row],[Adj Close]]</f>
        <v>723696.45026234619</v>
      </c>
      <c r="J421" s="3">
        <f>IF(ROW()&lt;3, Dashboard!$E$7, IF(Query1[[#This Row],[Month]]&lt;&gt;H420,J420*(1+Dashboard!$E$4)+Dashboard!$E$5,J420))</f>
        <v>654133.02796357695</v>
      </c>
      <c r="K421">
        <f>IF(ROW()&lt;3, 0,IF(Query1[[#This Row],[Month]]&lt;&gt;H420,IF((J421-I421&gt;0),J421-I421,0),0))</f>
        <v>0</v>
      </c>
      <c r="L421" s="2">
        <f t="shared" si="6"/>
        <v>1213.0548914416743</v>
      </c>
      <c r="M421">
        <f ca="1">IF(ROW()&lt;3,0,IF(Query1[[#This Row],[Month]]&lt;&gt;OFFSET(Query1[[#This Row],[Month]],-1,0),Dashboard!$J$5,0))</f>
        <v>0</v>
      </c>
      <c r="N421" s="2">
        <f ca="1">IF(ROW()&lt;3, Query1[[#This Row],[Shares]], IF(Query1[[#This Row],[Month]]&lt;&gt;H420, N420+Query1[[#This Row],[Fix Top Up]]/Query1[[#This Row],[Adj Close]], N420))</f>
        <v>1213.156782945422</v>
      </c>
      <c r="O42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1" s="2">
        <f ca="1">IF(ROW()&lt;3, Query1[[#This Row],[Shares]], IF(Query1[[#This Row],[Month]]&lt;&gt;H420, P420+Query1[[#This Row],[Enhanced top up]]/Query1[[#This Row],[Adj Close]], P420))</f>
        <v>1213.0765033005553</v>
      </c>
      <c r="Q421" s="2">
        <f>IFERROR(AVERAGE(
  IF(ROW()&gt;20, INDEX(G:G, ROW()-20), 0) :
  INDEX(G:G, ROW())
),0)</f>
        <v>589.98095703125</v>
      </c>
    </row>
    <row r="422" spans="1:17" x14ac:dyDescent="0.3">
      <c r="A422" s="1">
        <v>45905</v>
      </c>
      <c r="B422">
        <v>598.90997314453125</v>
      </c>
      <c r="C422">
        <v>599.5999755859375</v>
      </c>
      <c r="D422">
        <v>591.45001220703125</v>
      </c>
      <c r="E422">
        <v>594.96002197265625</v>
      </c>
      <c r="F422">
        <v>6641500</v>
      </c>
      <c r="G422">
        <v>594.96002197265625</v>
      </c>
      <c r="H422" s="2">
        <f>MONTH(Query1[[#This Row],[Date]])</f>
        <v>9</v>
      </c>
      <c r="I422" s="3">
        <f>Query1[[#This Row],[Shares]]*Query1[[#This Row],[Adj Close]]</f>
        <v>721719.16486617667</v>
      </c>
      <c r="J422" s="3">
        <f>IF(ROW()&lt;3, Dashboard!$E$7, IF(Query1[[#This Row],[Month]]&lt;&gt;H421,J421*(1+Dashboard!$E$4)+Dashboard!$E$5,J421))</f>
        <v>654133.02796357695</v>
      </c>
      <c r="K422">
        <f>IF(ROW()&lt;3, 0,IF(Query1[[#This Row],[Month]]&lt;&gt;H421,IF((J422-I422&gt;0),J422-I422,0),0))</f>
        <v>0</v>
      </c>
      <c r="L422" s="2">
        <f t="shared" si="6"/>
        <v>1213.0548914416743</v>
      </c>
      <c r="M422">
        <f ca="1">IF(ROW()&lt;3,0,IF(Query1[[#This Row],[Month]]&lt;&gt;OFFSET(Query1[[#This Row],[Month]],-1,0),Dashboard!$J$5,0))</f>
        <v>0</v>
      </c>
      <c r="N422" s="2">
        <f ca="1">IF(ROW()&lt;3, Query1[[#This Row],[Shares]], IF(Query1[[#This Row],[Month]]&lt;&gt;H421, N421+Query1[[#This Row],[Fix Top Up]]/Query1[[#This Row],[Adj Close]], N421))</f>
        <v>1213.156782945422</v>
      </c>
      <c r="O42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2" s="2">
        <f ca="1">IF(ROW()&lt;3, Query1[[#This Row],[Shares]], IF(Query1[[#This Row],[Month]]&lt;&gt;H421, P421+Query1[[#This Row],[Enhanced top up]]/Query1[[#This Row],[Adj Close]], P421))</f>
        <v>1213.0765033005553</v>
      </c>
      <c r="Q422" s="2">
        <f>IFERROR(AVERAGE(
  IF(ROW()&gt;20, INDEX(G:G, ROW()-20), 0) :
  INDEX(G:G, ROW())
),0)</f>
        <v>590.61524309430808</v>
      </c>
    </row>
    <row r="423" spans="1:17" x14ac:dyDescent="0.3">
      <c r="A423" s="1">
        <v>45908</v>
      </c>
      <c r="B423">
        <v>596.30999755859375</v>
      </c>
      <c r="C423">
        <v>597.40997314453125</v>
      </c>
      <c r="D423">
        <v>595.030029296875</v>
      </c>
      <c r="E423">
        <v>596.5</v>
      </c>
      <c r="F423">
        <v>9472200</v>
      </c>
      <c r="G423">
        <v>596.5</v>
      </c>
      <c r="H423" s="2">
        <f>MONTH(Query1[[#This Row],[Date]])</f>
        <v>9</v>
      </c>
      <c r="I423" s="3">
        <f>Query1[[#This Row],[Shares]]*Query1[[#This Row],[Adj Close]]</f>
        <v>723587.24274495873</v>
      </c>
      <c r="J423" s="3">
        <f>IF(ROW()&lt;3, Dashboard!$E$7, IF(Query1[[#This Row],[Month]]&lt;&gt;H422,J422*(1+Dashboard!$E$4)+Dashboard!$E$5,J422))</f>
        <v>654133.02796357695</v>
      </c>
      <c r="K423">
        <f>IF(ROW()&lt;3, 0,IF(Query1[[#This Row],[Month]]&lt;&gt;H422,IF((J423-I423&gt;0),J423-I423,0),0))</f>
        <v>0</v>
      </c>
      <c r="L423" s="2">
        <f t="shared" si="6"/>
        <v>1213.0548914416743</v>
      </c>
      <c r="M423">
        <f ca="1">IF(ROW()&lt;3,0,IF(Query1[[#This Row],[Month]]&lt;&gt;OFFSET(Query1[[#This Row],[Month]],-1,0),Dashboard!$J$5,0))</f>
        <v>0</v>
      </c>
      <c r="N423" s="2">
        <f ca="1">IF(ROW()&lt;3, Query1[[#This Row],[Shares]], IF(Query1[[#This Row],[Month]]&lt;&gt;H422, N422+Query1[[#This Row],[Fix Top Up]]/Query1[[#This Row],[Adj Close]], N422))</f>
        <v>1213.156782945422</v>
      </c>
      <c r="O42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3" s="2">
        <f ca="1">IF(ROW()&lt;3, Query1[[#This Row],[Shares]], IF(Query1[[#This Row],[Month]]&lt;&gt;H422, P422+Query1[[#This Row],[Enhanced top up]]/Query1[[#This Row],[Adj Close]], P422))</f>
        <v>1213.0765033005553</v>
      </c>
      <c r="Q423" s="2">
        <f>IFERROR(AVERAGE(
  IF(ROW()&gt;20, INDEX(G:G, ROW()-20), 0) :
  INDEX(G:G, ROW())
),0)</f>
        <v>591.33952985491067</v>
      </c>
    </row>
    <row r="424" spans="1:17" x14ac:dyDescent="0.3">
      <c r="A424" s="1">
        <v>45909</v>
      </c>
      <c r="B424">
        <v>596.6099853515625</v>
      </c>
      <c r="C424">
        <v>598.3699951171875</v>
      </c>
      <c r="D424">
        <v>595.010009765625</v>
      </c>
      <c r="E424">
        <v>597.95001220703125</v>
      </c>
      <c r="F424">
        <v>7844800</v>
      </c>
      <c r="G424">
        <v>597.95001220703125</v>
      </c>
      <c r="H424" s="2">
        <f>MONTH(Query1[[#This Row],[Date]])</f>
        <v>9</v>
      </c>
      <c r="I424" s="3">
        <f>Query1[[#This Row],[Shares]]*Query1[[#This Row],[Adj Close]]</f>
        <v>725346.18714534806</v>
      </c>
      <c r="J424" s="3">
        <f>IF(ROW()&lt;3, Dashboard!$E$7, IF(Query1[[#This Row],[Month]]&lt;&gt;H423,J423*(1+Dashboard!$E$4)+Dashboard!$E$5,J423))</f>
        <v>654133.02796357695</v>
      </c>
      <c r="K424">
        <f>IF(ROW()&lt;3, 0,IF(Query1[[#This Row],[Month]]&lt;&gt;H423,IF((J424-I424&gt;0),J424-I424,0),0))</f>
        <v>0</v>
      </c>
      <c r="L424" s="2">
        <f t="shared" si="6"/>
        <v>1213.0548914416743</v>
      </c>
      <c r="M424">
        <f ca="1">IF(ROW()&lt;3,0,IF(Query1[[#This Row],[Month]]&lt;&gt;OFFSET(Query1[[#This Row],[Month]],-1,0),Dashboard!$J$5,0))</f>
        <v>0</v>
      </c>
      <c r="N424" s="2">
        <f ca="1">IF(ROW()&lt;3, Query1[[#This Row],[Shares]], IF(Query1[[#This Row],[Month]]&lt;&gt;H423, N423+Query1[[#This Row],[Fix Top Up]]/Query1[[#This Row],[Adj Close]], N423))</f>
        <v>1213.156782945422</v>
      </c>
      <c r="O42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4" s="2">
        <f ca="1">IF(ROW()&lt;3, Query1[[#This Row],[Shares]], IF(Query1[[#This Row],[Month]]&lt;&gt;H423, P423+Query1[[#This Row],[Enhanced top up]]/Query1[[#This Row],[Adj Close]], P423))</f>
        <v>1213.0765033005553</v>
      </c>
      <c r="Q424" s="2">
        <f>IFERROR(AVERAGE(
  IF(ROW()&gt;20, INDEX(G:G, ROW()-20), 0) :
  INDEX(G:G, ROW())
),0)</f>
        <v>591.92095947265625</v>
      </c>
    </row>
    <row r="425" spans="1:17" x14ac:dyDescent="0.3">
      <c r="A425" s="1">
        <v>45910</v>
      </c>
      <c r="B425">
        <v>600.91998291015625</v>
      </c>
      <c r="C425">
        <v>601.75</v>
      </c>
      <c r="D425">
        <v>598.15997314453125</v>
      </c>
      <c r="E425">
        <v>599.67999267578125</v>
      </c>
      <c r="F425">
        <v>21641100</v>
      </c>
      <c r="G425">
        <v>599.67999267578125</v>
      </c>
      <c r="H425" s="2">
        <f>MONTH(Query1[[#This Row],[Date]])</f>
        <v>9</v>
      </c>
      <c r="I425" s="3">
        <f>Query1[[#This Row],[Shares]]*Query1[[#This Row],[Adj Close]]</f>
        <v>727444.74841506383</v>
      </c>
      <c r="J425" s="3">
        <f>IF(ROW()&lt;3, Dashboard!$E$7, IF(Query1[[#This Row],[Month]]&lt;&gt;H424,J424*(1+Dashboard!$E$4)+Dashboard!$E$5,J424))</f>
        <v>654133.02796357695</v>
      </c>
      <c r="K425">
        <f>IF(ROW()&lt;3, 0,IF(Query1[[#This Row],[Month]]&lt;&gt;H424,IF((J425-I425&gt;0),J425-I425,0),0))</f>
        <v>0</v>
      </c>
      <c r="L425" s="2">
        <f t="shared" si="6"/>
        <v>1213.0548914416743</v>
      </c>
      <c r="M425">
        <f ca="1">IF(ROW()&lt;3,0,IF(Query1[[#This Row],[Month]]&lt;&gt;OFFSET(Query1[[#This Row],[Month]],-1,0),Dashboard!$J$5,0))</f>
        <v>0</v>
      </c>
      <c r="N425" s="2">
        <f ca="1">IF(ROW()&lt;3, Query1[[#This Row],[Shares]], IF(Query1[[#This Row],[Month]]&lt;&gt;H424, N424+Query1[[#This Row],[Fix Top Up]]/Query1[[#This Row],[Adj Close]], N424))</f>
        <v>1213.156782945422</v>
      </c>
      <c r="O425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5" s="2">
        <f ca="1">IF(ROW()&lt;3, Query1[[#This Row],[Shares]], IF(Query1[[#This Row],[Month]]&lt;&gt;H424, P424+Query1[[#This Row],[Enhanced top up]]/Query1[[#This Row],[Adj Close]], P424))</f>
        <v>1213.0765033005553</v>
      </c>
      <c r="Q425" s="2">
        <f>IFERROR(AVERAGE(
  IF(ROW()&gt;20, INDEX(G:G, ROW()-20), 0) :
  INDEX(G:G, ROW())
),0)</f>
        <v>592.64191255115327</v>
      </c>
    </row>
    <row r="426" spans="1:17" x14ac:dyDescent="0.3">
      <c r="A426" s="1">
        <v>45911</v>
      </c>
      <c r="B426">
        <v>601.42999267578125</v>
      </c>
      <c r="C426">
        <v>605.22998046875</v>
      </c>
      <c r="D426">
        <v>600.8900146484375</v>
      </c>
      <c r="E426">
        <v>604.57000732421875</v>
      </c>
      <c r="F426">
        <v>9109700</v>
      </c>
      <c r="G426">
        <v>604.57000732421875</v>
      </c>
      <c r="H426" s="2">
        <f>MONTH(Query1[[#This Row],[Date]])</f>
        <v>9</v>
      </c>
      <c r="I426" s="3">
        <f>Query1[[#This Row],[Shares]]*Query1[[#This Row],[Adj Close]]</f>
        <v>733376.6046035724</v>
      </c>
      <c r="J426" s="3">
        <f>IF(ROW()&lt;3, Dashboard!$E$7, IF(Query1[[#This Row],[Month]]&lt;&gt;H425,J425*(1+Dashboard!$E$4)+Dashboard!$E$5,J425))</f>
        <v>654133.02796357695</v>
      </c>
      <c r="K426">
        <f>IF(ROW()&lt;3, 0,IF(Query1[[#This Row],[Month]]&lt;&gt;H425,IF((J426-I426&gt;0),J426-I426,0),0))</f>
        <v>0</v>
      </c>
      <c r="L426" s="2">
        <f t="shared" si="6"/>
        <v>1213.0548914416743</v>
      </c>
      <c r="M426">
        <f ca="1">IF(ROW()&lt;3,0,IF(Query1[[#This Row],[Month]]&lt;&gt;OFFSET(Query1[[#This Row],[Month]],-1,0),Dashboard!$J$5,0))</f>
        <v>0</v>
      </c>
      <c r="N426" s="2">
        <f ca="1">IF(ROW()&lt;3, Query1[[#This Row],[Shares]], IF(Query1[[#This Row],[Month]]&lt;&gt;H425, N425+Query1[[#This Row],[Fix Top Up]]/Query1[[#This Row],[Adj Close]], N425))</f>
        <v>1213.156782945422</v>
      </c>
      <c r="O426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6" s="2">
        <f ca="1">IF(ROW()&lt;3, Query1[[#This Row],[Shares]], IF(Query1[[#This Row],[Month]]&lt;&gt;H425, P425+Query1[[#This Row],[Enhanced top up]]/Query1[[#This Row],[Adj Close]], P425))</f>
        <v>1213.0765033005553</v>
      </c>
      <c r="Q426" s="2">
        <f>IFERROR(AVERAGE(
  IF(ROW()&gt;20, INDEX(G:G, ROW()-20), 0) :
  INDEX(G:G, ROW())
),0)</f>
        <v>593.29857817150298</v>
      </c>
    </row>
    <row r="427" spans="1:17" x14ac:dyDescent="0.3">
      <c r="A427" s="1">
        <v>45912</v>
      </c>
      <c r="B427">
        <v>604.59002685546875</v>
      </c>
      <c r="C427">
        <v>605.97998046875</v>
      </c>
      <c r="D427">
        <v>603.95001220703125</v>
      </c>
      <c r="E427">
        <v>604.44000244140625</v>
      </c>
      <c r="F427">
        <v>8130500</v>
      </c>
      <c r="G427">
        <v>604.44000244140625</v>
      </c>
      <c r="H427" s="2">
        <f>MONTH(Query1[[#This Row],[Date]])</f>
        <v>9</v>
      </c>
      <c r="I427" s="3">
        <f>Query1[[#This Row],[Shares]]*Query1[[#This Row],[Adj Close]]</f>
        <v>733218.90154456533</v>
      </c>
      <c r="J427" s="3">
        <f>IF(ROW()&lt;3, Dashboard!$E$7, IF(Query1[[#This Row],[Month]]&lt;&gt;H426,J426*(1+Dashboard!$E$4)+Dashboard!$E$5,J426))</f>
        <v>654133.02796357695</v>
      </c>
      <c r="K427">
        <f>IF(ROW()&lt;3, 0,IF(Query1[[#This Row],[Month]]&lt;&gt;H426,IF((J427-I427&gt;0),J427-I427,0),0))</f>
        <v>0</v>
      </c>
      <c r="L427" s="2">
        <f t="shared" si="6"/>
        <v>1213.0548914416743</v>
      </c>
      <c r="M427">
        <f ca="1">IF(ROW()&lt;3,0,IF(Query1[[#This Row],[Month]]&lt;&gt;OFFSET(Query1[[#This Row],[Month]],-1,0),Dashboard!$J$5,0))</f>
        <v>0</v>
      </c>
      <c r="N427" s="2">
        <f ca="1">IF(ROW()&lt;3, Query1[[#This Row],[Shares]], IF(Query1[[#This Row],[Month]]&lt;&gt;H426, N426+Query1[[#This Row],[Fix Top Up]]/Query1[[#This Row],[Adj Close]], N426))</f>
        <v>1213.156782945422</v>
      </c>
      <c r="O427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7" s="2">
        <f ca="1">IF(ROW()&lt;3, Query1[[#This Row],[Shares]], IF(Query1[[#This Row],[Month]]&lt;&gt;H426, P426+Query1[[#This Row],[Enhanced top up]]/Query1[[#This Row],[Adj Close]], P426))</f>
        <v>1213.0765033005553</v>
      </c>
      <c r="Q427" s="2">
        <f>IFERROR(AVERAGE(
  IF(ROW()&gt;20, INDEX(G:G, ROW()-20), 0) :
  INDEX(G:G, ROW())
),0)</f>
        <v>593.85095796130952</v>
      </c>
    </row>
    <row r="428" spans="1:17" x14ac:dyDescent="0.3">
      <c r="A428" s="1">
        <v>45915</v>
      </c>
      <c r="B428">
        <v>606.469970703125</v>
      </c>
      <c r="C428">
        <v>607.77001953125</v>
      </c>
      <c r="D428">
        <v>606.20001220703125</v>
      </c>
      <c r="E428">
        <v>607.59002685546875</v>
      </c>
      <c r="F428">
        <v>7710700</v>
      </c>
      <c r="G428">
        <v>607.59002685546875</v>
      </c>
      <c r="H428" s="2">
        <f>MONTH(Query1[[#This Row],[Date]])</f>
        <v>9</v>
      </c>
      <c r="I428" s="3">
        <f>Query1[[#This Row],[Shares]]*Query1[[#This Row],[Adj Close]]</f>
        <v>737040.0540682046</v>
      </c>
      <c r="J428" s="3">
        <f>IF(ROW()&lt;3, Dashboard!$E$7, IF(Query1[[#This Row],[Month]]&lt;&gt;H427,J427*(1+Dashboard!$E$4)+Dashboard!$E$5,J427))</f>
        <v>654133.02796357695</v>
      </c>
      <c r="K428">
        <f>IF(ROW()&lt;3, 0,IF(Query1[[#This Row],[Month]]&lt;&gt;H427,IF((J428-I428&gt;0),J428-I428,0),0))</f>
        <v>0</v>
      </c>
      <c r="L428" s="2">
        <f t="shared" si="6"/>
        <v>1213.0548914416743</v>
      </c>
      <c r="M428">
        <f ca="1">IF(ROW()&lt;3,0,IF(Query1[[#This Row],[Month]]&lt;&gt;OFFSET(Query1[[#This Row],[Month]],-1,0),Dashboard!$J$5,0))</f>
        <v>0</v>
      </c>
      <c r="N428" s="2">
        <f ca="1">IF(ROW()&lt;3, Query1[[#This Row],[Shares]], IF(Query1[[#This Row],[Month]]&lt;&gt;H427, N427+Query1[[#This Row],[Fix Top Up]]/Query1[[#This Row],[Adj Close]], N427))</f>
        <v>1213.156782945422</v>
      </c>
      <c r="O428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8" s="2">
        <f ca="1">IF(ROW()&lt;3, Query1[[#This Row],[Shares]], IF(Query1[[#This Row],[Month]]&lt;&gt;H427, P427+Query1[[#This Row],[Enhanced top up]]/Query1[[#This Row],[Adj Close]], P427))</f>
        <v>1213.0765033005553</v>
      </c>
      <c r="Q428" s="2">
        <f>IFERROR(AVERAGE(
  IF(ROW()&gt;20, INDEX(G:G, ROW()-20), 0) :
  INDEX(G:G, ROW())
),0)</f>
        <v>594.55286516462058</v>
      </c>
    </row>
    <row r="429" spans="1:17" x14ac:dyDescent="0.3">
      <c r="A429" s="1">
        <v>45916</v>
      </c>
      <c r="B429">
        <v>608.15997314453125</v>
      </c>
      <c r="C429">
        <v>608.41998291015625</v>
      </c>
      <c r="D429">
        <v>606.05999755859375</v>
      </c>
      <c r="E429">
        <v>606.78997802734375</v>
      </c>
      <c r="F429">
        <v>6393200</v>
      </c>
      <c r="G429">
        <v>606.78997802734375</v>
      </c>
      <c r="H429" s="2">
        <f>MONTH(Query1[[#This Row],[Date]])</f>
        <v>9</v>
      </c>
      <c r="I429" s="3">
        <f>Query1[[#This Row],[Shares]]*Query1[[#This Row],[Adj Close]]</f>
        <v>736069.55092385539</v>
      </c>
      <c r="J429" s="3">
        <f>IF(ROW()&lt;3, Dashboard!$E$7, IF(Query1[[#This Row],[Month]]&lt;&gt;H428,J428*(1+Dashboard!$E$4)+Dashboard!$E$5,J428))</f>
        <v>654133.02796357695</v>
      </c>
      <c r="K429">
        <f>IF(ROW()&lt;3, 0,IF(Query1[[#This Row],[Month]]&lt;&gt;H428,IF((J429-I429&gt;0),J429-I429,0),0))</f>
        <v>0</v>
      </c>
      <c r="L429" s="2">
        <f t="shared" si="6"/>
        <v>1213.0548914416743</v>
      </c>
      <c r="M429">
        <f ca="1">IF(ROW()&lt;3,0,IF(Query1[[#This Row],[Month]]&lt;&gt;OFFSET(Query1[[#This Row],[Month]],-1,0),Dashboard!$J$5,0))</f>
        <v>0</v>
      </c>
      <c r="N429" s="2">
        <f ca="1">IF(ROW()&lt;3, Query1[[#This Row],[Shares]], IF(Query1[[#This Row],[Month]]&lt;&gt;H428, N428+Query1[[#This Row],[Fix Top Up]]/Query1[[#This Row],[Adj Close]], N428))</f>
        <v>1213.156782945422</v>
      </c>
      <c r="O429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29" s="2">
        <f ca="1">IF(ROW()&lt;3, Query1[[#This Row],[Shares]], IF(Query1[[#This Row],[Month]]&lt;&gt;H428, P428+Query1[[#This Row],[Enhanced top up]]/Query1[[#This Row],[Adj Close]], P428))</f>
        <v>1213.0765033005553</v>
      </c>
      <c r="Q429" s="2">
        <f>IFERROR(AVERAGE(
  IF(ROW()&gt;20, INDEX(G:G, ROW()-20), 0) :
  INDEX(G:G, ROW())
),0)</f>
        <v>595.27762567429318</v>
      </c>
    </row>
    <row r="430" spans="1:17" x14ac:dyDescent="0.3">
      <c r="A430" s="1">
        <v>45917</v>
      </c>
      <c r="B430">
        <v>606.84002685546875</v>
      </c>
      <c r="C430">
        <v>608.33001708984375</v>
      </c>
      <c r="D430">
        <v>601.54998779296875</v>
      </c>
      <c r="E430">
        <v>606.09002685546875</v>
      </c>
      <c r="F430">
        <v>11613600</v>
      </c>
      <c r="G430">
        <v>606.09002685546875</v>
      </c>
      <c r="H430" s="2">
        <f>MONTH(Query1[[#This Row],[Date]])</f>
        <v>9</v>
      </c>
      <c r="I430" s="3">
        <f>Query1[[#This Row],[Shares]]*Query1[[#This Row],[Adj Close]]</f>
        <v>735220.47173104214</v>
      </c>
      <c r="J430" s="3">
        <f>IF(ROW()&lt;3, Dashboard!$E$7, IF(Query1[[#This Row],[Month]]&lt;&gt;H429,J429*(1+Dashboard!$E$4)+Dashboard!$E$5,J429))</f>
        <v>654133.02796357695</v>
      </c>
      <c r="K430">
        <f>IF(ROW()&lt;3, 0,IF(Query1[[#This Row],[Month]]&lt;&gt;H429,IF((J430-I430&gt;0),J430-I430,0),0))</f>
        <v>0</v>
      </c>
      <c r="L430" s="2">
        <f t="shared" si="6"/>
        <v>1213.0548914416743</v>
      </c>
      <c r="M430">
        <f ca="1">IF(ROW()&lt;3,0,IF(Query1[[#This Row],[Month]]&lt;&gt;OFFSET(Query1[[#This Row],[Month]],-1,0),Dashboard!$J$5,0))</f>
        <v>0</v>
      </c>
      <c r="N430" s="2">
        <f ca="1">IF(ROW()&lt;3, Query1[[#This Row],[Shares]], IF(Query1[[#This Row],[Month]]&lt;&gt;H429, N429+Query1[[#This Row],[Fix Top Up]]/Query1[[#This Row],[Adj Close]], N429))</f>
        <v>1213.156782945422</v>
      </c>
      <c r="O430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30" s="2">
        <f ca="1">IF(ROW()&lt;3, Query1[[#This Row],[Shares]], IF(Query1[[#This Row],[Month]]&lt;&gt;H429, P429+Query1[[#This Row],[Enhanced top up]]/Query1[[#This Row],[Adj Close]], P429))</f>
        <v>1213.0765033005553</v>
      </c>
      <c r="Q430" s="2">
        <f>IFERROR(AVERAGE(
  IF(ROW()&gt;20, INDEX(G:G, ROW()-20), 0) :
  INDEX(G:G, ROW())
),0)</f>
        <v>595.97905622209817</v>
      </c>
    </row>
    <row r="431" spans="1:17" x14ac:dyDescent="0.3">
      <c r="A431" s="1">
        <v>45918</v>
      </c>
      <c r="B431">
        <v>608.54998779296875</v>
      </c>
      <c r="C431">
        <v>611.30999755859375</v>
      </c>
      <c r="D431">
        <v>607.07000732421875</v>
      </c>
      <c r="E431">
        <v>608.94000244140625</v>
      </c>
      <c r="F431">
        <v>11057500</v>
      </c>
      <c r="G431">
        <v>608.94000244140625</v>
      </c>
      <c r="H431" s="2">
        <f>MONTH(Query1[[#This Row],[Date]])</f>
        <v>9</v>
      </c>
      <c r="I431" s="3">
        <f>Query1[[#This Row],[Shares]]*Query1[[#This Row],[Adj Close]]</f>
        <v>738677.64855605294</v>
      </c>
      <c r="J431" s="3">
        <f>IF(ROW()&lt;3, Dashboard!$E$7, IF(Query1[[#This Row],[Month]]&lt;&gt;H430,J430*(1+Dashboard!$E$4)+Dashboard!$E$5,J430))</f>
        <v>654133.02796357695</v>
      </c>
      <c r="K431">
        <f>IF(ROW()&lt;3, 0,IF(Query1[[#This Row],[Month]]&lt;&gt;H430,IF((J431-I431&gt;0),J431-I431,0),0))</f>
        <v>0</v>
      </c>
      <c r="L431" s="2">
        <f t="shared" si="6"/>
        <v>1213.0548914416743</v>
      </c>
      <c r="M431">
        <f ca="1">IF(ROW()&lt;3,0,IF(Query1[[#This Row],[Month]]&lt;&gt;OFFSET(Query1[[#This Row],[Month]],-1,0),Dashboard!$J$5,0))</f>
        <v>0</v>
      </c>
      <c r="N431" s="2">
        <f ca="1">IF(ROW()&lt;3, Query1[[#This Row],[Shares]], IF(Query1[[#This Row],[Month]]&lt;&gt;H430, N430+Query1[[#This Row],[Fix Top Up]]/Query1[[#This Row],[Adj Close]], N430))</f>
        <v>1213.156782945422</v>
      </c>
      <c r="O431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31" s="2">
        <f ca="1">IF(ROW()&lt;3, Query1[[#This Row],[Shares]], IF(Query1[[#This Row],[Month]]&lt;&gt;H430, P430+Query1[[#This Row],[Enhanced top up]]/Query1[[#This Row],[Adj Close]], P430))</f>
        <v>1213.0765033005553</v>
      </c>
      <c r="Q431" s="2">
        <f>IFERROR(AVERAGE(
  IF(ROW()&gt;20, INDEX(G:G, ROW()-20), 0) :
  INDEX(G:G, ROW())
),0)</f>
        <v>596.97000848679318</v>
      </c>
    </row>
    <row r="432" spans="1:17" x14ac:dyDescent="0.3">
      <c r="A432" s="1">
        <v>45919</v>
      </c>
      <c r="B432">
        <v>610.6199951171875</v>
      </c>
      <c r="C432">
        <v>612.66998291015625</v>
      </c>
      <c r="D432">
        <v>608.8499755859375</v>
      </c>
      <c r="E432">
        <v>611.780029296875</v>
      </c>
      <c r="F432">
        <v>6065700</v>
      </c>
      <c r="G432">
        <v>611.780029296875</v>
      </c>
      <c r="H432" s="2">
        <f>MONTH(Query1[[#This Row],[Date]])</f>
        <v>9</v>
      </c>
      <c r="I432" s="3">
        <f>Query1[[#This Row],[Shares]]*Query1[[#This Row],[Adj Close]]</f>
        <v>742122.75702490506</v>
      </c>
      <c r="J432" s="3">
        <f>IF(ROW()&lt;3, Dashboard!$E$7, IF(Query1[[#This Row],[Month]]&lt;&gt;H431,J431*(1+Dashboard!$E$4)+Dashboard!$E$5,J431))</f>
        <v>654133.02796357695</v>
      </c>
      <c r="K432">
        <f>IF(ROW()&lt;3, 0,IF(Query1[[#This Row],[Month]]&lt;&gt;H431,IF((J432-I432&gt;0),J432-I432,0),0))</f>
        <v>0</v>
      </c>
      <c r="L432" s="2">
        <f t="shared" si="6"/>
        <v>1213.0548914416743</v>
      </c>
      <c r="M432">
        <f ca="1">IF(ROW()&lt;3,0,IF(Query1[[#This Row],[Month]]&lt;&gt;OFFSET(Query1[[#This Row],[Month]],-1,0),Dashboard!$J$5,0))</f>
        <v>0</v>
      </c>
      <c r="N432" s="2">
        <f ca="1">IF(ROW()&lt;3, Query1[[#This Row],[Shares]], IF(Query1[[#This Row],[Month]]&lt;&gt;H431, N431+Query1[[#This Row],[Fix Top Up]]/Query1[[#This Row],[Adj Close]], N431))</f>
        <v>1213.156782945422</v>
      </c>
      <c r="O432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32" s="2">
        <f ca="1">IF(ROW()&lt;3, Query1[[#This Row],[Shares]], IF(Query1[[#This Row],[Month]]&lt;&gt;H431, P431+Query1[[#This Row],[Enhanced top up]]/Query1[[#This Row],[Adj Close]], P431))</f>
        <v>1213.0765033005553</v>
      </c>
      <c r="Q432" s="2">
        <f>IFERROR(AVERAGE(
  IF(ROW()&gt;20, INDEX(G:G, ROW()-20), 0) :
  INDEX(G:G, ROW())
),0)</f>
        <v>598.17000906808039</v>
      </c>
    </row>
    <row r="433" spans="1:17" x14ac:dyDescent="0.3">
      <c r="A433" s="1">
        <v>45922</v>
      </c>
      <c r="B433">
        <v>610.52001953125</v>
      </c>
      <c r="C433">
        <v>615.219970703125</v>
      </c>
      <c r="D433">
        <v>610.510009765625</v>
      </c>
      <c r="E433">
        <v>614.760009765625</v>
      </c>
      <c r="F433">
        <v>11583800</v>
      </c>
      <c r="G433">
        <v>614.760009765625</v>
      </c>
      <c r="H433" s="2">
        <f>MONTH(Query1[[#This Row],[Date]])</f>
        <v>9</v>
      </c>
      <c r="I433" s="3">
        <f>Query1[[#This Row],[Shares]]*Query1[[#This Row],[Adj Close]]</f>
        <v>745737.63690892281</v>
      </c>
      <c r="J433" s="3">
        <f>IF(ROW()&lt;3, Dashboard!$E$7, IF(Query1[[#This Row],[Month]]&lt;&gt;H432,J432*(1+Dashboard!$E$4)+Dashboard!$E$5,J432))</f>
        <v>654133.02796357695</v>
      </c>
      <c r="K433">
        <f>IF(ROW()&lt;3, 0,IF(Query1[[#This Row],[Month]]&lt;&gt;H432,IF((J433-I433&gt;0),J433-I433,0),0))</f>
        <v>0</v>
      </c>
      <c r="L433" s="2">
        <f t="shared" si="6"/>
        <v>1213.0548914416743</v>
      </c>
      <c r="M433">
        <f ca="1">IF(ROW()&lt;3,0,IF(Query1[[#This Row],[Month]]&lt;&gt;OFFSET(Query1[[#This Row],[Month]],-1,0),Dashboard!$J$5,0))</f>
        <v>0</v>
      </c>
      <c r="N433" s="2">
        <f ca="1">IF(ROW()&lt;3, Query1[[#This Row],[Shares]], IF(Query1[[#This Row],[Month]]&lt;&gt;H432, N432+Query1[[#This Row],[Fix Top Up]]/Query1[[#This Row],[Adj Close]], N432))</f>
        <v>1213.156782945422</v>
      </c>
      <c r="O433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33" s="2">
        <f ca="1">IF(ROW()&lt;3, Query1[[#This Row],[Shares]], IF(Query1[[#This Row],[Month]]&lt;&gt;H432, P432+Query1[[#This Row],[Enhanced top up]]/Query1[[#This Row],[Adj Close]], P432))</f>
        <v>1213.0765033005553</v>
      </c>
      <c r="Q433" s="2">
        <f>IFERROR(AVERAGE(
  IF(ROW()&gt;20, INDEX(G:G, ROW()-20), 0) :
  INDEX(G:G, ROW())
),0)</f>
        <v>599.62191336495539</v>
      </c>
    </row>
    <row r="434" spans="1:17" x14ac:dyDescent="0.3">
      <c r="A434" s="1">
        <v>45923</v>
      </c>
      <c r="B434">
        <v>614.71002197265625</v>
      </c>
      <c r="C434">
        <v>615.260009765625</v>
      </c>
      <c r="D434">
        <v>610.34002685546875</v>
      </c>
      <c r="E434">
        <v>611.53997802734375</v>
      </c>
      <c r="F434">
        <v>10744200</v>
      </c>
      <c r="G434">
        <v>611.53997802734375</v>
      </c>
      <c r="H434" s="2">
        <f>MONTH(Query1[[#This Row],[Date]])</f>
        <v>9</v>
      </c>
      <c r="I434" s="3">
        <f>Query1[[#This Row],[Shares]]*Query1[[#This Row],[Adj Close]]</f>
        <v>741831.56165820337</v>
      </c>
      <c r="J434" s="3">
        <f>IF(ROW()&lt;3, Dashboard!$E$7, IF(Query1[[#This Row],[Month]]&lt;&gt;H433,J433*(1+Dashboard!$E$4)+Dashboard!$E$5,J433))</f>
        <v>654133.02796357695</v>
      </c>
      <c r="K434">
        <f>IF(ROW()&lt;3, 0,IF(Query1[[#This Row],[Month]]&lt;&gt;H433,IF((J434-I434&gt;0),J434-I434,0),0))</f>
        <v>0</v>
      </c>
      <c r="L434" s="2">
        <f t="shared" si="6"/>
        <v>1213.0548914416743</v>
      </c>
      <c r="M434">
        <f ca="1">IF(ROW()&lt;3,0,IF(Query1[[#This Row],[Month]]&lt;&gt;OFFSET(Query1[[#This Row],[Month]],-1,0),Dashboard!$J$5,0))</f>
        <v>0</v>
      </c>
      <c r="N434" s="2">
        <f ca="1">IF(ROW()&lt;3, Query1[[#This Row],[Shares]], IF(Query1[[#This Row],[Month]]&lt;&gt;H433, N433+Query1[[#This Row],[Fix Top Up]]/Query1[[#This Row],[Adj Close]], N433))</f>
        <v>1213.156782945422</v>
      </c>
      <c r="O434">
        <f ca="1">IF(
  AND(Query1[[#This Row],[avg]]&gt;0, IFERROR(Query1[[#This Row],[Month]]&lt;&gt;OFFSET(Query1[[#This Row],[Month]],-1,0), FALSE)),
  IF(Query1[[#This Row],[Adj Close]]&gt;Query1[[#This Row],[avg]], Dashboard!$L$5-Dashboard!$E$6, Dashboard!$L$5+Dashboard!$E$6),
  0
)</f>
        <v>0</v>
      </c>
      <c r="P434" s="2">
        <f ca="1">IF(ROW()&lt;3, Query1[[#This Row],[Shares]], IF(Query1[[#This Row],[Month]]&lt;&gt;H433, P433+Query1[[#This Row],[Enhanced top up]]/Query1[[#This Row],[Adj Close]], P433))</f>
        <v>1213.0765033005553</v>
      </c>
      <c r="Q434" s="2">
        <f>IFERROR(AVERAGE(
  IF(ROW()&gt;20, INDEX(G:G, ROW()-20), 0) :
  INDEX(G:G, ROW())
),0)</f>
        <v>600.49476841517856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DCD43-35F2-4496-A776-F2F86DCE8EF9}">
  <sheetPr codeName="Sheet2"/>
  <dimension ref="B4:N10"/>
  <sheetViews>
    <sheetView workbookViewId="0">
      <selection activeCell="D23" sqref="D23"/>
    </sheetView>
  </sheetViews>
  <sheetFormatPr defaultRowHeight="14.4" x14ac:dyDescent="0.3"/>
  <cols>
    <col min="2" max="2" width="11.88671875" bestFit="1" customWidth="1"/>
    <col min="3" max="3" width="12.109375" customWidth="1"/>
    <col min="4" max="4" width="25.88671875" bestFit="1" customWidth="1"/>
    <col min="5" max="5" width="9.5546875" bestFit="1" customWidth="1"/>
    <col min="6" max="6" width="2.109375" customWidth="1"/>
    <col min="7" max="7" width="13.88671875" customWidth="1"/>
    <col min="8" max="8" width="21.77734375" bestFit="1" customWidth="1"/>
    <col min="9" max="9" width="10.88671875" bestFit="1" customWidth="1"/>
    <col min="10" max="10" width="19.44140625" bestFit="1" customWidth="1"/>
    <col min="11" max="11" width="10.88671875" bestFit="1" customWidth="1"/>
    <col min="12" max="12" width="21.5546875" bestFit="1" customWidth="1"/>
  </cols>
  <sheetData>
    <row r="4" spans="2:14" x14ac:dyDescent="0.3">
      <c r="B4" s="4"/>
      <c r="C4" s="4"/>
      <c r="D4" s="4" t="s">
        <v>16</v>
      </c>
      <c r="E4" s="5">
        <v>0.01</v>
      </c>
      <c r="F4" s="6"/>
      <c r="G4" s="4"/>
      <c r="H4" s="4" t="s">
        <v>17</v>
      </c>
      <c r="I4" s="4"/>
      <c r="J4" s="4" t="s">
        <v>18</v>
      </c>
      <c r="K4" s="4"/>
      <c r="L4" s="4" t="s">
        <v>19</v>
      </c>
      <c r="M4" s="4"/>
      <c r="N4" s="4"/>
    </row>
    <row r="5" spans="2:14" x14ac:dyDescent="0.3">
      <c r="B5" s="4" t="s">
        <v>28</v>
      </c>
      <c r="C5" s="9" t="s">
        <v>35</v>
      </c>
      <c r="D5" s="4" t="s">
        <v>20</v>
      </c>
      <c r="E5" s="7">
        <v>2000</v>
      </c>
      <c r="F5" s="6"/>
      <c r="G5" s="4"/>
      <c r="H5" s="11"/>
      <c r="I5" s="12" t="s">
        <v>21</v>
      </c>
      <c r="J5" s="13">
        <v>979.40350000000024</v>
      </c>
      <c r="K5" s="12" t="s">
        <v>22</v>
      </c>
      <c r="L5" s="13">
        <v>1129.4035000000003</v>
      </c>
      <c r="M5" s="4"/>
      <c r="N5" s="4"/>
    </row>
    <row r="6" spans="2:14" x14ac:dyDescent="0.3">
      <c r="B6" s="4" t="s">
        <v>29</v>
      </c>
      <c r="C6" s="8">
        <v>45292</v>
      </c>
      <c r="D6" s="4" t="s">
        <v>23</v>
      </c>
      <c r="E6" s="7">
        <v>500</v>
      </c>
      <c r="F6" s="6"/>
      <c r="G6" s="4" t="s">
        <v>24</v>
      </c>
      <c r="H6" s="13">
        <f>SUM(Query1[Top Up])</f>
        <v>19588.072847851203</v>
      </c>
      <c r="I6" s="14"/>
      <c r="J6" s="13">
        <f ca="1">SUM(Query1[Fix Top Up])</f>
        <v>19588.070000000003</v>
      </c>
      <c r="K6" s="14"/>
      <c r="L6" s="13">
        <f ca="1">SUM(Query1[Enhanced top up])</f>
        <v>19588.070000000007</v>
      </c>
      <c r="M6" s="4"/>
      <c r="N6" s="4"/>
    </row>
    <row r="7" spans="2:14" x14ac:dyDescent="0.3">
      <c r="B7" s="4" t="s">
        <v>30</v>
      </c>
      <c r="C7" s="8">
        <v>45924</v>
      </c>
      <c r="D7" s="6" t="s">
        <v>25</v>
      </c>
      <c r="E7" s="7">
        <v>500000</v>
      </c>
      <c r="F7" s="6"/>
      <c r="G7" s="6" t="s">
        <v>26</v>
      </c>
      <c r="H7" s="10">
        <f>COUNTIF(Query1[Top Up],"&gt;0")</f>
        <v>2</v>
      </c>
      <c r="I7" s="10"/>
      <c r="J7" s="10">
        <f ca="1">COUNTIF(Query1[Fix Top Up],"&gt;0")</f>
        <v>20</v>
      </c>
      <c r="K7" s="10"/>
      <c r="L7" s="10">
        <f ca="1">COUNTIF(Query1[Enhanced top up],"&gt;0")</f>
        <v>20</v>
      </c>
      <c r="M7" s="6"/>
      <c r="N7" s="4"/>
    </row>
    <row r="8" spans="2:14" x14ac:dyDescent="0.3">
      <c r="B8" s="4" t="s">
        <v>32</v>
      </c>
      <c r="C8" s="10" cm="1">
        <f t="array" ref="C8">COUNTA(_xlfn.UNIQUE(TEXT(Query1[Date],"yyyymm")))-1</f>
        <v>20</v>
      </c>
      <c r="F8" s="6"/>
      <c r="G8" s="4" t="s">
        <v>33</v>
      </c>
      <c r="H8" s="10" cm="1">
        <f t="array" ref="H8">COUNTA(_xlfn.UNIQUE(TEXT(Query1[Date],"yyyymm")))-1</f>
        <v>20</v>
      </c>
      <c r="I8" s="10"/>
      <c r="J8" s="10" cm="1">
        <f t="array" ref="J8">COUNTA(_xlfn.UNIQUE(TEXT(Query1[Date],"yyyymm")))-1</f>
        <v>20</v>
      </c>
      <c r="K8" s="10"/>
      <c r="L8" s="10" cm="1">
        <f t="array" ref="L8">COUNTA(_xlfn.UNIQUE(TEXT(Query1[Date],"yyyymm")))-1</f>
        <v>20</v>
      </c>
      <c r="M8" s="4"/>
      <c r="N8" s="4"/>
    </row>
    <row r="9" spans="2:14" x14ac:dyDescent="0.3">
      <c r="G9" s="4" t="s">
        <v>34</v>
      </c>
      <c r="H9" s="17"/>
      <c r="I9" s="15"/>
      <c r="J9" s="15"/>
      <c r="K9" s="16"/>
      <c r="L9" s="15"/>
      <c r="M9" s="4"/>
      <c r="N9" s="4"/>
    </row>
    <row r="10" spans="2:14" x14ac:dyDescent="0.3">
      <c r="G10" s="4" t="s">
        <v>27</v>
      </c>
      <c r="H10" s="17" cm="1">
        <f t="array" ref="H10">LOOKUP(2,1/(RAW!G:G&lt;&gt;""),RAW!G:G)*LOOKUP(2,1/(RAW!L:L&lt;&gt;""),RAW!L:L)</f>
        <v>741831.56165820337</v>
      </c>
      <c r="I10" s="15"/>
      <c r="J10" s="15" cm="1">
        <f t="array" aca="1" ref="J10" ca="1">LOOKUP(2,1/(RAW!G:G&lt;&gt;""),RAW!G:G)*LOOKUP(2,1/(RAW!N:N&lt;&gt;""),RAW!N:N)</f>
        <v>741893.87238616648</v>
      </c>
      <c r="K10" s="16"/>
      <c r="L10" s="15" cm="1">
        <f t="array" aca="1" ref="L10" ca="1">LOOKUP(2,1/(RAW!G:G&lt;&gt;""),RAW!G:G)*LOOKUP(2,1/(RAW!P:P&lt;&gt;""),RAW!P:P)</f>
        <v>741844.77817390859</v>
      </c>
      <c r="M10" s="4"/>
      <c r="N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1</xdr:col>
                    <xdr:colOff>121920</xdr:colOff>
                    <xdr:row>8</xdr:row>
                    <xdr:rowOff>76200</xdr:rowOff>
                  </from>
                  <to>
                    <xdr:col>2</xdr:col>
                    <xdr:colOff>487680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GoalSeek_m2">
                <anchor moveWithCells="1" sizeWithCells="1">
                  <from>
                    <xdr:col>9</xdr:col>
                    <xdr:colOff>228600</xdr:colOff>
                    <xdr:row>11</xdr:row>
                    <xdr:rowOff>30480</xdr:rowOff>
                  </from>
                  <to>
                    <xdr:col>9</xdr:col>
                    <xdr:colOff>1249680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GoalSeek_m3">
                <anchor moveWithCells="1" sizeWithCells="1">
                  <from>
                    <xdr:col>11</xdr:col>
                    <xdr:colOff>289560</xdr:colOff>
                    <xdr:row>10</xdr:row>
                    <xdr:rowOff>175260</xdr:rowOff>
                  </from>
                  <to>
                    <xdr:col>11</xdr:col>
                    <xdr:colOff>1310640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4F57-E84B-4087-8EC8-E95821667104}">
  <dimension ref="A1:D1396"/>
  <sheetViews>
    <sheetView workbookViewId="0">
      <selection activeCell="B3" sqref="B3"/>
    </sheetView>
  </sheetViews>
  <sheetFormatPr defaultRowHeight="14.4" x14ac:dyDescent="0.3"/>
  <cols>
    <col min="1" max="1" width="10.5546875" style="1" bestFit="1" customWidth="1"/>
    <col min="2" max="2" width="11.21875" bestFit="1" customWidth="1"/>
  </cols>
  <sheetData>
    <row r="1" spans="1:1" x14ac:dyDescent="0.3">
      <c r="A1"/>
    </row>
    <row r="1394" spans="2:4" x14ac:dyDescent="0.3">
      <c r="B1394" s="18"/>
    </row>
    <row r="1396" spans="2:4" x14ac:dyDescent="0.3">
      <c r="B1396" s="19" t="e">
        <f>XIRR(B2:B1393,$A$2:$A$1393)</f>
        <v>#NUM!</v>
      </c>
      <c r="C1396" s="19" t="e">
        <f t="shared" ref="C1396:D1396" si="0">XIRR(C2:C1393,$A$2:$A$1393)</f>
        <v>#NUM!</v>
      </c>
      <c r="D1396" s="19" t="e">
        <f t="shared" si="0"/>
        <v>#NUM!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64A0DC-6659-4117-858D-94D6921B15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RAW</vt:lpstr>
      <vt:lpstr>Dashboard</vt:lpstr>
      <vt:lpstr>IRR</vt:lpstr>
      <vt:lpstr>EndDate</vt:lpstr>
      <vt:lpstr>StartDate</vt:lpstr>
      <vt:lpstr>Ticker</vt:lpstr>
    </vt:vector>
  </TitlesOfParts>
  <Company>Alexandra Hospital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 Jin</dc:creator>
  <cp:lastModifiedBy>Jin Xin</cp:lastModifiedBy>
  <dcterms:created xsi:type="dcterms:W3CDTF">2025-09-24T03:02:40Z</dcterms:created>
  <dcterms:modified xsi:type="dcterms:W3CDTF">2025-09-24T12:42:00Z</dcterms:modified>
</cp:coreProperties>
</file>