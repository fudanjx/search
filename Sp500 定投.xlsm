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n Xin\My Drive\Financial\"/>
    </mc:Choice>
  </mc:AlternateContent>
  <xr:revisionPtr revIDLastSave="0" documentId="13_ncr:1_{47E1DB41-39E2-4BED-9348-55AE7C0B5E0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aw" sheetId="1" r:id="rId1"/>
    <sheet name="Dashboard" sheetId="3" r:id="rId2"/>
  </sheets>
  <definedNames>
    <definedName name="_xlnm._FilterDatabase" localSheetId="0" hidden="1">Raw!$A$1:$O$1248</definedName>
    <definedName name="solver_adj" localSheetId="1" hidden="1">Dashboard!$N$6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Dashboard!$N$7</definedName>
    <definedName name="solver_typ" localSheetId="1" hidden="1">3</definedName>
    <definedName name="solver_val" localSheetId="1" hidden="1">109723.967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2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24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3" i="1"/>
  <c r="N2" i="1"/>
  <c r="K2" i="1" s="1"/>
  <c r="S17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3" i="1"/>
  <c r="M4" i="1" s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248" i="1"/>
  <c r="L8" i="3" l="1"/>
  <c r="N8" i="3"/>
  <c r="N3" i="1"/>
  <c r="N7" i="3"/>
  <c r="L7" i="3"/>
  <c r="P2" i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N4" i="1"/>
  <c r="N5" i="1" s="1"/>
  <c r="K3" i="1"/>
  <c r="K4" i="1" l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N9" i="3" s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P449" i="1" s="1"/>
  <c r="P450" i="1" s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P480" i="1" s="1"/>
  <c r="P481" i="1" s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P501" i="1" s="1"/>
  <c r="P502" i="1" s="1"/>
  <c r="P503" i="1" s="1"/>
  <c r="P504" i="1" s="1"/>
  <c r="P505" i="1" s="1"/>
  <c r="P506" i="1" s="1"/>
  <c r="P507" i="1" s="1"/>
  <c r="P508" i="1" s="1"/>
  <c r="P509" i="1" s="1"/>
  <c r="P510" i="1" s="1"/>
  <c r="P511" i="1" s="1"/>
  <c r="P512" i="1" s="1"/>
  <c r="P513" i="1" s="1"/>
  <c r="P514" i="1" s="1"/>
  <c r="P515" i="1" s="1"/>
  <c r="P516" i="1" s="1"/>
  <c r="P517" i="1" s="1"/>
  <c r="P518" i="1" s="1"/>
  <c r="P519" i="1" s="1"/>
  <c r="P520" i="1" s="1"/>
  <c r="P521" i="1" s="1"/>
  <c r="P522" i="1" s="1"/>
  <c r="P523" i="1" s="1"/>
  <c r="P524" i="1" s="1"/>
  <c r="P525" i="1" s="1"/>
  <c r="P526" i="1" s="1"/>
  <c r="P527" i="1" s="1"/>
  <c r="P528" i="1" s="1"/>
  <c r="P529" i="1" s="1"/>
  <c r="P530" i="1" s="1"/>
  <c r="P531" i="1" s="1"/>
  <c r="P532" i="1" s="1"/>
  <c r="P533" i="1" s="1"/>
  <c r="P534" i="1" s="1"/>
  <c r="P535" i="1" s="1"/>
  <c r="P536" i="1" s="1"/>
  <c r="P537" i="1" s="1"/>
  <c r="P538" i="1" s="1"/>
  <c r="P539" i="1" s="1"/>
  <c r="P540" i="1" s="1"/>
  <c r="P541" i="1" s="1"/>
  <c r="P542" i="1" s="1"/>
  <c r="P543" i="1" s="1"/>
  <c r="P544" i="1" s="1"/>
  <c r="P545" i="1" s="1"/>
  <c r="P546" i="1" s="1"/>
  <c r="P547" i="1" s="1"/>
  <c r="P548" i="1" s="1"/>
  <c r="P549" i="1" s="1"/>
  <c r="P550" i="1" s="1"/>
  <c r="P551" i="1" s="1"/>
  <c r="P552" i="1" s="1"/>
  <c r="P553" i="1" s="1"/>
  <c r="P554" i="1" s="1"/>
  <c r="P555" i="1" s="1"/>
  <c r="P556" i="1" s="1"/>
  <c r="P557" i="1" s="1"/>
  <c r="P558" i="1" s="1"/>
  <c r="P559" i="1" s="1"/>
  <c r="P560" i="1" s="1"/>
  <c r="P561" i="1" s="1"/>
  <c r="P562" i="1" s="1"/>
  <c r="P563" i="1" s="1"/>
  <c r="P564" i="1" s="1"/>
  <c r="P565" i="1" s="1"/>
  <c r="P566" i="1" s="1"/>
  <c r="P567" i="1" s="1"/>
  <c r="P568" i="1" s="1"/>
  <c r="P569" i="1" s="1"/>
  <c r="P570" i="1" s="1"/>
  <c r="P571" i="1" s="1"/>
  <c r="P572" i="1" s="1"/>
  <c r="P573" i="1" s="1"/>
  <c r="P574" i="1" s="1"/>
  <c r="P575" i="1" s="1"/>
  <c r="P576" i="1" s="1"/>
  <c r="P577" i="1" s="1"/>
  <c r="P578" i="1" s="1"/>
  <c r="P579" i="1" s="1"/>
  <c r="P580" i="1" s="1"/>
  <c r="P581" i="1" s="1"/>
  <c r="P582" i="1" s="1"/>
  <c r="P583" i="1" s="1"/>
  <c r="P584" i="1" s="1"/>
  <c r="P585" i="1" s="1"/>
  <c r="P586" i="1" s="1"/>
  <c r="P587" i="1" s="1"/>
  <c r="P588" i="1" s="1"/>
  <c r="P589" i="1" s="1"/>
  <c r="P590" i="1" s="1"/>
  <c r="P591" i="1" s="1"/>
  <c r="P592" i="1" s="1"/>
  <c r="P593" i="1" s="1"/>
  <c r="P594" i="1" s="1"/>
  <c r="P595" i="1" s="1"/>
  <c r="P596" i="1" s="1"/>
  <c r="P597" i="1" s="1"/>
  <c r="P598" i="1" s="1"/>
  <c r="P599" i="1" s="1"/>
  <c r="P600" i="1" s="1"/>
  <c r="P601" i="1" s="1"/>
  <c r="P602" i="1" s="1"/>
  <c r="P603" i="1" s="1"/>
  <c r="P604" i="1" s="1"/>
  <c r="P605" i="1" s="1"/>
  <c r="P606" i="1" s="1"/>
  <c r="P607" i="1" s="1"/>
  <c r="P608" i="1" s="1"/>
  <c r="P609" i="1" s="1"/>
  <c r="P610" i="1" s="1"/>
  <c r="P611" i="1" s="1"/>
  <c r="P612" i="1" s="1"/>
  <c r="P613" i="1" s="1"/>
  <c r="P614" i="1" s="1"/>
  <c r="P615" i="1" s="1"/>
  <c r="P616" i="1" s="1"/>
  <c r="P617" i="1" s="1"/>
  <c r="P618" i="1" s="1"/>
  <c r="P619" i="1" s="1"/>
  <c r="P620" i="1" s="1"/>
  <c r="P621" i="1" s="1"/>
  <c r="P622" i="1" s="1"/>
  <c r="P623" i="1" s="1"/>
  <c r="P624" i="1" s="1"/>
  <c r="P625" i="1" s="1"/>
  <c r="P626" i="1" s="1"/>
  <c r="P627" i="1" s="1"/>
  <c r="P628" i="1" s="1"/>
  <c r="P629" i="1" s="1"/>
  <c r="P630" i="1" s="1"/>
  <c r="P631" i="1" s="1"/>
  <c r="P632" i="1" s="1"/>
  <c r="P633" i="1" s="1"/>
  <c r="P634" i="1" s="1"/>
  <c r="P635" i="1" s="1"/>
  <c r="P636" i="1" s="1"/>
  <c r="P637" i="1" s="1"/>
  <c r="P638" i="1" s="1"/>
  <c r="P639" i="1" s="1"/>
  <c r="P640" i="1" s="1"/>
  <c r="P641" i="1" s="1"/>
  <c r="P642" i="1" s="1"/>
  <c r="P643" i="1" s="1"/>
  <c r="P644" i="1" s="1"/>
  <c r="P645" i="1" s="1"/>
  <c r="P646" i="1" s="1"/>
  <c r="P647" i="1" s="1"/>
  <c r="P648" i="1" s="1"/>
  <c r="P649" i="1" s="1"/>
  <c r="P650" i="1" s="1"/>
  <c r="P651" i="1" s="1"/>
  <c r="P652" i="1" s="1"/>
  <c r="P653" i="1" s="1"/>
  <c r="P654" i="1" s="1"/>
  <c r="P655" i="1" s="1"/>
  <c r="P656" i="1" s="1"/>
  <c r="P657" i="1" s="1"/>
  <c r="P658" i="1" s="1"/>
  <c r="P659" i="1" s="1"/>
  <c r="P660" i="1" s="1"/>
  <c r="P661" i="1" s="1"/>
  <c r="P662" i="1" s="1"/>
  <c r="P663" i="1" s="1"/>
  <c r="P664" i="1" s="1"/>
  <c r="P665" i="1" s="1"/>
  <c r="P666" i="1" s="1"/>
  <c r="P667" i="1" s="1"/>
  <c r="P668" i="1" s="1"/>
  <c r="P669" i="1" s="1"/>
  <c r="P670" i="1" s="1"/>
  <c r="P671" i="1" s="1"/>
  <c r="P672" i="1" s="1"/>
  <c r="P673" i="1" s="1"/>
  <c r="P674" i="1" s="1"/>
  <c r="P675" i="1" s="1"/>
  <c r="P676" i="1" s="1"/>
  <c r="P677" i="1" s="1"/>
  <c r="P678" i="1" s="1"/>
  <c r="P679" i="1" s="1"/>
  <c r="P680" i="1" s="1"/>
  <c r="P681" i="1" s="1"/>
  <c r="P682" i="1" s="1"/>
  <c r="P683" i="1" s="1"/>
  <c r="P684" i="1" s="1"/>
  <c r="P685" i="1" s="1"/>
  <c r="P686" i="1" s="1"/>
  <c r="P687" i="1" s="1"/>
  <c r="P688" i="1" s="1"/>
  <c r="P689" i="1" s="1"/>
  <c r="P690" i="1" s="1"/>
  <c r="P691" i="1" s="1"/>
  <c r="P692" i="1" s="1"/>
  <c r="P693" i="1" s="1"/>
  <c r="P694" i="1" s="1"/>
  <c r="P695" i="1" s="1"/>
  <c r="P696" i="1" s="1"/>
  <c r="P697" i="1" s="1"/>
  <c r="P698" i="1" s="1"/>
  <c r="P699" i="1" s="1"/>
  <c r="P700" i="1" s="1"/>
  <c r="P701" i="1" s="1"/>
  <c r="P702" i="1" s="1"/>
  <c r="P703" i="1" s="1"/>
  <c r="P704" i="1" s="1"/>
  <c r="P705" i="1" s="1"/>
  <c r="P706" i="1" s="1"/>
  <c r="P707" i="1" s="1"/>
  <c r="P708" i="1" s="1"/>
  <c r="P709" i="1" s="1"/>
  <c r="P710" i="1" s="1"/>
  <c r="P711" i="1" s="1"/>
  <c r="P712" i="1" s="1"/>
  <c r="P713" i="1" s="1"/>
  <c r="P714" i="1" s="1"/>
  <c r="P715" i="1" s="1"/>
  <c r="P716" i="1" s="1"/>
  <c r="P717" i="1" s="1"/>
  <c r="P718" i="1" s="1"/>
  <c r="P719" i="1" s="1"/>
  <c r="P720" i="1" s="1"/>
  <c r="P721" i="1" s="1"/>
  <c r="P722" i="1" s="1"/>
  <c r="P723" i="1" s="1"/>
  <c r="P724" i="1" s="1"/>
  <c r="P725" i="1" s="1"/>
  <c r="P726" i="1" s="1"/>
  <c r="P727" i="1" s="1"/>
  <c r="P728" i="1" s="1"/>
  <c r="P729" i="1" s="1"/>
  <c r="P730" i="1" s="1"/>
  <c r="P731" i="1" s="1"/>
  <c r="P732" i="1" s="1"/>
  <c r="P733" i="1" s="1"/>
  <c r="P734" i="1" s="1"/>
  <c r="P735" i="1" s="1"/>
  <c r="P736" i="1" s="1"/>
  <c r="P737" i="1" s="1"/>
  <c r="P738" i="1" s="1"/>
  <c r="P739" i="1" s="1"/>
  <c r="P740" i="1" s="1"/>
  <c r="P741" i="1" s="1"/>
  <c r="P742" i="1" s="1"/>
  <c r="P743" i="1" s="1"/>
  <c r="P744" i="1" s="1"/>
  <c r="P745" i="1" s="1"/>
  <c r="P746" i="1" s="1"/>
  <c r="P747" i="1" s="1"/>
  <c r="P748" i="1" s="1"/>
  <c r="P749" i="1" s="1"/>
  <c r="P750" i="1" s="1"/>
  <c r="P751" i="1" s="1"/>
  <c r="P752" i="1" s="1"/>
  <c r="P753" i="1" s="1"/>
  <c r="P754" i="1" s="1"/>
  <c r="P755" i="1" s="1"/>
  <c r="P756" i="1" s="1"/>
  <c r="P757" i="1" s="1"/>
  <c r="P758" i="1" s="1"/>
  <c r="P759" i="1" s="1"/>
  <c r="P760" i="1" s="1"/>
  <c r="P761" i="1" s="1"/>
  <c r="P762" i="1" s="1"/>
  <c r="P763" i="1" s="1"/>
  <c r="P764" i="1" s="1"/>
  <c r="P765" i="1" s="1"/>
  <c r="P766" i="1" s="1"/>
  <c r="P767" i="1" s="1"/>
  <c r="P768" i="1" s="1"/>
  <c r="P769" i="1" s="1"/>
  <c r="P770" i="1" s="1"/>
  <c r="P771" i="1" s="1"/>
  <c r="P772" i="1" s="1"/>
  <c r="P773" i="1" s="1"/>
  <c r="P774" i="1" s="1"/>
  <c r="P775" i="1" s="1"/>
  <c r="P776" i="1" s="1"/>
  <c r="P777" i="1" s="1"/>
  <c r="P778" i="1" s="1"/>
  <c r="P779" i="1" s="1"/>
  <c r="P780" i="1" s="1"/>
  <c r="P781" i="1" s="1"/>
  <c r="P782" i="1" s="1"/>
  <c r="P783" i="1" s="1"/>
  <c r="P784" i="1" s="1"/>
  <c r="P785" i="1" s="1"/>
  <c r="P786" i="1" s="1"/>
  <c r="P787" i="1" s="1"/>
  <c r="P788" i="1" s="1"/>
  <c r="P789" i="1" s="1"/>
  <c r="P790" i="1" s="1"/>
  <c r="P791" i="1" s="1"/>
  <c r="P792" i="1" s="1"/>
  <c r="P793" i="1" s="1"/>
  <c r="P794" i="1" s="1"/>
  <c r="P795" i="1" s="1"/>
  <c r="P796" i="1" s="1"/>
  <c r="P797" i="1" s="1"/>
  <c r="P798" i="1" s="1"/>
  <c r="P799" i="1" s="1"/>
  <c r="P800" i="1" s="1"/>
  <c r="P801" i="1" s="1"/>
  <c r="P802" i="1" s="1"/>
  <c r="P803" i="1" s="1"/>
  <c r="P804" i="1" s="1"/>
  <c r="P805" i="1" s="1"/>
  <c r="P806" i="1" s="1"/>
  <c r="P807" i="1" s="1"/>
  <c r="P808" i="1" s="1"/>
  <c r="P809" i="1" s="1"/>
  <c r="P810" i="1" s="1"/>
  <c r="P811" i="1" s="1"/>
  <c r="P812" i="1" s="1"/>
  <c r="P813" i="1" s="1"/>
  <c r="P814" i="1" s="1"/>
  <c r="P815" i="1" s="1"/>
  <c r="P816" i="1" s="1"/>
  <c r="P817" i="1" s="1"/>
  <c r="P818" i="1" s="1"/>
  <c r="P819" i="1" s="1"/>
  <c r="P820" i="1" s="1"/>
  <c r="P821" i="1" s="1"/>
  <c r="P822" i="1" s="1"/>
  <c r="P823" i="1" s="1"/>
  <c r="P824" i="1" s="1"/>
  <c r="P825" i="1" s="1"/>
  <c r="P826" i="1" s="1"/>
  <c r="P827" i="1" s="1"/>
  <c r="P828" i="1" s="1"/>
  <c r="P829" i="1" s="1"/>
  <c r="P830" i="1" s="1"/>
  <c r="P831" i="1" s="1"/>
  <c r="P832" i="1" s="1"/>
  <c r="P833" i="1" s="1"/>
  <c r="P834" i="1" s="1"/>
  <c r="P835" i="1" s="1"/>
  <c r="P836" i="1" s="1"/>
  <c r="P837" i="1" s="1"/>
  <c r="P838" i="1" s="1"/>
  <c r="P839" i="1" s="1"/>
  <c r="P840" i="1" s="1"/>
  <c r="P841" i="1" s="1"/>
  <c r="P842" i="1" s="1"/>
  <c r="P843" i="1" s="1"/>
  <c r="P844" i="1" s="1"/>
  <c r="P845" i="1" s="1"/>
  <c r="P846" i="1" s="1"/>
  <c r="P847" i="1" s="1"/>
  <c r="P848" i="1" s="1"/>
  <c r="P849" i="1" s="1"/>
  <c r="P850" i="1" s="1"/>
  <c r="P851" i="1" s="1"/>
  <c r="P852" i="1" s="1"/>
  <c r="P853" i="1" s="1"/>
  <c r="P854" i="1" s="1"/>
  <c r="P855" i="1" s="1"/>
  <c r="P856" i="1" s="1"/>
  <c r="P857" i="1" s="1"/>
  <c r="P858" i="1" s="1"/>
  <c r="P859" i="1" s="1"/>
  <c r="P860" i="1" s="1"/>
  <c r="P861" i="1" s="1"/>
  <c r="P862" i="1" s="1"/>
  <c r="P863" i="1" s="1"/>
  <c r="P864" i="1" s="1"/>
  <c r="P865" i="1" s="1"/>
  <c r="P866" i="1" s="1"/>
  <c r="P867" i="1" s="1"/>
  <c r="P868" i="1" s="1"/>
  <c r="P869" i="1" s="1"/>
  <c r="P870" i="1" s="1"/>
  <c r="P871" i="1" s="1"/>
  <c r="P872" i="1" s="1"/>
  <c r="P873" i="1" s="1"/>
  <c r="P874" i="1" s="1"/>
  <c r="P875" i="1" s="1"/>
  <c r="P876" i="1" s="1"/>
  <c r="P877" i="1" s="1"/>
  <c r="P878" i="1" s="1"/>
  <c r="P879" i="1" s="1"/>
  <c r="P880" i="1" s="1"/>
  <c r="P881" i="1" s="1"/>
  <c r="P882" i="1" s="1"/>
  <c r="P883" i="1" s="1"/>
  <c r="P884" i="1" s="1"/>
  <c r="P885" i="1" s="1"/>
  <c r="P886" i="1" s="1"/>
  <c r="P887" i="1" s="1"/>
  <c r="P888" i="1" s="1"/>
  <c r="P889" i="1" s="1"/>
  <c r="P890" i="1" s="1"/>
  <c r="P891" i="1" s="1"/>
  <c r="P892" i="1" s="1"/>
  <c r="P893" i="1" s="1"/>
  <c r="P894" i="1" s="1"/>
  <c r="P895" i="1" s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s="1"/>
  <c r="P912" i="1" s="1"/>
  <c r="P913" i="1" s="1"/>
  <c r="P914" i="1" s="1"/>
  <c r="P915" i="1" s="1"/>
  <c r="P916" i="1" s="1"/>
  <c r="P917" i="1" s="1"/>
  <c r="P918" i="1" s="1"/>
  <c r="P919" i="1" s="1"/>
  <c r="P920" i="1" s="1"/>
  <c r="P921" i="1" s="1"/>
  <c r="P922" i="1" s="1"/>
  <c r="P923" i="1" s="1"/>
  <c r="P924" i="1" s="1"/>
  <c r="P925" i="1" s="1"/>
  <c r="P926" i="1" s="1"/>
  <c r="P927" i="1" s="1"/>
  <c r="P928" i="1" s="1"/>
  <c r="P929" i="1" s="1"/>
  <c r="P930" i="1" s="1"/>
  <c r="P931" i="1" s="1"/>
  <c r="P932" i="1" s="1"/>
  <c r="P933" i="1" s="1"/>
  <c r="P934" i="1" s="1"/>
  <c r="P935" i="1" s="1"/>
  <c r="P936" i="1" s="1"/>
  <c r="P937" i="1" s="1"/>
  <c r="P938" i="1" s="1"/>
  <c r="P939" i="1" s="1"/>
  <c r="P940" i="1" s="1"/>
  <c r="P941" i="1" s="1"/>
  <c r="P942" i="1" s="1"/>
  <c r="P943" i="1" s="1"/>
  <c r="P944" i="1" s="1"/>
  <c r="P945" i="1" s="1"/>
  <c r="P946" i="1" s="1"/>
  <c r="P947" i="1" s="1"/>
  <c r="P948" i="1" s="1"/>
  <c r="P949" i="1" s="1"/>
  <c r="P950" i="1" s="1"/>
  <c r="P951" i="1" s="1"/>
  <c r="P952" i="1" s="1"/>
  <c r="P953" i="1" s="1"/>
  <c r="P954" i="1" s="1"/>
  <c r="P955" i="1" s="1"/>
  <c r="P956" i="1" s="1"/>
  <c r="P957" i="1" s="1"/>
  <c r="P958" i="1" s="1"/>
  <c r="P959" i="1" s="1"/>
  <c r="P960" i="1" s="1"/>
  <c r="P961" i="1" s="1"/>
  <c r="P962" i="1" s="1"/>
  <c r="P963" i="1" s="1"/>
  <c r="P964" i="1" s="1"/>
  <c r="P965" i="1" s="1"/>
  <c r="P966" i="1" s="1"/>
  <c r="P967" i="1" s="1"/>
  <c r="P968" i="1" s="1"/>
  <c r="P969" i="1" s="1"/>
  <c r="P970" i="1" s="1"/>
  <c r="P971" i="1" s="1"/>
  <c r="P972" i="1" s="1"/>
  <c r="P973" i="1" s="1"/>
  <c r="P974" i="1" s="1"/>
  <c r="P975" i="1" s="1"/>
  <c r="P976" i="1" s="1"/>
  <c r="P977" i="1" s="1"/>
  <c r="P978" i="1" s="1"/>
  <c r="P979" i="1" s="1"/>
  <c r="P980" i="1" s="1"/>
  <c r="P981" i="1" s="1"/>
  <c r="P982" i="1" s="1"/>
  <c r="P983" i="1" s="1"/>
  <c r="P984" i="1" s="1"/>
  <c r="P985" i="1" s="1"/>
  <c r="P986" i="1" s="1"/>
  <c r="P987" i="1" s="1"/>
  <c r="P988" i="1" s="1"/>
  <c r="P989" i="1" s="1"/>
  <c r="P990" i="1" s="1"/>
  <c r="P991" i="1" s="1"/>
  <c r="P992" i="1" s="1"/>
  <c r="P993" i="1" s="1"/>
  <c r="P994" i="1" s="1"/>
  <c r="P995" i="1" s="1"/>
  <c r="P996" i="1" s="1"/>
  <c r="P997" i="1" s="1"/>
  <c r="P998" i="1" s="1"/>
  <c r="P999" i="1" s="1"/>
  <c r="P1000" i="1" s="1"/>
  <c r="P1001" i="1" s="1"/>
  <c r="P1002" i="1" s="1"/>
  <c r="P1003" i="1" s="1"/>
  <c r="P1004" i="1" s="1"/>
  <c r="P1005" i="1" s="1"/>
  <c r="P1006" i="1" s="1"/>
  <c r="P1007" i="1" s="1"/>
  <c r="P1008" i="1" s="1"/>
  <c r="P1009" i="1" s="1"/>
  <c r="P1010" i="1" s="1"/>
  <c r="P1011" i="1" s="1"/>
  <c r="P1012" i="1" s="1"/>
  <c r="P1013" i="1" s="1"/>
  <c r="P1014" i="1" s="1"/>
  <c r="P1015" i="1" s="1"/>
  <c r="P1016" i="1" s="1"/>
  <c r="P1017" i="1" s="1"/>
  <c r="P1018" i="1" s="1"/>
  <c r="P1019" i="1" s="1"/>
  <c r="P1020" i="1" s="1"/>
  <c r="P1021" i="1" s="1"/>
  <c r="P1022" i="1" s="1"/>
  <c r="P1023" i="1" s="1"/>
  <c r="P1024" i="1" s="1"/>
  <c r="P1025" i="1" s="1"/>
  <c r="P1026" i="1" s="1"/>
  <c r="P1027" i="1" s="1"/>
  <c r="P1028" i="1" s="1"/>
  <c r="P1029" i="1" s="1"/>
  <c r="P1030" i="1" s="1"/>
  <c r="P1031" i="1" s="1"/>
  <c r="P1032" i="1" s="1"/>
  <c r="P1033" i="1" s="1"/>
  <c r="P1034" i="1" s="1"/>
  <c r="P1035" i="1" s="1"/>
  <c r="P1036" i="1" s="1"/>
  <c r="P1037" i="1" s="1"/>
  <c r="P1038" i="1" s="1"/>
  <c r="P1039" i="1" s="1"/>
  <c r="P1040" i="1" s="1"/>
  <c r="P1041" i="1" s="1"/>
  <c r="P1042" i="1" s="1"/>
  <c r="P1043" i="1" s="1"/>
  <c r="P1044" i="1" s="1"/>
  <c r="P1045" i="1" s="1"/>
  <c r="P1046" i="1" s="1"/>
  <c r="P1047" i="1" s="1"/>
  <c r="P1048" i="1" s="1"/>
  <c r="P1049" i="1" s="1"/>
  <c r="P1050" i="1" s="1"/>
  <c r="P1051" i="1" s="1"/>
  <c r="P1052" i="1" s="1"/>
  <c r="P1053" i="1" s="1"/>
  <c r="P1054" i="1" s="1"/>
  <c r="P1055" i="1" s="1"/>
  <c r="P1056" i="1" s="1"/>
  <c r="P1057" i="1" s="1"/>
  <c r="P1058" i="1" s="1"/>
  <c r="P1059" i="1" s="1"/>
  <c r="P1060" i="1" s="1"/>
  <c r="P1061" i="1" s="1"/>
  <c r="P1062" i="1" s="1"/>
  <c r="P1063" i="1" s="1"/>
  <c r="P1064" i="1" s="1"/>
  <c r="P1065" i="1" s="1"/>
  <c r="P1066" i="1" s="1"/>
  <c r="P1067" i="1" s="1"/>
  <c r="P1068" i="1" s="1"/>
  <c r="P1069" i="1" s="1"/>
  <c r="P1070" i="1" s="1"/>
  <c r="P1071" i="1" s="1"/>
  <c r="P1072" i="1" s="1"/>
  <c r="P1073" i="1" s="1"/>
  <c r="P1074" i="1" s="1"/>
  <c r="P1075" i="1" s="1"/>
  <c r="P1076" i="1" s="1"/>
  <c r="P1077" i="1" s="1"/>
  <c r="P1078" i="1" s="1"/>
  <c r="P1079" i="1" s="1"/>
  <c r="P1080" i="1" s="1"/>
  <c r="P1081" i="1" s="1"/>
  <c r="P1082" i="1" s="1"/>
  <c r="P1083" i="1" s="1"/>
  <c r="P1084" i="1" s="1"/>
  <c r="P1085" i="1" s="1"/>
  <c r="P1086" i="1" s="1"/>
  <c r="P1087" i="1" s="1"/>
  <c r="P1088" i="1" s="1"/>
  <c r="P1089" i="1" s="1"/>
  <c r="P1090" i="1" s="1"/>
  <c r="P1091" i="1" s="1"/>
  <c r="P1092" i="1" s="1"/>
  <c r="P1093" i="1" s="1"/>
  <c r="P1094" i="1" s="1"/>
  <c r="P1095" i="1" s="1"/>
  <c r="P1096" i="1" s="1"/>
  <c r="P1097" i="1" s="1"/>
  <c r="P1098" i="1" s="1"/>
  <c r="P1099" i="1" s="1"/>
  <c r="P1100" i="1" s="1"/>
  <c r="P1101" i="1" s="1"/>
  <c r="P1102" i="1" s="1"/>
  <c r="P1103" i="1" s="1"/>
  <c r="P1104" i="1" s="1"/>
  <c r="P1105" i="1" s="1"/>
  <c r="P1106" i="1" s="1"/>
  <c r="P1107" i="1" s="1"/>
  <c r="P1108" i="1" s="1"/>
  <c r="P1109" i="1" s="1"/>
  <c r="P1110" i="1" s="1"/>
  <c r="P1111" i="1" s="1"/>
  <c r="P1112" i="1" s="1"/>
  <c r="P1113" i="1" s="1"/>
  <c r="P1114" i="1" s="1"/>
  <c r="P1115" i="1" s="1"/>
  <c r="P1116" i="1" s="1"/>
  <c r="P1117" i="1" s="1"/>
  <c r="P1118" i="1" s="1"/>
  <c r="P1119" i="1" s="1"/>
  <c r="P1120" i="1" s="1"/>
  <c r="P1121" i="1" s="1"/>
  <c r="P1122" i="1" s="1"/>
  <c r="P1123" i="1" s="1"/>
  <c r="P1124" i="1" s="1"/>
  <c r="P1125" i="1" s="1"/>
  <c r="P1126" i="1" s="1"/>
  <c r="P1127" i="1" s="1"/>
  <c r="P1128" i="1" s="1"/>
  <c r="P1129" i="1" s="1"/>
  <c r="P1130" i="1" s="1"/>
  <c r="P1131" i="1" s="1"/>
  <c r="P1132" i="1" s="1"/>
  <c r="P1133" i="1" s="1"/>
  <c r="P1134" i="1" s="1"/>
  <c r="P1135" i="1" s="1"/>
  <c r="P1136" i="1" s="1"/>
  <c r="P1137" i="1" s="1"/>
  <c r="P1138" i="1" s="1"/>
  <c r="P1139" i="1" s="1"/>
  <c r="P1140" i="1" s="1"/>
  <c r="P1141" i="1" s="1"/>
  <c r="P1142" i="1" s="1"/>
  <c r="P1143" i="1" s="1"/>
  <c r="P1144" i="1" s="1"/>
  <c r="P1145" i="1" s="1"/>
  <c r="P1146" i="1" s="1"/>
  <c r="P1147" i="1" s="1"/>
  <c r="P1148" i="1" s="1"/>
  <c r="P1149" i="1" s="1"/>
  <c r="P1150" i="1" s="1"/>
  <c r="P1151" i="1" s="1"/>
  <c r="P1152" i="1" s="1"/>
  <c r="P1153" i="1" s="1"/>
  <c r="P1154" i="1" s="1"/>
  <c r="P1155" i="1" s="1"/>
  <c r="P1156" i="1" s="1"/>
  <c r="P1157" i="1" s="1"/>
  <c r="P1158" i="1" s="1"/>
  <c r="P1159" i="1" s="1"/>
  <c r="P1160" i="1" s="1"/>
  <c r="P1161" i="1" s="1"/>
  <c r="P1162" i="1" s="1"/>
  <c r="P1163" i="1" s="1"/>
  <c r="P1164" i="1" s="1"/>
  <c r="P1165" i="1" s="1"/>
  <c r="P1166" i="1" s="1"/>
  <c r="P1167" i="1" s="1"/>
  <c r="P1168" i="1" s="1"/>
  <c r="P1169" i="1" s="1"/>
  <c r="P1170" i="1" s="1"/>
  <c r="P1171" i="1" s="1"/>
  <c r="P1172" i="1" s="1"/>
  <c r="P1173" i="1" s="1"/>
  <c r="P1174" i="1" s="1"/>
  <c r="P1175" i="1" s="1"/>
  <c r="P1176" i="1" s="1"/>
  <c r="P1177" i="1" s="1"/>
  <c r="P1178" i="1" s="1"/>
  <c r="P1179" i="1" s="1"/>
  <c r="P1180" i="1" s="1"/>
  <c r="P1181" i="1" s="1"/>
  <c r="P1182" i="1" s="1"/>
  <c r="P1183" i="1" s="1"/>
  <c r="P1184" i="1" s="1"/>
  <c r="P1185" i="1" s="1"/>
  <c r="P1186" i="1" s="1"/>
  <c r="P1187" i="1" s="1"/>
  <c r="P1188" i="1" s="1"/>
  <c r="P1189" i="1" s="1"/>
  <c r="P1190" i="1" s="1"/>
  <c r="P1191" i="1" s="1"/>
  <c r="P1192" i="1" s="1"/>
  <c r="P1193" i="1" s="1"/>
  <c r="P1194" i="1" s="1"/>
  <c r="P1195" i="1" s="1"/>
  <c r="P1196" i="1" s="1"/>
  <c r="P1197" i="1" s="1"/>
  <c r="P1198" i="1" s="1"/>
  <c r="P1199" i="1" s="1"/>
  <c r="P1200" i="1" s="1"/>
  <c r="P1201" i="1" s="1"/>
  <c r="P1202" i="1" s="1"/>
  <c r="P1203" i="1" s="1"/>
  <c r="P1204" i="1" s="1"/>
  <c r="P1205" i="1" s="1"/>
  <c r="P1206" i="1" s="1"/>
  <c r="P1207" i="1" s="1"/>
  <c r="P1208" i="1" s="1"/>
  <c r="P1209" i="1" s="1"/>
  <c r="P1210" i="1" s="1"/>
  <c r="P1211" i="1" s="1"/>
  <c r="P1212" i="1" s="1"/>
  <c r="P1213" i="1" s="1"/>
  <c r="P1214" i="1" s="1"/>
  <c r="P1215" i="1" s="1"/>
  <c r="P1216" i="1" s="1"/>
  <c r="P1217" i="1" s="1"/>
  <c r="P1218" i="1" s="1"/>
  <c r="P1219" i="1" s="1"/>
  <c r="P1220" i="1" s="1"/>
  <c r="P1221" i="1" s="1"/>
  <c r="P1222" i="1" s="1"/>
  <c r="P1223" i="1" s="1"/>
  <c r="P1224" i="1" s="1"/>
  <c r="P1225" i="1" s="1"/>
  <c r="P1226" i="1" s="1"/>
  <c r="P1227" i="1" s="1"/>
  <c r="P1228" i="1" s="1"/>
  <c r="P1229" i="1" s="1"/>
  <c r="P1230" i="1" s="1"/>
  <c r="P1231" i="1" s="1"/>
  <c r="P1232" i="1" s="1"/>
  <c r="P1233" i="1" s="1"/>
  <c r="P1234" i="1" s="1"/>
  <c r="P1235" i="1" s="1"/>
  <c r="P1236" i="1" s="1"/>
  <c r="P1237" i="1" s="1"/>
  <c r="P1238" i="1" s="1"/>
  <c r="P1239" i="1" s="1"/>
  <c r="P1240" i="1" s="1"/>
  <c r="P1241" i="1" s="1"/>
  <c r="P1242" i="1" s="1"/>
  <c r="P1243" i="1" s="1"/>
  <c r="P1244" i="1" s="1"/>
  <c r="P1245" i="1" s="1"/>
  <c r="P1246" i="1" s="1"/>
  <c r="P1247" i="1" s="1"/>
  <c r="P1248" i="1" s="1"/>
  <c r="L9" i="3" s="1"/>
  <c r="N6" i="1"/>
  <c r="K5" i="1"/>
  <c r="N7" i="1" l="1"/>
  <c r="K6" i="1"/>
  <c r="N8" i="1" l="1"/>
  <c r="K7" i="1"/>
  <c r="N9" i="1" l="1"/>
  <c r="K8" i="1"/>
  <c r="N10" i="1" l="1"/>
  <c r="K9" i="1"/>
  <c r="N11" i="1" l="1"/>
  <c r="K10" i="1"/>
  <c r="N12" i="1" l="1"/>
  <c r="K11" i="1"/>
  <c r="N13" i="1" l="1"/>
  <c r="K12" i="1"/>
  <c r="N14" i="1" l="1"/>
  <c r="K13" i="1"/>
  <c r="N15" i="1" l="1"/>
  <c r="K14" i="1"/>
  <c r="N16" i="1" l="1"/>
  <c r="K15" i="1"/>
  <c r="N17" i="1" l="1"/>
  <c r="K16" i="1"/>
  <c r="N18" i="1" l="1"/>
  <c r="K17" i="1"/>
  <c r="N19" i="1" l="1"/>
  <c r="K18" i="1"/>
  <c r="N20" i="1" l="1"/>
  <c r="K19" i="1"/>
  <c r="N21" i="1" l="1"/>
  <c r="K20" i="1"/>
  <c r="N22" i="1" l="1"/>
  <c r="K21" i="1"/>
  <c r="N23" i="1" l="1"/>
  <c r="K22" i="1"/>
  <c r="N24" i="1" l="1"/>
  <c r="K24" i="1" s="1"/>
  <c r="M24" i="1" s="1"/>
  <c r="K23" i="1"/>
  <c r="N25" i="1" l="1"/>
  <c r="N26" i="1"/>
  <c r="K25" i="1"/>
  <c r="N27" i="1" l="1"/>
  <c r="K26" i="1"/>
  <c r="N28" i="1" l="1"/>
  <c r="K27" i="1"/>
  <c r="N29" i="1" l="1"/>
  <c r="K28" i="1"/>
  <c r="N30" i="1" l="1"/>
  <c r="K29" i="1"/>
  <c r="N31" i="1" l="1"/>
  <c r="K30" i="1"/>
  <c r="N32" i="1" l="1"/>
  <c r="K31" i="1"/>
  <c r="N33" i="1" l="1"/>
  <c r="K32" i="1"/>
  <c r="N34" i="1" l="1"/>
  <c r="K33" i="1"/>
  <c r="N35" i="1" l="1"/>
  <c r="K34" i="1"/>
  <c r="N36" i="1" l="1"/>
  <c r="K35" i="1"/>
  <c r="N37" i="1" l="1"/>
  <c r="K36" i="1"/>
  <c r="N38" i="1" l="1"/>
  <c r="K37" i="1"/>
  <c r="N39" i="1" l="1"/>
  <c r="K38" i="1"/>
  <c r="N40" i="1" l="1"/>
  <c r="K39" i="1"/>
  <c r="N41" i="1" l="1"/>
  <c r="K40" i="1"/>
  <c r="N42" i="1" l="1"/>
  <c r="K41" i="1"/>
  <c r="N43" i="1" l="1"/>
  <c r="K42" i="1"/>
  <c r="N44" i="1" l="1"/>
  <c r="K43" i="1"/>
  <c r="K44" i="1" l="1"/>
  <c r="M44" i="1" s="1"/>
  <c r="N45" i="1"/>
  <c r="N46" i="1" l="1"/>
  <c r="K45" i="1"/>
  <c r="N47" i="1" l="1"/>
  <c r="K46" i="1"/>
  <c r="N48" i="1" l="1"/>
  <c r="K47" i="1"/>
  <c r="N49" i="1" l="1"/>
  <c r="K48" i="1"/>
  <c r="N50" i="1" l="1"/>
  <c r="K49" i="1"/>
  <c r="N51" i="1" l="1"/>
  <c r="K50" i="1"/>
  <c r="N52" i="1" l="1"/>
  <c r="K51" i="1"/>
  <c r="N53" i="1" l="1"/>
  <c r="K52" i="1"/>
  <c r="N54" i="1" l="1"/>
  <c r="K53" i="1"/>
  <c r="N55" i="1" l="1"/>
  <c r="K54" i="1"/>
  <c r="N56" i="1" l="1"/>
  <c r="K55" i="1"/>
  <c r="N57" i="1" l="1"/>
  <c r="K56" i="1"/>
  <c r="N58" i="1" l="1"/>
  <c r="K57" i="1"/>
  <c r="N59" i="1" l="1"/>
  <c r="K58" i="1"/>
  <c r="N60" i="1" l="1"/>
  <c r="K59" i="1"/>
  <c r="N61" i="1" l="1"/>
  <c r="K60" i="1"/>
  <c r="N62" i="1" l="1"/>
  <c r="K61" i="1"/>
  <c r="N63" i="1" l="1"/>
  <c r="K62" i="1"/>
  <c r="N64" i="1" l="1"/>
  <c r="K63" i="1"/>
  <c r="N65" i="1" l="1"/>
  <c r="K64" i="1"/>
  <c r="N66" i="1" l="1"/>
  <c r="K65" i="1"/>
  <c r="K66" i="1" l="1"/>
  <c r="M66" i="1" s="1"/>
  <c r="N67" i="1" s="1"/>
  <c r="N68" i="1" l="1"/>
  <c r="K67" i="1"/>
  <c r="N69" i="1" l="1"/>
  <c r="K68" i="1"/>
  <c r="N70" i="1" l="1"/>
  <c r="K69" i="1"/>
  <c r="N71" i="1" l="1"/>
  <c r="K70" i="1"/>
  <c r="N72" i="1" l="1"/>
  <c r="K71" i="1"/>
  <c r="N73" i="1" l="1"/>
  <c r="K72" i="1"/>
  <c r="N74" i="1" l="1"/>
  <c r="K73" i="1"/>
  <c r="N75" i="1" l="1"/>
  <c r="K74" i="1"/>
  <c r="N76" i="1" l="1"/>
  <c r="K75" i="1"/>
  <c r="N77" i="1" l="1"/>
  <c r="K76" i="1"/>
  <c r="N78" i="1" l="1"/>
  <c r="K77" i="1"/>
  <c r="N79" i="1" l="1"/>
  <c r="K78" i="1"/>
  <c r="N80" i="1" l="1"/>
  <c r="K79" i="1"/>
  <c r="N81" i="1" l="1"/>
  <c r="K80" i="1"/>
  <c r="N82" i="1" l="1"/>
  <c r="K81" i="1"/>
  <c r="N83" i="1" l="1"/>
  <c r="K82" i="1"/>
  <c r="N84" i="1" l="1"/>
  <c r="K83" i="1"/>
  <c r="N85" i="1" l="1"/>
  <c r="K84" i="1"/>
  <c r="K85" i="1" l="1"/>
  <c r="M85" i="1" s="1"/>
  <c r="N86" i="1"/>
  <c r="N87" i="1" l="1"/>
  <c r="K86" i="1"/>
  <c r="N88" i="1" l="1"/>
  <c r="K87" i="1"/>
  <c r="N89" i="1" l="1"/>
  <c r="K88" i="1"/>
  <c r="N90" i="1" l="1"/>
  <c r="K89" i="1"/>
  <c r="N91" i="1" l="1"/>
  <c r="K90" i="1"/>
  <c r="N92" i="1" l="1"/>
  <c r="K91" i="1"/>
  <c r="N93" i="1" l="1"/>
  <c r="K92" i="1"/>
  <c r="N94" i="1" l="1"/>
  <c r="K93" i="1"/>
  <c r="N95" i="1" l="1"/>
  <c r="K94" i="1"/>
  <c r="N96" i="1" l="1"/>
  <c r="K95" i="1"/>
  <c r="N97" i="1" l="1"/>
  <c r="K96" i="1"/>
  <c r="N98" i="1" l="1"/>
  <c r="K97" i="1"/>
  <c r="N99" i="1" l="1"/>
  <c r="K98" i="1"/>
  <c r="N100" i="1" l="1"/>
  <c r="K99" i="1"/>
  <c r="N101" i="1" l="1"/>
  <c r="K100" i="1"/>
  <c r="N102" i="1" l="1"/>
  <c r="K101" i="1"/>
  <c r="N103" i="1" l="1"/>
  <c r="K102" i="1"/>
  <c r="N104" i="1" l="1"/>
  <c r="K103" i="1"/>
  <c r="K104" i="1" l="1"/>
  <c r="M104" i="1" s="1"/>
  <c r="N105" i="1" s="1"/>
  <c r="N106" i="1" l="1"/>
  <c r="K105" i="1"/>
  <c r="N107" i="1" l="1"/>
  <c r="K106" i="1"/>
  <c r="N108" i="1" l="1"/>
  <c r="K107" i="1"/>
  <c r="N109" i="1" l="1"/>
  <c r="K108" i="1"/>
  <c r="N110" i="1" l="1"/>
  <c r="K109" i="1"/>
  <c r="N111" i="1" l="1"/>
  <c r="K110" i="1"/>
  <c r="N112" i="1" l="1"/>
  <c r="K111" i="1"/>
  <c r="N113" i="1" l="1"/>
  <c r="K112" i="1"/>
  <c r="N114" i="1" l="1"/>
  <c r="K113" i="1"/>
  <c r="N115" i="1" l="1"/>
  <c r="K114" i="1"/>
  <c r="N116" i="1" l="1"/>
  <c r="K115" i="1"/>
  <c r="N117" i="1" l="1"/>
  <c r="K116" i="1"/>
  <c r="N118" i="1" l="1"/>
  <c r="K117" i="1"/>
  <c r="N119" i="1" l="1"/>
  <c r="K118" i="1"/>
  <c r="N120" i="1" l="1"/>
  <c r="K119" i="1"/>
  <c r="N121" i="1" l="1"/>
  <c r="K120" i="1"/>
  <c r="N122" i="1" l="1"/>
  <c r="K121" i="1"/>
  <c r="N123" i="1" l="1"/>
  <c r="K122" i="1"/>
  <c r="N124" i="1" l="1"/>
  <c r="K123" i="1"/>
  <c r="N125" i="1" l="1"/>
  <c r="K124" i="1"/>
  <c r="N126" i="1" l="1"/>
  <c r="K125" i="1"/>
  <c r="N127" i="1" l="1"/>
  <c r="K126" i="1"/>
  <c r="K127" i="1" l="1"/>
  <c r="M127" i="1" s="1"/>
  <c r="N128" i="1"/>
  <c r="N129" i="1" l="1"/>
  <c r="K128" i="1"/>
  <c r="N130" i="1" l="1"/>
  <c r="K129" i="1"/>
  <c r="N131" i="1" l="1"/>
  <c r="K130" i="1"/>
  <c r="N132" i="1" l="1"/>
  <c r="K131" i="1"/>
  <c r="N133" i="1" l="1"/>
  <c r="K132" i="1"/>
  <c r="N134" i="1" l="1"/>
  <c r="K133" i="1"/>
  <c r="N135" i="1" l="1"/>
  <c r="K134" i="1"/>
  <c r="N136" i="1" l="1"/>
  <c r="K135" i="1"/>
  <c r="N137" i="1" l="1"/>
  <c r="K136" i="1"/>
  <c r="N138" i="1" l="1"/>
  <c r="K137" i="1"/>
  <c r="N139" i="1" l="1"/>
  <c r="K138" i="1"/>
  <c r="N140" i="1" l="1"/>
  <c r="K139" i="1"/>
  <c r="N141" i="1" l="1"/>
  <c r="K140" i="1"/>
  <c r="N142" i="1" l="1"/>
  <c r="K141" i="1"/>
  <c r="N143" i="1" l="1"/>
  <c r="K142" i="1"/>
  <c r="N144" i="1" l="1"/>
  <c r="K143" i="1"/>
  <c r="N145" i="1" l="1"/>
  <c r="K144" i="1"/>
  <c r="N146" i="1" l="1"/>
  <c r="K145" i="1"/>
  <c r="N147" i="1" l="1"/>
  <c r="K146" i="1"/>
  <c r="N148" i="1" l="1"/>
  <c r="K147" i="1"/>
  <c r="K148" i="1" l="1"/>
  <c r="M148" i="1" s="1"/>
  <c r="N149" i="1"/>
  <c r="N150" i="1" l="1"/>
  <c r="K149" i="1"/>
  <c r="N151" i="1" l="1"/>
  <c r="K150" i="1"/>
  <c r="N152" i="1" l="1"/>
  <c r="K151" i="1"/>
  <c r="N153" i="1" l="1"/>
  <c r="K152" i="1"/>
  <c r="N154" i="1" l="1"/>
  <c r="K153" i="1"/>
  <c r="N155" i="1" l="1"/>
  <c r="K154" i="1"/>
  <c r="N156" i="1" l="1"/>
  <c r="K155" i="1"/>
  <c r="N157" i="1" l="1"/>
  <c r="K156" i="1"/>
  <c r="N158" i="1" l="1"/>
  <c r="K157" i="1"/>
  <c r="N159" i="1" l="1"/>
  <c r="K158" i="1"/>
  <c r="N160" i="1" l="1"/>
  <c r="K159" i="1"/>
  <c r="N161" i="1" l="1"/>
  <c r="K160" i="1"/>
  <c r="N162" i="1" l="1"/>
  <c r="K161" i="1"/>
  <c r="N163" i="1" l="1"/>
  <c r="K162" i="1"/>
  <c r="N164" i="1" l="1"/>
  <c r="K163" i="1"/>
  <c r="N165" i="1" l="1"/>
  <c r="K164" i="1"/>
  <c r="N166" i="1" l="1"/>
  <c r="K165" i="1"/>
  <c r="N167" i="1" l="1"/>
  <c r="K166" i="1"/>
  <c r="N168" i="1" l="1"/>
  <c r="K167" i="1"/>
  <c r="K168" i="1" l="1"/>
  <c r="M168" i="1" s="1"/>
  <c r="N169" i="1" s="1"/>
  <c r="N170" i="1" l="1"/>
  <c r="K169" i="1"/>
  <c r="N171" i="1" l="1"/>
  <c r="K170" i="1"/>
  <c r="N172" i="1" l="1"/>
  <c r="K171" i="1"/>
  <c r="N173" i="1" l="1"/>
  <c r="K172" i="1"/>
  <c r="N174" i="1" l="1"/>
  <c r="K173" i="1"/>
  <c r="N175" i="1" l="1"/>
  <c r="K174" i="1"/>
  <c r="N176" i="1" l="1"/>
  <c r="K175" i="1"/>
  <c r="N177" i="1" l="1"/>
  <c r="K176" i="1"/>
  <c r="N178" i="1" l="1"/>
  <c r="K177" i="1"/>
  <c r="N179" i="1" l="1"/>
  <c r="K178" i="1"/>
  <c r="N180" i="1" l="1"/>
  <c r="K179" i="1"/>
  <c r="N181" i="1" l="1"/>
  <c r="K180" i="1"/>
  <c r="N182" i="1" l="1"/>
  <c r="K181" i="1"/>
  <c r="N183" i="1" l="1"/>
  <c r="K182" i="1"/>
  <c r="N184" i="1" l="1"/>
  <c r="K183" i="1"/>
  <c r="N185" i="1" l="1"/>
  <c r="K184" i="1"/>
  <c r="N186" i="1" l="1"/>
  <c r="K185" i="1"/>
  <c r="N187" i="1" l="1"/>
  <c r="K186" i="1"/>
  <c r="N188" i="1" l="1"/>
  <c r="K187" i="1"/>
  <c r="N189" i="1" l="1"/>
  <c r="K188" i="1"/>
  <c r="N190" i="1" l="1"/>
  <c r="K189" i="1"/>
  <c r="K190" i="1" l="1"/>
  <c r="M190" i="1" s="1"/>
  <c r="N191" i="1" s="1"/>
  <c r="N192" i="1" l="1"/>
  <c r="K191" i="1"/>
  <c r="N193" i="1" l="1"/>
  <c r="K192" i="1"/>
  <c r="N194" i="1" l="1"/>
  <c r="K193" i="1"/>
  <c r="N195" i="1" l="1"/>
  <c r="K194" i="1"/>
  <c r="N196" i="1" l="1"/>
  <c r="K195" i="1"/>
  <c r="N197" i="1" l="1"/>
  <c r="K196" i="1"/>
  <c r="N198" i="1" l="1"/>
  <c r="K197" i="1"/>
  <c r="N199" i="1" l="1"/>
  <c r="K198" i="1"/>
  <c r="N200" i="1" l="1"/>
  <c r="K199" i="1"/>
  <c r="N201" i="1" l="1"/>
  <c r="K200" i="1"/>
  <c r="N202" i="1" l="1"/>
  <c r="K201" i="1"/>
  <c r="N203" i="1" l="1"/>
  <c r="K202" i="1"/>
  <c r="N204" i="1" l="1"/>
  <c r="K203" i="1"/>
  <c r="N205" i="1" l="1"/>
  <c r="K204" i="1"/>
  <c r="N206" i="1" l="1"/>
  <c r="K205" i="1"/>
  <c r="N207" i="1" l="1"/>
  <c r="K206" i="1"/>
  <c r="N208" i="1" l="1"/>
  <c r="K207" i="1"/>
  <c r="N209" i="1" l="1"/>
  <c r="K208" i="1"/>
  <c r="N210" i="1" l="1"/>
  <c r="K209" i="1"/>
  <c r="N211" i="1" l="1"/>
  <c r="K210" i="1"/>
  <c r="K211" i="1" l="1"/>
  <c r="M211" i="1" s="1"/>
  <c r="N212" i="1"/>
  <c r="N213" i="1" l="1"/>
  <c r="K212" i="1"/>
  <c r="N214" i="1" l="1"/>
  <c r="K213" i="1"/>
  <c r="N215" i="1" l="1"/>
  <c r="K214" i="1"/>
  <c r="N216" i="1" l="1"/>
  <c r="K215" i="1"/>
  <c r="N217" i="1" l="1"/>
  <c r="K216" i="1"/>
  <c r="N218" i="1" l="1"/>
  <c r="K217" i="1"/>
  <c r="N219" i="1" l="1"/>
  <c r="K218" i="1"/>
  <c r="N220" i="1" l="1"/>
  <c r="K219" i="1"/>
  <c r="N221" i="1" l="1"/>
  <c r="K220" i="1"/>
  <c r="N222" i="1" l="1"/>
  <c r="K221" i="1"/>
  <c r="N223" i="1" l="1"/>
  <c r="K222" i="1"/>
  <c r="N224" i="1" l="1"/>
  <c r="K223" i="1"/>
  <c r="N225" i="1" l="1"/>
  <c r="K224" i="1"/>
  <c r="N226" i="1" l="1"/>
  <c r="K225" i="1"/>
  <c r="N227" i="1" l="1"/>
  <c r="K226" i="1"/>
  <c r="N228" i="1" l="1"/>
  <c r="K227" i="1"/>
  <c r="N229" i="1" l="1"/>
  <c r="K228" i="1"/>
  <c r="N230" i="1" l="1"/>
  <c r="K229" i="1"/>
  <c r="N231" i="1" l="1"/>
  <c r="K230" i="1"/>
  <c r="N232" i="1" l="1"/>
  <c r="K231" i="1"/>
  <c r="N233" i="1" l="1"/>
  <c r="K232" i="1"/>
  <c r="K233" i="1" l="1"/>
  <c r="M233" i="1" s="1"/>
  <c r="N234" i="1" s="1"/>
  <c r="N235" i="1" l="1"/>
  <c r="K234" i="1"/>
  <c r="N236" i="1" l="1"/>
  <c r="K235" i="1"/>
  <c r="N237" i="1" l="1"/>
  <c r="K236" i="1"/>
  <c r="N238" i="1" l="1"/>
  <c r="K237" i="1"/>
  <c r="N239" i="1" l="1"/>
  <c r="K238" i="1"/>
  <c r="N240" i="1" l="1"/>
  <c r="K239" i="1"/>
  <c r="N241" i="1" l="1"/>
  <c r="K240" i="1"/>
  <c r="N242" i="1" l="1"/>
  <c r="K241" i="1"/>
  <c r="N243" i="1" l="1"/>
  <c r="K242" i="1"/>
  <c r="N244" i="1" l="1"/>
  <c r="K243" i="1"/>
  <c r="N245" i="1" l="1"/>
  <c r="K244" i="1"/>
  <c r="N246" i="1" l="1"/>
  <c r="K245" i="1"/>
  <c r="N247" i="1" l="1"/>
  <c r="K246" i="1"/>
  <c r="N248" i="1" l="1"/>
  <c r="K247" i="1"/>
  <c r="N249" i="1" l="1"/>
  <c r="K248" i="1"/>
  <c r="N250" i="1" l="1"/>
  <c r="K249" i="1"/>
  <c r="N251" i="1" l="1"/>
  <c r="K250" i="1"/>
  <c r="N252" i="1" l="1"/>
  <c r="K251" i="1"/>
  <c r="N253" i="1" l="1"/>
  <c r="K252" i="1"/>
  <c r="N254" i="1" l="1"/>
  <c r="K253" i="1"/>
  <c r="K254" i="1" l="1"/>
  <c r="M254" i="1" s="1"/>
  <c r="N255" i="1" s="1"/>
  <c r="N256" i="1" l="1"/>
  <c r="K255" i="1"/>
  <c r="N257" i="1" l="1"/>
  <c r="K256" i="1"/>
  <c r="N258" i="1" l="1"/>
  <c r="K257" i="1"/>
  <c r="N259" i="1" l="1"/>
  <c r="K258" i="1"/>
  <c r="N260" i="1" l="1"/>
  <c r="K259" i="1"/>
  <c r="N261" i="1" l="1"/>
  <c r="K260" i="1"/>
  <c r="N262" i="1" l="1"/>
  <c r="K261" i="1"/>
  <c r="N263" i="1" l="1"/>
  <c r="K262" i="1"/>
  <c r="N264" i="1" l="1"/>
  <c r="K263" i="1"/>
  <c r="N265" i="1" l="1"/>
  <c r="K264" i="1"/>
  <c r="N266" i="1" l="1"/>
  <c r="K265" i="1"/>
  <c r="N267" i="1" l="1"/>
  <c r="K266" i="1"/>
  <c r="N268" i="1" l="1"/>
  <c r="K267" i="1"/>
  <c r="N269" i="1" l="1"/>
  <c r="K268" i="1"/>
  <c r="N270" i="1" l="1"/>
  <c r="K269" i="1"/>
  <c r="N271" i="1" l="1"/>
  <c r="K270" i="1"/>
  <c r="N272" i="1" l="1"/>
  <c r="K271" i="1"/>
  <c r="N273" i="1" l="1"/>
  <c r="K272" i="1"/>
  <c r="N274" i="1" l="1"/>
  <c r="K273" i="1"/>
  <c r="N275" i="1" l="1"/>
  <c r="K274" i="1"/>
  <c r="K275" i="1" l="1"/>
  <c r="M275" i="1" s="1"/>
  <c r="N276" i="1"/>
  <c r="N277" i="1" l="1"/>
  <c r="K276" i="1"/>
  <c r="N278" i="1" l="1"/>
  <c r="K277" i="1"/>
  <c r="N279" i="1" l="1"/>
  <c r="K278" i="1"/>
  <c r="N280" i="1" l="1"/>
  <c r="K279" i="1"/>
  <c r="N281" i="1" l="1"/>
  <c r="K280" i="1"/>
  <c r="N282" i="1" l="1"/>
  <c r="K281" i="1"/>
  <c r="N283" i="1" l="1"/>
  <c r="K282" i="1"/>
  <c r="N284" i="1" l="1"/>
  <c r="K283" i="1"/>
  <c r="N285" i="1" l="1"/>
  <c r="K284" i="1"/>
  <c r="N286" i="1" l="1"/>
  <c r="K285" i="1"/>
  <c r="N287" i="1" l="1"/>
  <c r="K286" i="1"/>
  <c r="N288" i="1" l="1"/>
  <c r="K287" i="1"/>
  <c r="N289" i="1" l="1"/>
  <c r="K288" i="1"/>
  <c r="N290" i="1" l="1"/>
  <c r="K289" i="1"/>
  <c r="N291" i="1" l="1"/>
  <c r="K290" i="1"/>
  <c r="N292" i="1" l="1"/>
  <c r="K291" i="1"/>
  <c r="N293" i="1" l="1"/>
  <c r="K292" i="1"/>
  <c r="N294" i="1" l="1"/>
  <c r="K293" i="1"/>
  <c r="N295" i="1" l="1"/>
  <c r="K294" i="1"/>
  <c r="N296" i="1" l="1"/>
  <c r="K295" i="1"/>
  <c r="K296" i="1" l="1"/>
  <c r="M296" i="1" s="1"/>
  <c r="N297" i="1" s="1"/>
  <c r="N298" i="1" l="1"/>
  <c r="K297" i="1"/>
  <c r="N299" i="1" l="1"/>
  <c r="K298" i="1"/>
  <c r="N300" i="1" l="1"/>
  <c r="K299" i="1"/>
  <c r="N301" i="1" l="1"/>
  <c r="K300" i="1"/>
  <c r="N302" i="1" l="1"/>
  <c r="K301" i="1"/>
  <c r="N303" i="1" l="1"/>
  <c r="K302" i="1"/>
  <c r="N304" i="1" l="1"/>
  <c r="K303" i="1"/>
  <c r="N305" i="1" l="1"/>
  <c r="K304" i="1"/>
  <c r="N306" i="1" l="1"/>
  <c r="K305" i="1"/>
  <c r="N307" i="1" l="1"/>
  <c r="K306" i="1"/>
  <c r="N308" i="1" l="1"/>
  <c r="K307" i="1"/>
  <c r="N309" i="1" l="1"/>
  <c r="K308" i="1"/>
  <c r="N310" i="1" l="1"/>
  <c r="K309" i="1"/>
  <c r="N311" i="1" l="1"/>
  <c r="K310" i="1"/>
  <c r="N312" i="1" l="1"/>
  <c r="K311" i="1"/>
  <c r="N313" i="1" l="1"/>
  <c r="K312" i="1"/>
  <c r="N314" i="1" l="1"/>
  <c r="K313" i="1"/>
  <c r="N315" i="1" l="1"/>
  <c r="K314" i="1"/>
  <c r="N316" i="1" l="1"/>
  <c r="K315" i="1"/>
  <c r="N317" i="1" l="1"/>
  <c r="K316" i="1"/>
  <c r="N318" i="1" l="1"/>
  <c r="K317" i="1"/>
  <c r="K318" i="1" l="1"/>
  <c r="M318" i="1" s="1"/>
  <c r="N319" i="1"/>
  <c r="N320" i="1" l="1"/>
  <c r="K319" i="1"/>
  <c r="N321" i="1" l="1"/>
  <c r="K320" i="1"/>
  <c r="N322" i="1" l="1"/>
  <c r="K321" i="1"/>
  <c r="N323" i="1" l="1"/>
  <c r="K322" i="1"/>
  <c r="N324" i="1" l="1"/>
  <c r="K323" i="1"/>
  <c r="N325" i="1" l="1"/>
  <c r="K324" i="1"/>
  <c r="N326" i="1" l="1"/>
  <c r="K325" i="1"/>
  <c r="N327" i="1" l="1"/>
  <c r="K326" i="1"/>
  <c r="N328" i="1" l="1"/>
  <c r="K327" i="1"/>
  <c r="N329" i="1" l="1"/>
  <c r="K328" i="1"/>
  <c r="N330" i="1" l="1"/>
  <c r="K329" i="1"/>
  <c r="N331" i="1" l="1"/>
  <c r="K330" i="1"/>
  <c r="N332" i="1" l="1"/>
  <c r="K331" i="1"/>
  <c r="N333" i="1" l="1"/>
  <c r="K332" i="1"/>
  <c r="N334" i="1" l="1"/>
  <c r="K333" i="1"/>
  <c r="N335" i="1" l="1"/>
  <c r="K334" i="1"/>
  <c r="N336" i="1" l="1"/>
  <c r="K335" i="1"/>
  <c r="N337" i="1" l="1"/>
  <c r="K336" i="1"/>
  <c r="N338" i="1" l="1"/>
  <c r="K337" i="1"/>
  <c r="K338" i="1" l="1"/>
  <c r="M338" i="1" s="1"/>
  <c r="N339" i="1" s="1"/>
  <c r="N340" i="1" l="1"/>
  <c r="K339" i="1"/>
  <c r="N341" i="1" l="1"/>
  <c r="K340" i="1"/>
  <c r="N342" i="1" l="1"/>
  <c r="K341" i="1"/>
  <c r="N343" i="1" l="1"/>
  <c r="K342" i="1"/>
  <c r="N344" i="1" l="1"/>
  <c r="K343" i="1"/>
  <c r="N345" i="1" l="1"/>
  <c r="K344" i="1"/>
  <c r="N346" i="1" l="1"/>
  <c r="K345" i="1"/>
  <c r="N347" i="1" l="1"/>
  <c r="K346" i="1"/>
  <c r="N348" i="1" l="1"/>
  <c r="K347" i="1"/>
  <c r="N349" i="1" l="1"/>
  <c r="K348" i="1"/>
  <c r="N350" i="1" l="1"/>
  <c r="K349" i="1"/>
  <c r="N351" i="1" l="1"/>
  <c r="K350" i="1"/>
  <c r="N352" i="1" l="1"/>
  <c r="K351" i="1"/>
  <c r="N353" i="1" l="1"/>
  <c r="K352" i="1"/>
  <c r="N354" i="1" l="1"/>
  <c r="K353" i="1"/>
  <c r="N355" i="1" l="1"/>
  <c r="K354" i="1"/>
  <c r="N356" i="1" l="1"/>
  <c r="K355" i="1"/>
  <c r="N357" i="1" l="1"/>
  <c r="K356" i="1"/>
  <c r="K357" i="1" l="1"/>
  <c r="M357" i="1" s="1"/>
  <c r="N358" i="1"/>
  <c r="N359" i="1" l="1"/>
  <c r="K358" i="1"/>
  <c r="N360" i="1" l="1"/>
  <c r="K359" i="1"/>
  <c r="N361" i="1" l="1"/>
  <c r="K360" i="1"/>
  <c r="N362" i="1" l="1"/>
  <c r="K361" i="1"/>
  <c r="N363" i="1" l="1"/>
  <c r="K362" i="1"/>
  <c r="N364" i="1" l="1"/>
  <c r="K363" i="1"/>
  <c r="N365" i="1" l="1"/>
  <c r="K364" i="1"/>
  <c r="N366" i="1" l="1"/>
  <c r="K365" i="1"/>
  <c r="N367" i="1" l="1"/>
  <c r="K366" i="1"/>
  <c r="N368" i="1" l="1"/>
  <c r="K367" i="1"/>
  <c r="N369" i="1" l="1"/>
  <c r="K368" i="1"/>
  <c r="N370" i="1" l="1"/>
  <c r="K369" i="1"/>
  <c r="N371" i="1" l="1"/>
  <c r="K370" i="1"/>
  <c r="N372" i="1" l="1"/>
  <c r="K371" i="1"/>
  <c r="N373" i="1" l="1"/>
  <c r="K372" i="1"/>
  <c r="N374" i="1" l="1"/>
  <c r="K373" i="1"/>
  <c r="N375" i="1" l="1"/>
  <c r="K374" i="1"/>
  <c r="N376" i="1" l="1"/>
  <c r="K375" i="1"/>
  <c r="N377" i="1" l="1"/>
  <c r="K376" i="1"/>
  <c r="N378" i="1" l="1"/>
  <c r="K377" i="1"/>
  <c r="N379" i="1" l="1"/>
  <c r="K378" i="1"/>
  <c r="N380" i="1" l="1"/>
  <c r="K379" i="1"/>
  <c r="K380" i="1" l="1"/>
  <c r="M380" i="1" s="1"/>
  <c r="N381" i="1"/>
  <c r="N382" i="1" l="1"/>
  <c r="K381" i="1"/>
  <c r="N383" i="1" l="1"/>
  <c r="K382" i="1"/>
  <c r="N384" i="1" l="1"/>
  <c r="K383" i="1"/>
  <c r="N385" i="1" l="1"/>
  <c r="K384" i="1"/>
  <c r="N386" i="1" l="1"/>
  <c r="K385" i="1"/>
  <c r="N387" i="1" l="1"/>
  <c r="K386" i="1"/>
  <c r="N388" i="1" l="1"/>
  <c r="K387" i="1"/>
  <c r="N389" i="1" l="1"/>
  <c r="K388" i="1"/>
  <c r="N390" i="1" l="1"/>
  <c r="K389" i="1"/>
  <c r="N391" i="1" l="1"/>
  <c r="K390" i="1"/>
  <c r="N392" i="1" l="1"/>
  <c r="K391" i="1"/>
  <c r="N393" i="1" l="1"/>
  <c r="K392" i="1"/>
  <c r="N394" i="1" l="1"/>
  <c r="K393" i="1"/>
  <c r="N395" i="1" l="1"/>
  <c r="K394" i="1"/>
  <c r="N396" i="1" l="1"/>
  <c r="K395" i="1"/>
  <c r="N397" i="1" l="1"/>
  <c r="K396" i="1"/>
  <c r="N398" i="1" l="1"/>
  <c r="K397" i="1"/>
  <c r="N399" i="1" l="1"/>
  <c r="K398" i="1"/>
  <c r="N400" i="1" l="1"/>
  <c r="K399" i="1"/>
  <c r="K400" i="1" l="1"/>
  <c r="M400" i="1" s="1"/>
  <c r="N401" i="1" s="1"/>
  <c r="N402" i="1" l="1"/>
  <c r="K401" i="1"/>
  <c r="N403" i="1" l="1"/>
  <c r="K402" i="1"/>
  <c r="N404" i="1" l="1"/>
  <c r="K403" i="1"/>
  <c r="N405" i="1" l="1"/>
  <c r="K404" i="1"/>
  <c r="N406" i="1" l="1"/>
  <c r="K405" i="1"/>
  <c r="N407" i="1" l="1"/>
  <c r="K406" i="1"/>
  <c r="N408" i="1" l="1"/>
  <c r="K407" i="1"/>
  <c r="N409" i="1" l="1"/>
  <c r="K408" i="1"/>
  <c r="N410" i="1" l="1"/>
  <c r="K409" i="1"/>
  <c r="N411" i="1" l="1"/>
  <c r="K410" i="1"/>
  <c r="N412" i="1" l="1"/>
  <c r="K411" i="1"/>
  <c r="N413" i="1" l="1"/>
  <c r="K412" i="1"/>
  <c r="N414" i="1" l="1"/>
  <c r="K413" i="1"/>
  <c r="N415" i="1" l="1"/>
  <c r="K414" i="1"/>
  <c r="N416" i="1" l="1"/>
  <c r="K415" i="1"/>
  <c r="N417" i="1" l="1"/>
  <c r="K416" i="1"/>
  <c r="N418" i="1" l="1"/>
  <c r="K417" i="1"/>
  <c r="N419" i="1" l="1"/>
  <c r="K418" i="1"/>
  <c r="N420" i="1" l="1"/>
  <c r="K419" i="1"/>
  <c r="N421" i="1" l="1"/>
  <c r="K420" i="1"/>
  <c r="K421" i="1" l="1"/>
  <c r="M421" i="1" s="1"/>
  <c r="N422" i="1"/>
  <c r="N423" i="1" l="1"/>
  <c r="K422" i="1"/>
  <c r="N424" i="1" l="1"/>
  <c r="K423" i="1"/>
  <c r="N425" i="1" l="1"/>
  <c r="K424" i="1"/>
  <c r="N426" i="1" l="1"/>
  <c r="K425" i="1"/>
  <c r="N427" i="1" l="1"/>
  <c r="K426" i="1"/>
  <c r="N428" i="1" l="1"/>
  <c r="K427" i="1"/>
  <c r="N429" i="1" l="1"/>
  <c r="K428" i="1"/>
  <c r="N430" i="1" l="1"/>
  <c r="K429" i="1"/>
  <c r="N431" i="1" l="1"/>
  <c r="K430" i="1"/>
  <c r="N432" i="1" l="1"/>
  <c r="K431" i="1"/>
  <c r="N433" i="1" l="1"/>
  <c r="K432" i="1"/>
  <c r="N434" i="1" l="1"/>
  <c r="K433" i="1"/>
  <c r="N435" i="1" l="1"/>
  <c r="K434" i="1"/>
  <c r="N436" i="1" l="1"/>
  <c r="K435" i="1"/>
  <c r="N437" i="1" l="1"/>
  <c r="K436" i="1"/>
  <c r="N438" i="1" l="1"/>
  <c r="K437" i="1"/>
  <c r="N439" i="1" l="1"/>
  <c r="K438" i="1"/>
  <c r="N440" i="1" l="1"/>
  <c r="K439" i="1"/>
  <c r="N441" i="1" l="1"/>
  <c r="K440" i="1"/>
  <c r="N442" i="1" l="1"/>
  <c r="K441" i="1"/>
  <c r="K442" i="1" l="1"/>
  <c r="M442" i="1" s="1"/>
  <c r="N443" i="1"/>
  <c r="N444" i="1" l="1"/>
  <c r="K443" i="1"/>
  <c r="N445" i="1" l="1"/>
  <c r="K444" i="1"/>
  <c r="N446" i="1" l="1"/>
  <c r="K445" i="1"/>
  <c r="N447" i="1" l="1"/>
  <c r="K446" i="1"/>
  <c r="N448" i="1" l="1"/>
  <c r="K447" i="1"/>
  <c r="N449" i="1" l="1"/>
  <c r="K448" i="1"/>
  <c r="N450" i="1" l="1"/>
  <c r="K449" i="1"/>
  <c r="N451" i="1" l="1"/>
  <c r="K450" i="1"/>
  <c r="N452" i="1" l="1"/>
  <c r="K451" i="1"/>
  <c r="N453" i="1" l="1"/>
  <c r="K452" i="1"/>
  <c r="N454" i="1" l="1"/>
  <c r="K453" i="1"/>
  <c r="N455" i="1" l="1"/>
  <c r="K454" i="1"/>
  <c r="N456" i="1" l="1"/>
  <c r="K455" i="1"/>
  <c r="N457" i="1" l="1"/>
  <c r="K456" i="1"/>
  <c r="N458" i="1" l="1"/>
  <c r="K457" i="1"/>
  <c r="N459" i="1" l="1"/>
  <c r="K458" i="1"/>
  <c r="N460" i="1" l="1"/>
  <c r="K459" i="1"/>
  <c r="N461" i="1" l="1"/>
  <c r="K460" i="1"/>
  <c r="N462" i="1" l="1"/>
  <c r="K461" i="1"/>
  <c r="K462" i="1" l="1"/>
  <c r="M462" i="1" s="1"/>
  <c r="N463" i="1"/>
  <c r="N464" i="1" l="1"/>
  <c r="K463" i="1"/>
  <c r="N465" i="1" l="1"/>
  <c r="K464" i="1"/>
  <c r="N466" i="1" l="1"/>
  <c r="K465" i="1"/>
  <c r="N467" i="1" l="1"/>
  <c r="K466" i="1"/>
  <c r="N468" i="1" l="1"/>
  <c r="K467" i="1"/>
  <c r="N469" i="1" l="1"/>
  <c r="K468" i="1"/>
  <c r="N470" i="1" l="1"/>
  <c r="K469" i="1"/>
  <c r="N471" i="1" l="1"/>
  <c r="K470" i="1"/>
  <c r="N472" i="1" l="1"/>
  <c r="K471" i="1"/>
  <c r="N473" i="1" l="1"/>
  <c r="K472" i="1"/>
  <c r="N474" i="1" l="1"/>
  <c r="K473" i="1"/>
  <c r="N475" i="1" l="1"/>
  <c r="K474" i="1"/>
  <c r="N476" i="1" l="1"/>
  <c r="K475" i="1"/>
  <c r="N477" i="1" l="1"/>
  <c r="K476" i="1"/>
  <c r="N478" i="1" l="1"/>
  <c r="K477" i="1"/>
  <c r="N479" i="1" l="1"/>
  <c r="K478" i="1"/>
  <c r="N480" i="1" l="1"/>
  <c r="K479" i="1"/>
  <c r="N481" i="1" l="1"/>
  <c r="K480" i="1"/>
  <c r="N482" i="1" l="1"/>
  <c r="K481" i="1"/>
  <c r="N483" i="1" l="1"/>
  <c r="K482" i="1"/>
  <c r="N484" i="1" l="1"/>
  <c r="K483" i="1"/>
  <c r="N485" i="1" l="1"/>
  <c r="K484" i="1"/>
  <c r="K485" i="1" l="1"/>
  <c r="M485" i="1" s="1"/>
  <c r="N486" i="1" s="1"/>
  <c r="N487" i="1" l="1"/>
  <c r="K486" i="1"/>
  <c r="N488" i="1" l="1"/>
  <c r="K487" i="1"/>
  <c r="N489" i="1" l="1"/>
  <c r="K488" i="1"/>
  <c r="N490" i="1" l="1"/>
  <c r="K489" i="1"/>
  <c r="N491" i="1" l="1"/>
  <c r="K490" i="1"/>
  <c r="N492" i="1" l="1"/>
  <c r="K491" i="1"/>
  <c r="N493" i="1" l="1"/>
  <c r="K492" i="1"/>
  <c r="N494" i="1" l="1"/>
  <c r="K493" i="1"/>
  <c r="N495" i="1" l="1"/>
  <c r="K494" i="1"/>
  <c r="N496" i="1" l="1"/>
  <c r="K495" i="1"/>
  <c r="N497" i="1" l="1"/>
  <c r="K496" i="1"/>
  <c r="N498" i="1" l="1"/>
  <c r="K497" i="1"/>
  <c r="N499" i="1" l="1"/>
  <c r="K498" i="1"/>
  <c r="N500" i="1" l="1"/>
  <c r="K499" i="1"/>
  <c r="N501" i="1" l="1"/>
  <c r="K500" i="1"/>
  <c r="N502" i="1" l="1"/>
  <c r="K501" i="1"/>
  <c r="N503" i="1" l="1"/>
  <c r="K502" i="1"/>
  <c r="N504" i="1" l="1"/>
  <c r="K503" i="1"/>
  <c r="N505" i="1" l="1"/>
  <c r="K504" i="1"/>
  <c r="N506" i="1" l="1"/>
  <c r="K505" i="1"/>
  <c r="K506" i="1" l="1"/>
  <c r="M506" i="1" s="1"/>
  <c r="N507" i="1"/>
  <c r="N508" i="1" l="1"/>
  <c r="K507" i="1"/>
  <c r="N509" i="1" l="1"/>
  <c r="K508" i="1"/>
  <c r="N510" i="1" l="1"/>
  <c r="K509" i="1"/>
  <c r="N511" i="1" l="1"/>
  <c r="K510" i="1"/>
  <c r="N512" i="1" l="1"/>
  <c r="K511" i="1"/>
  <c r="N513" i="1" l="1"/>
  <c r="K512" i="1"/>
  <c r="N514" i="1" l="1"/>
  <c r="K513" i="1"/>
  <c r="N515" i="1" l="1"/>
  <c r="K514" i="1"/>
  <c r="N516" i="1" l="1"/>
  <c r="K515" i="1"/>
  <c r="N517" i="1" l="1"/>
  <c r="K516" i="1"/>
  <c r="N518" i="1" l="1"/>
  <c r="K517" i="1"/>
  <c r="N519" i="1" l="1"/>
  <c r="K518" i="1"/>
  <c r="N520" i="1" l="1"/>
  <c r="K519" i="1"/>
  <c r="N521" i="1" l="1"/>
  <c r="K520" i="1"/>
  <c r="N522" i="1" l="1"/>
  <c r="K521" i="1"/>
  <c r="N523" i="1" l="1"/>
  <c r="K522" i="1"/>
  <c r="N524" i="1" l="1"/>
  <c r="K523" i="1"/>
  <c r="N525" i="1" l="1"/>
  <c r="K524" i="1"/>
  <c r="N526" i="1" l="1"/>
  <c r="K525" i="1"/>
  <c r="N527" i="1" l="1"/>
  <c r="K526" i="1"/>
  <c r="K527" i="1" l="1"/>
  <c r="M527" i="1" s="1"/>
  <c r="N528" i="1"/>
  <c r="N529" i="1" l="1"/>
  <c r="K528" i="1"/>
  <c r="N530" i="1" l="1"/>
  <c r="K529" i="1"/>
  <c r="N531" i="1" l="1"/>
  <c r="K530" i="1"/>
  <c r="N532" i="1" l="1"/>
  <c r="K531" i="1"/>
  <c r="N533" i="1" l="1"/>
  <c r="K532" i="1"/>
  <c r="N534" i="1" l="1"/>
  <c r="K533" i="1"/>
  <c r="N535" i="1" l="1"/>
  <c r="K534" i="1"/>
  <c r="N536" i="1" l="1"/>
  <c r="K535" i="1"/>
  <c r="N537" i="1" l="1"/>
  <c r="K536" i="1"/>
  <c r="N538" i="1" l="1"/>
  <c r="K537" i="1"/>
  <c r="N539" i="1" l="1"/>
  <c r="K538" i="1"/>
  <c r="N540" i="1" l="1"/>
  <c r="K539" i="1"/>
  <c r="N541" i="1" l="1"/>
  <c r="K540" i="1"/>
  <c r="N542" i="1" l="1"/>
  <c r="K541" i="1"/>
  <c r="N543" i="1" l="1"/>
  <c r="K542" i="1"/>
  <c r="N544" i="1" l="1"/>
  <c r="K543" i="1"/>
  <c r="N545" i="1" l="1"/>
  <c r="K544" i="1"/>
  <c r="N546" i="1" l="1"/>
  <c r="K545" i="1"/>
  <c r="N547" i="1" l="1"/>
  <c r="K546" i="1"/>
  <c r="N548" i="1" l="1"/>
  <c r="K547" i="1"/>
  <c r="K548" i="1" l="1"/>
  <c r="M548" i="1" s="1"/>
  <c r="N549" i="1" s="1"/>
  <c r="N550" i="1" l="1"/>
  <c r="K549" i="1"/>
  <c r="N551" i="1" l="1"/>
  <c r="K550" i="1"/>
  <c r="N552" i="1" l="1"/>
  <c r="K551" i="1"/>
  <c r="N553" i="1" l="1"/>
  <c r="K552" i="1"/>
  <c r="N554" i="1" l="1"/>
  <c r="K553" i="1"/>
  <c r="N555" i="1" l="1"/>
  <c r="K554" i="1"/>
  <c r="N556" i="1" l="1"/>
  <c r="K555" i="1"/>
  <c r="N557" i="1" l="1"/>
  <c r="K556" i="1"/>
  <c r="N558" i="1" l="1"/>
  <c r="K557" i="1"/>
  <c r="N559" i="1" l="1"/>
  <c r="K558" i="1"/>
  <c r="N560" i="1" l="1"/>
  <c r="K559" i="1"/>
  <c r="N561" i="1" l="1"/>
  <c r="K560" i="1"/>
  <c r="N562" i="1" l="1"/>
  <c r="K561" i="1"/>
  <c r="N563" i="1" l="1"/>
  <c r="K562" i="1"/>
  <c r="N564" i="1" l="1"/>
  <c r="K563" i="1"/>
  <c r="N565" i="1" l="1"/>
  <c r="K564" i="1"/>
  <c r="N566" i="1" l="1"/>
  <c r="K565" i="1"/>
  <c r="N567" i="1" l="1"/>
  <c r="K566" i="1"/>
  <c r="N568" i="1" l="1"/>
  <c r="K567" i="1"/>
  <c r="N569" i="1" l="1"/>
  <c r="K568" i="1"/>
  <c r="K569" i="1" l="1"/>
  <c r="M569" i="1" s="1"/>
  <c r="N570" i="1"/>
  <c r="N571" i="1" l="1"/>
  <c r="K570" i="1"/>
  <c r="N572" i="1" l="1"/>
  <c r="K571" i="1"/>
  <c r="N573" i="1" l="1"/>
  <c r="K572" i="1"/>
  <c r="N574" i="1" l="1"/>
  <c r="K573" i="1"/>
  <c r="N575" i="1" l="1"/>
  <c r="K574" i="1"/>
  <c r="N576" i="1" l="1"/>
  <c r="K575" i="1"/>
  <c r="N577" i="1" l="1"/>
  <c r="K576" i="1"/>
  <c r="N578" i="1" l="1"/>
  <c r="K577" i="1"/>
  <c r="N579" i="1" l="1"/>
  <c r="K578" i="1"/>
  <c r="N580" i="1" l="1"/>
  <c r="K579" i="1"/>
  <c r="N581" i="1" l="1"/>
  <c r="K580" i="1"/>
  <c r="N582" i="1" l="1"/>
  <c r="K581" i="1"/>
  <c r="N583" i="1" l="1"/>
  <c r="K582" i="1"/>
  <c r="N584" i="1" l="1"/>
  <c r="K583" i="1"/>
  <c r="N585" i="1" l="1"/>
  <c r="K584" i="1"/>
  <c r="N586" i="1" l="1"/>
  <c r="K585" i="1"/>
  <c r="N587" i="1" l="1"/>
  <c r="K586" i="1"/>
  <c r="N588" i="1" l="1"/>
  <c r="K587" i="1"/>
  <c r="N589" i="1" l="1"/>
  <c r="K588" i="1"/>
  <c r="K589" i="1" l="1"/>
  <c r="M589" i="1" s="1"/>
  <c r="N590" i="1"/>
  <c r="N591" i="1" l="1"/>
  <c r="K590" i="1"/>
  <c r="N592" i="1" l="1"/>
  <c r="K591" i="1"/>
  <c r="N593" i="1" l="1"/>
  <c r="K592" i="1"/>
  <c r="N594" i="1" l="1"/>
  <c r="K593" i="1"/>
  <c r="N595" i="1" l="1"/>
  <c r="K594" i="1"/>
  <c r="N596" i="1" l="1"/>
  <c r="K595" i="1"/>
  <c r="N597" i="1" l="1"/>
  <c r="K596" i="1"/>
  <c r="N598" i="1" l="1"/>
  <c r="K597" i="1"/>
  <c r="N599" i="1" l="1"/>
  <c r="K598" i="1"/>
  <c r="N600" i="1" l="1"/>
  <c r="K599" i="1"/>
  <c r="N601" i="1" l="1"/>
  <c r="K600" i="1"/>
  <c r="N602" i="1" l="1"/>
  <c r="K601" i="1"/>
  <c r="N603" i="1" l="1"/>
  <c r="K602" i="1"/>
  <c r="N604" i="1" l="1"/>
  <c r="K603" i="1"/>
  <c r="N605" i="1" l="1"/>
  <c r="K604" i="1"/>
  <c r="N606" i="1" l="1"/>
  <c r="K605" i="1"/>
  <c r="N607" i="1" l="1"/>
  <c r="K606" i="1"/>
  <c r="N608" i="1" l="1"/>
  <c r="K607" i="1"/>
  <c r="K608" i="1" l="1"/>
  <c r="M608" i="1" s="1"/>
  <c r="N609" i="1" s="1"/>
  <c r="N610" i="1" l="1"/>
  <c r="K609" i="1"/>
  <c r="N611" i="1" l="1"/>
  <c r="K610" i="1"/>
  <c r="N612" i="1" l="1"/>
  <c r="K611" i="1"/>
  <c r="N613" i="1" l="1"/>
  <c r="K612" i="1"/>
  <c r="N614" i="1" l="1"/>
  <c r="K613" i="1"/>
  <c r="N615" i="1" l="1"/>
  <c r="K614" i="1"/>
  <c r="N616" i="1" l="1"/>
  <c r="K615" i="1"/>
  <c r="N617" i="1" l="1"/>
  <c r="K616" i="1"/>
  <c r="N618" i="1" l="1"/>
  <c r="K617" i="1"/>
  <c r="N619" i="1" l="1"/>
  <c r="K618" i="1"/>
  <c r="N620" i="1" l="1"/>
  <c r="K619" i="1"/>
  <c r="N621" i="1" l="1"/>
  <c r="K620" i="1"/>
  <c r="N622" i="1" l="1"/>
  <c r="K621" i="1"/>
  <c r="N623" i="1" l="1"/>
  <c r="K622" i="1"/>
  <c r="N624" i="1" l="1"/>
  <c r="K623" i="1"/>
  <c r="N625" i="1" l="1"/>
  <c r="K624" i="1"/>
  <c r="N626" i="1" l="1"/>
  <c r="K625" i="1"/>
  <c r="N627" i="1" l="1"/>
  <c r="K626" i="1"/>
  <c r="N628" i="1" l="1"/>
  <c r="K627" i="1"/>
  <c r="N629" i="1" l="1"/>
  <c r="K628" i="1"/>
  <c r="N630" i="1" l="1"/>
  <c r="K629" i="1"/>
  <c r="N631" i="1" l="1"/>
  <c r="K630" i="1"/>
  <c r="K631" i="1" l="1"/>
  <c r="M631" i="1" s="1"/>
  <c r="N632" i="1" s="1"/>
  <c r="N633" i="1" l="1"/>
  <c r="K632" i="1"/>
  <c r="N634" i="1" l="1"/>
  <c r="K633" i="1"/>
  <c r="N635" i="1" l="1"/>
  <c r="K634" i="1"/>
  <c r="N636" i="1" l="1"/>
  <c r="K635" i="1"/>
  <c r="N637" i="1" l="1"/>
  <c r="K636" i="1"/>
  <c r="N638" i="1" l="1"/>
  <c r="K637" i="1"/>
  <c r="N639" i="1" l="1"/>
  <c r="K638" i="1"/>
  <c r="N640" i="1" l="1"/>
  <c r="K639" i="1"/>
  <c r="N641" i="1" l="1"/>
  <c r="K640" i="1"/>
  <c r="N642" i="1" l="1"/>
  <c r="K641" i="1"/>
  <c r="N643" i="1" l="1"/>
  <c r="K642" i="1"/>
  <c r="N644" i="1" l="1"/>
  <c r="K643" i="1"/>
  <c r="N645" i="1" l="1"/>
  <c r="K644" i="1"/>
  <c r="N646" i="1" l="1"/>
  <c r="K645" i="1"/>
  <c r="N647" i="1" l="1"/>
  <c r="K646" i="1"/>
  <c r="N648" i="1" l="1"/>
  <c r="K647" i="1"/>
  <c r="N649" i="1" l="1"/>
  <c r="K648" i="1"/>
  <c r="N650" i="1" l="1"/>
  <c r="K649" i="1"/>
  <c r="K650" i="1" l="1"/>
  <c r="M650" i="1" s="1"/>
  <c r="N651" i="1" s="1"/>
  <c r="N652" i="1" l="1"/>
  <c r="K651" i="1"/>
  <c r="N653" i="1" l="1"/>
  <c r="K652" i="1"/>
  <c r="N654" i="1" l="1"/>
  <c r="K653" i="1"/>
  <c r="N655" i="1" l="1"/>
  <c r="K654" i="1"/>
  <c r="N656" i="1" l="1"/>
  <c r="K655" i="1"/>
  <c r="N657" i="1" l="1"/>
  <c r="K656" i="1"/>
  <c r="N658" i="1" l="1"/>
  <c r="K657" i="1"/>
  <c r="N659" i="1" l="1"/>
  <c r="K658" i="1"/>
  <c r="N660" i="1" l="1"/>
  <c r="K659" i="1"/>
  <c r="N661" i="1" l="1"/>
  <c r="K660" i="1"/>
  <c r="N662" i="1" l="1"/>
  <c r="K661" i="1"/>
  <c r="N663" i="1" l="1"/>
  <c r="K662" i="1"/>
  <c r="N664" i="1" l="1"/>
  <c r="K663" i="1"/>
  <c r="N665" i="1" l="1"/>
  <c r="K664" i="1"/>
  <c r="N666" i="1" l="1"/>
  <c r="K665" i="1"/>
  <c r="N667" i="1" l="1"/>
  <c r="K666" i="1"/>
  <c r="N668" i="1" l="1"/>
  <c r="K667" i="1"/>
  <c r="N669" i="1" l="1"/>
  <c r="K668" i="1"/>
  <c r="N670" i="1" l="1"/>
  <c r="K669" i="1"/>
  <c r="N671" i="1" l="1"/>
  <c r="K670" i="1"/>
  <c r="N672" i="1" l="1"/>
  <c r="K671" i="1"/>
  <c r="K672" i="1" l="1"/>
  <c r="M672" i="1" s="1"/>
  <c r="N673" i="1"/>
  <c r="N674" i="1" l="1"/>
  <c r="K673" i="1"/>
  <c r="N675" i="1" l="1"/>
  <c r="K674" i="1"/>
  <c r="N676" i="1" l="1"/>
  <c r="K675" i="1"/>
  <c r="N677" i="1" l="1"/>
  <c r="K676" i="1"/>
  <c r="N678" i="1" l="1"/>
  <c r="K677" i="1"/>
  <c r="N679" i="1" l="1"/>
  <c r="K678" i="1"/>
  <c r="N680" i="1" l="1"/>
  <c r="K679" i="1"/>
  <c r="N681" i="1" l="1"/>
  <c r="K680" i="1"/>
  <c r="N682" i="1" l="1"/>
  <c r="K681" i="1"/>
  <c r="N683" i="1" l="1"/>
  <c r="K682" i="1"/>
  <c r="N684" i="1" l="1"/>
  <c r="K683" i="1"/>
  <c r="N685" i="1" l="1"/>
  <c r="K684" i="1"/>
  <c r="N686" i="1" l="1"/>
  <c r="K685" i="1"/>
  <c r="N687" i="1" l="1"/>
  <c r="K686" i="1"/>
  <c r="N688" i="1" l="1"/>
  <c r="K687" i="1"/>
  <c r="N689" i="1" l="1"/>
  <c r="K688" i="1"/>
  <c r="N690" i="1" l="1"/>
  <c r="K689" i="1"/>
  <c r="N691" i="1" l="1"/>
  <c r="K690" i="1"/>
  <c r="N692" i="1" l="1"/>
  <c r="K691" i="1"/>
  <c r="N693" i="1" l="1"/>
  <c r="K692" i="1"/>
  <c r="K693" i="1" l="1"/>
  <c r="M693" i="1" s="1"/>
  <c r="N694" i="1"/>
  <c r="N695" i="1" l="1"/>
  <c r="K694" i="1"/>
  <c r="N696" i="1" l="1"/>
  <c r="K695" i="1"/>
  <c r="N697" i="1" l="1"/>
  <c r="K696" i="1"/>
  <c r="N698" i="1" l="1"/>
  <c r="K697" i="1"/>
  <c r="N699" i="1" l="1"/>
  <c r="K698" i="1"/>
  <c r="N700" i="1" l="1"/>
  <c r="K699" i="1"/>
  <c r="N701" i="1" l="1"/>
  <c r="K700" i="1"/>
  <c r="N702" i="1" l="1"/>
  <c r="K701" i="1"/>
  <c r="N703" i="1" l="1"/>
  <c r="K702" i="1"/>
  <c r="N704" i="1" l="1"/>
  <c r="K703" i="1"/>
  <c r="N705" i="1" l="1"/>
  <c r="K704" i="1"/>
  <c r="N706" i="1" l="1"/>
  <c r="K705" i="1"/>
  <c r="N707" i="1" l="1"/>
  <c r="K706" i="1"/>
  <c r="N708" i="1" l="1"/>
  <c r="K707" i="1"/>
  <c r="N709" i="1" l="1"/>
  <c r="K708" i="1"/>
  <c r="N710" i="1" l="1"/>
  <c r="K709" i="1"/>
  <c r="N711" i="1" l="1"/>
  <c r="K710" i="1"/>
  <c r="N712" i="1" l="1"/>
  <c r="K711" i="1"/>
  <c r="N713" i="1" l="1"/>
  <c r="K712" i="1"/>
  <c r="K713" i="1" l="1"/>
  <c r="M713" i="1" s="1"/>
  <c r="N714" i="1"/>
  <c r="N715" i="1" l="1"/>
  <c r="K714" i="1"/>
  <c r="N716" i="1" l="1"/>
  <c r="K715" i="1"/>
  <c r="N717" i="1" l="1"/>
  <c r="K716" i="1"/>
  <c r="N718" i="1" l="1"/>
  <c r="K717" i="1"/>
  <c r="N719" i="1" l="1"/>
  <c r="K718" i="1"/>
  <c r="N720" i="1" l="1"/>
  <c r="K719" i="1"/>
  <c r="N721" i="1" l="1"/>
  <c r="K720" i="1"/>
  <c r="N722" i="1" l="1"/>
  <c r="K721" i="1"/>
  <c r="N723" i="1" l="1"/>
  <c r="K722" i="1"/>
  <c r="N724" i="1" l="1"/>
  <c r="K723" i="1"/>
  <c r="N725" i="1" l="1"/>
  <c r="K724" i="1"/>
  <c r="N726" i="1" l="1"/>
  <c r="K725" i="1"/>
  <c r="N727" i="1" l="1"/>
  <c r="K726" i="1"/>
  <c r="N728" i="1" l="1"/>
  <c r="K727" i="1"/>
  <c r="N729" i="1" l="1"/>
  <c r="K728" i="1"/>
  <c r="N730" i="1" l="1"/>
  <c r="K729" i="1"/>
  <c r="N731" i="1" l="1"/>
  <c r="K730" i="1"/>
  <c r="N732" i="1" l="1"/>
  <c r="K731" i="1"/>
  <c r="N733" i="1" l="1"/>
  <c r="K732" i="1"/>
  <c r="N734" i="1" l="1"/>
  <c r="K733" i="1"/>
  <c r="N735" i="1" l="1"/>
  <c r="K734" i="1"/>
  <c r="N736" i="1" l="1"/>
  <c r="K735" i="1"/>
  <c r="K736" i="1" l="1"/>
  <c r="M736" i="1" s="1"/>
  <c r="N737" i="1"/>
  <c r="N738" i="1" l="1"/>
  <c r="K737" i="1"/>
  <c r="N739" i="1" l="1"/>
  <c r="K738" i="1"/>
  <c r="N740" i="1" l="1"/>
  <c r="K739" i="1"/>
  <c r="N741" i="1" l="1"/>
  <c r="K740" i="1"/>
  <c r="N742" i="1" l="1"/>
  <c r="K741" i="1"/>
  <c r="N743" i="1" l="1"/>
  <c r="K742" i="1"/>
  <c r="N744" i="1" l="1"/>
  <c r="K743" i="1"/>
  <c r="N745" i="1" l="1"/>
  <c r="K744" i="1"/>
  <c r="N746" i="1" l="1"/>
  <c r="K745" i="1"/>
  <c r="N747" i="1" l="1"/>
  <c r="K746" i="1"/>
  <c r="N748" i="1" l="1"/>
  <c r="K747" i="1"/>
  <c r="N749" i="1" l="1"/>
  <c r="K748" i="1"/>
  <c r="N750" i="1" l="1"/>
  <c r="K749" i="1"/>
  <c r="N751" i="1" l="1"/>
  <c r="K750" i="1"/>
  <c r="N752" i="1" l="1"/>
  <c r="K751" i="1"/>
  <c r="N753" i="1" l="1"/>
  <c r="K752" i="1"/>
  <c r="N754" i="1" l="1"/>
  <c r="K753" i="1"/>
  <c r="N755" i="1" l="1"/>
  <c r="K754" i="1"/>
  <c r="N756" i="1" l="1"/>
  <c r="K755" i="1"/>
  <c r="K756" i="1" l="1"/>
  <c r="M756" i="1" s="1"/>
  <c r="N757" i="1"/>
  <c r="N758" i="1" l="1"/>
  <c r="K757" i="1"/>
  <c r="N759" i="1" l="1"/>
  <c r="K758" i="1"/>
  <c r="N760" i="1" l="1"/>
  <c r="K759" i="1"/>
  <c r="N761" i="1" l="1"/>
  <c r="K760" i="1"/>
  <c r="N762" i="1" l="1"/>
  <c r="K761" i="1"/>
  <c r="N763" i="1" l="1"/>
  <c r="K762" i="1"/>
  <c r="N764" i="1" l="1"/>
  <c r="K763" i="1"/>
  <c r="N765" i="1" l="1"/>
  <c r="K764" i="1"/>
  <c r="N766" i="1" l="1"/>
  <c r="K765" i="1"/>
  <c r="N767" i="1" l="1"/>
  <c r="K766" i="1"/>
  <c r="N768" i="1" l="1"/>
  <c r="K767" i="1"/>
  <c r="N769" i="1" l="1"/>
  <c r="K768" i="1"/>
  <c r="N770" i="1" l="1"/>
  <c r="K769" i="1"/>
  <c r="N771" i="1" l="1"/>
  <c r="K770" i="1"/>
  <c r="N772" i="1" l="1"/>
  <c r="K771" i="1"/>
  <c r="N773" i="1" l="1"/>
  <c r="K772" i="1"/>
  <c r="N774" i="1" l="1"/>
  <c r="K773" i="1"/>
  <c r="N775" i="1" l="1"/>
  <c r="K774" i="1"/>
  <c r="N776" i="1" l="1"/>
  <c r="K775" i="1"/>
  <c r="N777" i="1" l="1"/>
  <c r="K776" i="1"/>
  <c r="N778" i="1" l="1"/>
  <c r="K777" i="1"/>
  <c r="K778" i="1" l="1"/>
  <c r="M778" i="1" s="1"/>
  <c r="N779" i="1"/>
  <c r="N780" i="1" l="1"/>
  <c r="K779" i="1"/>
  <c r="N781" i="1" l="1"/>
  <c r="K780" i="1"/>
  <c r="N782" i="1" l="1"/>
  <c r="K781" i="1"/>
  <c r="N783" i="1" l="1"/>
  <c r="K782" i="1"/>
  <c r="N784" i="1" l="1"/>
  <c r="K783" i="1"/>
  <c r="N785" i="1" l="1"/>
  <c r="K784" i="1"/>
  <c r="N786" i="1" l="1"/>
  <c r="K785" i="1"/>
  <c r="N787" i="1" l="1"/>
  <c r="K786" i="1"/>
  <c r="N788" i="1" l="1"/>
  <c r="K787" i="1"/>
  <c r="N789" i="1" l="1"/>
  <c r="K788" i="1"/>
  <c r="N790" i="1" l="1"/>
  <c r="K789" i="1"/>
  <c r="N791" i="1" l="1"/>
  <c r="K790" i="1"/>
  <c r="N792" i="1" l="1"/>
  <c r="K791" i="1"/>
  <c r="N793" i="1" l="1"/>
  <c r="K792" i="1"/>
  <c r="N794" i="1" l="1"/>
  <c r="K793" i="1"/>
  <c r="N795" i="1" l="1"/>
  <c r="K794" i="1"/>
  <c r="N796" i="1" l="1"/>
  <c r="K795" i="1"/>
  <c r="N797" i="1" l="1"/>
  <c r="K796" i="1"/>
  <c r="N798" i="1" l="1"/>
  <c r="K797" i="1"/>
  <c r="N799" i="1" l="1"/>
  <c r="K798" i="1"/>
  <c r="K799" i="1" l="1"/>
  <c r="M799" i="1" s="1"/>
  <c r="N800" i="1" s="1"/>
  <c r="N801" i="1" l="1"/>
  <c r="K800" i="1"/>
  <c r="N802" i="1" l="1"/>
  <c r="K801" i="1"/>
  <c r="N803" i="1" l="1"/>
  <c r="K802" i="1"/>
  <c r="N804" i="1" l="1"/>
  <c r="K803" i="1"/>
  <c r="N805" i="1" l="1"/>
  <c r="K804" i="1"/>
  <c r="N806" i="1" l="1"/>
  <c r="K805" i="1"/>
  <c r="N807" i="1" l="1"/>
  <c r="K806" i="1"/>
  <c r="N808" i="1" l="1"/>
  <c r="K807" i="1"/>
  <c r="N809" i="1" l="1"/>
  <c r="K808" i="1"/>
  <c r="N810" i="1" l="1"/>
  <c r="K809" i="1"/>
  <c r="N811" i="1" l="1"/>
  <c r="K810" i="1"/>
  <c r="N812" i="1" l="1"/>
  <c r="K811" i="1"/>
  <c r="N813" i="1" l="1"/>
  <c r="K812" i="1"/>
  <c r="N814" i="1" l="1"/>
  <c r="K813" i="1"/>
  <c r="N815" i="1" l="1"/>
  <c r="K814" i="1"/>
  <c r="N816" i="1" l="1"/>
  <c r="K815" i="1"/>
  <c r="N817" i="1" l="1"/>
  <c r="K816" i="1"/>
  <c r="N818" i="1" l="1"/>
  <c r="K817" i="1"/>
  <c r="N819" i="1" l="1"/>
  <c r="K818" i="1"/>
  <c r="K819" i="1" l="1"/>
  <c r="M819" i="1" s="1"/>
  <c r="N820" i="1" s="1"/>
  <c r="N821" i="1" l="1"/>
  <c r="K820" i="1"/>
  <c r="N822" i="1" l="1"/>
  <c r="K821" i="1"/>
  <c r="N823" i="1" l="1"/>
  <c r="K822" i="1"/>
  <c r="N824" i="1" l="1"/>
  <c r="K823" i="1"/>
  <c r="N825" i="1" l="1"/>
  <c r="K824" i="1"/>
  <c r="N826" i="1" l="1"/>
  <c r="K825" i="1"/>
  <c r="N827" i="1" l="1"/>
  <c r="K826" i="1"/>
  <c r="N828" i="1" l="1"/>
  <c r="K827" i="1"/>
  <c r="N829" i="1" l="1"/>
  <c r="K828" i="1"/>
  <c r="N830" i="1" l="1"/>
  <c r="K829" i="1"/>
  <c r="N831" i="1" l="1"/>
  <c r="K830" i="1"/>
  <c r="N832" i="1" l="1"/>
  <c r="K831" i="1"/>
  <c r="N833" i="1" l="1"/>
  <c r="K832" i="1"/>
  <c r="N834" i="1" l="1"/>
  <c r="K833" i="1"/>
  <c r="N835" i="1" l="1"/>
  <c r="K834" i="1"/>
  <c r="N836" i="1" l="1"/>
  <c r="K835" i="1"/>
  <c r="N837" i="1" l="1"/>
  <c r="K836" i="1"/>
  <c r="N838" i="1" l="1"/>
  <c r="K837" i="1"/>
  <c r="N839" i="1" l="1"/>
  <c r="K838" i="1"/>
  <c r="N840" i="1" l="1"/>
  <c r="K839" i="1"/>
  <c r="K840" i="1" l="1"/>
  <c r="M840" i="1" s="1"/>
  <c r="N841" i="1" s="1"/>
  <c r="N842" i="1" l="1"/>
  <c r="K841" i="1"/>
  <c r="N843" i="1" l="1"/>
  <c r="K842" i="1"/>
  <c r="N844" i="1" l="1"/>
  <c r="K843" i="1"/>
  <c r="N845" i="1" l="1"/>
  <c r="K844" i="1"/>
  <c r="N846" i="1" l="1"/>
  <c r="K845" i="1"/>
  <c r="N847" i="1" l="1"/>
  <c r="K846" i="1"/>
  <c r="N848" i="1" l="1"/>
  <c r="K847" i="1"/>
  <c r="N849" i="1" l="1"/>
  <c r="K848" i="1"/>
  <c r="N850" i="1" l="1"/>
  <c r="K849" i="1"/>
  <c r="N851" i="1" l="1"/>
  <c r="K850" i="1"/>
  <c r="N852" i="1" l="1"/>
  <c r="K851" i="1"/>
  <c r="N853" i="1" l="1"/>
  <c r="K852" i="1"/>
  <c r="N854" i="1" l="1"/>
  <c r="K853" i="1"/>
  <c r="N855" i="1" l="1"/>
  <c r="K854" i="1"/>
  <c r="N856" i="1" l="1"/>
  <c r="K855" i="1"/>
  <c r="N857" i="1" l="1"/>
  <c r="K856" i="1"/>
  <c r="N858" i="1" l="1"/>
  <c r="K857" i="1"/>
  <c r="N859" i="1" l="1"/>
  <c r="K858" i="1"/>
  <c r="N860" i="1" l="1"/>
  <c r="K859" i="1"/>
  <c r="K860" i="1" l="1"/>
  <c r="M860" i="1" s="1"/>
  <c r="N861" i="1" s="1"/>
  <c r="N862" i="1" l="1"/>
  <c r="K861" i="1"/>
  <c r="N863" i="1" l="1"/>
  <c r="K862" i="1"/>
  <c r="N864" i="1" l="1"/>
  <c r="K863" i="1"/>
  <c r="N865" i="1" l="1"/>
  <c r="K864" i="1"/>
  <c r="N866" i="1" l="1"/>
  <c r="K865" i="1"/>
  <c r="N867" i="1" l="1"/>
  <c r="K866" i="1"/>
  <c r="N868" i="1" l="1"/>
  <c r="K867" i="1"/>
  <c r="N869" i="1" l="1"/>
  <c r="K868" i="1"/>
  <c r="N870" i="1" l="1"/>
  <c r="K869" i="1"/>
  <c r="N871" i="1" l="1"/>
  <c r="K870" i="1"/>
  <c r="N872" i="1" l="1"/>
  <c r="K871" i="1"/>
  <c r="N873" i="1" l="1"/>
  <c r="K872" i="1"/>
  <c r="N874" i="1" l="1"/>
  <c r="K873" i="1"/>
  <c r="N875" i="1" l="1"/>
  <c r="K874" i="1"/>
  <c r="N876" i="1" l="1"/>
  <c r="K875" i="1"/>
  <c r="N877" i="1" l="1"/>
  <c r="K876" i="1"/>
  <c r="N878" i="1" l="1"/>
  <c r="K877" i="1"/>
  <c r="N879" i="1" l="1"/>
  <c r="K878" i="1"/>
  <c r="N880" i="1" l="1"/>
  <c r="K879" i="1"/>
  <c r="K880" i="1" l="1"/>
  <c r="M880" i="1" s="1"/>
  <c r="N881" i="1"/>
  <c r="N882" i="1" l="1"/>
  <c r="K881" i="1"/>
  <c r="N883" i="1" l="1"/>
  <c r="K882" i="1"/>
  <c r="N884" i="1" l="1"/>
  <c r="K883" i="1"/>
  <c r="N885" i="1" l="1"/>
  <c r="K884" i="1"/>
  <c r="N886" i="1" l="1"/>
  <c r="K885" i="1"/>
  <c r="N887" i="1" l="1"/>
  <c r="K886" i="1"/>
  <c r="N888" i="1" l="1"/>
  <c r="K887" i="1"/>
  <c r="N889" i="1" l="1"/>
  <c r="K888" i="1"/>
  <c r="N890" i="1" l="1"/>
  <c r="K889" i="1"/>
  <c r="N891" i="1" l="1"/>
  <c r="K890" i="1"/>
  <c r="N892" i="1" l="1"/>
  <c r="K891" i="1"/>
  <c r="N893" i="1" l="1"/>
  <c r="K892" i="1"/>
  <c r="N894" i="1" l="1"/>
  <c r="K893" i="1"/>
  <c r="N895" i="1" l="1"/>
  <c r="K894" i="1"/>
  <c r="N896" i="1" l="1"/>
  <c r="K895" i="1"/>
  <c r="N897" i="1" l="1"/>
  <c r="K896" i="1"/>
  <c r="N898" i="1" l="1"/>
  <c r="K897" i="1"/>
  <c r="N899" i="1" l="1"/>
  <c r="K898" i="1"/>
  <c r="N900" i="1" l="1"/>
  <c r="K899" i="1"/>
  <c r="N901" i="1" l="1"/>
  <c r="K900" i="1"/>
  <c r="N902" i="1" l="1"/>
  <c r="K901" i="1"/>
  <c r="K902" i="1" l="1"/>
  <c r="M902" i="1" s="1"/>
  <c r="N903" i="1" s="1"/>
  <c r="N904" i="1" l="1"/>
  <c r="K903" i="1"/>
  <c r="N905" i="1" l="1"/>
  <c r="K904" i="1"/>
  <c r="N906" i="1" l="1"/>
  <c r="K905" i="1"/>
  <c r="N907" i="1" l="1"/>
  <c r="K906" i="1"/>
  <c r="N908" i="1" l="1"/>
  <c r="K907" i="1"/>
  <c r="N909" i="1" l="1"/>
  <c r="K908" i="1"/>
  <c r="N910" i="1" l="1"/>
  <c r="K909" i="1"/>
  <c r="N911" i="1" l="1"/>
  <c r="K910" i="1"/>
  <c r="N912" i="1" l="1"/>
  <c r="K911" i="1"/>
  <c r="N913" i="1" l="1"/>
  <c r="K912" i="1"/>
  <c r="N914" i="1" l="1"/>
  <c r="K913" i="1"/>
  <c r="N915" i="1" l="1"/>
  <c r="K914" i="1"/>
  <c r="N916" i="1" l="1"/>
  <c r="K915" i="1"/>
  <c r="N917" i="1" l="1"/>
  <c r="K916" i="1"/>
  <c r="N918" i="1" l="1"/>
  <c r="K917" i="1"/>
  <c r="N919" i="1" l="1"/>
  <c r="K918" i="1"/>
  <c r="N920" i="1" l="1"/>
  <c r="K919" i="1"/>
  <c r="N921" i="1" l="1"/>
  <c r="K920" i="1"/>
  <c r="N922" i="1" l="1"/>
  <c r="K921" i="1"/>
  <c r="N923" i="1" l="1"/>
  <c r="K922" i="1"/>
  <c r="N924" i="1" l="1"/>
  <c r="K923" i="1"/>
  <c r="K924" i="1" l="1"/>
  <c r="M924" i="1" s="1"/>
  <c r="N925" i="1"/>
  <c r="N926" i="1" l="1"/>
  <c r="K925" i="1"/>
  <c r="N927" i="1" l="1"/>
  <c r="K926" i="1"/>
  <c r="N928" i="1" l="1"/>
  <c r="K927" i="1"/>
  <c r="N929" i="1" l="1"/>
  <c r="K928" i="1"/>
  <c r="N930" i="1" l="1"/>
  <c r="K929" i="1"/>
  <c r="N931" i="1" l="1"/>
  <c r="K930" i="1"/>
  <c r="N932" i="1" l="1"/>
  <c r="K931" i="1"/>
  <c r="N933" i="1" l="1"/>
  <c r="K932" i="1"/>
  <c r="N934" i="1" l="1"/>
  <c r="K933" i="1"/>
  <c r="N935" i="1" l="1"/>
  <c r="K934" i="1"/>
  <c r="N936" i="1" l="1"/>
  <c r="K935" i="1"/>
  <c r="N937" i="1" l="1"/>
  <c r="K936" i="1"/>
  <c r="N938" i="1" l="1"/>
  <c r="K937" i="1"/>
  <c r="N939" i="1" l="1"/>
  <c r="K938" i="1"/>
  <c r="N940" i="1" l="1"/>
  <c r="K939" i="1"/>
  <c r="N941" i="1" l="1"/>
  <c r="K940" i="1"/>
  <c r="N942" i="1" l="1"/>
  <c r="K941" i="1"/>
  <c r="N943" i="1" l="1"/>
  <c r="K942" i="1"/>
  <c r="K943" i="1" l="1"/>
  <c r="M943" i="1" s="1"/>
  <c r="N944" i="1" s="1"/>
  <c r="N945" i="1" l="1"/>
  <c r="K944" i="1"/>
  <c r="N946" i="1" l="1"/>
  <c r="K945" i="1"/>
  <c r="N947" i="1" l="1"/>
  <c r="K946" i="1"/>
  <c r="N948" i="1" l="1"/>
  <c r="K947" i="1"/>
  <c r="N949" i="1" l="1"/>
  <c r="K948" i="1"/>
  <c r="N950" i="1" l="1"/>
  <c r="K949" i="1"/>
  <c r="N951" i="1" l="1"/>
  <c r="K950" i="1"/>
  <c r="N952" i="1" l="1"/>
  <c r="K951" i="1"/>
  <c r="N953" i="1" l="1"/>
  <c r="K952" i="1"/>
  <c r="N954" i="1" l="1"/>
  <c r="K953" i="1"/>
  <c r="N955" i="1" l="1"/>
  <c r="K954" i="1"/>
  <c r="N956" i="1" l="1"/>
  <c r="K955" i="1"/>
  <c r="N957" i="1" l="1"/>
  <c r="K956" i="1"/>
  <c r="N958" i="1" l="1"/>
  <c r="K957" i="1"/>
  <c r="N959" i="1" l="1"/>
  <c r="K958" i="1"/>
  <c r="N960" i="1" l="1"/>
  <c r="K959" i="1"/>
  <c r="N961" i="1" l="1"/>
  <c r="K960" i="1"/>
  <c r="N962" i="1" l="1"/>
  <c r="K961" i="1"/>
  <c r="N963" i="1" l="1"/>
  <c r="K962" i="1"/>
  <c r="N964" i="1" l="1"/>
  <c r="K963" i="1"/>
  <c r="N965" i="1" l="1"/>
  <c r="K964" i="1"/>
  <c r="K965" i="1" l="1"/>
  <c r="M965" i="1" s="1"/>
  <c r="N966" i="1"/>
  <c r="N967" i="1" l="1"/>
  <c r="K966" i="1"/>
  <c r="N968" i="1" l="1"/>
  <c r="K967" i="1"/>
  <c r="N969" i="1" l="1"/>
  <c r="K968" i="1"/>
  <c r="N970" i="1" l="1"/>
  <c r="K969" i="1"/>
  <c r="N971" i="1" l="1"/>
  <c r="K970" i="1"/>
  <c r="N972" i="1" l="1"/>
  <c r="K971" i="1"/>
  <c r="N973" i="1" l="1"/>
  <c r="K972" i="1"/>
  <c r="N974" i="1" l="1"/>
  <c r="K973" i="1"/>
  <c r="N975" i="1" l="1"/>
  <c r="K974" i="1"/>
  <c r="N976" i="1" l="1"/>
  <c r="K975" i="1"/>
  <c r="N977" i="1" l="1"/>
  <c r="K976" i="1"/>
  <c r="N978" i="1" l="1"/>
  <c r="K977" i="1"/>
  <c r="N979" i="1" l="1"/>
  <c r="K978" i="1"/>
  <c r="N980" i="1" l="1"/>
  <c r="K979" i="1"/>
  <c r="N981" i="1" l="1"/>
  <c r="K980" i="1"/>
  <c r="N982" i="1" l="1"/>
  <c r="K981" i="1"/>
  <c r="N983" i="1" l="1"/>
  <c r="K982" i="1"/>
  <c r="N984" i="1" l="1"/>
  <c r="K983" i="1"/>
  <c r="N985" i="1" l="1"/>
  <c r="K984" i="1"/>
  <c r="N986" i="1" l="1"/>
  <c r="K985" i="1"/>
  <c r="N987" i="1" l="1"/>
  <c r="K986" i="1"/>
  <c r="K987" i="1" l="1"/>
  <c r="M987" i="1" s="1"/>
  <c r="N988" i="1" s="1"/>
  <c r="N989" i="1" l="1"/>
  <c r="K988" i="1"/>
  <c r="N990" i="1" l="1"/>
  <c r="K989" i="1"/>
  <c r="N991" i="1" l="1"/>
  <c r="K990" i="1"/>
  <c r="N992" i="1" l="1"/>
  <c r="K991" i="1"/>
  <c r="N993" i="1" l="1"/>
  <c r="K992" i="1"/>
  <c r="N994" i="1" l="1"/>
  <c r="K993" i="1"/>
  <c r="N995" i="1" l="1"/>
  <c r="K994" i="1"/>
  <c r="N996" i="1" l="1"/>
  <c r="K995" i="1"/>
  <c r="N997" i="1" l="1"/>
  <c r="K996" i="1"/>
  <c r="N998" i="1" l="1"/>
  <c r="K997" i="1"/>
  <c r="N999" i="1" l="1"/>
  <c r="K998" i="1"/>
  <c r="N1000" i="1" l="1"/>
  <c r="K999" i="1"/>
  <c r="N1001" i="1" l="1"/>
  <c r="K1000" i="1"/>
  <c r="N1002" i="1" l="1"/>
  <c r="K1001" i="1"/>
  <c r="N1003" i="1" l="1"/>
  <c r="K1002" i="1"/>
  <c r="N1004" i="1" l="1"/>
  <c r="K1003" i="1"/>
  <c r="N1005" i="1" l="1"/>
  <c r="K1004" i="1"/>
  <c r="N1006" i="1" l="1"/>
  <c r="K1005" i="1"/>
  <c r="N1007" i="1" l="1"/>
  <c r="K1006" i="1"/>
  <c r="K1007" i="1" l="1"/>
  <c r="M1007" i="1" s="1"/>
  <c r="N1008" i="1" s="1"/>
  <c r="N1009" i="1" l="1"/>
  <c r="K1008" i="1"/>
  <c r="N1010" i="1" l="1"/>
  <c r="K1009" i="1"/>
  <c r="N1011" i="1" l="1"/>
  <c r="K1010" i="1"/>
  <c r="N1012" i="1" l="1"/>
  <c r="K1011" i="1"/>
  <c r="N1013" i="1" l="1"/>
  <c r="K1012" i="1"/>
  <c r="N1014" i="1" l="1"/>
  <c r="K1013" i="1"/>
  <c r="N1015" i="1" l="1"/>
  <c r="K1014" i="1"/>
  <c r="N1016" i="1" l="1"/>
  <c r="K1015" i="1"/>
  <c r="N1017" i="1" l="1"/>
  <c r="K1016" i="1"/>
  <c r="N1018" i="1" l="1"/>
  <c r="K1017" i="1"/>
  <c r="N1019" i="1" l="1"/>
  <c r="K1018" i="1"/>
  <c r="N1020" i="1" l="1"/>
  <c r="K1019" i="1"/>
  <c r="N1021" i="1" l="1"/>
  <c r="K1020" i="1"/>
  <c r="N1022" i="1" l="1"/>
  <c r="K1021" i="1"/>
  <c r="N1023" i="1" l="1"/>
  <c r="K1022" i="1"/>
  <c r="N1024" i="1" l="1"/>
  <c r="K1023" i="1"/>
  <c r="N1025" i="1" l="1"/>
  <c r="K1024" i="1"/>
  <c r="N1026" i="1" l="1"/>
  <c r="K1025" i="1"/>
  <c r="N1027" i="1" l="1"/>
  <c r="K1026" i="1"/>
  <c r="N1028" i="1" l="1"/>
  <c r="K1027" i="1"/>
  <c r="N1029" i="1" l="1"/>
  <c r="K1028" i="1"/>
  <c r="N1030" i="1" l="1"/>
  <c r="K1029" i="1"/>
  <c r="K1030" i="1" l="1"/>
  <c r="M1030" i="1" s="1"/>
  <c r="N1031" i="1"/>
  <c r="N1032" i="1" l="1"/>
  <c r="K1031" i="1"/>
  <c r="N1033" i="1" l="1"/>
  <c r="K1032" i="1"/>
  <c r="N1034" i="1" l="1"/>
  <c r="K1033" i="1"/>
  <c r="N1035" i="1" l="1"/>
  <c r="K1034" i="1"/>
  <c r="N1036" i="1" l="1"/>
  <c r="K1035" i="1"/>
  <c r="N1037" i="1" l="1"/>
  <c r="K1036" i="1"/>
  <c r="N1038" i="1" l="1"/>
  <c r="K1037" i="1"/>
  <c r="N1039" i="1" l="1"/>
  <c r="K1038" i="1"/>
  <c r="N1040" i="1" l="1"/>
  <c r="K1039" i="1"/>
  <c r="N1041" i="1" l="1"/>
  <c r="K1040" i="1"/>
  <c r="N1042" i="1" l="1"/>
  <c r="K1041" i="1"/>
  <c r="N1043" i="1" l="1"/>
  <c r="K1042" i="1"/>
  <c r="N1044" i="1" l="1"/>
  <c r="K1043" i="1"/>
  <c r="N1045" i="1" l="1"/>
  <c r="K1044" i="1"/>
  <c r="N1046" i="1" l="1"/>
  <c r="K1045" i="1"/>
  <c r="N1047" i="1" l="1"/>
  <c r="K1046" i="1"/>
  <c r="N1048" i="1" l="1"/>
  <c r="K1047" i="1"/>
  <c r="N1049" i="1" l="1"/>
  <c r="K1048" i="1"/>
  <c r="N1050" i="1" l="1"/>
  <c r="K1049" i="1"/>
  <c r="K1050" i="1" l="1"/>
  <c r="M1050" i="1" s="1"/>
  <c r="N1051" i="1"/>
  <c r="N1052" i="1" l="1"/>
  <c r="K1051" i="1"/>
  <c r="N1053" i="1" l="1"/>
  <c r="K1052" i="1"/>
  <c r="N1054" i="1" l="1"/>
  <c r="K1053" i="1"/>
  <c r="N1055" i="1" l="1"/>
  <c r="K1054" i="1"/>
  <c r="N1056" i="1" l="1"/>
  <c r="K1055" i="1"/>
  <c r="N1057" i="1" l="1"/>
  <c r="K1056" i="1"/>
  <c r="N1058" i="1" l="1"/>
  <c r="K1057" i="1"/>
  <c r="N1059" i="1" l="1"/>
  <c r="K1058" i="1"/>
  <c r="N1060" i="1" l="1"/>
  <c r="K1059" i="1"/>
  <c r="N1061" i="1" l="1"/>
  <c r="K1060" i="1"/>
  <c r="N1062" i="1" l="1"/>
  <c r="K1061" i="1"/>
  <c r="N1063" i="1" l="1"/>
  <c r="K1062" i="1"/>
  <c r="N1064" i="1" l="1"/>
  <c r="K1063" i="1"/>
  <c r="N1065" i="1" l="1"/>
  <c r="K1064" i="1"/>
  <c r="N1066" i="1" l="1"/>
  <c r="K1065" i="1"/>
  <c r="N1067" i="1" l="1"/>
  <c r="K1066" i="1"/>
  <c r="N1068" i="1" l="1"/>
  <c r="K1067" i="1"/>
  <c r="N1069" i="1" l="1"/>
  <c r="K1068" i="1"/>
  <c r="N1070" i="1" l="1"/>
  <c r="K1069" i="1"/>
  <c r="N1071" i="1" l="1"/>
  <c r="K1070" i="1"/>
  <c r="K1071" i="1" l="1"/>
  <c r="M1071" i="1" s="1"/>
  <c r="N1072" i="1" s="1"/>
  <c r="N1073" i="1" l="1"/>
  <c r="K1072" i="1"/>
  <c r="N1074" i="1" l="1"/>
  <c r="K1073" i="1"/>
  <c r="N1075" i="1" l="1"/>
  <c r="K1074" i="1"/>
  <c r="N1076" i="1" l="1"/>
  <c r="K1075" i="1"/>
  <c r="N1077" i="1" l="1"/>
  <c r="K1076" i="1"/>
  <c r="N1078" i="1" l="1"/>
  <c r="K1077" i="1"/>
  <c r="N1079" i="1" l="1"/>
  <c r="K1078" i="1"/>
  <c r="N1080" i="1" l="1"/>
  <c r="K1079" i="1"/>
  <c r="N1081" i="1" l="1"/>
  <c r="K1080" i="1"/>
  <c r="N1082" i="1" l="1"/>
  <c r="K1081" i="1"/>
  <c r="N1083" i="1" l="1"/>
  <c r="K1082" i="1"/>
  <c r="N1084" i="1" l="1"/>
  <c r="K1083" i="1"/>
  <c r="N1085" i="1" l="1"/>
  <c r="K1084" i="1"/>
  <c r="N1086" i="1" l="1"/>
  <c r="K1085" i="1"/>
  <c r="N1087" i="1" l="1"/>
  <c r="K1086" i="1"/>
  <c r="N1088" i="1" l="1"/>
  <c r="K1087" i="1"/>
  <c r="N1089" i="1" l="1"/>
  <c r="K1088" i="1"/>
  <c r="N1090" i="1" l="1"/>
  <c r="K1089" i="1"/>
  <c r="N1091" i="1" l="1"/>
  <c r="K1090" i="1"/>
  <c r="K1091" i="1" l="1"/>
  <c r="M1091" i="1" s="1"/>
  <c r="N1092" i="1" s="1"/>
  <c r="N1093" i="1" l="1"/>
  <c r="K1092" i="1"/>
  <c r="N1094" i="1" l="1"/>
  <c r="K1093" i="1"/>
  <c r="N1095" i="1" l="1"/>
  <c r="K1094" i="1"/>
  <c r="N1096" i="1" l="1"/>
  <c r="K1095" i="1"/>
  <c r="N1097" i="1" l="1"/>
  <c r="K1096" i="1"/>
  <c r="N1098" i="1" l="1"/>
  <c r="K1097" i="1"/>
  <c r="N1099" i="1" l="1"/>
  <c r="K1098" i="1"/>
  <c r="N1100" i="1" l="1"/>
  <c r="K1099" i="1"/>
  <c r="N1101" i="1" l="1"/>
  <c r="K1100" i="1"/>
  <c r="N1102" i="1" l="1"/>
  <c r="K1101" i="1"/>
  <c r="N1103" i="1" l="1"/>
  <c r="K1102" i="1"/>
  <c r="N1104" i="1" l="1"/>
  <c r="K1103" i="1"/>
  <c r="N1105" i="1" l="1"/>
  <c r="K1104" i="1"/>
  <c r="N1106" i="1" l="1"/>
  <c r="K1105" i="1"/>
  <c r="N1107" i="1" l="1"/>
  <c r="K1106" i="1"/>
  <c r="N1108" i="1" l="1"/>
  <c r="K1107" i="1"/>
  <c r="N1109" i="1" l="1"/>
  <c r="K1108" i="1"/>
  <c r="N1110" i="1" l="1"/>
  <c r="K1109" i="1"/>
  <c r="K1110" i="1" l="1"/>
  <c r="M1110" i="1" s="1"/>
  <c r="N1111" i="1"/>
  <c r="N1112" i="1" l="1"/>
  <c r="K1111" i="1"/>
  <c r="N1113" i="1" l="1"/>
  <c r="K1112" i="1"/>
  <c r="N1114" i="1" l="1"/>
  <c r="K1113" i="1"/>
  <c r="N1115" i="1" l="1"/>
  <c r="K1114" i="1"/>
  <c r="N1116" i="1" l="1"/>
  <c r="K1115" i="1"/>
  <c r="N1117" i="1" l="1"/>
  <c r="K1116" i="1"/>
  <c r="N1118" i="1" l="1"/>
  <c r="K1117" i="1"/>
  <c r="N1119" i="1" l="1"/>
  <c r="K1118" i="1"/>
  <c r="N1120" i="1" l="1"/>
  <c r="K1119" i="1"/>
  <c r="N1121" i="1" l="1"/>
  <c r="K1120" i="1"/>
  <c r="N1122" i="1" l="1"/>
  <c r="K1121" i="1"/>
  <c r="N1123" i="1" l="1"/>
  <c r="K1122" i="1"/>
  <c r="N1124" i="1" l="1"/>
  <c r="K1123" i="1"/>
  <c r="N1125" i="1" l="1"/>
  <c r="K1124" i="1"/>
  <c r="N1126" i="1" l="1"/>
  <c r="K1125" i="1"/>
  <c r="N1127" i="1" l="1"/>
  <c r="K1126" i="1"/>
  <c r="N1128" i="1" l="1"/>
  <c r="K1127" i="1"/>
  <c r="N1129" i="1" l="1"/>
  <c r="K1128" i="1"/>
  <c r="N1130" i="1" l="1"/>
  <c r="K1129" i="1"/>
  <c r="N1131" i="1" l="1"/>
  <c r="K1130" i="1"/>
  <c r="K1131" i="1" l="1"/>
  <c r="M1131" i="1" s="1"/>
  <c r="N1132" i="1" s="1"/>
  <c r="N1133" i="1" l="1"/>
  <c r="K1132" i="1"/>
  <c r="N1134" i="1" l="1"/>
  <c r="K1133" i="1"/>
  <c r="N1135" i="1" l="1"/>
  <c r="K1134" i="1"/>
  <c r="N1136" i="1" l="1"/>
  <c r="K1135" i="1"/>
  <c r="N1137" i="1" l="1"/>
  <c r="K1136" i="1"/>
  <c r="N1138" i="1" l="1"/>
  <c r="K1137" i="1"/>
  <c r="N1139" i="1" l="1"/>
  <c r="K1138" i="1"/>
  <c r="N1140" i="1" l="1"/>
  <c r="K1139" i="1"/>
  <c r="N1141" i="1" l="1"/>
  <c r="K1140" i="1"/>
  <c r="N1142" i="1" l="1"/>
  <c r="K1141" i="1"/>
  <c r="N1143" i="1" l="1"/>
  <c r="K1142" i="1"/>
  <c r="N1144" i="1" l="1"/>
  <c r="K1143" i="1"/>
  <c r="N1145" i="1" l="1"/>
  <c r="K1144" i="1"/>
  <c r="N1146" i="1" l="1"/>
  <c r="K1145" i="1"/>
  <c r="N1147" i="1" l="1"/>
  <c r="K1146" i="1"/>
  <c r="N1148" i="1" l="1"/>
  <c r="K1147" i="1"/>
  <c r="N1149" i="1" l="1"/>
  <c r="K1148" i="1"/>
  <c r="N1150" i="1" l="1"/>
  <c r="K1149" i="1"/>
  <c r="N1151" i="1" l="1"/>
  <c r="K1150" i="1"/>
  <c r="N1152" i="1" l="1"/>
  <c r="K1151" i="1"/>
  <c r="K1152" i="1" l="1"/>
  <c r="M1152" i="1" s="1"/>
  <c r="N1153" i="1" s="1"/>
  <c r="N1154" i="1" l="1"/>
  <c r="K1153" i="1"/>
  <c r="N1155" i="1" l="1"/>
  <c r="K1154" i="1"/>
  <c r="N1156" i="1" l="1"/>
  <c r="K1155" i="1"/>
  <c r="N1157" i="1" l="1"/>
  <c r="K1156" i="1"/>
  <c r="N1158" i="1" l="1"/>
  <c r="K1157" i="1"/>
  <c r="N1159" i="1" l="1"/>
  <c r="K1158" i="1"/>
  <c r="N1160" i="1" l="1"/>
  <c r="K1159" i="1"/>
  <c r="N1161" i="1" l="1"/>
  <c r="K1160" i="1"/>
  <c r="N1162" i="1" l="1"/>
  <c r="K1161" i="1"/>
  <c r="N1163" i="1" l="1"/>
  <c r="K1162" i="1"/>
  <c r="N1164" i="1" l="1"/>
  <c r="K1163" i="1"/>
  <c r="N1165" i="1" l="1"/>
  <c r="K1164" i="1"/>
  <c r="N1166" i="1" l="1"/>
  <c r="K1165" i="1"/>
  <c r="N1167" i="1" l="1"/>
  <c r="K1166" i="1"/>
  <c r="N1168" i="1" l="1"/>
  <c r="K1167" i="1"/>
  <c r="N1169" i="1" l="1"/>
  <c r="K1168" i="1"/>
  <c r="N1170" i="1" l="1"/>
  <c r="K1169" i="1"/>
  <c r="N1171" i="1" l="1"/>
  <c r="K1170" i="1"/>
  <c r="N1172" i="1" l="1"/>
  <c r="K1171" i="1"/>
  <c r="N1173" i="1" l="1"/>
  <c r="K1172" i="1"/>
  <c r="K1173" i="1" l="1"/>
  <c r="M1173" i="1" s="1"/>
  <c r="N1174" i="1"/>
  <c r="N1175" i="1" l="1"/>
  <c r="K1174" i="1"/>
  <c r="N1176" i="1" l="1"/>
  <c r="K1175" i="1"/>
  <c r="N1177" i="1" l="1"/>
  <c r="K1176" i="1"/>
  <c r="N1178" i="1" l="1"/>
  <c r="K1177" i="1"/>
  <c r="N1179" i="1" l="1"/>
  <c r="K1178" i="1"/>
  <c r="N1180" i="1" l="1"/>
  <c r="K1179" i="1"/>
  <c r="N1181" i="1" l="1"/>
  <c r="K1180" i="1"/>
  <c r="N1182" i="1" l="1"/>
  <c r="K1181" i="1"/>
  <c r="N1183" i="1" l="1"/>
  <c r="K1182" i="1"/>
  <c r="N1184" i="1" l="1"/>
  <c r="K1183" i="1"/>
  <c r="N1185" i="1" l="1"/>
  <c r="K1184" i="1"/>
  <c r="N1186" i="1" l="1"/>
  <c r="K1185" i="1"/>
  <c r="N1187" i="1" l="1"/>
  <c r="K1186" i="1"/>
  <c r="N1188" i="1" l="1"/>
  <c r="K1187" i="1"/>
  <c r="N1189" i="1" l="1"/>
  <c r="K1188" i="1"/>
  <c r="N1190" i="1" l="1"/>
  <c r="K1189" i="1"/>
  <c r="N1191" i="1" l="1"/>
  <c r="K1190" i="1"/>
  <c r="N1192" i="1" l="1"/>
  <c r="K1191" i="1"/>
  <c r="N1193" i="1" l="1"/>
  <c r="K1192" i="1"/>
  <c r="K1193" i="1" l="1"/>
  <c r="M1193" i="1" s="1"/>
  <c r="N1194" i="1" s="1"/>
  <c r="N1195" i="1" l="1"/>
  <c r="K1194" i="1"/>
  <c r="N1196" i="1" l="1"/>
  <c r="K1195" i="1"/>
  <c r="N1197" i="1" l="1"/>
  <c r="K1196" i="1"/>
  <c r="N1198" i="1" l="1"/>
  <c r="K1197" i="1"/>
  <c r="N1199" i="1" l="1"/>
  <c r="K1198" i="1"/>
  <c r="N1200" i="1" l="1"/>
  <c r="K1199" i="1"/>
  <c r="N1201" i="1" l="1"/>
  <c r="K1200" i="1"/>
  <c r="N1202" i="1" l="1"/>
  <c r="K1201" i="1"/>
  <c r="N1203" i="1" l="1"/>
  <c r="K1202" i="1"/>
  <c r="N1204" i="1" l="1"/>
  <c r="K1203" i="1"/>
  <c r="N1205" i="1" l="1"/>
  <c r="K1204" i="1"/>
  <c r="N1206" i="1" l="1"/>
  <c r="K1205" i="1"/>
  <c r="N1207" i="1" l="1"/>
  <c r="K1206" i="1"/>
  <c r="N1208" i="1" l="1"/>
  <c r="K1207" i="1"/>
  <c r="N1209" i="1" l="1"/>
  <c r="K1208" i="1"/>
  <c r="N1210" i="1" l="1"/>
  <c r="K1209" i="1"/>
  <c r="N1211" i="1" l="1"/>
  <c r="K1210" i="1"/>
  <c r="N1212" i="1" l="1"/>
  <c r="K1211" i="1"/>
  <c r="N1213" i="1" l="1"/>
  <c r="K1212" i="1"/>
  <c r="N1214" i="1" l="1"/>
  <c r="K1213" i="1"/>
  <c r="N1215" i="1" l="1"/>
  <c r="K1214" i="1"/>
  <c r="K1215" i="1" l="1"/>
  <c r="M1215" i="1" s="1"/>
  <c r="N1216" i="1" s="1"/>
  <c r="N1217" i="1" l="1"/>
  <c r="K1216" i="1"/>
  <c r="N1218" i="1" l="1"/>
  <c r="K1217" i="1"/>
  <c r="N1219" i="1" l="1"/>
  <c r="K1218" i="1"/>
  <c r="N1220" i="1" l="1"/>
  <c r="K1219" i="1"/>
  <c r="N1221" i="1" l="1"/>
  <c r="K1220" i="1"/>
  <c r="N1222" i="1" l="1"/>
  <c r="K1221" i="1"/>
  <c r="N1223" i="1" l="1"/>
  <c r="K1222" i="1"/>
  <c r="N1224" i="1" l="1"/>
  <c r="K1223" i="1"/>
  <c r="N1225" i="1" l="1"/>
  <c r="K1224" i="1"/>
  <c r="N1226" i="1" l="1"/>
  <c r="K1225" i="1"/>
  <c r="N1227" i="1" l="1"/>
  <c r="K1226" i="1"/>
  <c r="N1228" i="1" l="1"/>
  <c r="K1227" i="1"/>
  <c r="N1229" i="1" l="1"/>
  <c r="K1228" i="1"/>
  <c r="N1230" i="1" l="1"/>
  <c r="K1229" i="1"/>
  <c r="N1231" i="1" l="1"/>
  <c r="K1230" i="1"/>
  <c r="N1232" i="1" l="1"/>
  <c r="K1231" i="1"/>
  <c r="N1233" i="1" l="1"/>
  <c r="K1232" i="1"/>
  <c r="N1234" i="1" l="1"/>
  <c r="K1233" i="1"/>
  <c r="N1235" i="1" l="1"/>
  <c r="K1234" i="1"/>
  <c r="N1236" i="1" l="1"/>
  <c r="K1235" i="1"/>
  <c r="K1236" i="1" l="1"/>
  <c r="M1236" i="1" s="1"/>
  <c r="N1237" i="1" s="1"/>
  <c r="J7" i="3" l="1"/>
  <c r="J8" i="3"/>
  <c r="N1238" i="1"/>
  <c r="K1237" i="1"/>
  <c r="N1239" i="1" l="1"/>
  <c r="K1238" i="1"/>
  <c r="N1240" i="1" l="1"/>
  <c r="K1239" i="1"/>
  <c r="N1241" i="1" l="1"/>
  <c r="K1240" i="1"/>
  <c r="N1242" i="1" l="1"/>
  <c r="K1241" i="1"/>
  <c r="N1243" i="1" l="1"/>
  <c r="K1242" i="1"/>
  <c r="N1244" i="1" l="1"/>
  <c r="K1243" i="1"/>
  <c r="N1245" i="1" l="1"/>
  <c r="K1244" i="1"/>
  <c r="N1246" i="1" l="1"/>
  <c r="K1245" i="1"/>
  <c r="N1247" i="1" l="1"/>
  <c r="K1246" i="1"/>
  <c r="N1248" i="1" l="1"/>
  <c r="J9" i="3" s="1"/>
  <c r="K1247" i="1"/>
  <c r="K1248" i="1" l="1"/>
</calcChain>
</file>

<file path=xl/sharedStrings.xml><?xml version="1.0" encoding="utf-8"?>
<sst xmlns="http://schemas.openxmlformats.org/spreadsheetml/2006/main" count="779" uniqueCount="778">
  <si>
    <t>Date</t>
  </si>
  <si>
    <t>Close/Last</t>
  </si>
  <si>
    <t>Volume</t>
  </si>
  <si>
    <t>Open</t>
  </si>
  <si>
    <t>High</t>
  </si>
  <si>
    <t>Low</t>
  </si>
  <si>
    <t>09/18/2025</t>
  </si>
  <si>
    <t>09/17/2025</t>
  </si>
  <si>
    <t>09/16/2025</t>
  </si>
  <si>
    <t>09/15/2025</t>
  </si>
  <si>
    <t>08/29/2025</t>
  </si>
  <si>
    <t>08/28/2025</t>
  </si>
  <si>
    <t>08/27/2025</t>
  </si>
  <si>
    <t>08/26/2025</t>
  </si>
  <si>
    <t>08/25/2025</t>
  </si>
  <si>
    <t>08/22/2025</t>
  </si>
  <si>
    <t>08/21/2025</t>
  </si>
  <si>
    <t>08/20/2025</t>
  </si>
  <si>
    <t>08/19/2025</t>
  </si>
  <si>
    <t>08/18/2025</t>
  </si>
  <si>
    <t>08/15/2025</t>
  </si>
  <si>
    <t>08/14/2025</t>
  </si>
  <si>
    <t>08/13/2025</t>
  </si>
  <si>
    <t>07/31/2025</t>
  </si>
  <si>
    <t>07/30/2025</t>
  </si>
  <si>
    <t>07/29/2025</t>
  </si>
  <si>
    <t>07/28/2025</t>
  </si>
  <si>
    <t>07/25/2025</t>
  </si>
  <si>
    <t>07/24/2025</t>
  </si>
  <si>
    <t>07/23/2025</t>
  </si>
  <si>
    <t>07/22/2025</t>
  </si>
  <si>
    <t>07/21/2025</t>
  </si>
  <si>
    <t>07/18/2025</t>
  </si>
  <si>
    <t>07/17/2025</t>
  </si>
  <si>
    <t>07/16/2025</t>
  </si>
  <si>
    <t>07/15/2025</t>
  </si>
  <si>
    <t>07/14/2025</t>
  </si>
  <si>
    <t>06/30/2025</t>
  </si>
  <si>
    <t>06/27/2025</t>
  </si>
  <si>
    <t>06/26/2025</t>
  </si>
  <si>
    <t>06/25/2025</t>
  </si>
  <si>
    <t>06/24/2025</t>
  </si>
  <si>
    <t>06/23/2025</t>
  </si>
  <si>
    <t>06/20/2025</t>
  </si>
  <si>
    <t>06/18/2025</t>
  </si>
  <si>
    <t>06/17/2025</t>
  </si>
  <si>
    <t>06/16/2025</t>
  </si>
  <si>
    <t>06/13/2025</t>
  </si>
  <si>
    <t>05/30/2025</t>
  </si>
  <si>
    <t>05/29/2025</t>
  </si>
  <si>
    <t>05/28/2025</t>
  </si>
  <si>
    <t>05/27/2025</t>
  </si>
  <si>
    <t>05/23/2025</t>
  </si>
  <si>
    <t>05/22/2025</t>
  </si>
  <si>
    <t>05/21/2025</t>
  </si>
  <si>
    <t>05/20/2025</t>
  </si>
  <si>
    <t>05/19/2025</t>
  </si>
  <si>
    <t>05/16/2025</t>
  </si>
  <si>
    <t>05/15/2025</t>
  </si>
  <si>
    <t>05/14/2025</t>
  </si>
  <si>
    <t>05/13/2025</t>
  </si>
  <si>
    <t>04/30/2025</t>
  </si>
  <si>
    <t>04/29/2025</t>
  </si>
  <si>
    <t>04/28/2025</t>
  </si>
  <si>
    <t>04/25/2025</t>
  </si>
  <si>
    <t>04/24/2025</t>
  </si>
  <si>
    <t>04/23/2025</t>
  </si>
  <si>
    <t>04/22/2025</t>
  </si>
  <si>
    <t>04/21/2025</t>
  </si>
  <si>
    <t>04/17/2025</t>
  </si>
  <si>
    <t>04/16/2025</t>
  </si>
  <si>
    <t>04/15/2025</t>
  </si>
  <si>
    <t>04/14/2025</t>
  </si>
  <si>
    <t>03/31/2025</t>
  </si>
  <si>
    <t>03/28/2025</t>
  </si>
  <si>
    <t>03/27/2025</t>
  </si>
  <si>
    <t>03/26/2025</t>
  </si>
  <si>
    <t>03/25/2025</t>
  </si>
  <si>
    <t>03/24/2025</t>
  </si>
  <si>
    <t>03/21/2025</t>
  </si>
  <si>
    <t>03/20/2025</t>
  </si>
  <si>
    <t>03/19/2025</t>
  </si>
  <si>
    <t>03/18/2025</t>
  </si>
  <si>
    <t>03/17/2025</t>
  </si>
  <si>
    <t>03/14/2025</t>
  </si>
  <si>
    <t>03/13/2025</t>
  </si>
  <si>
    <t>02/28/2025</t>
  </si>
  <si>
    <t>02/27/2025</t>
  </si>
  <si>
    <t>02/26/2025</t>
  </si>
  <si>
    <t>02/25/2025</t>
  </si>
  <si>
    <t>02/24/2025</t>
  </si>
  <si>
    <t>02/21/2025</t>
  </si>
  <si>
    <t>02/20/2025</t>
  </si>
  <si>
    <t>02/19/2025</t>
  </si>
  <si>
    <t>02/18/2025</t>
  </si>
  <si>
    <t>02/14/2025</t>
  </si>
  <si>
    <t>02/13/2025</t>
  </si>
  <si>
    <t>01/31/2025</t>
  </si>
  <si>
    <t>01/30/2025</t>
  </si>
  <si>
    <t>01/29/2025</t>
  </si>
  <si>
    <t>01/28/2025</t>
  </si>
  <si>
    <t>01/27/2025</t>
  </si>
  <si>
    <t>01/24/2025</t>
  </si>
  <si>
    <t>01/23/2025</t>
  </si>
  <si>
    <t>01/22/2025</t>
  </si>
  <si>
    <t>01/21/2025</t>
  </si>
  <si>
    <t>01/17/2025</t>
  </si>
  <si>
    <t>01/16/2025</t>
  </si>
  <si>
    <t>01/15/2025</t>
  </si>
  <si>
    <t>01/14/2025</t>
  </si>
  <si>
    <t>01/13/2025</t>
  </si>
  <si>
    <t>12/31/2024</t>
  </si>
  <si>
    <t>12/30/2024</t>
  </si>
  <si>
    <t>12/27/2024</t>
  </si>
  <si>
    <t>12/26/2024</t>
  </si>
  <si>
    <t>12/24/2024</t>
  </si>
  <si>
    <t>12/23/2024</t>
  </si>
  <si>
    <t>12/20/2024</t>
  </si>
  <si>
    <t>12/19/2024</t>
  </si>
  <si>
    <t>12/18/2024</t>
  </si>
  <si>
    <t>12/17/2024</t>
  </si>
  <si>
    <t>12/16/2024</t>
  </si>
  <si>
    <t>12/13/2024</t>
  </si>
  <si>
    <t>11/29/2024</t>
  </si>
  <si>
    <t>11/27/2024</t>
  </si>
  <si>
    <t>11/26/2024</t>
  </si>
  <si>
    <t>11/25/2024</t>
  </si>
  <si>
    <t>11/22/2024</t>
  </si>
  <si>
    <t>11/21/2024</t>
  </si>
  <si>
    <t>11/20/2024</t>
  </si>
  <si>
    <t>11/19/2024</t>
  </si>
  <si>
    <t>11/18/2024</t>
  </si>
  <si>
    <t>11/15/2024</t>
  </si>
  <si>
    <t>11/14/2024</t>
  </si>
  <si>
    <t>11/13/2024</t>
  </si>
  <si>
    <t>10/31/2024</t>
  </si>
  <si>
    <t>10/30/2024</t>
  </si>
  <si>
    <t>10/29/2024</t>
  </si>
  <si>
    <t>10/28/2024</t>
  </si>
  <si>
    <t>10/25/2024</t>
  </si>
  <si>
    <t>10/24/2024</t>
  </si>
  <si>
    <t>10/23/2024</t>
  </si>
  <si>
    <t>10/22/2024</t>
  </si>
  <si>
    <t>10/21/2024</t>
  </si>
  <si>
    <t>10/18/2024</t>
  </si>
  <si>
    <t>10/17/2024</t>
  </si>
  <si>
    <t>10/16/2024</t>
  </si>
  <si>
    <t>10/15/2024</t>
  </si>
  <si>
    <t>10/14/2024</t>
  </si>
  <si>
    <t>09/30/2024</t>
  </si>
  <si>
    <t>09/27/2024</t>
  </si>
  <si>
    <t>09/26/2024</t>
  </si>
  <si>
    <t>09/25/2024</t>
  </si>
  <si>
    <t>09/24/2024</t>
  </si>
  <si>
    <t>09/23/2024</t>
  </si>
  <si>
    <t>09/20/2024</t>
  </si>
  <si>
    <t>09/19/2024</t>
  </si>
  <si>
    <t>09/18/2024</t>
  </si>
  <si>
    <t>09/17/2024</t>
  </si>
  <si>
    <t>09/16/2024</t>
  </si>
  <si>
    <t>09/13/2024</t>
  </si>
  <si>
    <t>08/30/2024</t>
  </si>
  <si>
    <t>08/29/2024</t>
  </si>
  <si>
    <t>08/28/2024</t>
  </si>
  <si>
    <t>08/27/2024</t>
  </si>
  <si>
    <t>08/26/2024</t>
  </si>
  <si>
    <t>08/23/2024</t>
  </si>
  <si>
    <t>08/22/2024</t>
  </si>
  <si>
    <t>08/21/2024</t>
  </si>
  <si>
    <t>08/20/2024</t>
  </si>
  <si>
    <t>08/19/2024</t>
  </si>
  <si>
    <t>08/16/2024</t>
  </si>
  <si>
    <t>08/15/2024</t>
  </si>
  <si>
    <t>08/14/2024</t>
  </si>
  <si>
    <t>08/13/2024</t>
  </si>
  <si>
    <t>07/31/2024</t>
  </si>
  <si>
    <t>07/30/2024</t>
  </si>
  <si>
    <t>07/29/2024</t>
  </si>
  <si>
    <t>07/26/2024</t>
  </si>
  <si>
    <t>07/25/2024</t>
  </si>
  <si>
    <t>07/24/2024</t>
  </si>
  <si>
    <t>07/23/2024</t>
  </si>
  <si>
    <t>07/22/2024</t>
  </si>
  <si>
    <t>07/19/2024</t>
  </si>
  <si>
    <t>07/18/2024</t>
  </si>
  <si>
    <t>07/17/2024</t>
  </si>
  <si>
    <t>07/16/2024</t>
  </si>
  <si>
    <t>07/15/2024</t>
  </si>
  <si>
    <t>06/28/2024</t>
  </si>
  <si>
    <t>06/27/2024</t>
  </si>
  <si>
    <t>06/26/2024</t>
  </si>
  <si>
    <t>06/25/2024</t>
  </si>
  <si>
    <t>06/24/2024</t>
  </si>
  <si>
    <t>06/21/2024</t>
  </si>
  <si>
    <t>06/20/2024</t>
  </si>
  <si>
    <t>06/18/2024</t>
  </si>
  <si>
    <t>06/17/2024</t>
  </si>
  <si>
    <t>06/14/2024</t>
  </si>
  <si>
    <t>06/13/2024</t>
  </si>
  <si>
    <t>05/31/2024</t>
  </si>
  <si>
    <t>05/30/2024</t>
  </si>
  <si>
    <t>05/29/2024</t>
  </si>
  <si>
    <t>05/28/2024</t>
  </si>
  <si>
    <t>05/24/2024</t>
  </si>
  <si>
    <t>05/23/2024</t>
  </si>
  <si>
    <t>05/22/2024</t>
  </si>
  <si>
    <t>05/21/2024</t>
  </si>
  <si>
    <t>05/20/2024</t>
  </si>
  <si>
    <t>05/17/2024</t>
  </si>
  <si>
    <t>05/16/2024</t>
  </si>
  <si>
    <t>05/15/2024</t>
  </si>
  <si>
    <t>05/14/2024</t>
  </si>
  <si>
    <t>05/13/2024</t>
  </si>
  <si>
    <t>04/30/2024</t>
  </si>
  <si>
    <t>04/29/2024</t>
  </si>
  <si>
    <t>04/26/2024</t>
  </si>
  <si>
    <t>04/25/2024</t>
  </si>
  <si>
    <t>04/24/2024</t>
  </si>
  <si>
    <t>04/23/2024</t>
  </si>
  <si>
    <t>04/22/2024</t>
  </si>
  <si>
    <t>04/19/2024</t>
  </si>
  <si>
    <t>04/18/2024</t>
  </si>
  <si>
    <t>04/17/2024</t>
  </si>
  <si>
    <t>04/16/2024</t>
  </si>
  <si>
    <t>04/15/2024</t>
  </si>
  <si>
    <t>03/28/2024</t>
  </si>
  <si>
    <t>03/27/2024</t>
  </si>
  <si>
    <t>03/26/2024</t>
  </si>
  <si>
    <t>03/25/2024</t>
  </si>
  <si>
    <t>03/22/2024</t>
  </si>
  <si>
    <t>03/21/2024</t>
  </si>
  <si>
    <t>03/20/2024</t>
  </si>
  <si>
    <t>03/19/2024</t>
  </si>
  <si>
    <t>03/18/2024</t>
  </si>
  <si>
    <t>03/15/2024</t>
  </si>
  <si>
    <t>03/14/2024</t>
  </si>
  <si>
    <t>03/13/2024</t>
  </si>
  <si>
    <t>02/29/2024</t>
  </si>
  <si>
    <t>02/28/2024</t>
  </si>
  <si>
    <t>02/27/2024</t>
  </si>
  <si>
    <t>02/26/2024</t>
  </si>
  <si>
    <t>02/23/2024</t>
  </si>
  <si>
    <t>02/22/2024</t>
  </si>
  <si>
    <t>02/21/2024</t>
  </si>
  <si>
    <t>02/20/2024</t>
  </si>
  <si>
    <t>02/16/2024</t>
  </si>
  <si>
    <t>02/15/2024</t>
  </si>
  <si>
    <t>02/14/2024</t>
  </si>
  <si>
    <t>02/13/2024</t>
  </si>
  <si>
    <t>01/31/2024</t>
  </si>
  <si>
    <t>01/30/2024</t>
  </si>
  <si>
    <t>01/29/2024</t>
  </si>
  <si>
    <t>01/26/2024</t>
  </si>
  <si>
    <t>01/25/2024</t>
  </si>
  <si>
    <t>01/24/2024</t>
  </si>
  <si>
    <t>01/23/2024</t>
  </si>
  <si>
    <t>01/22/2024</t>
  </si>
  <si>
    <t>01/19/2024</t>
  </si>
  <si>
    <t>01/18/2024</t>
  </si>
  <si>
    <t>01/17/2024</t>
  </si>
  <si>
    <t>01/16/2024</t>
  </si>
  <si>
    <t>12/29/2023</t>
  </si>
  <si>
    <t>12/28/2023</t>
  </si>
  <si>
    <t>12/27/2023</t>
  </si>
  <si>
    <t>12/26/2023</t>
  </si>
  <si>
    <t>12/22/2023</t>
  </si>
  <si>
    <t>12/21/2023</t>
  </si>
  <si>
    <t>12/20/2023</t>
  </si>
  <si>
    <t>12/19/2023</t>
  </si>
  <si>
    <t>12/18/2023</t>
  </si>
  <si>
    <t>12/15/2023</t>
  </si>
  <si>
    <t>12/14/2023</t>
  </si>
  <si>
    <t>12/13/2023</t>
  </si>
  <si>
    <t>11/30/2023</t>
  </si>
  <si>
    <t>11/29/2023</t>
  </si>
  <si>
    <t>11/28/2023</t>
  </si>
  <si>
    <t>11/27/2023</t>
  </si>
  <si>
    <t>11/24/2023</t>
  </si>
  <si>
    <t>11/22/2023</t>
  </si>
  <si>
    <t>11/21/2023</t>
  </si>
  <si>
    <t>11/20/2023</t>
  </si>
  <si>
    <t>11/17/2023</t>
  </si>
  <si>
    <t>11/16/2023</t>
  </si>
  <si>
    <t>11/15/2023</t>
  </si>
  <si>
    <t>11/14/2023</t>
  </si>
  <si>
    <t>11/13/2023</t>
  </si>
  <si>
    <t>10/31/2023</t>
  </si>
  <si>
    <t>10/30/2023</t>
  </si>
  <si>
    <t>10/27/2023</t>
  </si>
  <si>
    <t>10/26/2023</t>
  </si>
  <si>
    <t>10/25/2023</t>
  </si>
  <si>
    <t>10/24/2023</t>
  </si>
  <si>
    <t>10/23/2023</t>
  </si>
  <si>
    <t>10/20/2023</t>
  </si>
  <si>
    <t>10/19/2023</t>
  </si>
  <si>
    <t>10/18/2023</t>
  </si>
  <si>
    <t>10/17/2023</t>
  </si>
  <si>
    <t>10/16/2023</t>
  </si>
  <si>
    <t>10/13/2023</t>
  </si>
  <si>
    <t>09/29/2023</t>
  </si>
  <si>
    <t>09/28/2023</t>
  </si>
  <si>
    <t>09/27/2023</t>
  </si>
  <si>
    <t>09/26/2023</t>
  </si>
  <si>
    <t>09/25/2023</t>
  </si>
  <si>
    <t>09/22/2023</t>
  </si>
  <si>
    <t>09/21/2023</t>
  </si>
  <si>
    <t>09/20/2023</t>
  </si>
  <si>
    <t>09/19/2023</t>
  </si>
  <si>
    <t>09/18/2023</t>
  </si>
  <si>
    <t>09/15/2023</t>
  </si>
  <si>
    <t>09/14/2023</t>
  </si>
  <si>
    <t>09/13/2023</t>
  </si>
  <si>
    <t>08/31/2023</t>
  </si>
  <si>
    <t>08/30/2023</t>
  </si>
  <si>
    <t>08/29/2023</t>
  </si>
  <si>
    <t>08/28/2023</t>
  </si>
  <si>
    <t>08/25/2023</t>
  </si>
  <si>
    <t>08/24/2023</t>
  </si>
  <si>
    <t>08/23/2023</t>
  </si>
  <si>
    <t>08/22/2023</t>
  </si>
  <si>
    <t>08/21/2023</t>
  </si>
  <si>
    <t>08/18/2023</t>
  </si>
  <si>
    <t>08/17/2023</t>
  </si>
  <si>
    <t>08/16/2023</t>
  </si>
  <si>
    <t>08/15/2023</t>
  </si>
  <si>
    <t>08/14/2023</t>
  </si>
  <si>
    <t>07/31/2023</t>
  </si>
  <si>
    <t>07/28/2023</t>
  </si>
  <si>
    <t>07/27/2023</t>
  </si>
  <si>
    <t>07/26/2023</t>
  </si>
  <si>
    <t>07/25/2023</t>
  </si>
  <si>
    <t>07/24/2023</t>
  </si>
  <si>
    <t>07/21/2023</t>
  </si>
  <si>
    <t>07/20/2023</t>
  </si>
  <si>
    <t>07/19/2023</t>
  </si>
  <si>
    <t>07/18/2023</t>
  </si>
  <si>
    <t>07/17/2023</t>
  </si>
  <si>
    <t>07/14/2023</t>
  </si>
  <si>
    <t>07/13/2023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</si>
  <si>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</si>
  <si>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</si>
  <si>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</si>
  <si>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</si>
  <si>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</si>
  <si>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</si>
  <si>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</si>
  <si>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</si>
  <si>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</si>
  <si>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</si>
  <si>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</si>
  <si>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</si>
  <si>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</si>
  <si>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</si>
  <si>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</si>
  <si>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</si>
  <si>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</si>
  <si>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</si>
  <si>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</si>
  <si>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</si>
  <si>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</si>
  <si>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</si>
  <si>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</si>
  <si>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</si>
  <si>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</si>
  <si>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</si>
  <si>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</si>
  <si>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</si>
  <si>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</si>
  <si>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</si>
  <si>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</si>
  <si>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</si>
  <si>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</si>
  <si>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</si>
  <si>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</si>
  <si>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</si>
  <si>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</si>
  <si>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</si>
  <si>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</si>
  <si>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</si>
  <si>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</si>
  <si>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</si>
  <si>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</si>
  <si>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</si>
  <si>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</si>
  <si>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</si>
  <si>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</si>
  <si>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</si>
  <si>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</si>
  <si>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</si>
  <si>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</si>
  <si>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</si>
  <si>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</si>
  <si>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</si>
  <si>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</si>
  <si>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</si>
  <si>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</si>
  <si>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</si>
  <si>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</si>
  <si>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</si>
  <si>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</si>
  <si>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</si>
  <si>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</si>
  <si>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</si>
  <si>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</si>
  <si>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</si>
  <si>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</si>
  <si>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</si>
  <si>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</si>
  <si>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</si>
  <si>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</si>
  <si>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</si>
  <si>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</si>
  <si>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</si>
  <si>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</si>
  <si>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12/30/2022</t>
  </si>
  <si>
    <t>12/29/2022</t>
  </si>
  <si>
    <t>12/28/2022</t>
  </si>
  <si>
    <t>12/27/2022</t>
  </si>
  <si>
    <t>12/23/2022</t>
  </si>
  <si>
    <t>12/22/2022</t>
  </si>
  <si>
    <t>12/21/2022</t>
  </si>
  <si>
    <t>12/20/2022</t>
  </si>
  <si>
    <t>12/19/2022</t>
  </si>
  <si>
    <t>12/16/2022</t>
  </si>
  <si>
    <t>12/15/2022</t>
  </si>
  <si>
    <t>12/14/2022</t>
  </si>
  <si>
    <t>12/13/2022</t>
  </si>
  <si>
    <t>11/30/2022</t>
  </si>
  <si>
    <t>11/29/2022</t>
  </si>
  <si>
    <t>11/28/2022</t>
  </si>
  <si>
    <t>11/25/2022</t>
  </si>
  <si>
    <t>11/23/2022</t>
  </si>
  <si>
    <t>11/22/2022</t>
  </si>
  <si>
    <t>11/21/2022</t>
  </si>
  <si>
    <t>11/18/2022</t>
  </si>
  <si>
    <t>11/17/2022</t>
  </si>
  <si>
    <t>11/16/2022</t>
  </si>
  <si>
    <t>11/15/2022</t>
  </si>
  <si>
    <t>11/14/2022</t>
  </si>
  <si>
    <t>10/31/2022</t>
  </si>
  <si>
    <t>10/28/2022</t>
  </si>
  <si>
    <t>10/27/2022</t>
  </si>
  <si>
    <t>10/26/2022</t>
  </si>
  <si>
    <t>10/25/2022</t>
  </si>
  <si>
    <t>10/24/2022</t>
  </si>
  <si>
    <t>10/21/2022</t>
  </si>
  <si>
    <t>10/20/2022</t>
  </si>
  <si>
    <t>10/19/2022</t>
  </si>
  <si>
    <t>10/18/2022</t>
  </si>
  <si>
    <t>10/17/2022</t>
  </si>
  <si>
    <t>10/14/2022</t>
  </si>
  <si>
    <t>10/13/2022</t>
  </si>
  <si>
    <t>09/30/2022</t>
  </si>
  <si>
    <t>09/29/2022</t>
  </si>
  <si>
    <t>09/28/2022</t>
  </si>
  <si>
    <t>09/27/2022</t>
  </si>
  <si>
    <t>09/26/2022</t>
  </si>
  <si>
    <t>09/23/2022</t>
  </si>
  <si>
    <t>09/22/2022</t>
  </si>
  <si>
    <t>09/21/2022</t>
  </si>
  <si>
    <t>09/20/2022</t>
  </si>
  <si>
    <t>09/19/2022</t>
  </si>
  <si>
    <t>09/16/2022</t>
  </si>
  <si>
    <t>09/15/2022</t>
  </si>
  <si>
    <t>09/14/2022</t>
  </si>
  <si>
    <t>09/13/2022</t>
  </si>
  <si>
    <t>08/31/2022</t>
  </si>
  <si>
    <t>08/30/2022</t>
  </si>
  <si>
    <t>08/29/2022</t>
  </si>
  <si>
    <t>08/26/2022</t>
  </si>
  <si>
    <t>08/25/2022</t>
  </si>
  <si>
    <t>08/24/2022</t>
  </si>
  <si>
    <t>08/23/2022</t>
  </si>
  <si>
    <t>08/22/2022</t>
  </si>
  <si>
    <t>08/19/2022</t>
  </si>
  <si>
    <t>08/18/2022</t>
  </si>
  <si>
    <t>08/17/2022</t>
  </si>
  <si>
    <t>08/16/2022</t>
  </si>
  <si>
    <t>08/15/2022</t>
  </si>
  <si>
    <t>07/29/2022</t>
  </si>
  <si>
    <t>07/28/2022</t>
  </si>
  <si>
    <t>07/27/2022</t>
  </si>
  <si>
    <t>07/26/2022</t>
  </si>
  <si>
    <t>07/25/2022</t>
  </si>
  <si>
    <t>07/22/2022</t>
  </si>
  <si>
    <t>07/21/2022</t>
  </si>
  <si>
    <t>07/20/2022</t>
  </si>
  <si>
    <t>07/19/2022</t>
  </si>
  <si>
    <t>07/18/2022</t>
  </si>
  <si>
    <t>07/15/2022</t>
  </si>
  <si>
    <t>07/14/2022</t>
  </si>
  <si>
    <t>07/13/2022</t>
  </si>
  <si>
    <t>06/30/2022</t>
  </si>
  <si>
    <t>06/29/2022</t>
  </si>
  <si>
    <t>06/28/2022</t>
  </si>
  <si>
    <t>06/27/2022</t>
  </si>
  <si>
    <t>06/24/2022</t>
  </si>
  <si>
    <t>06/23/2022</t>
  </si>
  <si>
    <t>06/22/2022</t>
  </si>
  <si>
    <t>06/21/2022</t>
  </si>
  <si>
    <t>06/17/2022</t>
  </si>
  <si>
    <t>06/16/2022</t>
  </si>
  <si>
    <t>06/15/2022</t>
  </si>
  <si>
    <t>06/14/2022</t>
  </si>
  <si>
    <t>06/13/2022</t>
  </si>
  <si>
    <t>05/31/2022</t>
  </si>
  <si>
    <t>05/27/2022</t>
  </si>
  <si>
    <t>05/26/2022</t>
  </si>
  <si>
    <t>05/25/2022</t>
  </si>
  <si>
    <t>05/24/2022</t>
  </si>
  <si>
    <t>05/23/2022</t>
  </si>
  <si>
    <t>05/20/2022</t>
  </si>
  <si>
    <t>05/19/2022</t>
  </si>
  <si>
    <t>05/18/2022</t>
  </si>
  <si>
    <t>05/17/2022</t>
  </si>
  <si>
    <t>05/16/2022</t>
  </si>
  <si>
    <t>05/13/2022</t>
  </si>
  <si>
    <t>04/29/2022</t>
  </si>
  <si>
    <t>04/28/2022</t>
  </si>
  <si>
    <t>04/27/2022</t>
  </si>
  <si>
    <t>04/26/2022</t>
  </si>
  <si>
    <t>04/25/2022</t>
  </si>
  <si>
    <t>04/22/2022</t>
  </si>
  <si>
    <t>04/21/2022</t>
  </si>
  <si>
    <t>04/20/2022</t>
  </si>
  <si>
    <t>04/19/2022</t>
  </si>
  <si>
    <t>04/18/2022</t>
  </si>
  <si>
    <t>04/14/2022</t>
  </si>
  <si>
    <t>04/13/2022</t>
  </si>
  <si>
    <t>03/31/2022</t>
  </si>
  <si>
    <t>03/30/2022</t>
  </si>
  <si>
    <t>03/29/2022</t>
  </si>
  <si>
    <t>03/28/2022</t>
  </si>
  <si>
    <t>03/25/2022</t>
  </si>
  <si>
    <t>03/24/2022</t>
  </si>
  <si>
    <t>03/23/2022</t>
  </si>
  <si>
    <t>03/22/2022</t>
  </si>
  <si>
    <t>03/21/2022</t>
  </si>
  <si>
    <t>03/18/2022</t>
  </si>
  <si>
    <t>03/17/2022</t>
  </si>
  <si>
    <t>03/16/2022</t>
  </si>
  <si>
    <t>03/15/2022</t>
  </si>
  <si>
    <t>03/14/2022</t>
  </si>
  <si>
    <t>02/28/2022</t>
  </si>
  <si>
    <t>02/25/2022</t>
  </si>
  <si>
    <t>02/24/2022</t>
  </si>
  <si>
    <t>02/23/2022</t>
  </si>
  <si>
    <t>02/22/2022</t>
  </si>
  <si>
    <t>02/18/2022</t>
  </si>
  <si>
    <t>02/17/2022</t>
  </si>
  <si>
    <t>02/16/2022</t>
  </si>
  <si>
    <t>02/15/2022</t>
  </si>
  <si>
    <t>02/14/2022</t>
  </si>
  <si>
    <t>01/31/2022</t>
  </si>
  <si>
    <t>01/28/2022</t>
  </si>
  <si>
    <t>01/27/2022</t>
  </si>
  <si>
    <t>01/26/2022</t>
  </si>
  <si>
    <t>01/25/2022</t>
  </si>
  <si>
    <t>01/24/2022</t>
  </si>
  <si>
    <t>01/21/2022</t>
  </si>
  <si>
    <t>01/20/2022</t>
  </si>
  <si>
    <t>01/19/2022</t>
  </si>
  <si>
    <t>01/18/2022</t>
  </si>
  <si>
    <t>01/14/2022</t>
  </si>
  <si>
    <t>01/13/2022</t>
  </si>
  <si>
    <t>12/31/2021</t>
  </si>
  <si>
    <t>12/30/2021</t>
  </si>
  <si>
    <t>12/29/2021</t>
  </si>
  <si>
    <t>12/28/2021</t>
  </si>
  <si>
    <t>12/27/2021</t>
  </si>
  <si>
    <t>12/23/2021</t>
  </si>
  <si>
    <t>12/22/2021</t>
  </si>
  <si>
    <t>12/21/2021</t>
  </si>
  <si>
    <t>12/20/2021</t>
  </si>
  <si>
    <t>12/17/2021</t>
  </si>
  <si>
    <t>12/16/2021</t>
  </si>
  <si>
    <t>12/15/2021</t>
  </si>
  <si>
    <t>12/14/2021</t>
  </si>
  <si>
    <t>12/13/2021</t>
  </si>
  <si>
    <t>11/30/2021</t>
  </si>
  <si>
    <t>11/29/2021</t>
  </si>
  <si>
    <t>11/26/2021</t>
  </si>
  <si>
    <t>11/24/2021</t>
  </si>
  <si>
    <t>11/23/2021</t>
  </si>
  <si>
    <t>11/22/2021</t>
  </si>
  <si>
    <t>11/19/2021</t>
  </si>
  <si>
    <t>11/18/2021</t>
  </si>
  <si>
    <t>11/17/2021</t>
  </si>
  <si>
    <t>11/16/2021</t>
  </si>
  <si>
    <t>11/15/2021</t>
  </si>
  <si>
    <t>10/29/2021</t>
  </si>
  <si>
    <t>10/28/2021</t>
  </si>
  <si>
    <t>10/27/2021</t>
  </si>
  <si>
    <t>10/26/2021</t>
  </si>
  <si>
    <t>10/25/2021</t>
  </si>
  <si>
    <t>10/22/2021</t>
  </si>
  <si>
    <t>10/21/2021</t>
  </si>
  <si>
    <t>10/20/2021</t>
  </si>
  <si>
    <t>10/19/2021</t>
  </si>
  <si>
    <t>10/18/2021</t>
  </si>
  <si>
    <t>10/15/2021</t>
  </si>
  <si>
    <t>10/14/2021</t>
  </si>
  <si>
    <t>10/13/2021</t>
  </si>
  <si>
    <t>09/30/2021</t>
  </si>
  <si>
    <t>09/29/2021</t>
  </si>
  <si>
    <t>09/28/2021</t>
  </si>
  <si>
    <t>09/27/2021</t>
  </si>
  <si>
    <t>09/24/2021</t>
  </si>
  <si>
    <t>09/23/2021</t>
  </si>
  <si>
    <t>09/22/2021</t>
  </si>
  <si>
    <t>09/21/2021</t>
  </si>
  <si>
    <t>09/20/2021</t>
  </si>
  <si>
    <t>09/17/2021</t>
  </si>
  <si>
    <t>09/16/2021</t>
  </si>
  <si>
    <t>09/15/2021</t>
  </si>
  <si>
    <t>09/14/2021</t>
  </si>
  <si>
    <t>09/13/2021</t>
  </si>
  <si>
    <t>08/31/2021</t>
  </si>
  <si>
    <t>08/30/2021</t>
  </si>
  <si>
    <t>08/27/2021</t>
  </si>
  <si>
    <t>08/26/2021</t>
  </si>
  <si>
    <t>08/25/2021</t>
  </si>
  <si>
    <t>08/24/2021</t>
  </si>
  <si>
    <t>08/23/2021</t>
  </si>
  <si>
    <t>08/20/2021</t>
  </si>
  <si>
    <t>08/19/2021</t>
  </si>
  <si>
    <t>08/18/2021</t>
  </si>
  <si>
    <t>08/17/2021</t>
  </si>
  <si>
    <t>08/16/2021</t>
  </si>
  <si>
    <t>08/13/2021</t>
  </si>
  <si>
    <t>07/30/2021</t>
  </si>
  <si>
    <t>07/29/2021</t>
  </si>
  <si>
    <t>07/28/2021</t>
  </si>
  <si>
    <t>07/27/2021</t>
  </si>
  <si>
    <t>07/26/2021</t>
  </si>
  <si>
    <t>07/23/2021</t>
  </si>
  <si>
    <t>07/22/2021</t>
  </si>
  <si>
    <t>07/21/2021</t>
  </si>
  <si>
    <t>07/20/2021</t>
  </si>
  <si>
    <t>07/19/2021</t>
  </si>
  <si>
    <t>07/16/2021</t>
  </si>
  <si>
    <t>07/15/2021</t>
  </si>
  <si>
    <t>07/14/2021</t>
  </si>
  <si>
    <t>07/13/2021</t>
  </si>
  <si>
    <t>06/30/2021</t>
  </si>
  <si>
    <t>06/29/2021</t>
  </si>
  <si>
    <t>06/28/2021</t>
  </si>
  <si>
    <t>06/25/2021</t>
  </si>
  <si>
    <t>06/24/2021</t>
  </si>
  <si>
    <t>06/23/2021</t>
  </si>
  <si>
    <t>06/22/2021</t>
  </si>
  <si>
    <t>06/21/2021</t>
  </si>
  <si>
    <t>06/18/2021</t>
  </si>
  <si>
    <t>06/17/2021</t>
  </si>
  <si>
    <t>06/16/2021</t>
  </si>
  <si>
    <t>06/15/2021</t>
  </si>
  <si>
    <t>06/14/2021</t>
  </si>
  <si>
    <t>05/28/2021</t>
  </si>
  <si>
    <t>05/27/2021</t>
  </si>
  <si>
    <t>05/26/2021</t>
  </si>
  <si>
    <t>05/25/2021</t>
  </si>
  <si>
    <t>05/24/2021</t>
  </si>
  <si>
    <t>05/21/2021</t>
  </si>
  <si>
    <t>05/20/2021</t>
  </si>
  <si>
    <t>05/19/2021</t>
  </si>
  <si>
    <t>05/18/2021</t>
  </si>
  <si>
    <t>05/17/2021</t>
  </si>
  <si>
    <t>05/14/2021</t>
  </si>
  <si>
    <t>05/13/2021</t>
  </si>
  <si>
    <t>04/30/2021</t>
  </si>
  <si>
    <t>04/29/2021</t>
  </si>
  <si>
    <t>04/28/2021</t>
  </si>
  <si>
    <t>04/27/2021</t>
  </si>
  <si>
    <t>04/26/2021</t>
  </si>
  <si>
    <t>04/23/2021</t>
  </si>
  <si>
    <t>04/22/2021</t>
  </si>
  <si>
    <t>04/21/2021</t>
  </si>
  <si>
    <t>04/20/2021</t>
  </si>
  <si>
    <t>04/19/2021</t>
  </si>
  <si>
    <t>04/16/2021</t>
  </si>
  <si>
    <t>04/15/2021</t>
  </si>
  <si>
    <t>04/14/2021</t>
  </si>
  <si>
    <t>04/13/2021</t>
  </si>
  <si>
    <t>03/31/2021</t>
  </si>
  <si>
    <t>03/30/2021</t>
  </si>
  <si>
    <t>03/29/2021</t>
  </si>
  <si>
    <t>03/26/2021</t>
  </si>
  <si>
    <t>03/25/2021</t>
  </si>
  <si>
    <t>03/24/2021</t>
  </si>
  <si>
    <t>03/23/2021</t>
  </si>
  <si>
    <t>03/22/2021</t>
  </si>
  <si>
    <t>03/19/2021</t>
  </si>
  <si>
    <t>03/18/2021</t>
  </si>
  <si>
    <t>03/17/2021</t>
  </si>
  <si>
    <t>03/16/2021</t>
  </si>
  <si>
    <t>03/15/2021</t>
  </si>
  <si>
    <t>02/26/2021</t>
  </si>
  <si>
    <t>02/25/2021</t>
  </si>
  <si>
    <t>02/24/2021</t>
  </si>
  <si>
    <t>02/23/2021</t>
  </si>
  <si>
    <t>02/22/2021</t>
  </si>
  <si>
    <t>02/19/2021</t>
  </si>
  <si>
    <t>02/18/2021</t>
  </si>
  <si>
    <t>02/17/2021</t>
  </si>
  <si>
    <t>02/16/2021</t>
  </si>
  <si>
    <t>01/29/2021</t>
  </si>
  <si>
    <t>01/28/2021</t>
  </si>
  <si>
    <t>01/27/2021</t>
  </si>
  <si>
    <t>01/26/2021</t>
  </si>
  <si>
    <t>01/25/2021</t>
  </si>
  <si>
    <t>01/22/2021</t>
  </si>
  <si>
    <t>01/21/2021</t>
  </si>
  <si>
    <t>01/20/2021</t>
  </si>
  <si>
    <t>01/19/2021</t>
  </si>
  <si>
    <t>01/15/2021</t>
  </si>
  <si>
    <t>01/14/2021</t>
  </si>
  <si>
    <t>01/13/2021</t>
  </si>
  <si>
    <t>12/31/2020</t>
  </si>
  <si>
    <t>12/30/2020</t>
  </si>
  <si>
    <t>12/29/2020</t>
  </si>
  <si>
    <t>12/28/2020</t>
  </si>
  <si>
    <t>12/24/2020</t>
  </si>
  <si>
    <t>12/23/2020</t>
  </si>
  <si>
    <t>12/22/2020</t>
  </si>
  <si>
    <t>12/21/2020</t>
  </si>
  <si>
    <t>12/18/2020</t>
  </si>
  <si>
    <t>12/17/2020</t>
  </si>
  <si>
    <t>12/16/2020</t>
  </si>
  <si>
    <t>12/15/2020</t>
  </si>
  <si>
    <t>12/14/2020</t>
  </si>
  <si>
    <t>11/30/2020</t>
  </si>
  <si>
    <t>11/27/2020</t>
  </si>
  <si>
    <t>11/25/2020</t>
  </si>
  <si>
    <t>11/24/2020</t>
  </si>
  <si>
    <t>11/23/2020</t>
  </si>
  <si>
    <t>11/20/2020</t>
  </si>
  <si>
    <t>11/19/2020</t>
  </si>
  <si>
    <t>11/18/2020</t>
  </si>
  <si>
    <t>11/17/2020</t>
  </si>
  <si>
    <t>11/16/2020</t>
  </si>
  <si>
    <t>11/13/2020</t>
  </si>
  <si>
    <t>10/30/2020</t>
  </si>
  <si>
    <t>10/29/2020</t>
  </si>
  <si>
    <t>10/28/2020</t>
  </si>
  <si>
    <t>10/27/2020</t>
  </si>
  <si>
    <t>10/26/2020</t>
  </si>
  <si>
    <t>10/23/2020</t>
  </si>
  <si>
    <t>10/22/2020</t>
  </si>
  <si>
    <t>10/21/2020</t>
  </si>
  <si>
    <t>10/20/2020</t>
  </si>
  <si>
    <t>10/19/2020</t>
  </si>
  <si>
    <t>10/16/2020</t>
  </si>
  <si>
    <t>10/15/2020</t>
  </si>
  <si>
    <t>10/14/2020</t>
  </si>
  <si>
    <t>10/13/2020</t>
  </si>
  <si>
    <t>Month</t>
  </si>
  <si>
    <t>Year</t>
  </si>
  <si>
    <t>Date1</t>
  </si>
  <si>
    <t>Value</t>
  </si>
  <si>
    <t>Shares</t>
  </si>
  <si>
    <t>Target Value</t>
  </si>
  <si>
    <t>Top Up</t>
  </si>
  <si>
    <t>Fix Top Up</t>
  </si>
  <si>
    <t>Fix  top up sharez</t>
  </si>
  <si>
    <t>Enhanced top up</t>
  </si>
  <si>
    <t>Enhanced  top up sharez</t>
  </si>
  <si>
    <t>方法二 （无脑定投）</t>
  </si>
  <si>
    <t>方法一 （目标价值法）</t>
  </si>
  <si>
    <t>方法三 （增强型定投）</t>
  </si>
  <si>
    <t xml:space="preserve">初始资金： </t>
  </si>
  <si>
    <t>预设Delta （适用于方法三）</t>
  </si>
  <si>
    <t>预设月增长率 （法一）</t>
  </si>
  <si>
    <t>预设每月定投 （法一）</t>
  </si>
  <si>
    <t>最终净值</t>
  </si>
  <si>
    <t>实际月定投</t>
  </si>
  <si>
    <t>月定投基数</t>
  </si>
  <si>
    <t>后期总投入</t>
  </si>
  <si>
    <t>总追加次数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</si>
</sst>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3" fontId="0" fillId="0" borderId="0" xfId="0" applyNumberFormat="1"/>
    <xf numFmtId="164" fontId="0" fillId="0" borderId="0" xfId="0" applyNumberFormat="1"/>
    <xf numFmtId="0" fontId="0" fillId="0" borderId="10" xfId="0" applyBorder="1"/>
    <xf numFmtId="3" fontId="0" fillId="0" borderId="10" xfId="0" applyNumberFormat="1" applyBorder="1"/>
    <xf numFmtId="164" fontId="0" fillId="0" borderId="10" xfId="1" applyNumberFormat="1" applyFont="1" applyBorder="1"/>
    <xf numFmtId="164" fontId="0" fillId="0" borderId="10" xfId="0" applyNumberFormat="1" applyBorder="1"/>
    <xf numFmtId="9" fontId="0" fillId="0" borderId="10" xfId="43" applyFont="1" applyBorder="1"/>
    <xf numFmtId="10" fontId="0" fillId="0" borderId="10" xfId="0" applyNumberFormat="1" applyBorder="1"/>
    <xf numFmtId="0" fontId="0" fillId="0" borderId="11" xfId="0" applyBorder="1"/>
    <xf numFmtId="164" fontId="16" fillId="0" borderId="10" xfId="1" applyNumberFormat="1" applyFont="1" applyBorder="1"/>
    <xf numFmtId="0" fontId="16" fillId="0" borderId="10" xfId="0" applyFont="1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0" xfId="0" applyFill="1" applyBorder="1"/>
    <xf numFmtId="14" fontId="0" fillId="33" borderId="0" xfId="0" applyNumberFormat="1" applyFill="1" applyBorder="1"/>
    <xf numFmtId="0" fontId="0" fillId="33" borderId="16" xfId="0" applyFill="1" applyBorder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10</xdr:row>
          <xdr:rowOff>68580</xdr:rowOff>
        </xdr:from>
        <xdr:to>
          <xdr:col>11</xdr:col>
          <xdr:colOff>1051560</xdr:colOff>
          <xdr:row>12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法二对齐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10</xdr:row>
          <xdr:rowOff>38100</xdr:rowOff>
        </xdr:from>
        <xdr:to>
          <xdr:col>13</xdr:col>
          <xdr:colOff>990600</xdr:colOff>
          <xdr:row>12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法三对齐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249"/>
  <sheetViews>
    <sheetView workbookViewId="0">
      <pane ySplit="1" topLeftCell="A2" activePane="bottomLeft" state="frozen"/>
      <selection pane="bottomLeft" activeCell="L13" sqref="L13"/>
    </sheetView>
  </sheetViews>
  <sheetFormatPr defaultRowHeight="14.4" x14ac:dyDescent="0.3"/>
  <cols>
    <col min="1" max="1" width="10.109375" bestFit="1" customWidth="1"/>
    <col min="2" max="2" width="10.109375" customWidth="1"/>
    <col min="3" max="3" width="10.109375" style="13" customWidth="1"/>
    <col min="4" max="5" width="11.6640625" style="14" customWidth="1"/>
    <col min="6" max="6" width="8.77734375" style="14" bestFit="1" customWidth="1"/>
    <col min="7" max="9" width="8.88671875" style="14"/>
    <col min="10" max="10" width="8.88671875" style="15"/>
    <col min="12" max="12" width="12" style="2" customWidth="1"/>
    <col min="13" max="13" width="12" customWidth="1"/>
    <col min="14" max="14" width="11.6640625" bestFit="1" customWidth="1"/>
    <col min="15" max="15" width="11.88671875" customWidth="1"/>
    <col min="16" max="16" width="19.6640625" bestFit="1" customWidth="1"/>
    <col min="17" max="17" width="14" bestFit="1" customWidth="1"/>
    <col min="18" max="18" width="12.109375" customWidth="1"/>
  </cols>
  <sheetData>
    <row r="1" spans="1:18" ht="15.6" thickTop="1" thickBot="1" x14ac:dyDescent="0.35">
      <c r="A1" t="s">
        <v>0</v>
      </c>
      <c r="B1" t="s">
        <v>755</v>
      </c>
      <c r="C1" s="16" t="s">
        <v>0</v>
      </c>
      <c r="D1" s="17" t="s">
        <v>756</v>
      </c>
      <c r="E1" s="17" t="s">
        <v>757</v>
      </c>
      <c r="F1" s="17" t="s">
        <v>1</v>
      </c>
      <c r="G1" s="17" t="s">
        <v>2</v>
      </c>
      <c r="H1" s="17" t="s">
        <v>3</v>
      </c>
      <c r="I1" s="17" t="s">
        <v>4</v>
      </c>
      <c r="J1" s="18" t="s">
        <v>5</v>
      </c>
      <c r="K1" t="s">
        <v>758</v>
      </c>
      <c r="L1" s="2" t="s">
        <v>760</v>
      </c>
      <c r="M1" t="s">
        <v>761</v>
      </c>
      <c r="N1" t="s">
        <v>759</v>
      </c>
      <c r="O1" t="s">
        <v>762</v>
      </c>
      <c r="P1" t="s">
        <v>763</v>
      </c>
      <c r="Q1" t="s">
        <v>764</v>
      </c>
      <c r="R1" t="s">
        <v>765</v>
      </c>
    </row>
    <row r="2" spans="1:18" ht="15.6" thickTop="1" thickBot="1" x14ac:dyDescent="0.35">
      <c r="A2" s="1">
        <v>43840</v>
      </c>
      <c r="B2">
        <v>10</v>
      </c>
      <c r="C2" s="19">
        <v>1</v>
      </c>
      <c r="D2" s="20">
        <v>2020</v>
      </c>
      <c r="E2" s="21">
        <f t="shared" ref="E2:E65" si="0">DATE(D2,B2,C2)</f>
        <v>44105</v>
      </c>
      <c r="F2" s="20">
        <v>309.60000000000002</v>
      </c>
      <c r="G2" s="20">
        <v>3005650</v>
      </c>
      <c r="H2" s="20">
        <v>310.16000000000003</v>
      </c>
      <c r="I2" s="20">
        <v>311.11</v>
      </c>
      <c r="J2" s="22">
        <v>307.76</v>
      </c>
      <c r="K2" s="2">
        <f>N2*F2</f>
        <v>2000</v>
      </c>
      <c r="L2" s="2">
        <f>Dashboard!G8</f>
        <v>2000</v>
      </c>
      <c r="M2" s="2"/>
      <c r="N2">
        <f>L2/F2</f>
        <v>6.459948320413436</v>
      </c>
      <c r="O2" s="10"/>
      <c r="P2">
        <f>N2</f>
        <v>6.459948320413436</v>
      </c>
      <c r="Q2" s="10"/>
      <c r="R2">
        <f>P2</f>
        <v>6.459948320413436</v>
      </c>
    </row>
    <row r="3" spans="1:18" ht="15" thickTop="1" x14ac:dyDescent="0.3">
      <c r="A3" s="1">
        <v>43871</v>
      </c>
      <c r="B3">
        <v>10</v>
      </c>
      <c r="C3" s="19">
        <v>2</v>
      </c>
      <c r="D3" s="20">
        <v>2020</v>
      </c>
      <c r="E3" s="21">
        <f t="shared" si="0"/>
        <v>44106</v>
      </c>
      <c r="F3" s="20">
        <v>306.72000000000003</v>
      </c>
      <c r="G3" s="20">
        <v>3125089</v>
      </c>
      <c r="H3" s="20">
        <v>304.72000000000003</v>
      </c>
      <c r="I3" s="20">
        <v>308.58</v>
      </c>
      <c r="J3" s="22">
        <v>304.21499999999997</v>
      </c>
      <c r="K3" s="2">
        <f t="shared" ref="K3:K66" si="1">N3*F3</f>
        <v>1981.3953488372092</v>
      </c>
      <c r="L3" s="2">
        <f>IF(B3&lt;&gt;B2,L2*(1+Dashboard!$G$5)+Dashboard!$G$6, L2)</f>
        <v>2000</v>
      </c>
      <c r="M3">
        <f>IF(B3&lt;&gt;B2,IF((L3-K3&gt;0),L3-K3,0),M2)</f>
        <v>0</v>
      </c>
      <c r="N3">
        <f>N2+M2/F2</f>
        <v>6.459948320413436</v>
      </c>
      <c r="O3">
        <f>IF(B3&lt;&gt;B2, Dashboard!$L$6,0)</f>
        <v>0</v>
      </c>
      <c r="P3">
        <f>P2+O3/F3</f>
        <v>6.459948320413436</v>
      </c>
      <c r="R3">
        <f>R2+Q3/H3</f>
        <v>6.459948320413436</v>
      </c>
    </row>
    <row r="4" spans="1:18" x14ac:dyDescent="0.3">
      <c r="A4" s="1">
        <v>43961</v>
      </c>
      <c r="B4">
        <v>10</v>
      </c>
      <c r="C4" s="19">
        <v>5</v>
      </c>
      <c r="D4" s="20">
        <v>2020</v>
      </c>
      <c r="E4" s="21">
        <f t="shared" si="0"/>
        <v>44109</v>
      </c>
      <c r="F4" s="20">
        <v>312.08</v>
      </c>
      <c r="G4" s="20">
        <v>2364454</v>
      </c>
      <c r="H4" s="20">
        <v>308.69</v>
      </c>
      <c r="I4" s="20">
        <v>312.29000000000002</v>
      </c>
      <c r="J4" s="22">
        <v>308.69</v>
      </c>
      <c r="K4" s="2">
        <f t="shared" si="1"/>
        <v>2016.0206718346251</v>
      </c>
      <c r="L4" s="2">
        <f>IF(B4&lt;&gt;B3,L3*(1+Dashboard!$G$5)+Dashboard!$G$6, L3)</f>
        <v>2000</v>
      </c>
      <c r="M4">
        <f t="shared" ref="M4:M23" si="2">IF(B4&lt;&gt;B3,IF((L4-K4&gt;0),L4-K4,0),M3)</f>
        <v>0</v>
      </c>
      <c r="N4">
        <f t="shared" ref="N4:N67" si="3">N3+M3/F3</f>
        <v>6.459948320413436</v>
      </c>
      <c r="O4">
        <f>IF(B4&lt;&gt;B3, Dashboard!$L$6,0)</f>
        <v>0</v>
      </c>
      <c r="P4">
        <f t="shared" ref="P4:R67" si="4">P3+O4/F4</f>
        <v>6.459948320413436</v>
      </c>
      <c r="R4">
        <f t="shared" si="4"/>
        <v>6.459948320413436</v>
      </c>
    </row>
    <row r="5" spans="1:18" x14ac:dyDescent="0.3">
      <c r="A5" s="1">
        <v>43992</v>
      </c>
      <c r="B5">
        <v>10</v>
      </c>
      <c r="C5" s="19">
        <v>6</v>
      </c>
      <c r="D5" s="20">
        <v>2020</v>
      </c>
      <c r="E5" s="21">
        <f t="shared" si="0"/>
        <v>44110</v>
      </c>
      <c r="F5" s="20">
        <v>307.72000000000003</v>
      </c>
      <c r="G5" s="20">
        <v>3389808</v>
      </c>
      <c r="H5" s="20">
        <v>312.25</v>
      </c>
      <c r="I5" s="20">
        <v>314.32</v>
      </c>
      <c r="J5" s="22">
        <v>307.18060000000003</v>
      </c>
      <c r="K5" s="2">
        <f t="shared" si="1"/>
        <v>1987.8552971576228</v>
      </c>
      <c r="L5" s="2">
        <f>IF(B5&lt;&gt;B4,L4*(1+Dashboard!$G$5)+Dashboard!$G$6, L4)</f>
        <v>2000</v>
      </c>
      <c r="M5">
        <f t="shared" si="2"/>
        <v>0</v>
      </c>
      <c r="N5">
        <f t="shared" si="3"/>
        <v>6.459948320413436</v>
      </c>
      <c r="O5">
        <f>IF(B5&lt;&gt;B4, Dashboard!$L$6,0)</f>
        <v>0</v>
      </c>
      <c r="P5">
        <f t="shared" si="4"/>
        <v>6.459948320413436</v>
      </c>
      <c r="R5">
        <f t="shared" si="4"/>
        <v>6.459948320413436</v>
      </c>
    </row>
    <row r="6" spans="1:18" x14ac:dyDescent="0.3">
      <c r="A6" s="1">
        <v>44022</v>
      </c>
      <c r="B6">
        <v>10</v>
      </c>
      <c r="C6" s="19">
        <v>7</v>
      </c>
      <c r="D6" s="20">
        <v>2020</v>
      </c>
      <c r="E6" s="21">
        <f t="shared" si="0"/>
        <v>44111</v>
      </c>
      <c r="F6" s="20">
        <v>313</v>
      </c>
      <c r="G6" s="20">
        <v>1707831</v>
      </c>
      <c r="H6" s="20">
        <v>310.60700000000003</v>
      </c>
      <c r="I6" s="20">
        <v>313.81</v>
      </c>
      <c r="J6" s="22">
        <v>310.60000000000002</v>
      </c>
      <c r="K6" s="2">
        <f t="shared" si="1"/>
        <v>2021.9638242894055</v>
      </c>
      <c r="L6" s="2">
        <f>IF(B6&lt;&gt;B5,L5*(1+Dashboard!$G$5)+Dashboard!$G$6, L5)</f>
        <v>2000</v>
      </c>
      <c r="M6">
        <f t="shared" si="2"/>
        <v>0</v>
      </c>
      <c r="N6">
        <f t="shared" si="3"/>
        <v>6.459948320413436</v>
      </c>
      <c r="O6">
        <f>IF(B6&lt;&gt;B5, Dashboard!$L$6,0)</f>
        <v>0</v>
      </c>
      <c r="P6">
        <f t="shared" si="4"/>
        <v>6.459948320413436</v>
      </c>
      <c r="R6">
        <f t="shared" si="4"/>
        <v>6.459948320413436</v>
      </c>
    </row>
    <row r="7" spans="1:18" x14ac:dyDescent="0.3">
      <c r="A7" s="1">
        <v>44053</v>
      </c>
      <c r="B7">
        <v>10</v>
      </c>
      <c r="C7" s="19">
        <v>8</v>
      </c>
      <c r="D7" s="20">
        <v>2020</v>
      </c>
      <c r="E7" s="21">
        <f t="shared" si="0"/>
        <v>44112</v>
      </c>
      <c r="F7" s="20">
        <v>315.77</v>
      </c>
      <c r="G7" s="20">
        <v>1731711</v>
      </c>
      <c r="H7" s="20">
        <v>314.95999999999998</v>
      </c>
      <c r="I7" s="20">
        <v>315.85000000000002</v>
      </c>
      <c r="J7" s="22">
        <v>314.05</v>
      </c>
      <c r="K7" s="2">
        <f t="shared" si="1"/>
        <v>2039.8578811369505</v>
      </c>
      <c r="L7" s="2">
        <f>IF(B7&lt;&gt;B6,L6*(1+Dashboard!$G$5)+Dashboard!$G$6, L6)</f>
        <v>2000</v>
      </c>
      <c r="M7">
        <f t="shared" si="2"/>
        <v>0</v>
      </c>
      <c r="N7">
        <f t="shared" si="3"/>
        <v>6.459948320413436</v>
      </c>
      <c r="O7">
        <f>IF(B7&lt;&gt;B6, Dashboard!$L$6,0)</f>
        <v>0</v>
      </c>
      <c r="P7">
        <f t="shared" si="4"/>
        <v>6.459948320413436</v>
      </c>
      <c r="R7">
        <f t="shared" si="4"/>
        <v>6.459948320413436</v>
      </c>
    </row>
    <row r="8" spans="1:18" x14ac:dyDescent="0.3">
      <c r="A8" s="1">
        <v>44084</v>
      </c>
      <c r="B8">
        <v>10</v>
      </c>
      <c r="C8" s="19">
        <v>9</v>
      </c>
      <c r="D8" s="20">
        <v>2020</v>
      </c>
      <c r="E8" s="21">
        <f t="shared" si="0"/>
        <v>44113</v>
      </c>
      <c r="F8" s="20">
        <v>318.58</v>
      </c>
      <c r="G8" s="20">
        <v>2794077</v>
      </c>
      <c r="H8" s="20">
        <v>317.47000000000003</v>
      </c>
      <c r="I8" s="20">
        <v>319.09989999999999</v>
      </c>
      <c r="J8" s="22">
        <v>316.85000000000002</v>
      </c>
      <c r="K8" s="2">
        <f t="shared" si="1"/>
        <v>2058.0103359173122</v>
      </c>
      <c r="L8" s="2">
        <f>IF(B8&lt;&gt;B7,L7*(1+Dashboard!$G$5)+Dashboard!$G$6, L7)</f>
        <v>2000</v>
      </c>
      <c r="M8">
        <f t="shared" si="2"/>
        <v>0</v>
      </c>
      <c r="N8">
        <f t="shared" si="3"/>
        <v>6.459948320413436</v>
      </c>
      <c r="O8">
        <f>IF(B8&lt;&gt;B7, Dashboard!$L$6,0)</f>
        <v>0</v>
      </c>
      <c r="P8">
        <f t="shared" si="4"/>
        <v>6.459948320413436</v>
      </c>
      <c r="R8">
        <f t="shared" si="4"/>
        <v>6.459948320413436</v>
      </c>
    </row>
    <row r="9" spans="1:18" x14ac:dyDescent="0.3">
      <c r="A9" s="1">
        <v>44175</v>
      </c>
      <c r="B9">
        <v>10</v>
      </c>
      <c r="C9" s="19">
        <v>12</v>
      </c>
      <c r="D9" s="20">
        <v>2020</v>
      </c>
      <c r="E9" s="21">
        <f t="shared" si="0"/>
        <v>44116</v>
      </c>
      <c r="F9" s="20">
        <v>323.72000000000003</v>
      </c>
      <c r="G9" s="20">
        <v>2194283</v>
      </c>
      <c r="H9" s="20">
        <v>321.14</v>
      </c>
      <c r="I9" s="20">
        <v>325.22199999999998</v>
      </c>
      <c r="J9" s="22">
        <v>320.66000000000003</v>
      </c>
      <c r="K9" s="2">
        <f t="shared" si="1"/>
        <v>2091.2144702842379</v>
      </c>
      <c r="L9" s="2">
        <f>IF(B9&lt;&gt;B8,L8*(1+Dashboard!$G$5)+Dashboard!$G$6, L8)</f>
        <v>2000</v>
      </c>
      <c r="M9">
        <f t="shared" si="2"/>
        <v>0</v>
      </c>
      <c r="N9">
        <f t="shared" si="3"/>
        <v>6.459948320413436</v>
      </c>
      <c r="O9">
        <f>IF(B9&lt;&gt;B8, Dashboard!$L$6,0)</f>
        <v>0</v>
      </c>
      <c r="P9">
        <f t="shared" si="4"/>
        <v>6.459948320413436</v>
      </c>
      <c r="R9">
        <f t="shared" si="4"/>
        <v>6.459948320413436</v>
      </c>
    </row>
    <row r="10" spans="1:18" x14ac:dyDescent="0.3">
      <c r="A10" t="s">
        <v>754</v>
      </c>
      <c r="B10">
        <v>10</v>
      </c>
      <c r="C10" s="19">
        <v>13</v>
      </c>
      <c r="D10" s="20">
        <v>2020</v>
      </c>
      <c r="E10" s="21">
        <f t="shared" si="0"/>
        <v>44117</v>
      </c>
      <c r="F10" s="20">
        <v>321.64999999999998</v>
      </c>
      <c r="G10" s="20">
        <v>2229739</v>
      </c>
      <c r="H10" s="20">
        <v>323.64</v>
      </c>
      <c r="I10" s="20">
        <v>323.73</v>
      </c>
      <c r="J10" s="22">
        <v>320.70699999999999</v>
      </c>
      <c r="K10" s="2">
        <f t="shared" si="1"/>
        <v>2077.8423772609817</v>
      </c>
      <c r="L10" s="2">
        <f>IF(B10&lt;&gt;B9,L9*(1+Dashboard!$G$5)+Dashboard!$G$6, L9)</f>
        <v>2000</v>
      </c>
      <c r="M10">
        <f t="shared" si="2"/>
        <v>0</v>
      </c>
      <c r="N10">
        <f t="shared" si="3"/>
        <v>6.459948320413436</v>
      </c>
      <c r="O10">
        <f>IF(B10&lt;&gt;B9, Dashboard!$L$6,0)</f>
        <v>0</v>
      </c>
      <c r="P10">
        <f t="shared" si="4"/>
        <v>6.459948320413436</v>
      </c>
      <c r="R10">
        <f t="shared" si="4"/>
        <v>6.459948320413436</v>
      </c>
    </row>
    <row r="11" spans="1:18" x14ac:dyDescent="0.3">
      <c r="A11" t="s">
        <v>753</v>
      </c>
      <c r="B11">
        <v>10</v>
      </c>
      <c r="C11" s="19">
        <v>14</v>
      </c>
      <c r="D11" s="20">
        <v>2020</v>
      </c>
      <c r="E11" s="21">
        <f t="shared" si="0"/>
        <v>44118</v>
      </c>
      <c r="F11" s="20">
        <v>319.64</v>
      </c>
      <c r="G11" s="20">
        <v>1907791</v>
      </c>
      <c r="H11" s="20">
        <v>322.22000000000003</v>
      </c>
      <c r="I11" s="20">
        <v>323.3</v>
      </c>
      <c r="J11" s="22">
        <v>318.93</v>
      </c>
      <c r="K11" s="2">
        <f t="shared" si="1"/>
        <v>2064.8578811369507</v>
      </c>
      <c r="L11" s="2">
        <f>IF(B11&lt;&gt;B10,L10*(1+Dashboard!$G$5)+Dashboard!$G$6, L10)</f>
        <v>2000</v>
      </c>
      <c r="M11">
        <f t="shared" si="2"/>
        <v>0</v>
      </c>
      <c r="N11">
        <f t="shared" si="3"/>
        <v>6.459948320413436</v>
      </c>
      <c r="O11">
        <f>IF(B11&lt;&gt;B10, Dashboard!$L$6,0)</f>
        <v>0</v>
      </c>
      <c r="P11">
        <f t="shared" si="4"/>
        <v>6.459948320413436</v>
      </c>
      <c r="R11">
        <f t="shared" si="4"/>
        <v>6.459948320413436</v>
      </c>
    </row>
    <row r="12" spans="1:18" x14ac:dyDescent="0.3">
      <c r="A12" t="s">
        <v>752</v>
      </c>
      <c r="B12">
        <v>10</v>
      </c>
      <c r="C12" s="19">
        <v>15</v>
      </c>
      <c r="D12" s="20">
        <v>2020</v>
      </c>
      <c r="E12" s="21">
        <f t="shared" si="0"/>
        <v>44119</v>
      </c>
      <c r="F12" s="20">
        <v>319.26</v>
      </c>
      <c r="G12" s="20">
        <v>2487096</v>
      </c>
      <c r="H12" s="20">
        <v>315.70999999999998</v>
      </c>
      <c r="I12" s="20">
        <v>319.7</v>
      </c>
      <c r="J12" s="22">
        <v>315.22519999999997</v>
      </c>
      <c r="K12" s="2">
        <f t="shared" si="1"/>
        <v>2062.4031007751937</v>
      </c>
      <c r="L12" s="2">
        <f>IF(B12&lt;&gt;B11,L11*(1+Dashboard!$G$5)+Dashboard!$G$6, L11)</f>
        <v>2000</v>
      </c>
      <c r="M12">
        <f t="shared" si="2"/>
        <v>0</v>
      </c>
      <c r="N12">
        <f t="shared" si="3"/>
        <v>6.459948320413436</v>
      </c>
      <c r="O12">
        <f>IF(B12&lt;&gt;B11, Dashboard!$L$6,0)</f>
        <v>0</v>
      </c>
      <c r="P12">
        <f t="shared" si="4"/>
        <v>6.459948320413436</v>
      </c>
      <c r="R12">
        <f t="shared" si="4"/>
        <v>6.459948320413436</v>
      </c>
    </row>
    <row r="13" spans="1:18" x14ac:dyDescent="0.3">
      <c r="A13" t="s">
        <v>751</v>
      </c>
      <c r="B13">
        <v>10</v>
      </c>
      <c r="C13" s="19">
        <v>16</v>
      </c>
      <c r="D13" s="20">
        <v>2020</v>
      </c>
      <c r="E13" s="21">
        <f t="shared" si="0"/>
        <v>44120</v>
      </c>
      <c r="F13" s="20">
        <v>318.99</v>
      </c>
      <c r="G13" s="20">
        <v>1669931</v>
      </c>
      <c r="H13" s="20">
        <v>320.64999999999998</v>
      </c>
      <c r="I13" s="20">
        <v>322.20999999999998</v>
      </c>
      <c r="J13" s="22">
        <v>318.89999999999998</v>
      </c>
      <c r="K13" s="2">
        <f t="shared" si="1"/>
        <v>2060.6589147286818</v>
      </c>
      <c r="L13" s="2">
        <f>IF(B13&lt;&gt;B12,L12*(1+Dashboard!$G$5)+Dashboard!$G$6, L12)</f>
        <v>2000</v>
      </c>
      <c r="M13">
        <f t="shared" si="2"/>
        <v>0</v>
      </c>
      <c r="N13">
        <f t="shared" si="3"/>
        <v>6.459948320413436</v>
      </c>
      <c r="O13">
        <f>IF(B13&lt;&gt;B12, Dashboard!$L$6,0)</f>
        <v>0</v>
      </c>
      <c r="P13">
        <f t="shared" si="4"/>
        <v>6.459948320413436</v>
      </c>
      <c r="R13">
        <f t="shared" si="4"/>
        <v>6.459948320413436</v>
      </c>
    </row>
    <row r="14" spans="1:18" x14ac:dyDescent="0.3">
      <c r="A14" t="s">
        <v>750</v>
      </c>
      <c r="B14">
        <v>10</v>
      </c>
      <c r="C14" s="19">
        <v>19</v>
      </c>
      <c r="D14" s="20">
        <v>2020</v>
      </c>
      <c r="E14" s="21">
        <f t="shared" si="0"/>
        <v>44123</v>
      </c>
      <c r="F14" s="20">
        <v>314.17</v>
      </c>
      <c r="G14" s="20">
        <v>2229583</v>
      </c>
      <c r="H14" s="20">
        <v>320.3</v>
      </c>
      <c r="I14" s="20">
        <v>320.89</v>
      </c>
      <c r="J14" s="22">
        <v>313.33</v>
      </c>
      <c r="K14" s="2">
        <f t="shared" si="1"/>
        <v>2029.5219638242893</v>
      </c>
      <c r="L14" s="2">
        <f>IF(B14&lt;&gt;B13,L13*(1+Dashboard!$G$5)+Dashboard!$G$6, L13)</f>
        <v>2000</v>
      </c>
      <c r="M14">
        <f t="shared" si="2"/>
        <v>0</v>
      </c>
      <c r="N14">
        <f t="shared" si="3"/>
        <v>6.459948320413436</v>
      </c>
      <c r="O14">
        <f>IF(B14&lt;&gt;B13, Dashboard!$L$6,0)</f>
        <v>0</v>
      </c>
      <c r="P14">
        <f t="shared" si="4"/>
        <v>6.459948320413436</v>
      </c>
      <c r="R14">
        <f t="shared" si="4"/>
        <v>6.459948320413436</v>
      </c>
    </row>
    <row r="15" spans="1:18" x14ac:dyDescent="0.3">
      <c r="A15" t="s">
        <v>749</v>
      </c>
      <c r="B15">
        <v>10</v>
      </c>
      <c r="C15" s="19">
        <v>20</v>
      </c>
      <c r="D15" s="20">
        <v>2020</v>
      </c>
      <c r="E15" s="21">
        <f t="shared" si="0"/>
        <v>44124</v>
      </c>
      <c r="F15" s="20">
        <v>315.41000000000003</v>
      </c>
      <c r="G15" s="20">
        <v>3066561</v>
      </c>
      <c r="H15" s="20">
        <v>315.48</v>
      </c>
      <c r="I15" s="20">
        <v>318.67</v>
      </c>
      <c r="J15" s="22">
        <v>314.7792</v>
      </c>
      <c r="K15" s="2">
        <f t="shared" si="1"/>
        <v>2037.5322997416019</v>
      </c>
      <c r="L15" s="2">
        <f>IF(B15&lt;&gt;B14,L14*(1+Dashboard!$G$5)+Dashboard!$G$6, L14)</f>
        <v>2000</v>
      </c>
      <c r="M15">
        <f t="shared" si="2"/>
        <v>0</v>
      </c>
      <c r="N15">
        <f t="shared" si="3"/>
        <v>6.459948320413436</v>
      </c>
      <c r="O15">
        <f>IF(B15&lt;&gt;B14, Dashboard!$L$6,0)</f>
        <v>0</v>
      </c>
      <c r="P15">
        <f t="shared" si="4"/>
        <v>6.459948320413436</v>
      </c>
      <c r="R15">
        <f t="shared" si="4"/>
        <v>6.459948320413436</v>
      </c>
    </row>
    <row r="16" spans="1:18" x14ac:dyDescent="0.3">
      <c r="A16" t="s">
        <v>748</v>
      </c>
      <c r="B16">
        <v>10</v>
      </c>
      <c r="C16" s="19">
        <v>21</v>
      </c>
      <c r="D16" s="20">
        <v>2020</v>
      </c>
      <c r="E16" s="21">
        <f t="shared" si="0"/>
        <v>44125</v>
      </c>
      <c r="F16" s="20">
        <v>314.83999999999997</v>
      </c>
      <c r="G16" s="20">
        <v>2607729</v>
      </c>
      <c r="H16" s="20">
        <v>315.41000000000003</v>
      </c>
      <c r="I16" s="20">
        <v>317.5224</v>
      </c>
      <c r="J16" s="22">
        <v>314.58999999999997</v>
      </c>
      <c r="K16" s="2">
        <f t="shared" si="1"/>
        <v>2033.850129198966</v>
      </c>
      <c r="L16" s="2">
        <f>IF(B16&lt;&gt;B15,L15*(1+Dashboard!$G$5)+Dashboard!$G$6, L15)</f>
        <v>2000</v>
      </c>
      <c r="M16">
        <f t="shared" si="2"/>
        <v>0</v>
      </c>
      <c r="N16">
        <f t="shared" si="3"/>
        <v>6.459948320413436</v>
      </c>
      <c r="O16">
        <f>IF(B16&lt;&gt;B15, Dashboard!$L$6,0)</f>
        <v>0</v>
      </c>
      <c r="P16">
        <f t="shared" si="4"/>
        <v>6.459948320413436</v>
      </c>
      <c r="R16">
        <f t="shared" si="4"/>
        <v>6.459948320413436</v>
      </c>
    </row>
    <row r="17" spans="1:19" x14ac:dyDescent="0.3">
      <c r="A17" t="s">
        <v>747</v>
      </c>
      <c r="B17">
        <v>10</v>
      </c>
      <c r="C17" s="19">
        <v>22</v>
      </c>
      <c r="D17" s="20">
        <v>2020</v>
      </c>
      <c r="E17" s="21">
        <f t="shared" si="0"/>
        <v>44126</v>
      </c>
      <c r="F17" s="20">
        <v>316.57</v>
      </c>
      <c r="G17" s="20">
        <v>2362400</v>
      </c>
      <c r="H17" s="20">
        <v>315.06</v>
      </c>
      <c r="I17" s="20">
        <v>317.16000000000003</v>
      </c>
      <c r="J17" s="22">
        <v>312.99</v>
      </c>
      <c r="K17" s="2">
        <f t="shared" si="1"/>
        <v>2045.0258397932814</v>
      </c>
      <c r="L17" s="2">
        <f>IF(B17&lt;&gt;B16,L16*(1+Dashboard!$G$5)+Dashboard!$G$6, L16)</f>
        <v>2000</v>
      </c>
      <c r="M17">
        <f t="shared" si="2"/>
        <v>0</v>
      </c>
      <c r="N17">
        <f t="shared" si="3"/>
        <v>6.459948320413436</v>
      </c>
      <c r="O17">
        <f>IF(B17&lt;&gt;B16, Dashboard!$L$6,0)</f>
        <v>0</v>
      </c>
      <c r="P17">
        <f t="shared" si="4"/>
        <v>6.459948320413436</v>
      </c>
      <c r="R17">
        <f t="shared" si="4"/>
        <v>6.459948320413436</v>
      </c>
      <c r="S17">
        <f>6000/12/5</f>
        <v>100</v>
      </c>
    </row>
    <row r="18" spans="1:19" x14ac:dyDescent="0.3">
      <c r="A18" t="s">
        <v>746</v>
      </c>
      <c r="B18">
        <v>10</v>
      </c>
      <c r="C18" s="19">
        <v>23</v>
      </c>
      <c r="D18" s="20">
        <v>2020</v>
      </c>
      <c r="E18" s="21">
        <f t="shared" si="0"/>
        <v>44127</v>
      </c>
      <c r="F18" s="20">
        <v>317.64999999999998</v>
      </c>
      <c r="G18" s="20">
        <v>1429454</v>
      </c>
      <c r="H18" s="20">
        <v>317.83999999999997</v>
      </c>
      <c r="I18" s="20">
        <v>317.83999999999997</v>
      </c>
      <c r="J18" s="22">
        <v>315.24</v>
      </c>
      <c r="K18" s="2">
        <f t="shared" si="1"/>
        <v>2052.0025839793279</v>
      </c>
      <c r="L18" s="2">
        <f>IF(B18&lt;&gt;B17,L17*(1+Dashboard!$G$5)+Dashboard!$G$6, L17)</f>
        <v>2000</v>
      </c>
      <c r="M18">
        <f t="shared" si="2"/>
        <v>0</v>
      </c>
      <c r="N18">
        <f t="shared" si="3"/>
        <v>6.459948320413436</v>
      </c>
      <c r="O18">
        <f>IF(B18&lt;&gt;B17, Dashboard!$L$6,0)</f>
        <v>0</v>
      </c>
      <c r="P18">
        <f t="shared" si="4"/>
        <v>6.459948320413436</v>
      </c>
      <c r="R18">
        <f t="shared" si="4"/>
        <v>6.459948320413436</v>
      </c>
    </row>
    <row r="19" spans="1:19" x14ac:dyDescent="0.3">
      <c r="A19" t="s">
        <v>745</v>
      </c>
      <c r="B19">
        <v>10</v>
      </c>
      <c r="C19" s="19">
        <v>26</v>
      </c>
      <c r="D19" s="20">
        <v>2020</v>
      </c>
      <c r="E19" s="21">
        <f t="shared" si="0"/>
        <v>44130</v>
      </c>
      <c r="F19" s="20">
        <v>311.8</v>
      </c>
      <c r="G19" s="20">
        <v>3335822</v>
      </c>
      <c r="H19" s="20">
        <v>314.31</v>
      </c>
      <c r="I19" s="20">
        <v>315.08</v>
      </c>
      <c r="J19" s="22">
        <v>308.36</v>
      </c>
      <c r="K19" s="2">
        <f t="shared" si="1"/>
        <v>2014.2118863049095</v>
      </c>
      <c r="L19" s="2">
        <f>IF(B19&lt;&gt;B18,L18*(1+Dashboard!$G$5)+Dashboard!$G$6, L18)</f>
        <v>2000</v>
      </c>
      <c r="M19">
        <f t="shared" si="2"/>
        <v>0</v>
      </c>
      <c r="N19">
        <f t="shared" si="3"/>
        <v>6.459948320413436</v>
      </c>
      <c r="O19">
        <f>IF(B19&lt;&gt;B18, Dashboard!$L$6,0)</f>
        <v>0</v>
      </c>
      <c r="P19">
        <f t="shared" si="4"/>
        <v>6.459948320413436</v>
      </c>
      <c r="R19">
        <f t="shared" si="4"/>
        <v>6.459948320413436</v>
      </c>
    </row>
    <row r="20" spans="1:19" x14ac:dyDescent="0.3">
      <c r="A20" t="s">
        <v>744</v>
      </c>
      <c r="B20">
        <v>10</v>
      </c>
      <c r="C20" s="19">
        <v>27</v>
      </c>
      <c r="D20" s="20">
        <v>2020</v>
      </c>
      <c r="E20" s="21">
        <f t="shared" si="0"/>
        <v>44131</v>
      </c>
      <c r="F20" s="20">
        <v>310.77</v>
      </c>
      <c r="G20" s="20">
        <v>2196107</v>
      </c>
      <c r="H20" s="20">
        <v>312.18</v>
      </c>
      <c r="I20" s="20">
        <v>312.47000000000003</v>
      </c>
      <c r="J20" s="22">
        <v>310.55829999999997</v>
      </c>
      <c r="K20" s="2">
        <f t="shared" si="1"/>
        <v>2007.5581395348834</v>
      </c>
      <c r="L20" s="2">
        <f>IF(B20&lt;&gt;B19,L19*(1+Dashboard!$G$5)+Dashboard!$G$6, L19)</f>
        <v>2000</v>
      </c>
      <c r="M20">
        <f t="shared" si="2"/>
        <v>0</v>
      </c>
      <c r="N20">
        <f t="shared" si="3"/>
        <v>6.459948320413436</v>
      </c>
      <c r="O20">
        <f>IF(B20&lt;&gt;B19, Dashboard!$L$6,0)</f>
        <v>0</v>
      </c>
      <c r="P20">
        <f t="shared" si="4"/>
        <v>6.459948320413436</v>
      </c>
      <c r="R20">
        <f t="shared" si="4"/>
        <v>6.459948320413436</v>
      </c>
    </row>
    <row r="21" spans="1:19" x14ac:dyDescent="0.3">
      <c r="A21" t="s">
        <v>743</v>
      </c>
      <c r="B21">
        <v>10</v>
      </c>
      <c r="C21" s="19">
        <v>28</v>
      </c>
      <c r="D21" s="20">
        <v>2020</v>
      </c>
      <c r="E21" s="21">
        <f t="shared" si="0"/>
        <v>44132</v>
      </c>
      <c r="F21" s="20">
        <v>300.07</v>
      </c>
      <c r="G21" s="20">
        <v>5650454</v>
      </c>
      <c r="H21" s="20">
        <v>305.13</v>
      </c>
      <c r="I21" s="20">
        <v>305.74</v>
      </c>
      <c r="J21" s="22">
        <v>299.61500000000001</v>
      </c>
      <c r="K21" s="2">
        <f t="shared" si="1"/>
        <v>1938.4366925064596</v>
      </c>
      <c r="L21" s="2">
        <f>IF(B21&lt;&gt;B20,L20*(1+Dashboard!$G$5)+Dashboard!$G$6, L20)</f>
        <v>2000</v>
      </c>
      <c r="M21">
        <f t="shared" si="2"/>
        <v>0</v>
      </c>
      <c r="N21">
        <f t="shared" si="3"/>
        <v>6.459948320413436</v>
      </c>
      <c r="O21">
        <f>IF(B21&lt;&gt;B20, Dashboard!$L$6,0)</f>
        <v>0</v>
      </c>
      <c r="P21">
        <f t="shared" si="4"/>
        <v>6.459948320413436</v>
      </c>
      <c r="R21">
        <f t="shared" si="4"/>
        <v>6.459948320413436</v>
      </c>
    </row>
    <row r="22" spans="1:19" x14ac:dyDescent="0.3">
      <c r="A22" t="s">
        <v>742</v>
      </c>
      <c r="B22">
        <v>10</v>
      </c>
      <c r="C22" s="19">
        <v>29</v>
      </c>
      <c r="D22" s="20">
        <v>2020</v>
      </c>
      <c r="E22" s="21">
        <f t="shared" si="0"/>
        <v>44133</v>
      </c>
      <c r="F22" s="20">
        <v>303.23</v>
      </c>
      <c r="G22" s="20">
        <v>5365171</v>
      </c>
      <c r="H22" s="20">
        <v>300.32</v>
      </c>
      <c r="I22" s="20">
        <v>306.25</v>
      </c>
      <c r="J22" s="22">
        <v>298.69</v>
      </c>
      <c r="K22" s="2">
        <f t="shared" si="1"/>
        <v>1958.8501291989662</v>
      </c>
      <c r="L22" s="2">
        <f>IF(B22&lt;&gt;B21,L21*(1+Dashboard!$G$5)+Dashboard!$G$6, L21)</f>
        <v>2000</v>
      </c>
      <c r="M22">
        <f t="shared" si="2"/>
        <v>0</v>
      </c>
      <c r="N22">
        <f t="shared" si="3"/>
        <v>6.459948320413436</v>
      </c>
      <c r="O22">
        <f>IF(B22&lt;&gt;B21, Dashboard!$L$6,0)</f>
        <v>0</v>
      </c>
      <c r="P22">
        <f t="shared" si="4"/>
        <v>6.459948320413436</v>
      </c>
      <c r="R22">
        <f t="shared" si="4"/>
        <v>6.459948320413436</v>
      </c>
    </row>
    <row r="23" spans="1:19" x14ac:dyDescent="0.3">
      <c r="A23" t="s">
        <v>741</v>
      </c>
      <c r="B23">
        <v>10</v>
      </c>
      <c r="C23" s="19">
        <v>30</v>
      </c>
      <c r="D23" s="20">
        <v>2020</v>
      </c>
      <c r="E23" s="21">
        <f t="shared" si="0"/>
        <v>44134</v>
      </c>
      <c r="F23" s="20">
        <v>299.82</v>
      </c>
      <c r="G23" s="20">
        <v>5892432</v>
      </c>
      <c r="H23" s="20">
        <v>301.56</v>
      </c>
      <c r="I23" s="20">
        <v>302.86</v>
      </c>
      <c r="J23" s="22">
        <v>296.37</v>
      </c>
      <c r="K23" s="2">
        <f t="shared" si="1"/>
        <v>1936.8217054263564</v>
      </c>
      <c r="L23" s="2">
        <f>IF(B23&lt;&gt;B22,L22*(1+Dashboard!$G$5)+Dashboard!$G$6, L22)</f>
        <v>2000</v>
      </c>
      <c r="M23">
        <f t="shared" si="2"/>
        <v>0</v>
      </c>
      <c r="N23">
        <f t="shared" si="3"/>
        <v>6.459948320413436</v>
      </c>
      <c r="O23">
        <f>IF(B23&lt;&gt;B22, Dashboard!$L$6,0)</f>
        <v>0</v>
      </c>
      <c r="P23">
        <f t="shared" si="4"/>
        <v>6.459948320413436</v>
      </c>
      <c r="R23">
        <f t="shared" si="4"/>
        <v>6.459948320413436</v>
      </c>
    </row>
    <row r="24" spans="1:19" x14ac:dyDescent="0.3">
      <c r="A24" s="1">
        <v>43872</v>
      </c>
      <c r="B24">
        <v>11</v>
      </c>
      <c r="C24" s="19">
        <v>2</v>
      </c>
      <c r="D24" s="20">
        <v>2020</v>
      </c>
      <c r="E24" s="21">
        <f t="shared" si="0"/>
        <v>44137</v>
      </c>
      <c r="F24" s="20">
        <v>303.31</v>
      </c>
      <c r="G24" s="20">
        <v>4080396</v>
      </c>
      <c r="H24" s="20">
        <v>303.37</v>
      </c>
      <c r="I24" s="20">
        <v>305.31</v>
      </c>
      <c r="J24" s="22">
        <v>300.63</v>
      </c>
      <c r="K24" s="2">
        <f t="shared" si="1"/>
        <v>1959.3669250645994</v>
      </c>
      <c r="L24" s="2">
        <f>IF(B24&lt;&gt;B23,L23*(1+Dashboard!$G$5)+Dashboard!$G$6, L23)</f>
        <v>4017.6</v>
      </c>
      <c r="M24">
        <f>IF(B24&lt;&gt;B23,IF((L24-K24&gt;0),L24-K24,0),0)</f>
        <v>2058.2330749354005</v>
      </c>
      <c r="N24">
        <f>N23+M23/F23</f>
        <v>6.459948320413436</v>
      </c>
      <c r="O24">
        <f>IF(B24&lt;&gt;B23, Dashboard!$L$6,0)</f>
        <v>1859.7282542371197</v>
      </c>
      <c r="P24">
        <f t="shared" si="4"/>
        <v>12.591392236661235</v>
      </c>
      <c r="Q24">
        <f>IF(B24&lt;&gt;B23,IF(F24&lt;=AVERAGE(F2:F23),Dashboard!$N$6-Dashboard!$G$7,Dashboard!$N$6+Dashboard!$G$7),0)</f>
        <v>1232.609610169322</v>
      </c>
      <c r="R24">
        <f t="shared" si="4"/>
        <v>10.523005347045345</v>
      </c>
    </row>
    <row r="25" spans="1:19" x14ac:dyDescent="0.3">
      <c r="A25" s="1">
        <v>43901</v>
      </c>
      <c r="B25">
        <v>11</v>
      </c>
      <c r="C25" s="19">
        <v>3</v>
      </c>
      <c r="D25" s="20">
        <v>2020</v>
      </c>
      <c r="E25" s="21">
        <f t="shared" si="0"/>
        <v>44138</v>
      </c>
      <c r="F25" s="20">
        <v>308.66000000000003</v>
      </c>
      <c r="G25" s="20">
        <v>3378343</v>
      </c>
      <c r="H25" s="20">
        <v>306.57</v>
      </c>
      <c r="I25" s="20">
        <v>310.74</v>
      </c>
      <c r="J25" s="22">
        <v>306.08999999999997</v>
      </c>
      <c r="K25" s="2">
        <f t="shared" si="1"/>
        <v>4088.4653193102763</v>
      </c>
      <c r="L25" s="2">
        <f>IF(B25&lt;&gt;B24,L24*(1+Dashboard!$G$5)+Dashboard!$G$6, L24)</f>
        <v>4017.6</v>
      </c>
      <c r="M25">
        <f t="shared" ref="M25:M88" si="5">IF(B25&lt;&gt;B24,IF((L25-K25&gt;0),L25-K25,0),0)</f>
        <v>0</v>
      </c>
      <c r="N25">
        <f t="shared" si="3"/>
        <v>13.245854076687216</v>
      </c>
      <c r="O25">
        <f>IF(B25&lt;&gt;B24, Dashboard!$L$6,0)</f>
        <v>0</v>
      </c>
      <c r="P25">
        <f t="shared" si="4"/>
        <v>12.591392236661235</v>
      </c>
      <c r="Q25">
        <f>IF(B25&lt;&gt;B24,IF(F25&lt;=AVERAGE(F3:F24),Dashboard!$N$6-Dashboard!$G$7,Dashboard!$N$6+Dashboard!$G$7),0)</f>
        <v>0</v>
      </c>
      <c r="R25">
        <f t="shared" si="4"/>
        <v>10.523005347045345</v>
      </c>
    </row>
    <row r="26" spans="1:19" x14ac:dyDescent="0.3">
      <c r="A26" s="1">
        <v>43932</v>
      </c>
      <c r="B26">
        <v>11</v>
      </c>
      <c r="C26" s="19">
        <v>4</v>
      </c>
      <c r="D26" s="20">
        <v>2020</v>
      </c>
      <c r="E26" s="21">
        <f t="shared" si="0"/>
        <v>44139</v>
      </c>
      <c r="F26" s="20">
        <v>315.61</v>
      </c>
      <c r="G26" s="20">
        <v>5750173</v>
      </c>
      <c r="H26" s="20">
        <v>313.19</v>
      </c>
      <c r="I26" s="20">
        <v>319.64999999999998</v>
      </c>
      <c r="J26" s="22">
        <v>312</v>
      </c>
      <c r="K26" s="2">
        <f t="shared" si="1"/>
        <v>4180.5240051432529</v>
      </c>
      <c r="L26" s="2">
        <f>IF(B26&lt;&gt;B25,L25*(1+Dashboard!$G$5)+Dashboard!$G$6, L25)</f>
        <v>4017.6</v>
      </c>
      <c r="M26">
        <f t="shared" si="5"/>
        <v>0</v>
      </c>
      <c r="N26">
        <f t="shared" si="3"/>
        <v>13.245854076687216</v>
      </c>
      <c r="O26">
        <f>IF(B26&lt;&gt;B25, Dashboard!$L$6,0)</f>
        <v>0</v>
      </c>
      <c r="P26">
        <f t="shared" si="4"/>
        <v>12.591392236661235</v>
      </c>
      <c r="Q26">
        <f>IF(B26&lt;&gt;B25,IF(F26&lt;=AVERAGE(F4:F25),Dashboard!$N$6-Dashboard!$G$7,Dashboard!$N$6+Dashboard!$G$7),0)</f>
        <v>0</v>
      </c>
      <c r="R26">
        <f t="shared" si="4"/>
        <v>10.523005347045345</v>
      </c>
    </row>
    <row r="27" spans="1:19" x14ac:dyDescent="0.3">
      <c r="A27" s="1">
        <v>43962</v>
      </c>
      <c r="B27">
        <v>11</v>
      </c>
      <c r="C27" s="19">
        <v>5</v>
      </c>
      <c r="D27" s="20">
        <v>2020</v>
      </c>
      <c r="E27" s="21">
        <f t="shared" si="0"/>
        <v>44140</v>
      </c>
      <c r="F27" s="20">
        <v>321.79000000000002</v>
      </c>
      <c r="G27" s="20">
        <v>3950281</v>
      </c>
      <c r="H27" s="20">
        <v>320.94</v>
      </c>
      <c r="I27" s="20">
        <v>323.55</v>
      </c>
      <c r="J27" s="22">
        <v>320.52</v>
      </c>
      <c r="K27" s="2">
        <f t="shared" si="1"/>
        <v>4262.3833833371791</v>
      </c>
      <c r="L27" s="2">
        <f>IF(B27&lt;&gt;B26,L26*(1+Dashboard!$G$5)+Dashboard!$G$6, L26)</f>
        <v>4017.6</v>
      </c>
      <c r="M27">
        <f t="shared" si="5"/>
        <v>0</v>
      </c>
      <c r="N27">
        <f t="shared" si="3"/>
        <v>13.245854076687216</v>
      </c>
      <c r="O27">
        <f>IF(B27&lt;&gt;B26, Dashboard!$L$6,0)</f>
        <v>0</v>
      </c>
      <c r="P27">
        <f t="shared" si="4"/>
        <v>12.591392236661235</v>
      </c>
      <c r="Q27">
        <f>IF(B27&lt;&gt;B26,IF(F27&lt;=AVERAGE(F5:F26),Dashboard!$N$6-Dashboard!$G$7,Dashboard!$N$6+Dashboard!$G$7),0)</f>
        <v>0</v>
      </c>
      <c r="R27">
        <f t="shared" si="4"/>
        <v>10.523005347045345</v>
      </c>
    </row>
    <row r="28" spans="1:19" x14ac:dyDescent="0.3">
      <c r="A28" s="1">
        <v>43993</v>
      </c>
      <c r="B28">
        <v>11</v>
      </c>
      <c r="C28" s="19">
        <v>6</v>
      </c>
      <c r="D28" s="20">
        <v>2020</v>
      </c>
      <c r="E28" s="21">
        <f t="shared" si="0"/>
        <v>44141</v>
      </c>
      <c r="F28" s="20">
        <v>321.75</v>
      </c>
      <c r="G28" s="20">
        <v>3640619</v>
      </c>
      <c r="H28" s="20">
        <v>321.44</v>
      </c>
      <c r="I28" s="20">
        <v>322.92</v>
      </c>
      <c r="J28" s="22">
        <v>319.42500000000001</v>
      </c>
      <c r="K28" s="2">
        <f t="shared" si="1"/>
        <v>4261.8535491741122</v>
      </c>
      <c r="L28" s="2">
        <f>IF(B28&lt;&gt;B27,L27*(1+Dashboard!$G$5)+Dashboard!$G$6, L27)</f>
        <v>4017.6</v>
      </c>
      <c r="M28">
        <f t="shared" si="5"/>
        <v>0</v>
      </c>
      <c r="N28">
        <f t="shared" si="3"/>
        <v>13.245854076687216</v>
      </c>
      <c r="O28">
        <f>IF(B28&lt;&gt;B27, Dashboard!$L$6,0)</f>
        <v>0</v>
      </c>
      <c r="P28">
        <f t="shared" si="4"/>
        <v>12.591392236661235</v>
      </c>
      <c r="Q28">
        <f>IF(B28&lt;&gt;B27,IF(F28&lt;=AVERAGE(F6:F27),Dashboard!$N$6-Dashboard!$G$7,Dashboard!$N$6+Dashboard!$G$7),0)</f>
        <v>0</v>
      </c>
      <c r="R28">
        <f t="shared" si="4"/>
        <v>10.523005347045345</v>
      </c>
    </row>
    <row r="29" spans="1:19" x14ac:dyDescent="0.3">
      <c r="A29" s="1">
        <v>44085</v>
      </c>
      <c r="B29">
        <v>11</v>
      </c>
      <c r="C29" s="19">
        <v>9</v>
      </c>
      <c r="D29" s="20">
        <v>2020</v>
      </c>
      <c r="E29" s="21">
        <f t="shared" si="0"/>
        <v>44144</v>
      </c>
      <c r="F29" s="20">
        <v>325.76</v>
      </c>
      <c r="G29" s="20">
        <v>8097281</v>
      </c>
      <c r="H29" s="20">
        <v>334.36</v>
      </c>
      <c r="I29" s="20">
        <v>335.2</v>
      </c>
      <c r="J29" s="22">
        <v>325.27999999999997</v>
      </c>
      <c r="K29" s="2">
        <f t="shared" si="1"/>
        <v>4314.9694240216277</v>
      </c>
      <c r="L29" s="2">
        <f>IF(B29&lt;&gt;B28,L28*(1+Dashboard!$G$5)+Dashboard!$G$6, L28)</f>
        <v>4017.6</v>
      </c>
      <c r="M29">
        <f t="shared" si="5"/>
        <v>0</v>
      </c>
      <c r="N29">
        <f t="shared" si="3"/>
        <v>13.245854076687216</v>
      </c>
      <c r="O29">
        <f>IF(B29&lt;&gt;B28, Dashboard!$L$6,0)</f>
        <v>0</v>
      </c>
      <c r="P29">
        <f t="shared" si="4"/>
        <v>12.591392236661235</v>
      </c>
      <c r="Q29">
        <f>IF(B29&lt;&gt;B28,IF(F29&lt;=AVERAGE(F7:F28),Dashboard!$N$6-Dashboard!$G$7,Dashboard!$N$6+Dashboard!$G$7),0)</f>
        <v>0</v>
      </c>
      <c r="R29">
        <f t="shared" si="4"/>
        <v>10.523005347045345</v>
      </c>
    </row>
    <row r="30" spans="1:19" x14ac:dyDescent="0.3">
      <c r="A30" s="1">
        <v>44115</v>
      </c>
      <c r="B30">
        <v>11</v>
      </c>
      <c r="C30" s="19">
        <v>10</v>
      </c>
      <c r="D30" s="20">
        <v>2020</v>
      </c>
      <c r="E30" s="21">
        <f t="shared" si="0"/>
        <v>44145</v>
      </c>
      <c r="F30" s="20">
        <v>325.33999999999997</v>
      </c>
      <c r="G30" s="20">
        <v>4120821</v>
      </c>
      <c r="H30" s="20">
        <v>324.77</v>
      </c>
      <c r="I30" s="20">
        <v>326.3</v>
      </c>
      <c r="J30" s="22">
        <v>322.06</v>
      </c>
      <c r="K30" s="2">
        <f t="shared" si="1"/>
        <v>4309.4061653094186</v>
      </c>
      <c r="L30" s="2">
        <f>IF(B30&lt;&gt;B29,L29*(1+Dashboard!$G$5)+Dashboard!$G$6, L29)</f>
        <v>4017.6</v>
      </c>
      <c r="M30">
        <f t="shared" si="5"/>
        <v>0</v>
      </c>
      <c r="N30">
        <f t="shared" si="3"/>
        <v>13.245854076687216</v>
      </c>
      <c r="O30">
        <f>IF(B30&lt;&gt;B29, Dashboard!$L$6,0)</f>
        <v>0</v>
      </c>
      <c r="P30">
        <f t="shared" si="4"/>
        <v>12.591392236661235</v>
      </c>
      <c r="Q30">
        <f>IF(B30&lt;&gt;B29,IF(F30&lt;=AVERAGE(F8:F29),Dashboard!$N$6-Dashboard!$G$7,Dashboard!$N$6+Dashboard!$G$7),0)</f>
        <v>0</v>
      </c>
      <c r="R30">
        <f t="shared" si="4"/>
        <v>10.523005347045345</v>
      </c>
    </row>
    <row r="31" spans="1:19" x14ac:dyDescent="0.3">
      <c r="A31" s="1">
        <v>44146</v>
      </c>
      <c r="B31">
        <v>11</v>
      </c>
      <c r="C31" s="19">
        <v>11</v>
      </c>
      <c r="D31" s="20">
        <v>2020</v>
      </c>
      <c r="E31" s="21">
        <f t="shared" si="0"/>
        <v>44146</v>
      </c>
      <c r="F31" s="20">
        <v>327.63</v>
      </c>
      <c r="G31" s="20">
        <v>2773482</v>
      </c>
      <c r="H31" s="20">
        <v>327.42</v>
      </c>
      <c r="I31" s="20">
        <v>328.5</v>
      </c>
      <c r="J31" s="22">
        <v>326.17</v>
      </c>
      <c r="K31" s="2">
        <f t="shared" si="1"/>
        <v>4339.7391711450327</v>
      </c>
      <c r="L31" s="2">
        <f>IF(B31&lt;&gt;B30,L30*(1+Dashboard!$G$5)+Dashboard!$G$6, L30)</f>
        <v>4017.6</v>
      </c>
      <c r="M31">
        <f t="shared" si="5"/>
        <v>0</v>
      </c>
      <c r="N31">
        <f t="shared" si="3"/>
        <v>13.245854076687216</v>
      </c>
      <c r="O31">
        <f>IF(B31&lt;&gt;B30, Dashboard!$L$6,0)</f>
        <v>0</v>
      </c>
      <c r="P31">
        <f t="shared" si="4"/>
        <v>12.591392236661235</v>
      </c>
      <c r="Q31">
        <f>IF(B31&lt;&gt;B30,IF(F31&lt;=AVERAGE(F9:F30),Dashboard!$N$6-Dashboard!$G$7,Dashboard!$N$6+Dashboard!$G$7),0)</f>
        <v>0</v>
      </c>
      <c r="R31">
        <f t="shared" si="4"/>
        <v>10.523005347045345</v>
      </c>
    </row>
    <row r="32" spans="1:19" x14ac:dyDescent="0.3">
      <c r="A32" s="1">
        <v>44176</v>
      </c>
      <c r="B32">
        <v>11</v>
      </c>
      <c r="C32" s="19">
        <v>12</v>
      </c>
      <c r="D32" s="20">
        <v>2020</v>
      </c>
      <c r="E32" s="21">
        <f t="shared" si="0"/>
        <v>44147</v>
      </c>
      <c r="F32" s="20">
        <v>324.60000000000002</v>
      </c>
      <c r="G32" s="20">
        <v>2539783</v>
      </c>
      <c r="H32" s="20">
        <v>326.74</v>
      </c>
      <c r="I32" s="20">
        <v>327.44</v>
      </c>
      <c r="J32" s="22">
        <v>322.73</v>
      </c>
      <c r="K32" s="2">
        <f t="shared" si="1"/>
        <v>4299.6042332926709</v>
      </c>
      <c r="L32" s="2">
        <f>IF(B32&lt;&gt;B31,L31*(1+Dashboard!$G$5)+Dashboard!$G$6, L31)</f>
        <v>4017.6</v>
      </c>
      <c r="M32">
        <f t="shared" si="5"/>
        <v>0</v>
      </c>
      <c r="N32">
        <f t="shared" si="3"/>
        <v>13.245854076687216</v>
      </c>
      <c r="O32">
        <f>IF(B32&lt;&gt;B31, Dashboard!$L$6,0)</f>
        <v>0</v>
      </c>
      <c r="P32">
        <f t="shared" si="4"/>
        <v>12.591392236661235</v>
      </c>
      <c r="Q32">
        <f>IF(B32&lt;&gt;B31,IF(F32&lt;=AVERAGE(F10:F31),Dashboard!$N$6-Dashboard!$G$7,Dashboard!$N$6+Dashboard!$G$7),0)</f>
        <v>0</v>
      </c>
      <c r="R32">
        <f t="shared" si="4"/>
        <v>10.523005347045345</v>
      </c>
    </row>
    <row r="33" spans="1:18" x14ac:dyDescent="0.3">
      <c r="A33" t="s">
        <v>740</v>
      </c>
      <c r="B33">
        <v>11</v>
      </c>
      <c r="C33" s="19">
        <v>13</v>
      </c>
      <c r="D33" s="20">
        <v>2020</v>
      </c>
      <c r="E33" s="21">
        <f t="shared" si="0"/>
        <v>44148</v>
      </c>
      <c r="F33" s="20">
        <v>329.01</v>
      </c>
      <c r="G33" s="20">
        <v>1998446</v>
      </c>
      <c r="H33" s="20">
        <v>326.45</v>
      </c>
      <c r="I33" s="20">
        <v>329.73</v>
      </c>
      <c r="J33" s="22">
        <v>325.89</v>
      </c>
      <c r="K33" s="2">
        <f t="shared" si="1"/>
        <v>4358.0184497708606</v>
      </c>
      <c r="L33" s="2">
        <f>IF(B33&lt;&gt;B32,L32*(1+Dashboard!$G$5)+Dashboard!$G$6, L32)</f>
        <v>4017.6</v>
      </c>
      <c r="M33">
        <f t="shared" si="5"/>
        <v>0</v>
      </c>
      <c r="N33">
        <f t="shared" si="3"/>
        <v>13.245854076687216</v>
      </c>
      <c r="O33">
        <f>IF(B33&lt;&gt;B32, Dashboard!$L$6,0)</f>
        <v>0</v>
      </c>
      <c r="P33">
        <f t="shared" si="4"/>
        <v>12.591392236661235</v>
      </c>
      <c r="Q33">
        <f>IF(B33&lt;&gt;B32,IF(F33&lt;=AVERAGE(F11:F32),Dashboard!$N$6-Dashboard!$G$7,Dashboard!$N$6+Dashboard!$G$7),0)</f>
        <v>0</v>
      </c>
      <c r="R33">
        <f t="shared" si="4"/>
        <v>10.523005347045345</v>
      </c>
    </row>
    <row r="34" spans="1:18" x14ac:dyDescent="0.3">
      <c r="A34" t="s">
        <v>739</v>
      </c>
      <c r="B34">
        <v>11</v>
      </c>
      <c r="C34" s="19">
        <v>16</v>
      </c>
      <c r="D34" s="20">
        <v>2020</v>
      </c>
      <c r="E34" s="21">
        <f t="shared" si="0"/>
        <v>44151</v>
      </c>
      <c r="F34" s="20">
        <v>333</v>
      </c>
      <c r="G34" s="20">
        <v>3018755</v>
      </c>
      <c r="H34" s="20">
        <v>331.65</v>
      </c>
      <c r="I34" s="20">
        <v>333.12</v>
      </c>
      <c r="J34" s="22">
        <v>330.40499999999997</v>
      </c>
      <c r="K34" s="2">
        <f t="shared" si="1"/>
        <v>4410.869407536843</v>
      </c>
      <c r="L34" s="2">
        <f>IF(B34&lt;&gt;B33,L33*(1+Dashboard!$G$5)+Dashboard!$G$6, L33)</f>
        <v>4017.6</v>
      </c>
      <c r="M34">
        <f t="shared" si="5"/>
        <v>0</v>
      </c>
      <c r="N34">
        <f t="shared" si="3"/>
        <v>13.245854076687216</v>
      </c>
      <c r="O34">
        <f>IF(B34&lt;&gt;B33, Dashboard!$L$6,0)</f>
        <v>0</v>
      </c>
      <c r="P34">
        <f t="shared" si="4"/>
        <v>12.591392236661235</v>
      </c>
      <c r="Q34">
        <f>IF(B34&lt;&gt;B33,IF(F34&lt;=AVERAGE(F12:F33),Dashboard!$N$6-Dashboard!$G$7,Dashboard!$N$6+Dashboard!$G$7),0)</f>
        <v>0</v>
      </c>
      <c r="R34">
        <f t="shared" si="4"/>
        <v>10.523005347045345</v>
      </c>
    </row>
    <row r="35" spans="1:18" x14ac:dyDescent="0.3">
      <c r="A35" t="s">
        <v>738</v>
      </c>
      <c r="B35">
        <v>11</v>
      </c>
      <c r="C35" s="19">
        <v>17</v>
      </c>
      <c r="D35" s="20">
        <v>2020</v>
      </c>
      <c r="E35" s="21">
        <f t="shared" si="0"/>
        <v>44152</v>
      </c>
      <c r="F35" s="20">
        <v>331.34</v>
      </c>
      <c r="G35" s="20">
        <v>3052136</v>
      </c>
      <c r="H35" s="20">
        <v>330.73</v>
      </c>
      <c r="I35" s="20">
        <v>332.5</v>
      </c>
      <c r="J35" s="22">
        <v>329.25</v>
      </c>
      <c r="K35" s="2">
        <f t="shared" si="1"/>
        <v>4388.8812897695416</v>
      </c>
      <c r="L35" s="2">
        <f>IF(B35&lt;&gt;B34,L34*(1+Dashboard!$G$5)+Dashboard!$G$6, L34)</f>
        <v>4017.6</v>
      </c>
      <c r="M35">
        <f t="shared" si="5"/>
        <v>0</v>
      </c>
      <c r="N35">
        <f t="shared" si="3"/>
        <v>13.245854076687216</v>
      </c>
      <c r="O35">
        <f>IF(B35&lt;&gt;B34, Dashboard!$L$6,0)</f>
        <v>0</v>
      </c>
      <c r="P35">
        <f t="shared" si="4"/>
        <v>12.591392236661235</v>
      </c>
      <c r="Q35">
        <f>IF(B35&lt;&gt;B34,IF(F35&lt;=AVERAGE(F13:F34),Dashboard!$N$6-Dashboard!$G$7,Dashboard!$N$6+Dashboard!$G$7),0)</f>
        <v>0</v>
      </c>
      <c r="R35">
        <f t="shared" si="4"/>
        <v>10.523005347045345</v>
      </c>
    </row>
    <row r="36" spans="1:18" x14ac:dyDescent="0.3">
      <c r="A36" t="s">
        <v>737</v>
      </c>
      <c r="B36">
        <v>11</v>
      </c>
      <c r="C36" s="19">
        <v>18</v>
      </c>
      <c r="D36" s="20">
        <v>2020</v>
      </c>
      <c r="E36" s="21">
        <f t="shared" si="0"/>
        <v>44153</v>
      </c>
      <c r="F36" s="20">
        <v>327.32</v>
      </c>
      <c r="G36" s="20">
        <v>2647827</v>
      </c>
      <c r="H36" s="20">
        <v>331.63</v>
      </c>
      <c r="I36" s="20">
        <v>332.14</v>
      </c>
      <c r="J36" s="22">
        <v>327.29000000000002</v>
      </c>
      <c r="K36" s="2">
        <f t="shared" si="1"/>
        <v>4335.6329563812596</v>
      </c>
      <c r="L36" s="2">
        <f>IF(B36&lt;&gt;B35,L35*(1+Dashboard!$G$5)+Dashboard!$G$6, L35)</f>
        <v>4017.6</v>
      </c>
      <c r="M36">
        <f t="shared" si="5"/>
        <v>0</v>
      </c>
      <c r="N36">
        <f t="shared" si="3"/>
        <v>13.245854076687216</v>
      </c>
      <c r="O36">
        <f>IF(B36&lt;&gt;B35, Dashboard!$L$6,0)</f>
        <v>0</v>
      </c>
      <c r="P36">
        <f t="shared" si="4"/>
        <v>12.591392236661235</v>
      </c>
      <c r="Q36">
        <f>IF(B36&lt;&gt;B35,IF(F36&lt;=AVERAGE(F14:F35),Dashboard!$N$6-Dashboard!$G$7,Dashboard!$N$6+Dashboard!$G$7),0)</f>
        <v>0</v>
      </c>
      <c r="R36">
        <f t="shared" si="4"/>
        <v>10.523005347045345</v>
      </c>
    </row>
    <row r="37" spans="1:18" x14ac:dyDescent="0.3">
      <c r="A37" t="s">
        <v>736</v>
      </c>
      <c r="B37">
        <v>11</v>
      </c>
      <c r="C37" s="19">
        <v>19</v>
      </c>
      <c r="D37" s="20">
        <v>2020</v>
      </c>
      <c r="E37" s="21">
        <f t="shared" si="0"/>
        <v>44154</v>
      </c>
      <c r="F37" s="20">
        <v>328.69</v>
      </c>
      <c r="G37" s="20">
        <v>2962161</v>
      </c>
      <c r="H37" s="20">
        <v>326.76</v>
      </c>
      <c r="I37" s="20">
        <v>329.09</v>
      </c>
      <c r="J37" s="22">
        <v>325.41000000000003</v>
      </c>
      <c r="K37" s="2">
        <f t="shared" si="1"/>
        <v>4353.779776466321</v>
      </c>
      <c r="L37" s="2">
        <f>IF(B37&lt;&gt;B36,L36*(1+Dashboard!$G$5)+Dashboard!$G$6, L36)</f>
        <v>4017.6</v>
      </c>
      <c r="M37">
        <f t="shared" si="5"/>
        <v>0</v>
      </c>
      <c r="N37">
        <f t="shared" si="3"/>
        <v>13.245854076687216</v>
      </c>
      <c r="O37">
        <f>IF(B37&lt;&gt;B36, Dashboard!$L$6,0)</f>
        <v>0</v>
      </c>
      <c r="P37">
        <f t="shared" si="4"/>
        <v>12.591392236661235</v>
      </c>
      <c r="Q37">
        <f>IF(B37&lt;&gt;B36,IF(F37&lt;=AVERAGE(F15:F36),Dashboard!$N$6-Dashboard!$G$7,Dashboard!$N$6+Dashboard!$G$7),0)</f>
        <v>0</v>
      </c>
      <c r="R37">
        <f t="shared" si="4"/>
        <v>10.523005347045345</v>
      </c>
    </row>
    <row r="38" spans="1:18" x14ac:dyDescent="0.3">
      <c r="A38" t="s">
        <v>735</v>
      </c>
      <c r="B38">
        <v>11</v>
      </c>
      <c r="C38" s="19">
        <v>20</v>
      </c>
      <c r="D38" s="20">
        <v>2020</v>
      </c>
      <c r="E38" s="21">
        <f t="shared" si="0"/>
        <v>44155</v>
      </c>
      <c r="F38" s="20">
        <v>326.49</v>
      </c>
      <c r="G38" s="20">
        <v>3517557</v>
      </c>
      <c r="H38" s="20">
        <v>328.41</v>
      </c>
      <c r="I38" s="20">
        <v>328.65800000000002</v>
      </c>
      <c r="J38" s="22">
        <v>326.39999999999998</v>
      </c>
      <c r="K38" s="2">
        <f t="shared" si="1"/>
        <v>4324.6388974976089</v>
      </c>
      <c r="L38" s="2">
        <f>IF(B38&lt;&gt;B37,L37*(1+Dashboard!$G$5)+Dashboard!$G$6, L37)</f>
        <v>4017.6</v>
      </c>
      <c r="M38">
        <f t="shared" si="5"/>
        <v>0</v>
      </c>
      <c r="N38">
        <f t="shared" si="3"/>
        <v>13.245854076687216</v>
      </c>
      <c r="O38">
        <f>IF(B38&lt;&gt;B37, Dashboard!$L$6,0)</f>
        <v>0</v>
      </c>
      <c r="P38">
        <f t="shared" si="4"/>
        <v>12.591392236661235</v>
      </c>
      <c r="Q38">
        <f>IF(B38&lt;&gt;B37,IF(F38&lt;=AVERAGE(F16:F37),Dashboard!$N$6-Dashboard!$G$7,Dashboard!$N$6+Dashboard!$G$7),0)</f>
        <v>0</v>
      </c>
      <c r="R38">
        <f t="shared" si="4"/>
        <v>10.523005347045345</v>
      </c>
    </row>
    <row r="39" spans="1:18" x14ac:dyDescent="0.3">
      <c r="A39" t="s">
        <v>734</v>
      </c>
      <c r="B39">
        <v>11</v>
      </c>
      <c r="C39" s="19">
        <v>23</v>
      </c>
      <c r="D39" s="20">
        <v>2020</v>
      </c>
      <c r="E39" s="21">
        <f t="shared" si="0"/>
        <v>44158</v>
      </c>
      <c r="F39" s="20">
        <v>328.42</v>
      </c>
      <c r="G39" s="20">
        <v>2222635</v>
      </c>
      <c r="H39" s="20">
        <v>328.28</v>
      </c>
      <c r="I39" s="20">
        <v>329.6</v>
      </c>
      <c r="J39" s="22">
        <v>326.06</v>
      </c>
      <c r="K39" s="2">
        <f t="shared" si="1"/>
        <v>4350.2033958656157</v>
      </c>
      <c r="L39" s="2">
        <f>IF(B39&lt;&gt;B38,L38*(1+Dashboard!$G$5)+Dashboard!$G$6, L38)</f>
        <v>4017.6</v>
      </c>
      <c r="M39">
        <f t="shared" si="5"/>
        <v>0</v>
      </c>
      <c r="N39">
        <f t="shared" si="3"/>
        <v>13.245854076687216</v>
      </c>
      <c r="O39">
        <f>IF(B39&lt;&gt;B38, Dashboard!$L$6,0)</f>
        <v>0</v>
      </c>
      <c r="P39">
        <f t="shared" si="4"/>
        <v>12.591392236661235</v>
      </c>
      <c r="Q39">
        <f>IF(B39&lt;&gt;B38,IF(F39&lt;=AVERAGE(F17:F38),Dashboard!$N$6-Dashboard!$G$7,Dashboard!$N$6+Dashboard!$G$7),0)</f>
        <v>0</v>
      </c>
      <c r="R39">
        <f t="shared" si="4"/>
        <v>10.523005347045345</v>
      </c>
    </row>
    <row r="40" spans="1:18" x14ac:dyDescent="0.3">
      <c r="A40" t="s">
        <v>733</v>
      </c>
      <c r="B40">
        <v>11</v>
      </c>
      <c r="C40" s="19">
        <v>24</v>
      </c>
      <c r="D40" s="20">
        <v>2020</v>
      </c>
      <c r="E40" s="21">
        <f t="shared" si="0"/>
        <v>44159</v>
      </c>
      <c r="F40" s="20">
        <v>333.74</v>
      </c>
      <c r="G40" s="20">
        <v>2659731</v>
      </c>
      <c r="H40" s="20">
        <v>331.02</v>
      </c>
      <c r="I40" s="20">
        <v>334.25</v>
      </c>
      <c r="J40" s="22">
        <v>330.1</v>
      </c>
      <c r="K40" s="2">
        <f t="shared" si="1"/>
        <v>4420.6713395535917</v>
      </c>
      <c r="L40" s="2">
        <f>IF(B40&lt;&gt;B39,L39*(1+Dashboard!$G$5)+Dashboard!$G$6, L39)</f>
        <v>4017.6</v>
      </c>
      <c r="M40">
        <f t="shared" si="5"/>
        <v>0</v>
      </c>
      <c r="N40">
        <f t="shared" si="3"/>
        <v>13.245854076687216</v>
      </c>
      <c r="O40">
        <f>IF(B40&lt;&gt;B39, Dashboard!$L$6,0)</f>
        <v>0</v>
      </c>
      <c r="P40">
        <f t="shared" si="4"/>
        <v>12.591392236661235</v>
      </c>
      <c r="Q40">
        <f>IF(B40&lt;&gt;B39,IF(F40&lt;=AVERAGE(F18:F39),Dashboard!$N$6-Dashboard!$G$7,Dashboard!$N$6+Dashboard!$G$7),0)</f>
        <v>0</v>
      </c>
      <c r="R40">
        <f t="shared" si="4"/>
        <v>10.523005347045345</v>
      </c>
    </row>
    <row r="41" spans="1:18" x14ac:dyDescent="0.3">
      <c r="A41" t="s">
        <v>732</v>
      </c>
      <c r="B41">
        <v>11</v>
      </c>
      <c r="C41" s="19">
        <v>25</v>
      </c>
      <c r="D41" s="20">
        <v>2020</v>
      </c>
      <c r="E41" s="21">
        <f t="shared" si="0"/>
        <v>44160</v>
      </c>
      <c r="F41" s="20">
        <v>333.19</v>
      </c>
      <c r="G41" s="20">
        <v>2256860</v>
      </c>
      <c r="H41" s="20">
        <v>333.67</v>
      </c>
      <c r="I41" s="20">
        <v>333.67</v>
      </c>
      <c r="J41" s="22">
        <v>332.15</v>
      </c>
      <c r="K41" s="2">
        <f t="shared" si="1"/>
        <v>4413.3861198114137</v>
      </c>
      <c r="L41" s="2">
        <f>IF(B41&lt;&gt;B40,L40*(1+Dashboard!$G$5)+Dashboard!$G$6, L40)</f>
        <v>4017.6</v>
      </c>
      <c r="M41">
        <f t="shared" si="5"/>
        <v>0</v>
      </c>
      <c r="N41">
        <f t="shared" si="3"/>
        <v>13.245854076687216</v>
      </c>
      <c r="O41">
        <f>IF(B41&lt;&gt;B40, Dashboard!$L$6,0)</f>
        <v>0</v>
      </c>
      <c r="P41">
        <f t="shared" si="4"/>
        <v>12.591392236661235</v>
      </c>
      <c r="Q41">
        <f>IF(B41&lt;&gt;B40,IF(F41&lt;=AVERAGE(F19:F40),Dashboard!$N$6-Dashboard!$G$7,Dashboard!$N$6+Dashboard!$G$7),0)</f>
        <v>0</v>
      </c>
      <c r="R41">
        <f t="shared" si="4"/>
        <v>10.523005347045345</v>
      </c>
    </row>
    <row r="42" spans="1:18" x14ac:dyDescent="0.3">
      <c r="A42" t="s">
        <v>731</v>
      </c>
      <c r="B42">
        <v>11</v>
      </c>
      <c r="C42" s="19">
        <v>27</v>
      </c>
      <c r="D42" s="20">
        <v>2020</v>
      </c>
      <c r="E42" s="21">
        <f t="shared" si="0"/>
        <v>44162</v>
      </c>
      <c r="F42" s="20">
        <v>334.14</v>
      </c>
      <c r="G42" s="20">
        <v>984710</v>
      </c>
      <c r="H42" s="20">
        <v>334.28500000000003</v>
      </c>
      <c r="I42" s="20">
        <v>334.61</v>
      </c>
      <c r="J42" s="22">
        <v>333.18</v>
      </c>
      <c r="K42" s="2">
        <f t="shared" si="1"/>
        <v>4425.9696811842659</v>
      </c>
      <c r="L42" s="2">
        <f>IF(B42&lt;&gt;B41,L41*(1+Dashboard!$G$5)+Dashboard!$G$6, L41)</f>
        <v>4017.6</v>
      </c>
      <c r="M42">
        <f t="shared" si="5"/>
        <v>0</v>
      </c>
      <c r="N42">
        <f t="shared" si="3"/>
        <v>13.245854076687216</v>
      </c>
      <c r="O42">
        <f>IF(B42&lt;&gt;B41, Dashboard!$L$6,0)</f>
        <v>0</v>
      </c>
      <c r="P42">
        <f t="shared" si="4"/>
        <v>12.591392236661235</v>
      </c>
      <c r="Q42">
        <f>IF(B42&lt;&gt;B41,IF(F42&lt;=AVERAGE(F20:F41),Dashboard!$N$6-Dashboard!$G$7,Dashboard!$N$6+Dashboard!$G$7),0)</f>
        <v>0</v>
      </c>
      <c r="R42">
        <f t="shared" si="4"/>
        <v>10.523005347045345</v>
      </c>
    </row>
    <row r="43" spans="1:18" x14ac:dyDescent="0.3">
      <c r="A43" t="s">
        <v>730</v>
      </c>
      <c r="B43">
        <v>11</v>
      </c>
      <c r="C43" s="19">
        <v>30</v>
      </c>
      <c r="D43" s="20">
        <v>2020</v>
      </c>
      <c r="E43" s="21">
        <f t="shared" si="0"/>
        <v>44165</v>
      </c>
      <c r="F43" s="20">
        <v>332.64</v>
      </c>
      <c r="G43" s="20">
        <v>4175707</v>
      </c>
      <c r="H43" s="20">
        <v>333.4</v>
      </c>
      <c r="I43" s="20">
        <v>333.63</v>
      </c>
      <c r="J43" s="22">
        <v>330.04</v>
      </c>
      <c r="K43" s="2">
        <f t="shared" si="1"/>
        <v>4406.1009000692356</v>
      </c>
      <c r="L43" s="2">
        <f>IF(B43&lt;&gt;B42,L42*(1+Dashboard!$G$5)+Dashboard!$G$6, L42)</f>
        <v>4017.6</v>
      </c>
      <c r="M43">
        <f t="shared" si="5"/>
        <v>0</v>
      </c>
      <c r="N43">
        <f t="shared" si="3"/>
        <v>13.245854076687216</v>
      </c>
      <c r="O43">
        <f>IF(B43&lt;&gt;B42, Dashboard!$L$6,0)</f>
        <v>0</v>
      </c>
      <c r="P43">
        <f t="shared" si="4"/>
        <v>12.591392236661235</v>
      </c>
      <c r="Q43">
        <f>IF(B43&lt;&gt;B42,IF(F43&lt;=AVERAGE(F21:F42),Dashboard!$N$6-Dashboard!$G$7,Dashboard!$N$6+Dashboard!$G$7),0)</f>
        <v>0</v>
      </c>
      <c r="R43">
        <f t="shared" si="4"/>
        <v>10.523005347045345</v>
      </c>
    </row>
    <row r="44" spans="1:18" x14ac:dyDescent="0.3">
      <c r="A44" s="1">
        <v>43842</v>
      </c>
      <c r="B44">
        <v>12</v>
      </c>
      <c r="C44" s="19">
        <v>1</v>
      </c>
      <c r="D44" s="20">
        <v>2020</v>
      </c>
      <c r="E44" s="21">
        <f t="shared" si="0"/>
        <v>44166</v>
      </c>
      <c r="F44" s="20">
        <v>336.3</v>
      </c>
      <c r="G44" s="20">
        <v>3237145</v>
      </c>
      <c r="H44" s="20">
        <v>335.92</v>
      </c>
      <c r="I44" s="20">
        <v>337.8</v>
      </c>
      <c r="J44" s="22">
        <v>335.32</v>
      </c>
      <c r="K44" s="2">
        <f t="shared" si="1"/>
        <v>4454.5807259899111</v>
      </c>
      <c r="L44" s="2">
        <f>IF(B44&lt;&gt;B43,L43*(1+Dashboard!$G$5)+Dashboard!$G$6, L43)</f>
        <v>6052.9548799999993</v>
      </c>
      <c r="M44">
        <f t="shared" si="5"/>
        <v>1598.3741540100882</v>
      </c>
      <c r="N44">
        <f t="shared" si="3"/>
        <v>13.245854076687216</v>
      </c>
      <c r="O44">
        <f>IF(B44&lt;&gt;B43, Dashboard!$L$6,0)</f>
        <v>1859.7282542371197</v>
      </c>
      <c r="P44">
        <f t="shared" si="4"/>
        <v>18.121360283753475</v>
      </c>
      <c r="Q44">
        <f>IF(B44&lt;&gt;B43,IF(F44&lt;=AVERAGE(F22:F43),Dashboard!$N$6-Dashboard!$G$7,Dashboard!$N$6+Dashboard!$G$7),0)</f>
        <v>2232.609610169322</v>
      </c>
      <c r="R44">
        <f t="shared" si="4"/>
        <v>17.169259247287432</v>
      </c>
    </row>
    <row r="45" spans="1:18" x14ac:dyDescent="0.3">
      <c r="A45" s="1">
        <v>43873</v>
      </c>
      <c r="B45">
        <v>12</v>
      </c>
      <c r="C45" s="19">
        <v>2</v>
      </c>
      <c r="D45" s="20">
        <v>2020</v>
      </c>
      <c r="E45" s="21">
        <f t="shared" si="0"/>
        <v>44167</v>
      </c>
      <c r="F45" s="20">
        <v>337.01</v>
      </c>
      <c r="G45" s="20">
        <v>2270336</v>
      </c>
      <c r="H45" s="20">
        <v>335.22</v>
      </c>
      <c r="I45" s="20">
        <v>337.11</v>
      </c>
      <c r="J45" s="22">
        <v>334.65</v>
      </c>
      <c r="K45" s="2">
        <f t="shared" si="1"/>
        <v>6065.7339402581019</v>
      </c>
      <c r="L45" s="2">
        <f>IF(B45&lt;&gt;B44,L44*(1+Dashboard!$G$5)+Dashboard!$G$6, L44)</f>
        <v>6052.9548799999993</v>
      </c>
      <c r="M45">
        <f t="shared" si="5"/>
        <v>0</v>
      </c>
      <c r="N45">
        <f t="shared" si="3"/>
        <v>17.998676419863216</v>
      </c>
      <c r="O45">
        <f>IF(B45&lt;&gt;B44, Dashboard!$L$6,0)</f>
        <v>0</v>
      </c>
      <c r="P45">
        <f t="shared" si="4"/>
        <v>18.121360283753475</v>
      </c>
      <c r="Q45">
        <f>IF(B45&lt;&gt;B44,IF(F45&lt;=AVERAGE(F23:F44),Dashboard!$N$6-Dashboard!$G$7,Dashboard!$N$6+Dashboard!$G$7),0)</f>
        <v>0</v>
      </c>
      <c r="R45">
        <f t="shared" si="4"/>
        <v>17.169259247287432</v>
      </c>
    </row>
    <row r="46" spans="1:18" x14ac:dyDescent="0.3">
      <c r="A46" s="1">
        <v>43902</v>
      </c>
      <c r="B46">
        <v>12</v>
      </c>
      <c r="C46" s="19">
        <v>3</v>
      </c>
      <c r="D46" s="20">
        <v>2020</v>
      </c>
      <c r="E46" s="21">
        <f t="shared" si="0"/>
        <v>44168</v>
      </c>
      <c r="F46" s="20">
        <v>336.91</v>
      </c>
      <c r="G46" s="20">
        <v>2851086</v>
      </c>
      <c r="H46" s="20">
        <v>336.91</v>
      </c>
      <c r="I46" s="20">
        <v>338.3</v>
      </c>
      <c r="J46" s="22">
        <v>335.88</v>
      </c>
      <c r="K46" s="2">
        <f t="shared" si="1"/>
        <v>6063.9340726161163</v>
      </c>
      <c r="L46" s="2">
        <f>IF(B46&lt;&gt;B45,L45*(1+Dashboard!$G$5)+Dashboard!$G$6, L45)</f>
        <v>6052.9548799999993</v>
      </c>
      <c r="M46">
        <f t="shared" si="5"/>
        <v>0</v>
      </c>
      <c r="N46">
        <f t="shared" si="3"/>
        <v>17.998676419863216</v>
      </c>
      <c r="O46">
        <f>IF(B46&lt;&gt;B45, Dashboard!$L$6,0)</f>
        <v>0</v>
      </c>
      <c r="P46">
        <f t="shared" si="4"/>
        <v>18.121360283753475</v>
      </c>
      <c r="Q46">
        <f>IF(B46&lt;&gt;B45,IF(F46&lt;=AVERAGE(F24:F45),Dashboard!$N$6-Dashboard!$G$7,Dashboard!$N$6+Dashboard!$G$7),0)</f>
        <v>0</v>
      </c>
      <c r="R46">
        <f t="shared" si="4"/>
        <v>17.169259247287432</v>
      </c>
    </row>
    <row r="47" spans="1:18" x14ac:dyDescent="0.3">
      <c r="A47" s="1">
        <v>43933</v>
      </c>
      <c r="B47">
        <v>12</v>
      </c>
      <c r="C47" s="19">
        <v>4</v>
      </c>
      <c r="D47" s="20">
        <v>2020</v>
      </c>
      <c r="E47" s="21">
        <f t="shared" si="0"/>
        <v>44169</v>
      </c>
      <c r="F47" s="20">
        <v>339.81</v>
      </c>
      <c r="G47" s="20">
        <v>2907285</v>
      </c>
      <c r="H47" s="20">
        <v>337.505</v>
      </c>
      <c r="I47" s="20">
        <v>339.84</v>
      </c>
      <c r="J47" s="22">
        <v>337.45</v>
      </c>
      <c r="K47" s="2">
        <f t="shared" si="1"/>
        <v>6116.1302342337194</v>
      </c>
      <c r="L47" s="2">
        <f>IF(B47&lt;&gt;B46,L46*(1+Dashboard!$G$5)+Dashboard!$G$6, L46)</f>
        <v>6052.9548799999993</v>
      </c>
      <c r="M47">
        <f t="shared" si="5"/>
        <v>0</v>
      </c>
      <c r="N47">
        <f t="shared" si="3"/>
        <v>17.998676419863216</v>
      </c>
      <c r="O47">
        <f>IF(B47&lt;&gt;B46, Dashboard!$L$6,0)</f>
        <v>0</v>
      </c>
      <c r="P47">
        <f t="shared" si="4"/>
        <v>18.121360283753475</v>
      </c>
      <c r="Q47">
        <f>IF(B47&lt;&gt;B46,IF(F47&lt;=AVERAGE(F25:F46),Dashboard!$N$6-Dashboard!$G$7,Dashboard!$N$6+Dashboard!$G$7),0)</f>
        <v>0</v>
      </c>
      <c r="R47">
        <f t="shared" si="4"/>
        <v>17.169259247287432</v>
      </c>
    </row>
    <row r="48" spans="1:18" x14ac:dyDescent="0.3">
      <c r="A48" s="1">
        <v>44024</v>
      </c>
      <c r="B48">
        <v>12</v>
      </c>
      <c r="C48" s="19">
        <v>7</v>
      </c>
      <c r="D48" s="20">
        <v>2020</v>
      </c>
      <c r="E48" s="21">
        <f t="shared" si="0"/>
        <v>44172</v>
      </c>
      <c r="F48" s="20">
        <v>339.18</v>
      </c>
      <c r="G48" s="20">
        <v>1943081</v>
      </c>
      <c r="H48" s="20">
        <v>339.07</v>
      </c>
      <c r="I48" s="20">
        <v>339.63</v>
      </c>
      <c r="J48" s="22">
        <v>337.91</v>
      </c>
      <c r="K48" s="2">
        <f t="shared" si="1"/>
        <v>6104.7910680892055</v>
      </c>
      <c r="L48" s="2">
        <f>IF(B48&lt;&gt;B47,L47*(1+Dashboard!$G$5)+Dashboard!$G$6, L47)</f>
        <v>6052.9548799999993</v>
      </c>
      <c r="M48">
        <f t="shared" si="5"/>
        <v>0</v>
      </c>
      <c r="N48">
        <f t="shared" si="3"/>
        <v>17.998676419863216</v>
      </c>
      <c r="O48">
        <f>IF(B48&lt;&gt;B47, Dashboard!$L$6,0)</f>
        <v>0</v>
      </c>
      <c r="P48">
        <f t="shared" si="4"/>
        <v>18.121360283753475</v>
      </c>
      <c r="Q48">
        <f>IF(B48&lt;&gt;B47,IF(F48&lt;=AVERAGE(F26:F47),Dashboard!$N$6-Dashboard!$G$7,Dashboard!$N$6+Dashboard!$G$7),0)</f>
        <v>0</v>
      </c>
      <c r="R48">
        <f t="shared" si="4"/>
        <v>17.169259247287432</v>
      </c>
    </row>
    <row r="49" spans="1:18" x14ac:dyDescent="0.3">
      <c r="A49" s="1">
        <v>44055</v>
      </c>
      <c r="B49">
        <v>12</v>
      </c>
      <c r="C49" s="19">
        <v>8</v>
      </c>
      <c r="D49" s="20">
        <v>2020</v>
      </c>
      <c r="E49" s="21">
        <f t="shared" si="0"/>
        <v>44173</v>
      </c>
      <c r="F49" s="20">
        <v>340.16</v>
      </c>
      <c r="G49" s="20">
        <v>1948194</v>
      </c>
      <c r="H49" s="20">
        <v>337.89</v>
      </c>
      <c r="I49" s="20">
        <v>340.7</v>
      </c>
      <c r="J49" s="22">
        <v>337.85</v>
      </c>
      <c r="K49" s="2">
        <f t="shared" si="1"/>
        <v>6122.4297709806724</v>
      </c>
      <c r="L49" s="2">
        <f>IF(B49&lt;&gt;B48,L48*(1+Dashboard!$G$5)+Dashboard!$G$6, L48)</f>
        <v>6052.9548799999993</v>
      </c>
      <c r="M49">
        <f t="shared" si="5"/>
        <v>0</v>
      </c>
      <c r="N49">
        <f t="shared" si="3"/>
        <v>17.998676419863216</v>
      </c>
      <c r="O49">
        <f>IF(B49&lt;&gt;B48, Dashboard!$L$6,0)</f>
        <v>0</v>
      </c>
      <c r="P49">
        <f t="shared" si="4"/>
        <v>18.121360283753475</v>
      </c>
      <c r="Q49">
        <f>IF(B49&lt;&gt;B48,IF(F49&lt;=AVERAGE(F27:F48),Dashboard!$N$6-Dashboard!$G$7,Dashboard!$N$6+Dashboard!$G$7),0)</f>
        <v>0</v>
      </c>
      <c r="R49">
        <f t="shared" si="4"/>
        <v>17.169259247287432</v>
      </c>
    </row>
    <row r="50" spans="1:18" x14ac:dyDescent="0.3">
      <c r="A50" s="1">
        <v>44086</v>
      </c>
      <c r="B50">
        <v>12</v>
      </c>
      <c r="C50" s="19">
        <v>9</v>
      </c>
      <c r="D50" s="20">
        <v>2020</v>
      </c>
      <c r="E50" s="21">
        <f t="shared" si="0"/>
        <v>44174</v>
      </c>
      <c r="F50" s="20">
        <v>337.14</v>
      </c>
      <c r="G50" s="20">
        <v>2545788</v>
      </c>
      <c r="H50" s="20">
        <v>340.79</v>
      </c>
      <c r="I50" s="20">
        <v>340.93290000000002</v>
      </c>
      <c r="J50" s="22">
        <v>336.26</v>
      </c>
      <c r="K50" s="2">
        <f t="shared" si="1"/>
        <v>6068.0737681926839</v>
      </c>
      <c r="L50" s="2">
        <f>IF(B50&lt;&gt;B49,L49*(1+Dashboard!$G$5)+Dashboard!$G$6, L49)</f>
        <v>6052.9548799999993</v>
      </c>
      <c r="M50">
        <f t="shared" si="5"/>
        <v>0</v>
      </c>
      <c r="N50">
        <f t="shared" si="3"/>
        <v>17.998676419863216</v>
      </c>
      <c r="O50">
        <f>IF(B50&lt;&gt;B49, Dashboard!$L$6,0)</f>
        <v>0</v>
      </c>
      <c r="P50">
        <f t="shared" si="4"/>
        <v>18.121360283753475</v>
      </c>
      <c r="Q50">
        <f>IF(B50&lt;&gt;B49,IF(F50&lt;=AVERAGE(F28:F49),Dashboard!$N$6-Dashboard!$G$7,Dashboard!$N$6+Dashboard!$G$7),0)</f>
        <v>0</v>
      </c>
      <c r="R50">
        <f t="shared" si="4"/>
        <v>17.169259247287432</v>
      </c>
    </row>
    <row r="51" spans="1:18" x14ac:dyDescent="0.3">
      <c r="A51" s="1">
        <v>44116</v>
      </c>
      <c r="B51">
        <v>12</v>
      </c>
      <c r="C51" s="19">
        <v>10</v>
      </c>
      <c r="D51" s="20">
        <v>2020</v>
      </c>
      <c r="E51" s="21">
        <f t="shared" si="0"/>
        <v>44175</v>
      </c>
      <c r="F51" s="20">
        <v>336.98</v>
      </c>
      <c r="G51" s="20">
        <v>2738559</v>
      </c>
      <c r="H51" s="20">
        <v>335.74</v>
      </c>
      <c r="I51" s="20">
        <v>337.99990000000003</v>
      </c>
      <c r="J51" s="22">
        <v>334.84199999999998</v>
      </c>
      <c r="K51" s="2">
        <f t="shared" si="1"/>
        <v>6065.1939799655065</v>
      </c>
      <c r="L51" s="2">
        <f>IF(B51&lt;&gt;B50,L50*(1+Dashboard!$G$5)+Dashboard!$G$6, L50)</f>
        <v>6052.9548799999993</v>
      </c>
      <c r="M51">
        <f t="shared" si="5"/>
        <v>0</v>
      </c>
      <c r="N51">
        <f t="shared" si="3"/>
        <v>17.998676419863216</v>
      </c>
      <c r="O51">
        <f>IF(B51&lt;&gt;B50, Dashboard!$L$6,0)</f>
        <v>0</v>
      </c>
      <c r="P51">
        <f t="shared" si="4"/>
        <v>18.121360283753475</v>
      </c>
      <c r="Q51">
        <f>IF(B51&lt;&gt;B50,IF(F51&lt;=AVERAGE(F29:F50),Dashboard!$N$6-Dashboard!$G$7,Dashboard!$N$6+Dashboard!$G$7),0)</f>
        <v>0</v>
      </c>
      <c r="R51">
        <f t="shared" si="4"/>
        <v>17.169259247287432</v>
      </c>
    </row>
    <row r="52" spans="1:18" x14ac:dyDescent="0.3">
      <c r="A52" s="1">
        <v>44147</v>
      </c>
      <c r="B52">
        <v>12</v>
      </c>
      <c r="C52" s="19">
        <v>11</v>
      </c>
      <c r="D52" s="20">
        <v>2020</v>
      </c>
      <c r="E52" s="21">
        <f t="shared" si="0"/>
        <v>44176</v>
      </c>
      <c r="F52" s="20">
        <v>336.55</v>
      </c>
      <c r="G52" s="20">
        <v>2387889</v>
      </c>
      <c r="H52" s="20">
        <v>335.31</v>
      </c>
      <c r="I52" s="20">
        <v>336.8</v>
      </c>
      <c r="J52" s="22">
        <v>333.77</v>
      </c>
      <c r="K52" s="2">
        <f t="shared" si="1"/>
        <v>6057.4545491049657</v>
      </c>
      <c r="L52" s="2">
        <f>IF(B52&lt;&gt;B51,L51*(1+Dashboard!$G$5)+Dashboard!$G$6, L51)</f>
        <v>6052.9548799999993</v>
      </c>
      <c r="M52">
        <f t="shared" si="5"/>
        <v>0</v>
      </c>
      <c r="N52">
        <f t="shared" si="3"/>
        <v>17.998676419863216</v>
      </c>
      <c r="O52">
        <f>IF(B52&lt;&gt;B51, Dashboard!$L$6,0)</f>
        <v>0</v>
      </c>
      <c r="P52">
        <f t="shared" si="4"/>
        <v>18.121360283753475</v>
      </c>
      <c r="Q52">
        <f>IF(B52&lt;&gt;B51,IF(F52&lt;=AVERAGE(F30:F51),Dashboard!$N$6-Dashboard!$G$7,Dashboard!$N$6+Dashboard!$G$7),0)</f>
        <v>0</v>
      </c>
      <c r="R52">
        <f t="shared" si="4"/>
        <v>17.169259247287432</v>
      </c>
    </row>
    <row r="53" spans="1:18" x14ac:dyDescent="0.3">
      <c r="A53" t="s">
        <v>729</v>
      </c>
      <c r="B53">
        <v>12</v>
      </c>
      <c r="C53" s="19">
        <v>14</v>
      </c>
      <c r="D53" s="20">
        <v>2020</v>
      </c>
      <c r="E53" s="21">
        <f t="shared" si="0"/>
        <v>44179</v>
      </c>
      <c r="F53" s="20">
        <v>335.01</v>
      </c>
      <c r="G53" s="20">
        <v>2654634</v>
      </c>
      <c r="H53" s="20">
        <v>338.76</v>
      </c>
      <c r="I53" s="20">
        <v>339.79</v>
      </c>
      <c r="J53" s="22">
        <v>334.89</v>
      </c>
      <c r="K53" s="2">
        <f t="shared" si="1"/>
        <v>6029.7365874183761</v>
      </c>
      <c r="L53" s="2">
        <f>IF(B53&lt;&gt;B52,L52*(1+Dashboard!$G$5)+Dashboard!$G$6, L52)</f>
        <v>6052.9548799999993</v>
      </c>
      <c r="M53">
        <f t="shared" si="5"/>
        <v>0</v>
      </c>
      <c r="N53">
        <f t="shared" si="3"/>
        <v>17.998676419863216</v>
      </c>
      <c r="O53">
        <f>IF(B53&lt;&gt;B52, Dashboard!$L$6,0)</f>
        <v>0</v>
      </c>
      <c r="P53">
        <f t="shared" si="4"/>
        <v>18.121360283753475</v>
      </c>
      <c r="Q53">
        <f>IF(B53&lt;&gt;B52,IF(F53&lt;=AVERAGE(F31:F52),Dashboard!$N$6-Dashboard!$G$7,Dashboard!$N$6+Dashboard!$G$7),0)</f>
        <v>0</v>
      </c>
      <c r="R53">
        <f t="shared" si="4"/>
        <v>17.169259247287432</v>
      </c>
    </row>
    <row r="54" spans="1:18" x14ac:dyDescent="0.3">
      <c r="A54" t="s">
        <v>728</v>
      </c>
      <c r="B54">
        <v>12</v>
      </c>
      <c r="C54" s="19">
        <v>15</v>
      </c>
      <c r="D54" s="20">
        <v>2020</v>
      </c>
      <c r="E54" s="21">
        <f t="shared" si="0"/>
        <v>44180</v>
      </c>
      <c r="F54" s="20">
        <v>339.64</v>
      </c>
      <c r="G54" s="20">
        <v>2762601</v>
      </c>
      <c r="H54" s="20">
        <v>337.64</v>
      </c>
      <c r="I54" s="20">
        <v>339.64</v>
      </c>
      <c r="J54" s="22">
        <v>336.24</v>
      </c>
      <c r="K54" s="2">
        <f t="shared" si="1"/>
        <v>6113.0704592423426</v>
      </c>
      <c r="L54" s="2">
        <f>IF(B54&lt;&gt;B53,L53*(1+Dashboard!$G$5)+Dashboard!$G$6, L53)</f>
        <v>6052.9548799999993</v>
      </c>
      <c r="M54">
        <f t="shared" si="5"/>
        <v>0</v>
      </c>
      <c r="N54">
        <f t="shared" si="3"/>
        <v>17.998676419863216</v>
      </c>
      <c r="O54">
        <f>IF(B54&lt;&gt;B53, Dashboard!$L$6,0)</f>
        <v>0</v>
      </c>
      <c r="P54">
        <f t="shared" si="4"/>
        <v>18.121360283753475</v>
      </c>
      <c r="Q54">
        <f>IF(B54&lt;&gt;B53,IF(F54&lt;=AVERAGE(F32:F53),Dashboard!$N$6-Dashboard!$G$7,Dashboard!$N$6+Dashboard!$G$7),0)</f>
        <v>0</v>
      </c>
      <c r="R54">
        <f t="shared" si="4"/>
        <v>17.169259247287432</v>
      </c>
    </row>
    <row r="55" spans="1:18" x14ac:dyDescent="0.3">
      <c r="A55" t="s">
        <v>727</v>
      </c>
      <c r="B55">
        <v>12</v>
      </c>
      <c r="C55" s="19">
        <v>16</v>
      </c>
      <c r="D55" s="20">
        <v>2020</v>
      </c>
      <c r="E55" s="21">
        <f t="shared" si="0"/>
        <v>44181</v>
      </c>
      <c r="F55" s="20">
        <v>340.16</v>
      </c>
      <c r="G55" s="20">
        <v>2943154</v>
      </c>
      <c r="H55" s="20">
        <v>339.83</v>
      </c>
      <c r="I55" s="20">
        <v>341.04</v>
      </c>
      <c r="J55" s="22">
        <v>338.96</v>
      </c>
      <c r="K55" s="2">
        <f t="shared" si="1"/>
        <v>6122.4297709806724</v>
      </c>
      <c r="L55" s="2">
        <f>IF(B55&lt;&gt;B54,L54*(1+Dashboard!$G$5)+Dashboard!$G$6, L54)</f>
        <v>6052.9548799999993</v>
      </c>
      <c r="M55">
        <f t="shared" si="5"/>
        <v>0</v>
      </c>
      <c r="N55">
        <f t="shared" si="3"/>
        <v>17.998676419863216</v>
      </c>
      <c r="O55">
        <f>IF(B55&lt;&gt;B54, Dashboard!$L$6,0)</f>
        <v>0</v>
      </c>
      <c r="P55">
        <f t="shared" si="4"/>
        <v>18.121360283753475</v>
      </c>
      <c r="Q55">
        <f>IF(B55&lt;&gt;B54,IF(F55&lt;=AVERAGE(F33:F54),Dashboard!$N$6-Dashboard!$G$7,Dashboard!$N$6+Dashboard!$G$7),0)</f>
        <v>0</v>
      </c>
      <c r="R55">
        <f t="shared" si="4"/>
        <v>17.169259247287432</v>
      </c>
    </row>
    <row r="56" spans="1:18" x14ac:dyDescent="0.3">
      <c r="A56" t="s">
        <v>726</v>
      </c>
      <c r="B56">
        <v>12</v>
      </c>
      <c r="C56" s="19">
        <v>17</v>
      </c>
      <c r="D56" s="20">
        <v>2020</v>
      </c>
      <c r="E56" s="21">
        <f t="shared" si="0"/>
        <v>44182</v>
      </c>
      <c r="F56" s="20">
        <v>342.01</v>
      </c>
      <c r="G56" s="20">
        <v>2626995</v>
      </c>
      <c r="H56" s="20">
        <v>341.77</v>
      </c>
      <c r="I56" s="20">
        <v>342.25</v>
      </c>
      <c r="J56" s="22">
        <v>340.96</v>
      </c>
      <c r="K56" s="2">
        <f t="shared" si="1"/>
        <v>6155.7273223574184</v>
      </c>
      <c r="L56" s="2">
        <f>IF(B56&lt;&gt;B55,L55*(1+Dashboard!$G$5)+Dashboard!$G$6, L55)</f>
        <v>6052.9548799999993</v>
      </c>
      <c r="M56">
        <f t="shared" si="5"/>
        <v>0</v>
      </c>
      <c r="N56">
        <f t="shared" si="3"/>
        <v>17.998676419863216</v>
      </c>
      <c r="O56">
        <f>IF(B56&lt;&gt;B55, Dashboard!$L$6,0)</f>
        <v>0</v>
      </c>
      <c r="P56">
        <f t="shared" si="4"/>
        <v>18.121360283753475</v>
      </c>
      <c r="Q56">
        <f>IF(B56&lt;&gt;B55,IF(F56&lt;=AVERAGE(F34:F55),Dashboard!$N$6-Dashboard!$G$7,Dashboard!$N$6+Dashboard!$G$7),0)</f>
        <v>0</v>
      </c>
      <c r="R56">
        <f t="shared" si="4"/>
        <v>17.169259247287432</v>
      </c>
    </row>
    <row r="57" spans="1:18" x14ac:dyDescent="0.3">
      <c r="A57" t="s">
        <v>725</v>
      </c>
      <c r="B57">
        <v>12</v>
      </c>
      <c r="C57" s="19">
        <v>18</v>
      </c>
      <c r="D57" s="20">
        <v>2020</v>
      </c>
      <c r="E57" s="21">
        <f t="shared" si="0"/>
        <v>44183</v>
      </c>
      <c r="F57" s="20">
        <v>340.64</v>
      </c>
      <c r="G57" s="20">
        <v>6025650</v>
      </c>
      <c r="H57" s="20">
        <v>342.39</v>
      </c>
      <c r="I57" s="20">
        <v>342.5</v>
      </c>
      <c r="J57" s="22">
        <v>338.7</v>
      </c>
      <c r="K57" s="2">
        <f t="shared" si="1"/>
        <v>6131.0691356622056</v>
      </c>
      <c r="L57" s="2">
        <f>IF(B57&lt;&gt;B56,L56*(1+Dashboard!$G$5)+Dashboard!$G$6, L56)</f>
        <v>6052.9548799999993</v>
      </c>
      <c r="M57">
        <f t="shared" si="5"/>
        <v>0</v>
      </c>
      <c r="N57">
        <f t="shared" si="3"/>
        <v>17.998676419863216</v>
      </c>
      <c r="O57">
        <f>IF(B57&lt;&gt;B56, Dashboard!$L$6,0)</f>
        <v>0</v>
      </c>
      <c r="P57">
        <f t="shared" si="4"/>
        <v>18.121360283753475</v>
      </c>
      <c r="Q57">
        <f>IF(B57&lt;&gt;B56,IF(F57&lt;=AVERAGE(F35:F56),Dashboard!$N$6-Dashboard!$G$7,Dashboard!$N$6+Dashboard!$G$7),0)</f>
        <v>0</v>
      </c>
      <c r="R57">
        <f t="shared" si="4"/>
        <v>17.169259247287432</v>
      </c>
    </row>
    <row r="58" spans="1:18" x14ac:dyDescent="0.3">
      <c r="A58" t="s">
        <v>724</v>
      </c>
      <c r="B58">
        <v>12</v>
      </c>
      <c r="C58" s="19">
        <v>21</v>
      </c>
      <c r="D58" s="20">
        <v>2020</v>
      </c>
      <c r="E58" s="21">
        <f t="shared" si="0"/>
        <v>44186</v>
      </c>
      <c r="F58" s="20">
        <v>339.59</v>
      </c>
      <c r="G58" s="20">
        <v>3918085</v>
      </c>
      <c r="H58" s="20">
        <v>336.83</v>
      </c>
      <c r="I58" s="20">
        <v>340.38</v>
      </c>
      <c r="J58" s="22">
        <v>334.11</v>
      </c>
      <c r="K58" s="2">
        <f t="shared" si="1"/>
        <v>6112.1705254213493</v>
      </c>
      <c r="L58" s="2">
        <f>IF(B58&lt;&gt;B57,L57*(1+Dashboard!$G$5)+Dashboard!$G$6, L57)</f>
        <v>6052.9548799999993</v>
      </c>
      <c r="M58">
        <f t="shared" si="5"/>
        <v>0</v>
      </c>
      <c r="N58">
        <f t="shared" si="3"/>
        <v>17.998676419863216</v>
      </c>
      <c r="O58">
        <f>IF(B58&lt;&gt;B57, Dashboard!$L$6,0)</f>
        <v>0</v>
      </c>
      <c r="P58">
        <f t="shared" si="4"/>
        <v>18.121360283753475</v>
      </c>
      <c r="Q58">
        <f>IF(B58&lt;&gt;B57,IF(F58&lt;=AVERAGE(F36:F57),Dashboard!$N$6-Dashboard!$G$7,Dashboard!$N$6+Dashboard!$G$7),0)</f>
        <v>0</v>
      </c>
      <c r="R58">
        <f t="shared" si="4"/>
        <v>17.169259247287432</v>
      </c>
    </row>
    <row r="59" spans="1:18" x14ac:dyDescent="0.3">
      <c r="A59" t="s">
        <v>723</v>
      </c>
      <c r="B59">
        <v>12</v>
      </c>
      <c r="C59" s="19">
        <v>22</v>
      </c>
      <c r="D59" s="20">
        <v>2020</v>
      </c>
      <c r="E59" s="21">
        <f t="shared" si="0"/>
        <v>44187</v>
      </c>
      <c r="F59" s="20">
        <v>337.54</v>
      </c>
      <c r="G59" s="20">
        <v>2381325</v>
      </c>
      <c r="H59" s="20">
        <v>338.47</v>
      </c>
      <c r="I59" s="20">
        <v>338.55</v>
      </c>
      <c r="J59" s="22">
        <v>336.47</v>
      </c>
      <c r="K59" s="2">
        <f t="shared" si="1"/>
        <v>6075.2732387606302</v>
      </c>
      <c r="L59" s="2">
        <f>IF(B59&lt;&gt;B58,L58*(1+Dashboard!$G$5)+Dashboard!$G$6, L58)</f>
        <v>6052.9548799999993</v>
      </c>
      <c r="M59">
        <f t="shared" si="5"/>
        <v>0</v>
      </c>
      <c r="N59">
        <f t="shared" si="3"/>
        <v>17.998676419863216</v>
      </c>
      <c r="O59">
        <f>IF(B59&lt;&gt;B58, Dashboard!$L$6,0)</f>
        <v>0</v>
      </c>
      <c r="P59">
        <f t="shared" si="4"/>
        <v>18.121360283753475</v>
      </c>
      <c r="Q59">
        <f>IF(B59&lt;&gt;B58,IF(F59&lt;=AVERAGE(F37:F58),Dashboard!$N$6-Dashboard!$G$7,Dashboard!$N$6+Dashboard!$G$7),0)</f>
        <v>0</v>
      </c>
      <c r="R59">
        <f t="shared" si="4"/>
        <v>17.169259247287432</v>
      </c>
    </row>
    <row r="60" spans="1:18" x14ac:dyDescent="0.3">
      <c r="A60" t="s">
        <v>722</v>
      </c>
      <c r="B60">
        <v>12</v>
      </c>
      <c r="C60" s="19">
        <v>23</v>
      </c>
      <c r="D60" s="20">
        <v>2020</v>
      </c>
      <c r="E60" s="21">
        <f t="shared" si="0"/>
        <v>44188</v>
      </c>
      <c r="F60" s="20">
        <v>337.81</v>
      </c>
      <c r="G60" s="20">
        <v>3682167</v>
      </c>
      <c r="H60" s="20">
        <v>338.54</v>
      </c>
      <c r="I60" s="20">
        <v>339.75</v>
      </c>
      <c r="J60" s="22">
        <v>337.69</v>
      </c>
      <c r="K60" s="2">
        <f t="shared" si="1"/>
        <v>6080.1328813939926</v>
      </c>
      <c r="L60" s="2">
        <f>IF(B60&lt;&gt;B59,L59*(1+Dashboard!$G$5)+Dashboard!$G$6, L59)</f>
        <v>6052.9548799999993</v>
      </c>
      <c r="M60">
        <f t="shared" si="5"/>
        <v>0</v>
      </c>
      <c r="N60">
        <f t="shared" si="3"/>
        <v>17.998676419863216</v>
      </c>
      <c r="O60">
        <f>IF(B60&lt;&gt;B59, Dashboard!$L$6,0)</f>
        <v>0</v>
      </c>
      <c r="P60">
        <f t="shared" si="4"/>
        <v>18.121360283753475</v>
      </c>
      <c r="Q60">
        <f>IF(B60&lt;&gt;B59,IF(F60&lt;=AVERAGE(F38:F59),Dashboard!$N$6-Dashboard!$G$7,Dashboard!$N$6+Dashboard!$G$7),0)</f>
        <v>0</v>
      </c>
      <c r="R60">
        <f t="shared" si="4"/>
        <v>17.169259247287432</v>
      </c>
    </row>
    <row r="61" spans="1:18" x14ac:dyDescent="0.3">
      <c r="A61" t="s">
        <v>721</v>
      </c>
      <c r="B61">
        <v>12</v>
      </c>
      <c r="C61" s="19">
        <v>24</v>
      </c>
      <c r="D61" s="20">
        <v>2020</v>
      </c>
      <c r="E61" s="21">
        <f t="shared" si="0"/>
        <v>44189</v>
      </c>
      <c r="F61" s="20">
        <v>339.16</v>
      </c>
      <c r="G61" s="20">
        <v>1447667</v>
      </c>
      <c r="H61" s="20">
        <v>338.37</v>
      </c>
      <c r="I61" s="20">
        <v>339.18</v>
      </c>
      <c r="J61" s="22">
        <v>337.77</v>
      </c>
      <c r="K61" s="2">
        <f t="shared" si="1"/>
        <v>6104.4310945608086</v>
      </c>
      <c r="L61" s="2">
        <f>IF(B61&lt;&gt;B60,L60*(1+Dashboard!$G$5)+Dashboard!$G$6, L60)</f>
        <v>6052.9548799999993</v>
      </c>
      <c r="M61">
        <f t="shared" si="5"/>
        <v>0</v>
      </c>
      <c r="N61">
        <f t="shared" si="3"/>
        <v>17.998676419863216</v>
      </c>
      <c r="O61">
        <f>IF(B61&lt;&gt;B60, Dashboard!$L$6,0)</f>
        <v>0</v>
      </c>
      <c r="P61">
        <f t="shared" si="4"/>
        <v>18.121360283753475</v>
      </c>
      <c r="Q61">
        <f>IF(B61&lt;&gt;B60,IF(F61&lt;=AVERAGE(F39:F60),Dashboard!$N$6-Dashboard!$G$7,Dashboard!$N$6+Dashboard!$G$7),0)</f>
        <v>0</v>
      </c>
      <c r="R61">
        <f t="shared" si="4"/>
        <v>17.169259247287432</v>
      </c>
    </row>
    <row r="62" spans="1:18" x14ac:dyDescent="0.3">
      <c r="A62" t="s">
        <v>720</v>
      </c>
      <c r="B62">
        <v>12</v>
      </c>
      <c r="C62" s="19">
        <v>28</v>
      </c>
      <c r="D62" s="20">
        <v>2020</v>
      </c>
      <c r="E62" s="21">
        <f t="shared" si="0"/>
        <v>44193</v>
      </c>
      <c r="F62" s="20">
        <v>342.11</v>
      </c>
      <c r="G62" s="20">
        <v>2798845</v>
      </c>
      <c r="H62" s="20">
        <v>341.74</v>
      </c>
      <c r="I62" s="20">
        <v>342.46</v>
      </c>
      <c r="J62" s="22">
        <v>341.09</v>
      </c>
      <c r="K62" s="2">
        <f t="shared" si="1"/>
        <v>6157.527189999405</v>
      </c>
      <c r="L62" s="2">
        <f>IF(B62&lt;&gt;B61,L61*(1+Dashboard!$G$5)+Dashboard!$G$6, L61)</f>
        <v>6052.9548799999993</v>
      </c>
      <c r="M62">
        <f t="shared" si="5"/>
        <v>0</v>
      </c>
      <c r="N62">
        <f t="shared" si="3"/>
        <v>17.998676419863216</v>
      </c>
      <c r="O62">
        <f>IF(B62&lt;&gt;B61, Dashboard!$L$6,0)</f>
        <v>0</v>
      </c>
      <c r="P62">
        <f t="shared" si="4"/>
        <v>18.121360283753475</v>
      </c>
      <c r="Q62">
        <f>IF(B62&lt;&gt;B61,IF(F62&lt;=AVERAGE(F40:F61),Dashboard!$N$6-Dashboard!$G$7,Dashboard!$N$6+Dashboard!$G$7),0)</f>
        <v>0</v>
      </c>
      <c r="R62">
        <f t="shared" si="4"/>
        <v>17.169259247287432</v>
      </c>
    </row>
    <row r="63" spans="1:18" x14ac:dyDescent="0.3">
      <c r="A63" t="s">
        <v>719</v>
      </c>
      <c r="B63">
        <v>12</v>
      </c>
      <c r="C63" s="19">
        <v>29</v>
      </c>
      <c r="D63" s="20">
        <v>2020</v>
      </c>
      <c r="E63" s="21">
        <f t="shared" si="0"/>
        <v>44194</v>
      </c>
      <c r="F63" s="20">
        <v>341.39</v>
      </c>
      <c r="G63" s="20">
        <v>2555542</v>
      </c>
      <c r="H63" s="20">
        <v>343.63</v>
      </c>
      <c r="I63" s="20">
        <v>343.77</v>
      </c>
      <c r="J63" s="22">
        <v>340.87</v>
      </c>
      <c r="K63" s="2">
        <f t="shared" si="1"/>
        <v>6144.568142977103</v>
      </c>
      <c r="L63" s="2">
        <f>IF(B63&lt;&gt;B62,L62*(1+Dashboard!$G$5)+Dashboard!$G$6, L62)</f>
        <v>6052.9548799999993</v>
      </c>
      <c r="M63">
        <f t="shared" si="5"/>
        <v>0</v>
      </c>
      <c r="N63">
        <f t="shared" si="3"/>
        <v>17.998676419863216</v>
      </c>
      <c r="O63">
        <f>IF(B63&lt;&gt;B62, Dashboard!$L$6,0)</f>
        <v>0</v>
      </c>
      <c r="P63">
        <f t="shared" si="4"/>
        <v>18.121360283753475</v>
      </c>
      <c r="Q63">
        <f>IF(B63&lt;&gt;B62,IF(F63&lt;=AVERAGE(F41:F62),Dashboard!$N$6-Dashboard!$G$7,Dashboard!$N$6+Dashboard!$G$7),0)</f>
        <v>0</v>
      </c>
      <c r="R63">
        <f t="shared" si="4"/>
        <v>17.169259247287432</v>
      </c>
    </row>
    <row r="64" spans="1:18" x14ac:dyDescent="0.3">
      <c r="A64" t="s">
        <v>718</v>
      </c>
      <c r="B64">
        <v>12</v>
      </c>
      <c r="C64" s="19">
        <v>30</v>
      </c>
      <c r="D64" s="20">
        <v>2020</v>
      </c>
      <c r="E64" s="21">
        <f t="shared" si="0"/>
        <v>44195</v>
      </c>
      <c r="F64" s="20">
        <v>341.85</v>
      </c>
      <c r="G64" s="20">
        <v>2009135</v>
      </c>
      <c r="H64" s="20">
        <v>342.28</v>
      </c>
      <c r="I64" s="20">
        <v>342.91</v>
      </c>
      <c r="J64" s="22">
        <v>341.565</v>
      </c>
      <c r="K64" s="2">
        <f t="shared" si="1"/>
        <v>6152.847534130241</v>
      </c>
      <c r="L64" s="2">
        <f>IF(B64&lt;&gt;B63,L63*(1+Dashboard!$G$5)+Dashboard!$G$6, L63)</f>
        <v>6052.9548799999993</v>
      </c>
      <c r="M64">
        <f t="shared" si="5"/>
        <v>0</v>
      </c>
      <c r="N64">
        <f t="shared" si="3"/>
        <v>17.998676419863216</v>
      </c>
      <c r="O64">
        <f>IF(B64&lt;&gt;B63, Dashboard!$L$6,0)</f>
        <v>0</v>
      </c>
      <c r="P64">
        <f t="shared" si="4"/>
        <v>18.121360283753475</v>
      </c>
      <c r="Q64">
        <f>IF(B64&lt;&gt;B63,IF(F64&lt;=AVERAGE(F42:F63),Dashboard!$N$6-Dashboard!$G$7,Dashboard!$N$6+Dashboard!$G$7),0)</f>
        <v>0</v>
      </c>
      <c r="R64">
        <f t="shared" si="4"/>
        <v>17.169259247287432</v>
      </c>
    </row>
    <row r="65" spans="1:18" x14ac:dyDescent="0.3">
      <c r="A65" t="s">
        <v>717</v>
      </c>
      <c r="B65">
        <v>12</v>
      </c>
      <c r="C65" s="19">
        <v>31</v>
      </c>
      <c r="D65" s="20">
        <v>2020</v>
      </c>
      <c r="E65" s="21">
        <f t="shared" si="0"/>
        <v>44196</v>
      </c>
      <c r="F65" s="20">
        <v>343.69</v>
      </c>
      <c r="G65" s="20">
        <v>3507320</v>
      </c>
      <c r="H65" s="20">
        <v>341.82</v>
      </c>
      <c r="I65" s="20">
        <v>344.37</v>
      </c>
      <c r="J65" s="22">
        <v>341.23</v>
      </c>
      <c r="K65" s="2">
        <f t="shared" si="1"/>
        <v>6185.9650987427885</v>
      </c>
      <c r="L65" s="2">
        <f>IF(B65&lt;&gt;B64,L64*(1+Dashboard!$G$5)+Dashboard!$G$6, L64)</f>
        <v>6052.9548799999993</v>
      </c>
      <c r="M65">
        <f t="shared" si="5"/>
        <v>0</v>
      </c>
      <c r="N65">
        <f t="shared" si="3"/>
        <v>17.998676419863216</v>
      </c>
      <c r="O65">
        <f>IF(B65&lt;&gt;B64, Dashboard!$L$6,0)</f>
        <v>0</v>
      </c>
      <c r="P65">
        <f t="shared" si="4"/>
        <v>18.121360283753475</v>
      </c>
      <c r="Q65">
        <f>IF(B65&lt;&gt;B64,IF(F65&lt;=AVERAGE(F43:F64),Dashboard!$N$6-Dashboard!$G$7,Dashboard!$N$6+Dashboard!$G$7),0)</f>
        <v>0</v>
      </c>
      <c r="R65">
        <f t="shared" si="4"/>
        <v>17.169259247287432</v>
      </c>
    </row>
    <row r="66" spans="1:18" x14ac:dyDescent="0.3">
      <c r="A66" s="1">
        <v>44287</v>
      </c>
      <c r="B66">
        <v>1</v>
      </c>
      <c r="C66" s="19">
        <v>4</v>
      </c>
      <c r="D66" s="20">
        <v>2021</v>
      </c>
      <c r="E66" s="21">
        <f t="shared" ref="E66:E129" si="6">DATE(D66,B66,C66)</f>
        <v>44200</v>
      </c>
      <c r="F66" s="20">
        <v>339.03</v>
      </c>
      <c r="G66" s="20">
        <v>5402614</v>
      </c>
      <c r="H66" s="20">
        <v>345.02</v>
      </c>
      <c r="I66" s="20">
        <v>345.09</v>
      </c>
      <c r="J66" s="22">
        <v>335.37</v>
      </c>
      <c r="K66" s="2">
        <f t="shared" si="1"/>
        <v>6102.0912666262257</v>
      </c>
      <c r="L66" s="2">
        <f>IF(B66&lt;&gt;B65,L65*(1+Dashboard!$G$5)+Dashboard!$G$6, L65)</f>
        <v>8106.2208829439987</v>
      </c>
      <c r="M66">
        <f t="shared" si="5"/>
        <v>2004.1296163177731</v>
      </c>
      <c r="N66">
        <f t="shared" si="3"/>
        <v>17.998676419863216</v>
      </c>
      <c r="O66">
        <f>IF(B66&lt;&gt;B65, Dashboard!$L$6,0)</f>
        <v>1859.7282542371197</v>
      </c>
      <c r="P66">
        <f t="shared" si="4"/>
        <v>23.606798900504558</v>
      </c>
      <c r="Q66">
        <f>IF(B66&lt;&gt;B65,IF(F66&lt;=AVERAGE(F44:F65),Dashboard!$N$6-Dashboard!$G$7,Dashboard!$N$6+Dashboard!$G$7),0)</f>
        <v>1232.609610169322</v>
      </c>
      <c r="R66">
        <f t="shared" si="4"/>
        <v>20.741833620278335</v>
      </c>
    </row>
    <row r="67" spans="1:18" x14ac:dyDescent="0.3">
      <c r="A67" s="1">
        <v>44317</v>
      </c>
      <c r="B67">
        <v>1</v>
      </c>
      <c r="C67" s="19">
        <v>5</v>
      </c>
      <c r="D67" s="20">
        <v>2021</v>
      </c>
      <c r="E67" s="21">
        <f t="shared" si="6"/>
        <v>44201</v>
      </c>
      <c r="F67" s="20">
        <v>341.26</v>
      </c>
      <c r="G67" s="20">
        <v>3299716</v>
      </c>
      <c r="H67" s="20">
        <v>338.4</v>
      </c>
      <c r="I67" s="20">
        <v>342.39</v>
      </c>
      <c r="J67" s="22">
        <v>338.39</v>
      </c>
      <c r="K67" s="2">
        <f t="shared" ref="K67:K130" si="7">N67*F67</f>
        <v>8159.5402722870213</v>
      </c>
      <c r="L67" s="2">
        <f>IF(B67&lt;&gt;B66,L66*(1+Dashboard!$G$5)+Dashboard!$G$6, L66)</f>
        <v>8106.2208829439987</v>
      </c>
      <c r="M67">
        <f t="shared" si="5"/>
        <v>0</v>
      </c>
      <c r="N67">
        <f t="shared" si="3"/>
        <v>23.910040064135913</v>
      </c>
      <c r="O67">
        <f>IF(B67&lt;&gt;B66, Dashboard!$L$6,0)</f>
        <v>0</v>
      </c>
      <c r="P67">
        <f t="shared" si="4"/>
        <v>23.606798900504558</v>
      </c>
      <c r="Q67">
        <f>IF(B67&lt;&gt;B66,IF(F67&lt;=AVERAGE(F45:F66),Dashboard!$N$6-Dashboard!$G$7,Dashboard!$N$6+Dashboard!$G$7),0)</f>
        <v>0</v>
      </c>
      <c r="R67">
        <f t="shared" si="4"/>
        <v>20.741833620278335</v>
      </c>
    </row>
    <row r="68" spans="1:18" x14ac:dyDescent="0.3">
      <c r="A68" s="1">
        <v>44348</v>
      </c>
      <c r="B68">
        <v>1</v>
      </c>
      <c r="C68" s="19">
        <v>6</v>
      </c>
      <c r="D68" s="20">
        <v>2021</v>
      </c>
      <c r="E68" s="21">
        <f t="shared" si="6"/>
        <v>44202</v>
      </c>
      <c r="F68" s="20">
        <v>343.33</v>
      </c>
      <c r="G68" s="20">
        <v>4804950</v>
      </c>
      <c r="H68" s="20">
        <v>339.79</v>
      </c>
      <c r="I68" s="20">
        <v>346.5</v>
      </c>
      <c r="J68" s="22">
        <v>339.3</v>
      </c>
      <c r="K68" s="2">
        <f t="shared" si="7"/>
        <v>8209.0340552197831</v>
      </c>
      <c r="L68" s="2">
        <f>IF(B68&lt;&gt;B67,L67*(1+Dashboard!$G$5)+Dashboard!$G$6, L67)</f>
        <v>8106.2208829439987</v>
      </c>
      <c r="M68">
        <f t="shared" si="5"/>
        <v>0</v>
      </c>
      <c r="N68">
        <f t="shared" ref="N68:N131" si="8">N67+M67/F67</f>
        <v>23.910040064135913</v>
      </c>
      <c r="O68">
        <f>IF(B68&lt;&gt;B67, Dashboard!$L$6,0)</f>
        <v>0</v>
      </c>
      <c r="P68">
        <f t="shared" ref="P68:P131" si="9">P67+O68/F68</f>
        <v>23.606798900504558</v>
      </c>
      <c r="Q68">
        <f>IF(B68&lt;&gt;B67,IF(F68&lt;=AVERAGE(F46:F67),Dashboard!$N$6-Dashboard!$G$7,Dashboard!$N$6+Dashboard!$G$7),0)</f>
        <v>0</v>
      </c>
      <c r="R68">
        <f t="shared" ref="R68:R131" si="10">R67+Q68/H68</f>
        <v>20.741833620278335</v>
      </c>
    </row>
    <row r="69" spans="1:18" x14ac:dyDescent="0.3">
      <c r="A69" s="1">
        <v>44378</v>
      </c>
      <c r="B69">
        <v>1</v>
      </c>
      <c r="C69" s="19">
        <v>7</v>
      </c>
      <c r="D69" s="20">
        <v>2021</v>
      </c>
      <c r="E69" s="21">
        <f t="shared" si="6"/>
        <v>44203</v>
      </c>
      <c r="F69" s="20">
        <v>348.46</v>
      </c>
      <c r="G69" s="20">
        <v>3638857</v>
      </c>
      <c r="H69" s="20">
        <v>345.74</v>
      </c>
      <c r="I69" s="20">
        <v>349.2</v>
      </c>
      <c r="J69" s="22">
        <v>345.54</v>
      </c>
      <c r="K69" s="2">
        <f t="shared" si="7"/>
        <v>8331.6925607487992</v>
      </c>
      <c r="L69" s="2">
        <f>IF(B69&lt;&gt;B68,L68*(1+Dashboard!$G$5)+Dashboard!$G$6, L68)</f>
        <v>8106.2208829439987</v>
      </c>
      <c r="M69">
        <f t="shared" si="5"/>
        <v>0</v>
      </c>
      <c r="N69">
        <f t="shared" si="8"/>
        <v>23.910040064135913</v>
      </c>
      <c r="O69">
        <f>IF(B69&lt;&gt;B68, Dashboard!$L$6,0)</f>
        <v>0</v>
      </c>
      <c r="P69">
        <f t="shared" si="9"/>
        <v>23.606798900504558</v>
      </c>
      <c r="Q69">
        <f>IF(B69&lt;&gt;B68,IF(F69&lt;=AVERAGE(F47:F68),Dashboard!$N$6-Dashboard!$G$7,Dashboard!$N$6+Dashboard!$G$7),0)</f>
        <v>0</v>
      </c>
      <c r="R69">
        <f t="shared" si="10"/>
        <v>20.741833620278335</v>
      </c>
    </row>
    <row r="70" spans="1:18" x14ac:dyDescent="0.3">
      <c r="A70" s="1">
        <v>44409</v>
      </c>
      <c r="B70">
        <v>1</v>
      </c>
      <c r="C70" s="19">
        <v>8</v>
      </c>
      <c r="D70" s="20">
        <v>2021</v>
      </c>
      <c r="E70" s="21">
        <f t="shared" si="6"/>
        <v>44204</v>
      </c>
      <c r="F70" s="20">
        <v>350.42</v>
      </c>
      <c r="G70" s="20">
        <v>3758462</v>
      </c>
      <c r="H70" s="20">
        <v>349.88</v>
      </c>
      <c r="I70" s="20">
        <v>350.61900000000003</v>
      </c>
      <c r="J70" s="22">
        <v>346.64</v>
      </c>
      <c r="K70" s="2">
        <f t="shared" si="7"/>
        <v>8378.5562392745069</v>
      </c>
      <c r="L70" s="2">
        <f>IF(B70&lt;&gt;B69,L69*(1+Dashboard!$G$5)+Dashboard!$G$6, L69)</f>
        <v>8106.2208829439987</v>
      </c>
      <c r="M70">
        <f t="shared" si="5"/>
        <v>0</v>
      </c>
      <c r="N70">
        <f t="shared" si="8"/>
        <v>23.910040064135913</v>
      </c>
      <c r="O70">
        <f>IF(B70&lt;&gt;B69, Dashboard!$L$6,0)</f>
        <v>0</v>
      </c>
      <c r="P70">
        <f t="shared" si="9"/>
        <v>23.606798900504558</v>
      </c>
      <c r="Q70">
        <f>IF(B70&lt;&gt;B69,IF(F70&lt;=AVERAGE(F48:F69),Dashboard!$N$6-Dashboard!$G$7,Dashboard!$N$6+Dashboard!$G$7),0)</f>
        <v>0</v>
      </c>
      <c r="R70">
        <f t="shared" si="10"/>
        <v>20.741833620278335</v>
      </c>
    </row>
    <row r="71" spans="1:18" x14ac:dyDescent="0.3">
      <c r="A71" s="1">
        <v>44501</v>
      </c>
      <c r="B71">
        <v>1</v>
      </c>
      <c r="C71" s="19">
        <v>11</v>
      </c>
      <c r="D71" s="20">
        <v>2021</v>
      </c>
      <c r="E71" s="21">
        <f t="shared" si="6"/>
        <v>44207</v>
      </c>
      <c r="F71" s="20">
        <v>348.13</v>
      </c>
      <c r="G71" s="20">
        <v>2987858</v>
      </c>
      <c r="H71" s="20">
        <v>347.36</v>
      </c>
      <c r="I71" s="20">
        <v>349.82</v>
      </c>
      <c r="J71" s="22">
        <v>347.202</v>
      </c>
      <c r="K71" s="2">
        <f t="shared" si="7"/>
        <v>8323.8022475276357</v>
      </c>
      <c r="L71" s="2">
        <f>IF(B71&lt;&gt;B70,L70*(1+Dashboard!$G$5)+Dashboard!$G$6, L70)</f>
        <v>8106.2208829439987</v>
      </c>
      <c r="M71">
        <f t="shared" si="5"/>
        <v>0</v>
      </c>
      <c r="N71">
        <f t="shared" si="8"/>
        <v>23.910040064135913</v>
      </c>
      <c r="O71">
        <f>IF(B71&lt;&gt;B70, Dashboard!$L$6,0)</f>
        <v>0</v>
      </c>
      <c r="P71">
        <f t="shared" si="9"/>
        <v>23.606798900504558</v>
      </c>
      <c r="Q71">
        <f>IF(B71&lt;&gt;B70,IF(F71&lt;=AVERAGE(F49:F70),Dashboard!$N$6-Dashboard!$G$7,Dashboard!$N$6+Dashboard!$G$7),0)</f>
        <v>0</v>
      </c>
      <c r="R71">
        <f t="shared" si="10"/>
        <v>20.741833620278335</v>
      </c>
    </row>
    <row r="72" spans="1:18" x14ac:dyDescent="0.3">
      <c r="A72" s="1">
        <v>44531</v>
      </c>
      <c r="B72">
        <v>1</v>
      </c>
      <c r="C72" s="19">
        <v>12</v>
      </c>
      <c r="D72" s="20">
        <v>2021</v>
      </c>
      <c r="E72" s="21">
        <f t="shared" si="6"/>
        <v>44208</v>
      </c>
      <c r="F72" s="20">
        <v>348.16</v>
      </c>
      <c r="G72" s="20">
        <v>2298388</v>
      </c>
      <c r="H72" s="20">
        <v>348.3</v>
      </c>
      <c r="I72" s="20">
        <v>349.15</v>
      </c>
      <c r="J72" s="22">
        <v>345.97</v>
      </c>
      <c r="K72" s="2">
        <f t="shared" si="7"/>
        <v>8324.5195487295605</v>
      </c>
      <c r="L72" s="2">
        <f>IF(B72&lt;&gt;B71,L71*(1+Dashboard!$G$5)+Dashboard!$G$6, L71)</f>
        <v>8106.2208829439987</v>
      </c>
      <c r="M72">
        <f t="shared" si="5"/>
        <v>0</v>
      </c>
      <c r="N72">
        <f t="shared" si="8"/>
        <v>23.910040064135913</v>
      </c>
      <c r="O72">
        <f>IF(B72&lt;&gt;B71, Dashboard!$L$6,0)</f>
        <v>0</v>
      </c>
      <c r="P72">
        <f t="shared" si="9"/>
        <v>23.606798900504558</v>
      </c>
      <c r="Q72">
        <f>IF(B72&lt;&gt;B71,IF(F72&lt;=AVERAGE(F50:F71),Dashboard!$N$6-Dashboard!$G$7,Dashboard!$N$6+Dashboard!$G$7),0)</f>
        <v>0</v>
      </c>
      <c r="R72">
        <f t="shared" si="10"/>
        <v>20.741833620278335</v>
      </c>
    </row>
    <row r="73" spans="1:18" x14ac:dyDescent="0.3">
      <c r="A73" t="s">
        <v>716</v>
      </c>
      <c r="B73">
        <v>1</v>
      </c>
      <c r="C73" s="19">
        <v>13</v>
      </c>
      <c r="D73" s="20">
        <v>2021</v>
      </c>
      <c r="E73" s="21">
        <f t="shared" si="6"/>
        <v>44209</v>
      </c>
      <c r="F73" s="20">
        <v>349.03</v>
      </c>
      <c r="G73" s="20">
        <v>3039926</v>
      </c>
      <c r="H73" s="20">
        <v>348.11</v>
      </c>
      <c r="I73" s="20">
        <v>350.06</v>
      </c>
      <c r="J73" s="22">
        <v>347.32</v>
      </c>
      <c r="K73" s="2">
        <f t="shared" si="7"/>
        <v>8345.3212835853574</v>
      </c>
      <c r="L73" s="2">
        <f>IF(B73&lt;&gt;B72,L72*(1+Dashboard!$G$5)+Dashboard!$G$6, L72)</f>
        <v>8106.2208829439987</v>
      </c>
      <c r="M73">
        <f t="shared" si="5"/>
        <v>0</v>
      </c>
      <c r="N73">
        <f t="shared" si="8"/>
        <v>23.910040064135913</v>
      </c>
      <c r="O73">
        <f>IF(B73&lt;&gt;B72, Dashboard!$L$6,0)</f>
        <v>0</v>
      </c>
      <c r="P73">
        <f t="shared" si="9"/>
        <v>23.606798900504558</v>
      </c>
      <c r="Q73">
        <f>IF(B73&lt;&gt;B72,IF(F73&lt;=AVERAGE(F51:F72),Dashboard!$N$6-Dashboard!$G$7,Dashboard!$N$6+Dashboard!$G$7),0)</f>
        <v>0</v>
      </c>
      <c r="R73">
        <f t="shared" si="10"/>
        <v>20.741833620278335</v>
      </c>
    </row>
    <row r="74" spans="1:18" x14ac:dyDescent="0.3">
      <c r="A74" t="s">
        <v>715</v>
      </c>
      <c r="B74">
        <v>1</v>
      </c>
      <c r="C74" s="19">
        <v>14</v>
      </c>
      <c r="D74" s="20">
        <v>2021</v>
      </c>
      <c r="E74" s="21">
        <f t="shared" si="6"/>
        <v>44210</v>
      </c>
      <c r="F74" s="20">
        <v>347.85</v>
      </c>
      <c r="G74" s="20">
        <v>3497443</v>
      </c>
      <c r="H74" s="20">
        <v>349.85</v>
      </c>
      <c r="I74" s="20">
        <v>350.31830000000002</v>
      </c>
      <c r="J74" s="22">
        <v>347.55</v>
      </c>
      <c r="K74" s="2">
        <f t="shared" si="7"/>
        <v>8317.1074363096777</v>
      </c>
      <c r="L74" s="2">
        <f>IF(B74&lt;&gt;B73,L73*(1+Dashboard!$G$5)+Dashboard!$G$6, L73)</f>
        <v>8106.2208829439987</v>
      </c>
      <c r="M74">
        <f t="shared" si="5"/>
        <v>0</v>
      </c>
      <c r="N74">
        <f t="shared" si="8"/>
        <v>23.910040064135913</v>
      </c>
      <c r="O74">
        <f>IF(B74&lt;&gt;B73, Dashboard!$L$6,0)</f>
        <v>0</v>
      </c>
      <c r="P74">
        <f t="shared" si="9"/>
        <v>23.606798900504558</v>
      </c>
      <c r="Q74">
        <f>IF(B74&lt;&gt;B73,IF(F74&lt;=AVERAGE(F52:F73),Dashboard!$N$6-Dashboard!$G$7,Dashboard!$N$6+Dashboard!$G$7),0)</f>
        <v>0</v>
      </c>
      <c r="R74">
        <f t="shared" si="10"/>
        <v>20.741833620278335</v>
      </c>
    </row>
    <row r="75" spans="1:18" x14ac:dyDescent="0.3">
      <c r="A75" t="s">
        <v>714</v>
      </c>
      <c r="B75">
        <v>1</v>
      </c>
      <c r="C75" s="19">
        <v>15</v>
      </c>
      <c r="D75" s="20">
        <v>2021</v>
      </c>
      <c r="E75" s="21">
        <f t="shared" si="6"/>
        <v>44211</v>
      </c>
      <c r="F75" s="20">
        <v>345.37</v>
      </c>
      <c r="G75" s="20">
        <v>3622148</v>
      </c>
      <c r="H75" s="20">
        <v>346.27</v>
      </c>
      <c r="I75" s="20">
        <v>347.06</v>
      </c>
      <c r="J75" s="22">
        <v>343.53</v>
      </c>
      <c r="K75" s="2">
        <f t="shared" si="7"/>
        <v>8257.8105369506211</v>
      </c>
      <c r="L75" s="2">
        <f>IF(B75&lt;&gt;B74,L74*(1+Dashboard!$G$5)+Dashboard!$G$6, L74)</f>
        <v>8106.2208829439987</v>
      </c>
      <c r="M75">
        <f t="shared" si="5"/>
        <v>0</v>
      </c>
      <c r="N75">
        <f t="shared" si="8"/>
        <v>23.910040064135913</v>
      </c>
      <c r="O75">
        <f>IF(B75&lt;&gt;B74, Dashboard!$L$6,0)</f>
        <v>0</v>
      </c>
      <c r="P75">
        <f t="shared" si="9"/>
        <v>23.606798900504558</v>
      </c>
      <c r="Q75">
        <f>IF(B75&lt;&gt;B74,IF(F75&lt;=AVERAGE(F53:F74),Dashboard!$N$6-Dashboard!$G$7,Dashboard!$N$6+Dashboard!$G$7),0)</f>
        <v>0</v>
      </c>
      <c r="R75">
        <f t="shared" si="10"/>
        <v>20.741833620278335</v>
      </c>
    </row>
    <row r="76" spans="1:18" x14ac:dyDescent="0.3">
      <c r="A76" t="s">
        <v>713</v>
      </c>
      <c r="B76">
        <v>1</v>
      </c>
      <c r="C76" s="19">
        <v>19</v>
      </c>
      <c r="D76" s="20">
        <v>2021</v>
      </c>
      <c r="E76" s="21">
        <f t="shared" si="6"/>
        <v>44215</v>
      </c>
      <c r="F76" s="20">
        <v>348.1</v>
      </c>
      <c r="G76" s="20">
        <v>3433790</v>
      </c>
      <c r="H76" s="20">
        <v>347.8</v>
      </c>
      <c r="I76" s="20">
        <v>348.58699999999999</v>
      </c>
      <c r="J76" s="22">
        <v>346.36</v>
      </c>
      <c r="K76" s="2">
        <f t="shared" si="7"/>
        <v>8323.0849463257127</v>
      </c>
      <c r="L76" s="2">
        <f>IF(B76&lt;&gt;B75,L75*(1+Dashboard!$G$5)+Dashboard!$G$6, L75)</f>
        <v>8106.2208829439987</v>
      </c>
      <c r="M76">
        <f t="shared" si="5"/>
        <v>0</v>
      </c>
      <c r="N76">
        <f t="shared" si="8"/>
        <v>23.910040064135913</v>
      </c>
      <c r="O76">
        <f>IF(B76&lt;&gt;B75, Dashboard!$L$6,0)</f>
        <v>0</v>
      </c>
      <c r="P76">
        <f t="shared" si="9"/>
        <v>23.606798900504558</v>
      </c>
      <c r="Q76">
        <f>IF(B76&lt;&gt;B75,IF(F76&lt;=AVERAGE(F54:F75),Dashboard!$N$6-Dashboard!$G$7,Dashboard!$N$6+Dashboard!$G$7),0)</f>
        <v>0</v>
      </c>
      <c r="R76">
        <f t="shared" si="10"/>
        <v>20.741833620278335</v>
      </c>
    </row>
    <row r="77" spans="1:18" x14ac:dyDescent="0.3">
      <c r="A77" t="s">
        <v>712</v>
      </c>
      <c r="B77">
        <v>1</v>
      </c>
      <c r="C77" s="19">
        <v>20</v>
      </c>
      <c r="D77" s="20">
        <v>2021</v>
      </c>
      <c r="E77" s="21">
        <f t="shared" si="6"/>
        <v>44216</v>
      </c>
      <c r="F77" s="20">
        <v>352.83</v>
      </c>
      <c r="G77" s="20">
        <v>2920573</v>
      </c>
      <c r="H77" s="20">
        <v>350.32</v>
      </c>
      <c r="I77" s="20">
        <v>353.71</v>
      </c>
      <c r="J77" s="22">
        <v>349.97</v>
      </c>
      <c r="K77" s="2">
        <f t="shared" si="7"/>
        <v>8436.1794358290736</v>
      </c>
      <c r="L77" s="2">
        <f>IF(B77&lt;&gt;B76,L76*(1+Dashboard!$G$5)+Dashboard!$G$6, L76)</f>
        <v>8106.2208829439987</v>
      </c>
      <c r="M77">
        <f t="shared" si="5"/>
        <v>0</v>
      </c>
      <c r="N77">
        <f t="shared" si="8"/>
        <v>23.910040064135913</v>
      </c>
      <c r="O77">
        <f>IF(B77&lt;&gt;B76, Dashboard!$L$6,0)</f>
        <v>0</v>
      </c>
      <c r="P77">
        <f t="shared" si="9"/>
        <v>23.606798900504558</v>
      </c>
      <c r="Q77">
        <f>IF(B77&lt;&gt;B76,IF(F77&lt;=AVERAGE(F55:F76),Dashboard!$N$6-Dashboard!$G$7,Dashboard!$N$6+Dashboard!$G$7),0)</f>
        <v>0</v>
      </c>
      <c r="R77">
        <f t="shared" si="10"/>
        <v>20.741833620278335</v>
      </c>
    </row>
    <row r="78" spans="1:18" x14ac:dyDescent="0.3">
      <c r="A78" t="s">
        <v>711</v>
      </c>
      <c r="B78">
        <v>1</v>
      </c>
      <c r="C78" s="19">
        <v>21</v>
      </c>
      <c r="D78" s="20">
        <v>2021</v>
      </c>
      <c r="E78" s="21">
        <f t="shared" si="6"/>
        <v>44217</v>
      </c>
      <c r="F78" s="20">
        <v>353.16</v>
      </c>
      <c r="G78" s="20">
        <v>2582562</v>
      </c>
      <c r="H78" s="20">
        <v>353.46</v>
      </c>
      <c r="I78" s="20">
        <v>353.83499999999998</v>
      </c>
      <c r="J78" s="22">
        <v>352.30200000000002</v>
      </c>
      <c r="K78" s="2">
        <f t="shared" si="7"/>
        <v>8444.0697490502389</v>
      </c>
      <c r="L78" s="2">
        <f>IF(B78&lt;&gt;B77,L77*(1+Dashboard!$G$5)+Dashboard!$G$6, L77)</f>
        <v>8106.2208829439987</v>
      </c>
      <c r="M78">
        <f t="shared" si="5"/>
        <v>0</v>
      </c>
      <c r="N78">
        <f t="shared" si="8"/>
        <v>23.910040064135913</v>
      </c>
      <c r="O78">
        <f>IF(B78&lt;&gt;B77, Dashboard!$L$6,0)</f>
        <v>0</v>
      </c>
      <c r="P78">
        <f t="shared" si="9"/>
        <v>23.606798900504558</v>
      </c>
      <c r="Q78">
        <f>IF(B78&lt;&gt;B77,IF(F78&lt;=AVERAGE(F56:F77),Dashboard!$N$6-Dashboard!$G$7,Dashboard!$N$6+Dashboard!$G$7),0)</f>
        <v>0</v>
      </c>
      <c r="R78">
        <f t="shared" si="10"/>
        <v>20.741833620278335</v>
      </c>
    </row>
    <row r="79" spans="1:18" x14ac:dyDescent="0.3">
      <c r="A79" t="s">
        <v>710</v>
      </c>
      <c r="B79">
        <v>1</v>
      </c>
      <c r="C79" s="19">
        <v>22</v>
      </c>
      <c r="D79" s="20">
        <v>2021</v>
      </c>
      <c r="E79" s="21">
        <f t="shared" si="6"/>
        <v>44218</v>
      </c>
      <c r="F79" s="20">
        <v>351.9</v>
      </c>
      <c r="G79" s="20">
        <v>1812174</v>
      </c>
      <c r="H79" s="20">
        <v>351.38</v>
      </c>
      <c r="I79" s="20">
        <v>353.04</v>
      </c>
      <c r="J79" s="22">
        <v>350.99</v>
      </c>
      <c r="K79" s="2">
        <f t="shared" si="7"/>
        <v>8413.9430985694271</v>
      </c>
      <c r="L79" s="2">
        <f>IF(B79&lt;&gt;B78,L78*(1+Dashboard!$G$5)+Dashboard!$G$6, L78)</f>
        <v>8106.2208829439987</v>
      </c>
      <c r="M79">
        <f t="shared" si="5"/>
        <v>0</v>
      </c>
      <c r="N79">
        <f t="shared" si="8"/>
        <v>23.910040064135913</v>
      </c>
      <c r="O79">
        <f>IF(B79&lt;&gt;B78, Dashboard!$L$6,0)</f>
        <v>0</v>
      </c>
      <c r="P79">
        <f t="shared" si="9"/>
        <v>23.606798900504558</v>
      </c>
      <c r="Q79">
        <f>IF(B79&lt;&gt;B78,IF(F79&lt;=AVERAGE(F57:F78),Dashboard!$N$6-Dashboard!$G$7,Dashboard!$N$6+Dashboard!$G$7),0)</f>
        <v>0</v>
      </c>
      <c r="R79">
        <f t="shared" si="10"/>
        <v>20.741833620278335</v>
      </c>
    </row>
    <row r="80" spans="1:18" x14ac:dyDescent="0.3">
      <c r="A80" t="s">
        <v>709</v>
      </c>
      <c r="B80">
        <v>1</v>
      </c>
      <c r="C80" s="19">
        <v>25</v>
      </c>
      <c r="D80" s="20">
        <v>2021</v>
      </c>
      <c r="E80" s="21">
        <f t="shared" si="6"/>
        <v>44221</v>
      </c>
      <c r="F80" s="20">
        <v>353.33</v>
      </c>
      <c r="G80" s="20">
        <v>3548997</v>
      </c>
      <c r="H80" s="20">
        <v>352.71</v>
      </c>
      <c r="I80" s="20">
        <v>353.6814</v>
      </c>
      <c r="J80" s="22">
        <v>347.97</v>
      </c>
      <c r="K80" s="2">
        <f t="shared" si="7"/>
        <v>8448.1344558611418</v>
      </c>
      <c r="L80" s="2">
        <f>IF(B80&lt;&gt;B79,L79*(1+Dashboard!$G$5)+Dashboard!$G$6, L79)</f>
        <v>8106.2208829439987</v>
      </c>
      <c r="M80">
        <f t="shared" si="5"/>
        <v>0</v>
      </c>
      <c r="N80">
        <f t="shared" si="8"/>
        <v>23.910040064135913</v>
      </c>
      <c r="O80">
        <f>IF(B80&lt;&gt;B79, Dashboard!$L$6,0)</f>
        <v>0</v>
      </c>
      <c r="P80">
        <f t="shared" si="9"/>
        <v>23.606798900504558</v>
      </c>
      <c r="Q80">
        <f>IF(B80&lt;&gt;B79,IF(F80&lt;=AVERAGE(F58:F79),Dashboard!$N$6-Dashboard!$G$7,Dashboard!$N$6+Dashboard!$G$7),0)</f>
        <v>0</v>
      </c>
      <c r="R80">
        <f t="shared" si="10"/>
        <v>20.741833620278335</v>
      </c>
    </row>
    <row r="81" spans="1:18" x14ac:dyDescent="0.3">
      <c r="A81" t="s">
        <v>708</v>
      </c>
      <c r="B81">
        <v>1</v>
      </c>
      <c r="C81" s="19">
        <v>26</v>
      </c>
      <c r="D81" s="20">
        <v>2021</v>
      </c>
      <c r="E81" s="21">
        <f t="shared" si="6"/>
        <v>44222</v>
      </c>
      <c r="F81" s="20">
        <v>352.8</v>
      </c>
      <c r="G81" s="20">
        <v>2430244</v>
      </c>
      <c r="H81" s="20">
        <v>354.23</v>
      </c>
      <c r="I81" s="20">
        <v>354.64499999999998</v>
      </c>
      <c r="J81" s="22">
        <v>352.6</v>
      </c>
      <c r="K81" s="2">
        <f t="shared" si="7"/>
        <v>8435.4621346271506</v>
      </c>
      <c r="L81" s="2">
        <f>IF(B81&lt;&gt;B80,L80*(1+Dashboard!$G$5)+Dashboard!$G$6, L80)</f>
        <v>8106.2208829439987</v>
      </c>
      <c r="M81">
        <f t="shared" si="5"/>
        <v>0</v>
      </c>
      <c r="N81">
        <f t="shared" si="8"/>
        <v>23.910040064135913</v>
      </c>
      <c r="O81">
        <f>IF(B81&lt;&gt;B80, Dashboard!$L$6,0)</f>
        <v>0</v>
      </c>
      <c r="P81">
        <f t="shared" si="9"/>
        <v>23.606798900504558</v>
      </c>
      <c r="Q81">
        <f>IF(B81&lt;&gt;B80,IF(F81&lt;=AVERAGE(F59:F80),Dashboard!$N$6-Dashboard!$G$7,Dashboard!$N$6+Dashboard!$G$7),0)</f>
        <v>0</v>
      </c>
      <c r="R81">
        <f t="shared" si="10"/>
        <v>20.741833620278335</v>
      </c>
    </row>
    <row r="82" spans="1:18" x14ac:dyDescent="0.3">
      <c r="A82" t="s">
        <v>707</v>
      </c>
      <c r="B82">
        <v>1</v>
      </c>
      <c r="C82" s="19">
        <v>27</v>
      </c>
      <c r="D82" s="20">
        <v>2021</v>
      </c>
      <c r="E82" s="21">
        <f t="shared" si="6"/>
        <v>44223</v>
      </c>
      <c r="F82" s="20">
        <v>344.24</v>
      </c>
      <c r="G82" s="20">
        <v>5010372</v>
      </c>
      <c r="H82" s="20">
        <v>349.54</v>
      </c>
      <c r="I82" s="20">
        <v>349.56</v>
      </c>
      <c r="J82" s="22">
        <v>341.99</v>
      </c>
      <c r="K82" s="2">
        <f t="shared" si="7"/>
        <v>8230.792191678147</v>
      </c>
      <c r="L82" s="2">
        <f>IF(B82&lt;&gt;B81,L81*(1+Dashboard!$G$5)+Dashboard!$G$6, L81)</f>
        <v>8106.2208829439987</v>
      </c>
      <c r="M82">
        <f t="shared" si="5"/>
        <v>0</v>
      </c>
      <c r="N82">
        <f t="shared" si="8"/>
        <v>23.910040064135913</v>
      </c>
      <c r="O82">
        <f>IF(B82&lt;&gt;B81, Dashboard!$L$6,0)</f>
        <v>0</v>
      </c>
      <c r="P82">
        <f t="shared" si="9"/>
        <v>23.606798900504558</v>
      </c>
      <c r="Q82">
        <f>IF(B82&lt;&gt;B81,IF(F82&lt;=AVERAGE(F60:F81),Dashboard!$N$6-Dashboard!$G$7,Dashboard!$N$6+Dashboard!$G$7),0)</f>
        <v>0</v>
      </c>
      <c r="R82">
        <f t="shared" si="10"/>
        <v>20.741833620278335</v>
      </c>
    </row>
    <row r="83" spans="1:18" x14ac:dyDescent="0.3">
      <c r="A83" t="s">
        <v>706</v>
      </c>
      <c r="B83">
        <v>1</v>
      </c>
      <c r="C83" s="19">
        <v>28</v>
      </c>
      <c r="D83" s="20">
        <v>2021</v>
      </c>
      <c r="E83" s="21">
        <f t="shared" si="6"/>
        <v>44224</v>
      </c>
      <c r="F83" s="20">
        <v>347.13</v>
      </c>
      <c r="G83" s="20">
        <v>3432188</v>
      </c>
      <c r="H83" s="20">
        <v>345.97</v>
      </c>
      <c r="I83" s="20">
        <v>351.07069999999999</v>
      </c>
      <c r="J83" s="22">
        <v>345.58</v>
      </c>
      <c r="K83" s="2">
        <f t="shared" si="7"/>
        <v>8299.8922074634993</v>
      </c>
      <c r="L83" s="2">
        <f>IF(B83&lt;&gt;B82,L82*(1+Dashboard!$G$5)+Dashboard!$G$6, L82)</f>
        <v>8106.2208829439987</v>
      </c>
      <c r="M83">
        <f t="shared" si="5"/>
        <v>0</v>
      </c>
      <c r="N83">
        <f t="shared" si="8"/>
        <v>23.910040064135913</v>
      </c>
      <c r="O83">
        <f>IF(B83&lt;&gt;B82, Dashboard!$L$6,0)</f>
        <v>0</v>
      </c>
      <c r="P83">
        <f t="shared" si="9"/>
        <v>23.606798900504558</v>
      </c>
      <c r="Q83">
        <f>IF(B83&lt;&gt;B82,IF(F83&lt;=AVERAGE(F61:F82),Dashboard!$N$6-Dashboard!$G$7,Dashboard!$N$6+Dashboard!$G$7),0)</f>
        <v>0</v>
      </c>
      <c r="R83">
        <f t="shared" si="10"/>
        <v>20.741833620278335</v>
      </c>
    </row>
    <row r="84" spans="1:18" x14ac:dyDescent="0.3">
      <c r="A84" t="s">
        <v>705</v>
      </c>
      <c r="B84">
        <v>1</v>
      </c>
      <c r="C84" s="19">
        <v>29</v>
      </c>
      <c r="D84" s="20">
        <v>2021</v>
      </c>
      <c r="E84" s="21">
        <f t="shared" si="6"/>
        <v>44225</v>
      </c>
      <c r="F84" s="20">
        <v>340.18</v>
      </c>
      <c r="G84" s="20">
        <v>5803647</v>
      </c>
      <c r="H84" s="20">
        <v>345.31</v>
      </c>
      <c r="I84" s="20">
        <v>346.22</v>
      </c>
      <c r="J84" s="22">
        <v>338.57</v>
      </c>
      <c r="K84" s="2">
        <f t="shared" si="7"/>
        <v>8133.7174290177554</v>
      </c>
      <c r="L84" s="2">
        <f>IF(B84&lt;&gt;B83,L83*(1+Dashboard!$G$5)+Dashboard!$G$6, L83)</f>
        <v>8106.2208829439987</v>
      </c>
      <c r="M84">
        <f t="shared" si="5"/>
        <v>0</v>
      </c>
      <c r="N84">
        <f t="shared" si="8"/>
        <v>23.910040064135913</v>
      </c>
      <c r="O84">
        <f>IF(B84&lt;&gt;B83, Dashboard!$L$6,0)</f>
        <v>0</v>
      </c>
      <c r="P84">
        <f t="shared" si="9"/>
        <v>23.606798900504558</v>
      </c>
      <c r="Q84">
        <f>IF(B84&lt;&gt;B83,IF(F84&lt;=AVERAGE(F62:F83),Dashboard!$N$6-Dashboard!$G$7,Dashboard!$N$6+Dashboard!$G$7),0)</f>
        <v>0</v>
      </c>
      <c r="R84">
        <f t="shared" si="10"/>
        <v>20.741833620278335</v>
      </c>
    </row>
    <row r="85" spans="1:18" x14ac:dyDescent="0.3">
      <c r="A85" s="1">
        <v>44198</v>
      </c>
      <c r="B85">
        <v>2</v>
      </c>
      <c r="C85" s="19">
        <v>1</v>
      </c>
      <c r="D85" s="20">
        <v>2021</v>
      </c>
      <c r="E85" s="21">
        <f t="shared" si="6"/>
        <v>44228</v>
      </c>
      <c r="F85" s="20">
        <v>345.77</v>
      </c>
      <c r="G85" s="20">
        <v>3334009</v>
      </c>
      <c r="H85" s="20">
        <v>343.63</v>
      </c>
      <c r="I85" s="20">
        <v>346.85</v>
      </c>
      <c r="J85" s="22">
        <v>341.4</v>
      </c>
      <c r="K85" s="2">
        <f t="shared" si="7"/>
        <v>8267.3745529762746</v>
      </c>
      <c r="L85" s="2">
        <f>IF(B85&lt;&gt;B84,L84*(1+Dashboard!$G$5)+Dashboard!$G$6, L84)</f>
        <v>10177.555626713905</v>
      </c>
      <c r="M85">
        <f t="shared" si="5"/>
        <v>1910.1810737376309</v>
      </c>
      <c r="N85">
        <f t="shared" si="8"/>
        <v>23.910040064135913</v>
      </c>
      <c r="O85">
        <f>IF(B85&lt;&gt;B84, Dashboard!$L$6,0)</f>
        <v>1859.7282542371197</v>
      </c>
      <c r="P85">
        <f t="shared" si="9"/>
        <v>28.985311363231574</v>
      </c>
      <c r="Q85">
        <f>IF(B85&lt;&gt;B84,IF(F85&lt;=AVERAGE(F63:F84),Dashboard!$N$6-Dashboard!$G$7,Dashboard!$N$6+Dashboard!$G$7),0)</f>
        <v>1232.609610169322</v>
      </c>
      <c r="R85">
        <f t="shared" si="10"/>
        <v>24.328859229710929</v>
      </c>
    </row>
    <row r="86" spans="1:18" x14ac:dyDescent="0.3">
      <c r="A86" s="1">
        <v>44229</v>
      </c>
      <c r="B86">
        <v>2</v>
      </c>
      <c r="C86" s="19">
        <v>2</v>
      </c>
      <c r="D86" s="20">
        <v>2021</v>
      </c>
      <c r="E86" s="21">
        <f t="shared" si="6"/>
        <v>44229</v>
      </c>
      <c r="F86" s="20">
        <v>350.74</v>
      </c>
      <c r="G86" s="20">
        <v>2955229</v>
      </c>
      <c r="H86" s="20">
        <v>349.05</v>
      </c>
      <c r="I86" s="20">
        <v>352.34</v>
      </c>
      <c r="J86" s="22">
        <v>349</v>
      </c>
      <c r="K86" s="2">
        <f t="shared" si="7"/>
        <v>10323.844927303224</v>
      </c>
      <c r="L86" s="2">
        <f>IF(B86&lt;&gt;B85,L85*(1+Dashboard!$G$5)+Dashboard!$G$6, L85)</f>
        <v>10177.555626713905</v>
      </c>
      <c r="M86">
        <f t="shared" si="5"/>
        <v>0</v>
      </c>
      <c r="N86">
        <f t="shared" si="8"/>
        <v>29.434466919379663</v>
      </c>
      <c r="O86">
        <f>IF(B86&lt;&gt;B85, Dashboard!$L$6,0)</f>
        <v>0</v>
      </c>
      <c r="P86">
        <f t="shared" si="9"/>
        <v>28.985311363231574</v>
      </c>
      <c r="Q86">
        <f>IF(B86&lt;&gt;B85,IF(F86&lt;=AVERAGE(F64:F85),Dashboard!$N$6-Dashboard!$G$7,Dashboard!$N$6+Dashboard!$G$7),0)</f>
        <v>0</v>
      </c>
      <c r="R86">
        <f t="shared" si="10"/>
        <v>24.328859229710929</v>
      </c>
    </row>
    <row r="87" spans="1:18" x14ac:dyDescent="0.3">
      <c r="A87" s="1">
        <v>44257</v>
      </c>
      <c r="B87">
        <v>2</v>
      </c>
      <c r="C87" s="19">
        <v>3</v>
      </c>
      <c r="D87" s="20">
        <v>2021</v>
      </c>
      <c r="E87" s="21">
        <f t="shared" si="6"/>
        <v>44230</v>
      </c>
      <c r="F87" s="20">
        <v>351.09</v>
      </c>
      <c r="G87" s="20">
        <v>3392809</v>
      </c>
      <c r="H87" s="20">
        <v>351.7</v>
      </c>
      <c r="I87" s="20">
        <v>352.8</v>
      </c>
      <c r="J87" s="22">
        <v>349.88</v>
      </c>
      <c r="K87" s="2">
        <f t="shared" si="7"/>
        <v>10334.146990725005</v>
      </c>
      <c r="L87" s="2">
        <f>IF(B87&lt;&gt;B86,L86*(1+Dashboard!$G$5)+Dashboard!$G$6, L86)</f>
        <v>10177.555626713905</v>
      </c>
      <c r="M87">
        <f t="shared" si="5"/>
        <v>0</v>
      </c>
      <c r="N87">
        <f t="shared" si="8"/>
        <v>29.434466919379663</v>
      </c>
      <c r="O87">
        <f>IF(B87&lt;&gt;B86, Dashboard!$L$6,0)</f>
        <v>0</v>
      </c>
      <c r="P87">
        <f t="shared" si="9"/>
        <v>28.985311363231574</v>
      </c>
      <c r="Q87">
        <f>IF(B87&lt;&gt;B86,IF(F87&lt;=AVERAGE(F65:F86),Dashboard!$N$6-Dashboard!$G$7,Dashboard!$N$6+Dashboard!$G$7),0)</f>
        <v>0</v>
      </c>
      <c r="R87">
        <f t="shared" si="10"/>
        <v>24.328859229710929</v>
      </c>
    </row>
    <row r="88" spans="1:18" x14ac:dyDescent="0.3">
      <c r="A88" s="1">
        <v>44288</v>
      </c>
      <c r="B88">
        <v>2</v>
      </c>
      <c r="C88" s="19">
        <v>4</v>
      </c>
      <c r="D88" s="20">
        <v>2021</v>
      </c>
      <c r="E88" s="21">
        <f t="shared" si="6"/>
        <v>44231</v>
      </c>
      <c r="F88" s="20">
        <v>355.02</v>
      </c>
      <c r="G88" s="20">
        <v>1988342</v>
      </c>
      <c r="H88" s="20">
        <v>352.12</v>
      </c>
      <c r="I88" s="20">
        <v>355.04</v>
      </c>
      <c r="J88" s="22">
        <v>351.92</v>
      </c>
      <c r="K88" s="2">
        <f t="shared" si="7"/>
        <v>10449.824445718168</v>
      </c>
      <c r="L88" s="2">
        <f>IF(B88&lt;&gt;B87,L87*(1+Dashboard!$G$5)+Dashboard!$G$6, L87)</f>
        <v>10177.555626713905</v>
      </c>
      <c r="M88">
        <f t="shared" si="5"/>
        <v>0</v>
      </c>
      <c r="N88">
        <f t="shared" si="8"/>
        <v>29.434466919379663</v>
      </c>
      <c r="O88">
        <f>IF(B88&lt;&gt;B87, Dashboard!$L$6,0)</f>
        <v>0</v>
      </c>
      <c r="P88">
        <f t="shared" si="9"/>
        <v>28.985311363231574</v>
      </c>
      <c r="Q88">
        <f>IF(B88&lt;&gt;B87,IF(F88&lt;=AVERAGE(F66:F87),Dashboard!$N$6-Dashboard!$G$7,Dashboard!$N$6+Dashboard!$G$7),0)</f>
        <v>0</v>
      </c>
      <c r="R88">
        <f t="shared" si="10"/>
        <v>24.328859229710929</v>
      </c>
    </row>
    <row r="89" spans="1:18" x14ac:dyDescent="0.3">
      <c r="A89" s="1">
        <v>44318</v>
      </c>
      <c r="B89">
        <v>2</v>
      </c>
      <c r="C89" s="19">
        <v>5</v>
      </c>
      <c r="D89" s="20">
        <v>2021</v>
      </c>
      <c r="E89" s="21">
        <f t="shared" si="6"/>
        <v>44232</v>
      </c>
      <c r="F89" s="20">
        <v>356.44</v>
      </c>
      <c r="G89" s="20">
        <v>2091756</v>
      </c>
      <c r="H89" s="20">
        <v>356.9</v>
      </c>
      <c r="I89" s="20">
        <v>357.13119999999998</v>
      </c>
      <c r="J89" s="22">
        <v>355.31599999999997</v>
      </c>
      <c r="K89" s="2">
        <f t="shared" si="7"/>
        <v>10491.621388743686</v>
      </c>
      <c r="L89" s="2">
        <f>IF(B89&lt;&gt;B88,L88*(1+Dashboard!$G$5)+Dashboard!$G$6, L88)</f>
        <v>10177.555626713905</v>
      </c>
      <c r="M89">
        <f t="shared" ref="M89:M152" si="11">IF(B89&lt;&gt;B88,IF((L89-K89&gt;0),L89-K89,0),0)</f>
        <v>0</v>
      </c>
      <c r="N89">
        <f t="shared" si="8"/>
        <v>29.434466919379663</v>
      </c>
      <c r="O89">
        <f>IF(B89&lt;&gt;B88, Dashboard!$L$6,0)</f>
        <v>0</v>
      </c>
      <c r="P89">
        <f t="shared" si="9"/>
        <v>28.985311363231574</v>
      </c>
      <c r="Q89">
        <f>IF(B89&lt;&gt;B88,IF(F89&lt;=AVERAGE(F67:F88),Dashboard!$N$6-Dashboard!$G$7,Dashboard!$N$6+Dashboard!$G$7),0)</f>
        <v>0</v>
      </c>
      <c r="R89">
        <f t="shared" si="10"/>
        <v>24.328859229710929</v>
      </c>
    </row>
    <row r="90" spans="1:18" x14ac:dyDescent="0.3">
      <c r="A90" s="1">
        <v>44410</v>
      </c>
      <c r="B90">
        <v>2</v>
      </c>
      <c r="C90" s="19">
        <v>8</v>
      </c>
      <c r="D90" s="20">
        <v>2021</v>
      </c>
      <c r="E90" s="21">
        <f t="shared" si="6"/>
        <v>44235</v>
      </c>
      <c r="F90" s="20">
        <v>359.07</v>
      </c>
      <c r="G90" s="20">
        <v>3371070</v>
      </c>
      <c r="H90" s="20">
        <v>357.92</v>
      </c>
      <c r="I90" s="20">
        <v>359.07</v>
      </c>
      <c r="J90" s="22">
        <v>357.06</v>
      </c>
      <c r="K90" s="2">
        <f t="shared" si="7"/>
        <v>10569.034036741656</v>
      </c>
      <c r="L90" s="2">
        <f>IF(B90&lt;&gt;B89,L89*(1+Dashboard!$G$5)+Dashboard!$G$6, L89)</f>
        <v>10177.555626713905</v>
      </c>
      <c r="M90">
        <f t="shared" si="11"/>
        <v>0</v>
      </c>
      <c r="N90">
        <f t="shared" si="8"/>
        <v>29.434466919379663</v>
      </c>
      <c r="O90">
        <f>IF(B90&lt;&gt;B89, Dashboard!$L$6,0)</f>
        <v>0</v>
      </c>
      <c r="P90">
        <f t="shared" si="9"/>
        <v>28.985311363231574</v>
      </c>
      <c r="Q90">
        <f>IF(B90&lt;&gt;B89,IF(F90&lt;=AVERAGE(F68:F89),Dashboard!$N$6-Dashboard!$G$7,Dashboard!$N$6+Dashboard!$G$7),0)</f>
        <v>0</v>
      </c>
      <c r="R90">
        <f t="shared" si="10"/>
        <v>24.328859229710929</v>
      </c>
    </row>
    <row r="91" spans="1:18" x14ac:dyDescent="0.3">
      <c r="A91" s="1">
        <v>44441</v>
      </c>
      <c r="B91">
        <v>2</v>
      </c>
      <c r="C91" s="19">
        <v>9</v>
      </c>
      <c r="D91" s="20">
        <v>2021</v>
      </c>
      <c r="E91" s="21">
        <f t="shared" si="6"/>
        <v>44236</v>
      </c>
      <c r="F91" s="20">
        <v>358.78</v>
      </c>
      <c r="G91" s="20">
        <v>1891240</v>
      </c>
      <c r="H91" s="20">
        <v>358.22</v>
      </c>
      <c r="I91" s="20">
        <v>359.33</v>
      </c>
      <c r="J91" s="22">
        <v>357.77</v>
      </c>
      <c r="K91" s="2">
        <f t="shared" si="7"/>
        <v>10560.498041335035</v>
      </c>
      <c r="L91" s="2">
        <f>IF(B91&lt;&gt;B90,L90*(1+Dashboard!$G$5)+Dashboard!$G$6, L90)</f>
        <v>10177.555626713905</v>
      </c>
      <c r="M91">
        <f t="shared" si="11"/>
        <v>0</v>
      </c>
      <c r="N91">
        <f t="shared" si="8"/>
        <v>29.434466919379663</v>
      </c>
      <c r="O91">
        <f>IF(B91&lt;&gt;B90, Dashboard!$L$6,0)</f>
        <v>0</v>
      </c>
      <c r="P91">
        <f t="shared" si="9"/>
        <v>28.985311363231574</v>
      </c>
      <c r="Q91">
        <f>IF(B91&lt;&gt;B90,IF(F91&lt;=AVERAGE(F69:F90),Dashboard!$N$6-Dashboard!$G$7,Dashboard!$N$6+Dashboard!$G$7),0)</f>
        <v>0</v>
      </c>
      <c r="R91">
        <f t="shared" si="10"/>
        <v>24.328859229710929</v>
      </c>
    </row>
    <row r="92" spans="1:18" x14ac:dyDescent="0.3">
      <c r="A92" s="1">
        <v>44471</v>
      </c>
      <c r="B92">
        <v>2</v>
      </c>
      <c r="C92" s="19">
        <v>10</v>
      </c>
      <c r="D92" s="20">
        <v>2021</v>
      </c>
      <c r="E92" s="21">
        <f t="shared" si="6"/>
        <v>44237</v>
      </c>
      <c r="F92" s="20">
        <v>358.64</v>
      </c>
      <c r="G92" s="20">
        <v>2400011</v>
      </c>
      <c r="H92" s="20">
        <v>360.53</v>
      </c>
      <c r="I92" s="20">
        <v>360.61</v>
      </c>
      <c r="J92" s="22">
        <v>356.3</v>
      </c>
      <c r="K92" s="2">
        <f t="shared" si="7"/>
        <v>10556.377215966322</v>
      </c>
      <c r="L92" s="2">
        <f>IF(B92&lt;&gt;B91,L91*(1+Dashboard!$G$5)+Dashboard!$G$6, L91)</f>
        <v>10177.555626713905</v>
      </c>
      <c r="M92">
        <f t="shared" si="11"/>
        <v>0</v>
      </c>
      <c r="N92">
        <f t="shared" si="8"/>
        <v>29.434466919379663</v>
      </c>
      <c r="O92">
        <f>IF(B92&lt;&gt;B91, Dashboard!$L$6,0)</f>
        <v>0</v>
      </c>
      <c r="P92">
        <f t="shared" si="9"/>
        <v>28.985311363231574</v>
      </c>
      <c r="Q92">
        <f>IF(B92&lt;&gt;B91,IF(F92&lt;=AVERAGE(F70:F91),Dashboard!$N$6-Dashboard!$G$7,Dashboard!$N$6+Dashboard!$G$7),0)</f>
        <v>0</v>
      </c>
      <c r="R92">
        <f t="shared" si="10"/>
        <v>24.328859229710929</v>
      </c>
    </row>
    <row r="93" spans="1:18" x14ac:dyDescent="0.3">
      <c r="A93" s="1">
        <v>44502</v>
      </c>
      <c r="B93">
        <v>2</v>
      </c>
      <c r="C93" s="19">
        <v>11</v>
      </c>
      <c r="D93" s="20">
        <v>2021</v>
      </c>
      <c r="E93" s="21">
        <f t="shared" si="6"/>
        <v>44238</v>
      </c>
      <c r="F93" s="20">
        <v>359.22</v>
      </c>
      <c r="G93" s="20">
        <v>2237200</v>
      </c>
      <c r="H93" s="20">
        <v>359.71</v>
      </c>
      <c r="I93" s="20">
        <v>360.1</v>
      </c>
      <c r="J93" s="22">
        <v>356.83760000000001</v>
      </c>
      <c r="K93" s="2">
        <f t="shared" si="7"/>
        <v>10573.449206779564</v>
      </c>
      <c r="L93" s="2">
        <f>IF(B93&lt;&gt;B92,L92*(1+Dashboard!$G$5)+Dashboard!$G$6, L92)</f>
        <v>10177.555626713905</v>
      </c>
      <c r="M93">
        <f t="shared" si="11"/>
        <v>0</v>
      </c>
      <c r="N93">
        <f t="shared" si="8"/>
        <v>29.434466919379663</v>
      </c>
      <c r="O93">
        <f>IF(B93&lt;&gt;B92, Dashboard!$L$6,0)</f>
        <v>0</v>
      </c>
      <c r="P93">
        <f t="shared" si="9"/>
        <v>28.985311363231574</v>
      </c>
      <c r="Q93">
        <f>IF(B93&lt;&gt;B92,IF(F93&lt;=AVERAGE(F71:F92),Dashboard!$N$6-Dashboard!$G$7,Dashboard!$N$6+Dashboard!$G$7),0)</f>
        <v>0</v>
      </c>
      <c r="R93">
        <f t="shared" si="10"/>
        <v>24.328859229710929</v>
      </c>
    </row>
    <row r="94" spans="1:18" x14ac:dyDescent="0.3">
      <c r="A94" s="1">
        <v>44532</v>
      </c>
      <c r="B94">
        <v>2</v>
      </c>
      <c r="C94" s="19">
        <v>12</v>
      </c>
      <c r="D94" s="20">
        <v>2021</v>
      </c>
      <c r="E94" s="21">
        <f t="shared" si="6"/>
        <v>44239</v>
      </c>
      <c r="F94" s="20">
        <v>361.05</v>
      </c>
      <c r="G94" s="20">
        <v>2144471</v>
      </c>
      <c r="H94" s="20">
        <v>358.45</v>
      </c>
      <c r="I94" s="20">
        <v>361.19</v>
      </c>
      <c r="J94" s="22">
        <v>358.36</v>
      </c>
      <c r="K94" s="2">
        <f t="shared" si="7"/>
        <v>10627.314281242028</v>
      </c>
      <c r="L94" s="2">
        <f>IF(B94&lt;&gt;B93,L93*(1+Dashboard!$G$5)+Dashboard!$G$6, L93)</f>
        <v>10177.555626713905</v>
      </c>
      <c r="M94">
        <f t="shared" si="11"/>
        <v>0</v>
      </c>
      <c r="N94">
        <f t="shared" si="8"/>
        <v>29.434466919379663</v>
      </c>
      <c r="O94">
        <f>IF(B94&lt;&gt;B93, Dashboard!$L$6,0)</f>
        <v>0</v>
      </c>
      <c r="P94">
        <f t="shared" si="9"/>
        <v>28.985311363231574</v>
      </c>
      <c r="Q94">
        <f>IF(B94&lt;&gt;B93,IF(F94&lt;=AVERAGE(F72:F93),Dashboard!$N$6-Dashboard!$G$7,Dashboard!$N$6+Dashboard!$G$7),0)</f>
        <v>0</v>
      </c>
      <c r="R94">
        <f t="shared" si="10"/>
        <v>24.328859229710929</v>
      </c>
    </row>
    <row r="95" spans="1:18" x14ac:dyDescent="0.3">
      <c r="A95" t="s">
        <v>704</v>
      </c>
      <c r="B95">
        <v>2</v>
      </c>
      <c r="C95" s="19">
        <v>16</v>
      </c>
      <c r="D95" s="20">
        <v>2021</v>
      </c>
      <c r="E95" s="21">
        <f t="shared" si="6"/>
        <v>44243</v>
      </c>
      <c r="F95" s="20">
        <v>360.71</v>
      </c>
      <c r="G95" s="20">
        <v>4408452</v>
      </c>
      <c r="H95" s="20">
        <v>362.15</v>
      </c>
      <c r="I95" s="20">
        <v>362.37</v>
      </c>
      <c r="J95" s="22">
        <v>359.98</v>
      </c>
      <c r="K95" s="2">
        <f t="shared" si="7"/>
        <v>10617.306562489437</v>
      </c>
      <c r="L95" s="2">
        <f>IF(B95&lt;&gt;B94,L94*(1+Dashboard!$G$5)+Dashboard!$G$6, L94)</f>
        <v>10177.555626713905</v>
      </c>
      <c r="M95">
        <f t="shared" si="11"/>
        <v>0</v>
      </c>
      <c r="N95">
        <f t="shared" si="8"/>
        <v>29.434466919379663</v>
      </c>
      <c r="O95">
        <f>IF(B95&lt;&gt;B94, Dashboard!$L$6,0)</f>
        <v>0</v>
      </c>
      <c r="P95">
        <f t="shared" si="9"/>
        <v>28.985311363231574</v>
      </c>
      <c r="Q95">
        <f>IF(B95&lt;&gt;B94,IF(F95&lt;=AVERAGE(F73:F94),Dashboard!$N$6-Dashboard!$G$7,Dashboard!$N$6+Dashboard!$G$7),0)</f>
        <v>0</v>
      </c>
      <c r="R95">
        <f t="shared" si="10"/>
        <v>24.328859229710929</v>
      </c>
    </row>
    <row r="96" spans="1:18" x14ac:dyDescent="0.3">
      <c r="A96" t="s">
        <v>703</v>
      </c>
      <c r="B96">
        <v>2</v>
      </c>
      <c r="C96" s="19">
        <v>17</v>
      </c>
      <c r="D96" s="20">
        <v>2021</v>
      </c>
      <c r="E96" s="21">
        <f t="shared" si="6"/>
        <v>44244</v>
      </c>
      <c r="F96" s="20">
        <v>360.79</v>
      </c>
      <c r="G96" s="20">
        <v>3220093</v>
      </c>
      <c r="H96" s="20">
        <v>359.03</v>
      </c>
      <c r="I96" s="20">
        <v>360.97</v>
      </c>
      <c r="J96" s="22">
        <v>357.92219999999998</v>
      </c>
      <c r="K96" s="2">
        <f t="shared" si="7"/>
        <v>10619.66131984299</v>
      </c>
      <c r="L96" s="2">
        <f>IF(B96&lt;&gt;B95,L95*(1+Dashboard!$G$5)+Dashboard!$G$6, L95)</f>
        <v>10177.555626713905</v>
      </c>
      <c r="M96">
        <f t="shared" si="11"/>
        <v>0</v>
      </c>
      <c r="N96">
        <f t="shared" si="8"/>
        <v>29.434466919379663</v>
      </c>
      <c r="O96">
        <f>IF(B96&lt;&gt;B95, Dashboard!$L$6,0)</f>
        <v>0</v>
      </c>
      <c r="P96">
        <f t="shared" si="9"/>
        <v>28.985311363231574</v>
      </c>
      <c r="Q96">
        <f>IF(B96&lt;&gt;B95,IF(F96&lt;=AVERAGE(F74:F95),Dashboard!$N$6-Dashboard!$G$7,Dashboard!$N$6+Dashboard!$G$7),0)</f>
        <v>0</v>
      </c>
      <c r="R96">
        <f t="shared" si="10"/>
        <v>24.328859229710929</v>
      </c>
    </row>
    <row r="97" spans="1:18" x14ac:dyDescent="0.3">
      <c r="A97" t="s">
        <v>702</v>
      </c>
      <c r="B97">
        <v>2</v>
      </c>
      <c r="C97" s="19">
        <v>18</v>
      </c>
      <c r="D97" s="20">
        <v>2021</v>
      </c>
      <c r="E97" s="21">
        <f t="shared" si="6"/>
        <v>44245</v>
      </c>
      <c r="F97" s="20">
        <v>359.25</v>
      </c>
      <c r="G97" s="20">
        <v>3017068</v>
      </c>
      <c r="H97" s="20">
        <v>358.24</v>
      </c>
      <c r="I97" s="20">
        <v>359.93</v>
      </c>
      <c r="J97" s="22">
        <v>356.49</v>
      </c>
      <c r="K97" s="2">
        <f t="shared" si="7"/>
        <v>10574.332240787144</v>
      </c>
      <c r="L97" s="2">
        <f>IF(B97&lt;&gt;B96,L96*(1+Dashboard!$G$5)+Dashboard!$G$6, L96)</f>
        <v>10177.555626713905</v>
      </c>
      <c r="M97">
        <f t="shared" si="11"/>
        <v>0</v>
      </c>
      <c r="N97">
        <f t="shared" si="8"/>
        <v>29.434466919379663</v>
      </c>
      <c r="O97">
        <f>IF(B97&lt;&gt;B96, Dashboard!$L$6,0)</f>
        <v>0</v>
      </c>
      <c r="P97">
        <f t="shared" si="9"/>
        <v>28.985311363231574</v>
      </c>
      <c r="Q97">
        <f>IF(B97&lt;&gt;B96,IF(F97&lt;=AVERAGE(F75:F96),Dashboard!$N$6-Dashboard!$G$7,Dashboard!$N$6+Dashboard!$G$7),0)</f>
        <v>0</v>
      </c>
      <c r="R97">
        <f t="shared" si="10"/>
        <v>24.328859229710929</v>
      </c>
    </row>
    <row r="98" spans="1:18" x14ac:dyDescent="0.3">
      <c r="A98" t="s">
        <v>701</v>
      </c>
      <c r="B98">
        <v>2</v>
      </c>
      <c r="C98" s="19">
        <v>19</v>
      </c>
      <c r="D98" s="20">
        <v>2021</v>
      </c>
      <c r="E98" s="21">
        <f t="shared" si="6"/>
        <v>44246</v>
      </c>
      <c r="F98" s="20">
        <v>358.59</v>
      </c>
      <c r="G98" s="20">
        <v>2487098</v>
      </c>
      <c r="H98" s="20">
        <v>360.47</v>
      </c>
      <c r="I98" s="20">
        <v>360.71</v>
      </c>
      <c r="J98" s="22">
        <v>358.14</v>
      </c>
      <c r="K98" s="2">
        <f t="shared" si="7"/>
        <v>10554.905492620352</v>
      </c>
      <c r="L98" s="2">
        <f>IF(B98&lt;&gt;B97,L97*(1+Dashboard!$G$5)+Dashboard!$G$6, L97)</f>
        <v>10177.555626713905</v>
      </c>
      <c r="M98">
        <f t="shared" si="11"/>
        <v>0</v>
      </c>
      <c r="N98">
        <f t="shared" si="8"/>
        <v>29.434466919379663</v>
      </c>
      <c r="O98">
        <f>IF(B98&lt;&gt;B97, Dashboard!$L$6,0)</f>
        <v>0</v>
      </c>
      <c r="P98">
        <f t="shared" si="9"/>
        <v>28.985311363231574</v>
      </c>
      <c r="Q98">
        <f>IF(B98&lt;&gt;B97,IF(F98&lt;=AVERAGE(F76:F97),Dashboard!$N$6-Dashboard!$G$7,Dashboard!$N$6+Dashboard!$G$7),0)</f>
        <v>0</v>
      </c>
      <c r="R98">
        <f t="shared" si="10"/>
        <v>24.328859229710929</v>
      </c>
    </row>
    <row r="99" spans="1:18" x14ac:dyDescent="0.3">
      <c r="A99" t="s">
        <v>700</v>
      </c>
      <c r="B99">
        <v>2</v>
      </c>
      <c r="C99" s="19">
        <v>22</v>
      </c>
      <c r="D99" s="20">
        <v>2021</v>
      </c>
      <c r="E99" s="21">
        <f t="shared" si="6"/>
        <v>44249</v>
      </c>
      <c r="F99" s="20">
        <v>355.77</v>
      </c>
      <c r="G99" s="20">
        <v>3290986</v>
      </c>
      <c r="H99" s="20">
        <v>355.84</v>
      </c>
      <c r="I99" s="20">
        <v>358.19</v>
      </c>
      <c r="J99" s="22">
        <v>355.56</v>
      </c>
      <c r="K99" s="2">
        <f t="shared" si="7"/>
        <v>10471.900295907702</v>
      </c>
      <c r="L99" s="2">
        <f>IF(B99&lt;&gt;B98,L98*(1+Dashboard!$G$5)+Dashboard!$G$6, L98)</f>
        <v>10177.555626713905</v>
      </c>
      <c r="M99">
        <f t="shared" si="11"/>
        <v>0</v>
      </c>
      <c r="N99">
        <f t="shared" si="8"/>
        <v>29.434466919379663</v>
      </c>
      <c r="O99">
        <f>IF(B99&lt;&gt;B98, Dashboard!$L$6,0)</f>
        <v>0</v>
      </c>
      <c r="P99">
        <f t="shared" si="9"/>
        <v>28.985311363231574</v>
      </c>
      <c r="Q99">
        <f>IF(B99&lt;&gt;B98,IF(F99&lt;=AVERAGE(F77:F98),Dashboard!$N$6-Dashboard!$G$7,Dashboard!$N$6+Dashboard!$G$7),0)</f>
        <v>0</v>
      </c>
      <c r="R99">
        <f t="shared" si="10"/>
        <v>24.328859229710929</v>
      </c>
    </row>
    <row r="100" spans="1:18" x14ac:dyDescent="0.3">
      <c r="A100" t="s">
        <v>699</v>
      </c>
      <c r="B100">
        <v>2</v>
      </c>
      <c r="C100" s="19">
        <v>23</v>
      </c>
      <c r="D100" s="20">
        <v>2021</v>
      </c>
      <c r="E100" s="21">
        <f t="shared" si="6"/>
        <v>44250</v>
      </c>
      <c r="F100" s="20">
        <v>356.22</v>
      </c>
      <c r="G100" s="20">
        <v>5251055</v>
      </c>
      <c r="H100" s="20">
        <v>353.69</v>
      </c>
      <c r="I100" s="20">
        <v>357.56</v>
      </c>
      <c r="J100" s="22">
        <v>349.53</v>
      </c>
      <c r="K100" s="2">
        <f t="shared" si="7"/>
        <v>10485.145806021425</v>
      </c>
      <c r="L100" s="2">
        <f>IF(B100&lt;&gt;B99,L99*(1+Dashboard!$G$5)+Dashboard!$G$6, L99)</f>
        <v>10177.555626713905</v>
      </c>
      <c r="M100">
        <f t="shared" si="11"/>
        <v>0</v>
      </c>
      <c r="N100">
        <f t="shared" si="8"/>
        <v>29.434466919379663</v>
      </c>
      <c r="O100">
        <f>IF(B100&lt;&gt;B99, Dashboard!$L$6,0)</f>
        <v>0</v>
      </c>
      <c r="P100">
        <f t="shared" si="9"/>
        <v>28.985311363231574</v>
      </c>
      <c r="Q100">
        <f>IF(B100&lt;&gt;B99,IF(F100&lt;=AVERAGE(F78:F99),Dashboard!$N$6-Dashboard!$G$7,Dashboard!$N$6+Dashboard!$G$7),0)</f>
        <v>0</v>
      </c>
      <c r="R100">
        <f t="shared" si="10"/>
        <v>24.328859229710929</v>
      </c>
    </row>
    <row r="101" spans="1:18" x14ac:dyDescent="0.3">
      <c r="A101" t="s">
        <v>698</v>
      </c>
      <c r="B101">
        <v>2</v>
      </c>
      <c r="C101" s="19">
        <v>24</v>
      </c>
      <c r="D101" s="20">
        <v>2021</v>
      </c>
      <c r="E101" s="21">
        <f t="shared" si="6"/>
        <v>44251</v>
      </c>
      <c r="F101" s="20">
        <v>360.16</v>
      </c>
      <c r="G101" s="20">
        <v>3301220</v>
      </c>
      <c r="H101" s="20">
        <v>355.15</v>
      </c>
      <c r="I101" s="20">
        <v>360.58</v>
      </c>
      <c r="J101" s="22">
        <v>354.2</v>
      </c>
      <c r="K101" s="2">
        <f t="shared" si="7"/>
        <v>10601.117605683779</v>
      </c>
      <c r="L101" s="2">
        <f>IF(B101&lt;&gt;B100,L100*(1+Dashboard!$G$5)+Dashboard!$G$6, L100)</f>
        <v>10177.555626713905</v>
      </c>
      <c r="M101">
        <f t="shared" si="11"/>
        <v>0</v>
      </c>
      <c r="N101">
        <f t="shared" si="8"/>
        <v>29.434466919379663</v>
      </c>
      <c r="O101">
        <f>IF(B101&lt;&gt;B100, Dashboard!$L$6,0)</f>
        <v>0</v>
      </c>
      <c r="P101">
        <f t="shared" si="9"/>
        <v>28.985311363231574</v>
      </c>
      <c r="Q101">
        <f>IF(B101&lt;&gt;B100,IF(F101&lt;=AVERAGE(F79:F100),Dashboard!$N$6-Dashboard!$G$7,Dashboard!$N$6+Dashboard!$G$7),0)</f>
        <v>0</v>
      </c>
      <c r="R101">
        <f t="shared" si="10"/>
        <v>24.328859229710929</v>
      </c>
    </row>
    <row r="102" spans="1:18" x14ac:dyDescent="0.3">
      <c r="A102" t="s">
        <v>697</v>
      </c>
      <c r="B102">
        <v>2</v>
      </c>
      <c r="C102" s="19">
        <v>25</v>
      </c>
      <c r="D102" s="20">
        <v>2021</v>
      </c>
      <c r="E102" s="21">
        <f t="shared" si="6"/>
        <v>44252</v>
      </c>
      <c r="F102" s="20">
        <v>351.52</v>
      </c>
      <c r="G102" s="20">
        <v>7049193</v>
      </c>
      <c r="H102" s="20">
        <v>359.03</v>
      </c>
      <c r="I102" s="20">
        <v>360.27</v>
      </c>
      <c r="J102" s="22">
        <v>350.08</v>
      </c>
      <c r="K102" s="2">
        <f t="shared" si="7"/>
        <v>10346.803811500338</v>
      </c>
      <c r="L102" s="2">
        <f>IF(B102&lt;&gt;B101,L101*(1+Dashboard!$G$5)+Dashboard!$G$6, L101)</f>
        <v>10177.555626713905</v>
      </c>
      <c r="M102">
        <f t="shared" si="11"/>
        <v>0</v>
      </c>
      <c r="N102">
        <f t="shared" si="8"/>
        <v>29.434466919379663</v>
      </c>
      <c r="O102">
        <f>IF(B102&lt;&gt;B101, Dashboard!$L$6,0)</f>
        <v>0</v>
      </c>
      <c r="P102">
        <f t="shared" si="9"/>
        <v>28.985311363231574</v>
      </c>
      <c r="Q102">
        <f>IF(B102&lt;&gt;B101,IF(F102&lt;=AVERAGE(F80:F101),Dashboard!$N$6-Dashboard!$G$7,Dashboard!$N$6+Dashboard!$G$7),0)</f>
        <v>0</v>
      </c>
      <c r="R102">
        <f t="shared" si="10"/>
        <v>24.328859229710929</v>
      </c>
    </row>
    <row r="103" spans="1:18" x14ac:dyDescent="0.3">
      <c r="A103" t="s">
        <v>696</v>
      </c>
      <c r="B103">
        <v>2</v>
      </c>
      <c r="C103" s="19">
        <v>26</v>
      </c>
      <c r="D103" s="20">
        <v>2021</v>
      </c>
      <c r="E103" s="21">
        <f t="shared" si="6"/>
        <v>44253</v>
      </c>
      <c r="F103" s="20">
        <v>349.59</v>
      </c>
      <c r="G103" s="20">
        <v>7579472</v>
      </c>
      <c r="H103" s="20">
        <v>353.47</v>
      </c>
      <c r="I103" s="20">
        <v>354.46780000000001</v>
      </c>
      <c r="J103" s="22">
        <v>347.71</v>
      </c>
      <c r="K103" s="2">
        <f t="shared" si="7"/>
        <v>10289.995290345936</v>
      </c>
      <c r="L103" s="2">
        <f>IF(B103&lt;&gt;B102,L102*(1+Dashboard!$G$5)+Dashboard!$G$6, L102)</f>
        <v>10177.555626713905</v>
      </c>
      <c r="M103">
        <f t="shared" si="11"/>
        <v>0</v>
      </c>
      <c r="N103">
        <f t="shared" si="8"/>
        <v>29.434466919379663</v>
      </c>
      <c r="O103">
        <f>IF(B103&lt;&gt;B102, Dashboard!$L$6,0)</f>
        <v>0</v>
      </c>
      <c r="P103">
        <f t="shared" si="9"/>
        <v>28.985311363231574</v>
      </c>
      <c r="Q103">
        <f>IF(B103&lt;&gt;B102,IF(F103&lt;=AVERAGE(F81:F102),Dashboard!$N$6-Dashboard!$G$7,Dashboard!$N$6+Dashboard!$G$7),0)</f>
        <v>0</v>
      </c>
      <c r="R103">
        <f t="shared" si="10"/>
        <v>24.328859229710929</v>
      </c>
    </row>
    <row r="104" spans="1:18" x14ac:dyDescent="0.3">
      <c r="A104" s="1">
        <v>44199</v>
      </c>
      <c r="B104">
        <v>3</v>
      </c>
      <c r="C104" s="19">
        <v>1</v>
      </c>
      <c r="D104" s="20">
        <v>2021</v>
      </c>
      <c r="E104" s="21">
        <f t="shared" si="6"/>
        <v>44256</v>
      </c>
      <c r="F104" s="20">
        <v>358.12</v>
      </c>
      <c r="G104" s="20">
        <v>3725252</v>
      </c>
      <c r="H104" s="20">
        <v>354.55</v>
      </c>
      <c r="I104" s="20">
        <v>359.39</v>
      </c>
      <c r="J104" s="22">
        <v>354.5</v>
      </c>
      <c r="K104" s="2">
        <f t="shared" si="7"/>
        <v>10541.071293168245</v>
      </c>
      <c r="L104" s="2">
        <f>IF(B104&lt;&gt;B103,L103*(1+Dashboard!$G$5)+Dashboard!$G$6, L103)</f>
        <v>12267.118116228987</v>
      </c>
      <c r="M104">
        <f t="shared" si="11"/>
        <v>1726.0468230607421</v>
      </c>
      <c r="N104">
        <f t="shared" si="8"/>
        <v>29.434466919379663</v>
      </c>
      <c r="O104">
        <f>IF(B104&lt;&gt;B103, Dashboard!$L$6,0)</f>
        <v>1859.7282542371197</v>
      </c>
      <c r="P104">
        <f t="shared" si="9"/>
        <v>34.178342342336677</v>
      </c>
      <c r="Q104">
        <f>IF(B104&lt;&gt;B103,IF(F104&lt;=AVERAGE(F82:F103),Dashboard!$N$6-Dashboard!$G$7,Dashboard!$N$6+Dashboard!$G$7),0)</f>
        <v>2232.609610169322</v>
      </c>
      <c r="R104">
        <f t="shared" si="10"/>
        <v>30.625882527325714</v>
      </c>
    </row>
    <row r="105" spans="1:18" x14ac:dyDescent="0.3">
      <c r="A105" s="1">
        <v>44230</v>
      </c>
      <c r="B105">
        <v>3</v>
      </c>
      <c r="C105" s="19">
        <v>2</v>
      </c>
      <c r="D105" s="20">
        <v>2021</v>
      </c>
      <c r="E105" s="21">
        <f t="shared" si="6"/>
        <v>44257</v>
      </c>
      <c r="F105" s="20">
        <v>355.35</v>
      </c>
      <c r="G105" s="20">
        <v>5462610</v>
      </c>
      <c r="H105" s="20">
        <v>358.38</v>
      </c>
      <c r="I105" s="20">
        <v>358.63</v>
      </c>
      <c r="J105" s="22">
        <v>355.16</v>
      </c>
      <c r="K105" s="2">
        <f t="shared" si="7"/>
        <v>12172.233951195049</v>
      </c>
      <c r="L105" s="2">
        <f>IF(B105&lt;&gt;B104,L104*(1+Dashboard!$G$5)+Dashboard!$G$6, L104)</f>
        <v>12267.118116228987</v>
      </c>
      <c r="M105">
        <f t="shared" si="11"/>
        <v>0</v>
      </c>
      <c r="N105">
        <f t="shared" si="8"/>
        <v>34.254211203588149</v>
      </c>
      <c r="O105">
        <f>IF(B105&lt;&gt;B104, Dashboard!$L$6,0)</f>
        <v>0</v>
      </c>
      <c r="P105">
        <f t="shared" si="9"/>
        <v>34.178342342336677</v>
      </c>
      <c r="Q105">
        <f>IF(B105&lt;&gt;B104,IF(F105&lt;=AVERAGE(F83:F104),Dashboard!$N$6-Dashboard!$G$7,Dashboard!$N$6+Dashboard!$G$7),0)</f>
        <v>0</v>
      </c>
      <c r="R105">
        <f t="shared" si="10"/>
        <v>30.625882527325714</v>
      </c>
    </row>
    <row r="106" spans="1:18" x14ac:dyDescent="0.3">
      <c r="A106" s="1">
        <v>44258</v>
      </c>
      <c r="B106">
        <v>3</v>
      </c>
      <c r="C106" s="19">
        <v>3</v>
      </c>
      <c r="D106" s="20">
        <v>2021</v>
      </c>
      <c r="E106" s="21">
        <f t="shared" si="6"/>
        <v>44258</v>
      </c>
      <c r="F106" s="20">
        <v>350.66</v>
      </c>
      <c r="G106" s="20">
        <v>6317636</v>
      </c>
      <c r="H106" s="20">
        <v>354.7</v>
      </c>
      <c r="I106" s="20">
        <v>355.64</v>
      </c>
      <c r="J106" s="22">
        <v>350.56</v>
      </c>
      <c r="K106" s="2">
        <f t="shared" si="7"/>
        <v>12011.58170065022</v>
      </c>
      <c r="L106" s="2">
        <f>IF(B106&lt;&gt;B105,L105*(1+Dashboard!$G$5)+Dashboard!$G$6, L105)</f>
        <v>12267.118116228987</v>
      </c>
      <c r="M106">
        <f t="shared" si="11"/>
        <v>0</v>
      </c>
      <c r="N106">
        <f t="shared" si="8"/>
        <v>34.254211203588149</v>
      </c>
      <c r="O106">
        <f>IF(B106&lt;&gt;B105, Dashboard!$L$6,0)</f>
        <v>0</v>
      </c>
      <c r="P106">
        <f t="shared" si="9"/>
        <v>34.178342342336677</v>
      </c>
      <c r="Q106">
        <f>IF(B106&lt;&gt;B105,IF(F106&lt;=AVERAGE(F84:F105),Dashboard!$N$6-Dashboard!$G$7,Dashboard!$N$6+Dashboard!$G$7),0)</f>
        <v>0</v>
      </c>
      <c r="R106">
        <f t="shared" si="10"/>
        <v>30.625882527325714</v>
      </c>
    </row>
    <row r="107" spans="1:18" x14ac:dyDescent="0.3">
      <c r="A107" s="1">
        <v>44289</v>
      </c>
      <c r="B107">
        <v>3</v>
      </c>
      <c r="C107" s="19">
        <v>4</v>
      </c>
      <c r="D107" s="20">
        <v>2021</v>
      </c>
      <c r="E107" s="21">
        <f t="shared" si="6"/>
        <v>44259</v>
      </c>
      <c r="F107" s="20">
        <v>346.34</v>
      </c>
      <c r="G107" s="20">
        <v>6604466</v>
      </c>
      <c r="H107" s="20">
        <v>350.49</v>
      </c>
      <c r="I107" s="20">
        <v>353.02</v>
      </c>
      <c r="J107" s="22">
        <v>341.91500000000002</v>
      </c>
      <c r="K107" s="2">
        <f t="shared" si="7"/>
        <v>11863.603508250719</v>
      </c>
      <c r="L107" s="2">
        <f>IF(B107&lt;&gt;B106,L106*(1+Dashboard!$G$5)+Dashboard!$G$6, L106)</f>
        <v>12267.118116228987</v>
      </c>
      <c r="M107">
        <f t="shared" si="11"/>
        <v>0</v>
      </c>
      <c r="N107">
        <f t="shared" si="8"/>
        <v>34.254211203588149</v>
      </c>
      <c r="O107">
        <f>IF(B107&lt;&gt;B106, Dashboard!$L$6,0)</f>
        <v>0</v>
      </c>
      <c r="P107">
        <f t="shared" si="9"/>
        <v>34.178342342336677</v>
      </c>
      <c r="Q107">
        <f>IF(B107&lt;&gt;B106,IF(F107&lt;=AVERAGE(F85:F106),Dashboard!$N$6-Dashboard!$G$7,Dashboard!$N$6+Dashboard!$G$7),0)</f>
        <v>0</v>
      </c>
      <c r="R107">
        <f t="shared" si="10"/>
        <v>30.625882527325714</v>
      </c>
    </row>
    <row r="108" spans="1:18" x14ac:dyDescent="0.3">
      <c r="A108" s="1">
        <v>44319</v>
      </c>
      <c r="B108">
        <v>3</v>
      </c>
      <c r="C108" s="19">
        <v>5</v>
      </c>
      <c r="D108" s="20">
        <v>2021</v>
      </c>
      <c r="E108" s="21">
        <f t="shared" si="6"/>
        <v>44260</v>
      </c>
      <c r="F108" s="20">
        <v>352.69</v>
      </c>
      <c r="G108" s="20">
        <v>8721265</v>
      </c>
      <c r="H108" s="20">
        <v>349.77</v>
      </c>
      <c r="I108" s="20">
        <v>353.73</v>
      </c>
      <c r="J108" s="22">
        <v>342.59</v>
      </c>
      <c r="K108" s="2">
        <f t="shared" si="7"/>
        <v>12081.117749393505</v>
      </c>
      <c r="L108" s="2">
        <f>IF(B108&lt;&gt;B107,L107*(1+Dashboard!$G$5)+Dashboard!$G$6, L107)</f>
        <v>12267.118116228987</v>
      </c>
      <c r="M108">
        <f t="shared" si="11"/>
        <v>0</v>
      </c>
      <c r="N108">
        <f t="shared" si="8"/>
        <v>34.254211203588149</v>
      </c>
      <c r="O108">
        <f>IF(B108&lt;&gt;B107, Dashboard!$L$6,0)</f>
        <v>0</v>
      </c>
      <c r="P108">
        <f t="shared" si="9"/>
        <v>34.178342342336677</v>
      </c>
      <c r="Q108">
        <f>IF(B108&lt;&gt;B107,IF(F108&lt;=AVERAGE(F86:F107),Dashboard!$N$6-Dashboard!$G$7,Dashboard!$N$6+Dashboard!$G$7),0)</f>
        <v>0</v>
      </c>
      <c r="R108">
        <f t="shared" si="10"/>
        <v>30.625882527325714</v>
      </c>
    </row>
    <row r="109" spans="1:18" x14ac:dyDescent="0.3">
      <c r="A109" s="1">
        <v>44411</v>
      </c>
      <c r="B109">
        <v>3</v>
      </c>
      <c r="C109" s="19">
        <v>8</v>
      </c>
      <c r="D109" s="20">
        <v>2021</v>
      </c>
      <c r="E109" s="21">
        <f t="shared" si="6"/>
        <v>44263</v>
      </c>
      <c r="F109" s="20">
        <v>350.96</v>
      </c>
      <c r="G109" s="20">
        <v>5663478</v>
      </c>
      <c r="H109" s="20">
        <v>353.63</v>
      </c>
      <c r="I109" s="20">
        <v>356.4</v>
      </c>
      <c r="J109" s="22">
        <v>350.66</v>
      </c>
      <c r="K109" s="2">
        <f t="shared" si="7"/>
        <v>12021.857964011297</v>
      </c>
      <c r="L109" s="2">
        <f>IF(B109&lt;&gt;B108,L108*(1+Dashboard!$G$5)+Dashboard!$G$6, L108)</f>
        <v>12267.118116228987</v>
      </c>
      <c r="M109">
        <f t="shared" si="11"/>
        <v>0</v>
      </c>
      <c r="N109">
        <f t="shared" si="8"/>
        <v>34.254211203588149</v>
      </c>
      <c r="O109">
        <f>IF(B109&lt;&gt;B108, Dashboard!$L$6,0)</f>
        <v>0</v>
      </c>
      <c r="P109">
        <f t="shared" si="9"/>
        <v>34.178342342336677</v>
      </c>
      <c r="Q109">
        <f>IF(B109&lt;&gt;B108,IF(F109&lt;=AVERAGE(F87:F108),Dashboard!$N$6-Dashboard!$G$7,Dashboard!$N$6+Dashboard!$G$7),0)</f>
        <v>0</v>
      </c>
      <c r="R109">
        <f t="shared" si="10"/>
        <v>30.625882527325714</v>
      </c>
    </row>
    <row r="110" spans="1:18" x14ac:dyDescent="0.3">
      <c r="A110" s="1">
        <v>44442</v>
      </c>
      <c r="B110">
        <v>3</v>
      </c>
      <c r="C110" s="19">
        <v>9</v>
      </c>
      <c r="D110" s="20">
        <v>2021</v>
      </c>
      <c r="E110" s="21">
        <f t="shared" si="6"/>
        <v>44264</v>
      </c>
      <c r="F110" s="20">
        <v>355.87</v>
      </c>
      <c r="G110" s="20">
        <v>6075087</v>
      </c>
      <c r="H110" s="20">
        <v>354.75</v>
      </c>
      <c r="I110" s="20">
        <v>358.46</v>
      </c>
      <c r="J110" s="22">
        <v>354.23</v>
      </c>
      <c r="K110" s="2">
        <f t="shared" si="7"/>
        <v>12190.046141020915</v>
      </c>
      <c r="L110" s="2">
        <f>IF(B110&lt;&gt;B109,L109*(1+Dashboard!$G$5)+Dashboard!$G$6, L109)</f>
        <v>12267.118116228987</v>
      </c>
      <c r="M110">
        <f t="shared" si="11"/>
        <v>0</v>
      </c>
      <c r="N110">
        <f t="shared" si="8"/>
        <v>34.254211203588149</v>
      </c>
      <c r="O110">
        <f>IF(B110&lt;&gt;B109, Dashboard!$L$6,0)</f>
        <v>0</v>
      </c>
      <c r="P110">
        <f t="shared" si="9"/>
        <v>34.178342342336677</v>
      </c>
      <c r="Q110">
        <f>IF(B110&lt;&gt;B109,IF(F110&lt;=AVERAGE(F88:F109),Dashboard!$N$6-Dashboard!$G$7,Dashboard!$N$6+Dashboard!$G$7),0)</f>
        <v>0</v>
      </c>
      <c r="R110">
        <f t="shared" si="10"/>
        <v>30.625882527325714</v>
      </c>
    </row>
    <row r="111" spans="1:18" x14ac:dyDescent="0.3">
      <c r="A111" s="1">
        <v>44472</v>
      </c>
      <c r="B111">
        <v>3</v>
      </c>
      <c r="C111" s="19">
        <v>10</v>
      </c>
      <c r="D111" s="20">
        <v>2021</v>
      </c>
      <c r="E111" s="21">
        <f t="shared" si="6"/>
        <v>44265</v>
      </c>
      <c r="F111" s="20">
        <v>358.07</v>
      </c>
      <c r="G111" s="20">
        <v>7231407</v>
      </c>
      <c r="H111" s="20">
        <v>358.3</v>
      </c>
      <c r="I111" s="20">
        <v>359.84</v>
      </c>
      <c r="J111" s="22">
        <v>356.88</v>
      </c>
      <c r="K111" s="2">
        <f t="shared" si="7"/>
        <v>12265.405405668807</v>
      </c>
      <c r="L111" s="2">
        <f>IF(B111&lt;&gt;B110,L110*(1+Dashboard!$G$5)+Dashboard!$G$6, L110)</f>
        <v>12267.118116228987</v>
      </c>
      <c r="M111">
        <f t="shared" si="11"/>
        <v>0</v>
      </c>
      <c r="N111">
        <f t="shared" si="8"/>
        <v>34.254211203588149</v>
      </c>
      <c r="O111">
        <f>IF(B111&lt;&gt;B110, Dashboard!$L$6,0)</f>
        <v>0</v>
      </c>
      <c r="P111">
        <f t="shared" si="9"/>
        <v>34.178342342336677</v>
      </c>
      <c r="Q111">
        <f>IF(B111&lt;&gt;B110,IF(F111&lt;=AVERAGE(F89:F110),Dashboard!$N$6-Dashboard!$G$7,Dashboard!$N$6+Dashboard!$G$7),0)</f>
        <v>0</v>
      </c>
      <c r="R111">
        <f t="shared" si="10"/>
        <v>30.625882527325714</v>
      </c>
    </row>
    <row r="112" spans="1:18" x14ac:dyDescent="0.3">
      <c r="A112" s="1">
        <v>44503</v>
      </c>
      <c r="B112">
        <v>3</v>
      </c>
      <c r="C112" s="19">
        <v>11</v>
      </c>
      <c r="D112" s="20">
        <v>2021</v>
      </c>
      <c r="E112" s="21">
        <f t="shared" si="6"/>
        <v>44266</v>
      </c>
      <c r="F112" s="20">
        <v>361.85</v>
      </c>
      <c r="G112" s="20">
        <v>3340718</v>
      </c>
      <c r="H112" s="20">
        <v>360.66</v>
      </c>
      <c r="I112" s="20">
        <v>363.76</v>
      </c>
      <c r="J112" s="22">
        <v>360.16050000000001</v>
      </c>
      <c r="K112" s="2">
        <f t="shared" si="7"/>
        <v>12394.886324018373</v>
      </c>
      <c r="L112" s="2">
        <f>IF(B112&lt;&gt;B111,L111*(1+Dashboard!$G$5)+Dashboard!$G$6, L111)</f>
        <v>12267.118116228987</v>
      </c>
      <c r="M112">
        <f t="shared" si="11"/>
        <v>0</v>
      </c>
      <c r="N112">
        <f t="shared" si="8"/>
        <v>34.254211203588149</v>
      </c>
      <c r="O112">
        <f>IF(B112&lt;&gt;B111, Dashboard!$L$6,0)</f>
        <v>0</v>
      </c>
      <c r="P112">
        <f t="shared" si="9"/>
        <v>34.178342342336677</v>
      </c>
      <c r="Q112">
        <f>IF(B112&lt;&gt;B111,IF(F112&lt;=AVERAGE(F90:F111),Dashboard!$N$6-Dashboard!$G$7,Dashboard!$N$6+Dashboard!$G$7),0)</f>
        <v>0</v>
      </c>
      <c r="R112">
        <f t="shared" si="10"/>
        <v>30.625882527325714</v>
      </c>
    </row>
    <row r="113" spans="1:18" x14ac:dyDescent="0.3">
      <c r="A113" s="1">
        <v>44533</v>
      </c>
      <c r="B113">
        <v>3</v>
      </c>
      <c r="C113" s="19">
        <v>12</v>
      </c>
      <c r="D113" s="20">
        <v>2021</v>
      </c>
      <c r="E113" s="21">
        <f t="shared" si="6"/>
        <v>44267</v>
      </c>
      <c r="F113" s="20">
        <v>362.36</v>
      </c>
      <c r="G113" s="20">
        <v>4847336</v>
      </c>
      <c r="H113" s="20">
        <v>360.5</v>
      </c>
      <c r="I113" s="20">
        <v>362.45</v>
      </c>
      <c r="J113" s="22">
        <v>359.666</v>
      </c>
      <c r="K113" s="2">
        <f t="shared" si="7"/>
        <v>12412.355971732202</v>
      </c>
      <c r="L113" s="2">
        <f>IF(B113&lt;&gt;B112,L112*(1+Dashboard!$G$5)+Dashboard!$G$6, L112)</f>
        <v>12267.118116228987</v>
      </c>
      <c r="M113">
        <f t="shared" si="11"/>
        <v>0</v>
      </c>
      <c r="N113">
        <f t="shared" si="8"/>
        <v>34.254211203588149</v>
      </c>
      <c r="O113">
        <f>IF(B113&lt;&gt;B112, Dashboard!$L$6,0)</f>
        <v>0</v>
      </c>
      <c r="P113">
        <f t="shared" si="9"/>
        <v>34.178342342336677</v>
      </c>
      <c r="Q113">
        <f>IF(B113&lt;&gt;B112,IF(F113&lt;=AVERAGE(F91:F112),Dashboard!$N$6-Dashboard!$G$7,Dashboard!$N$6+Dashboard!$G$7),0)</f>
        <v>0</v>
      </c>
      <c r="R113">
        <f t="shared" si="10"/>
        <v>30.625882527325714</v>
      </c>
    </row>
    <row r="114" spans="1:18" x14ac:dyDescent="0.3">
      <c r="A114" t="s">
        <v>695</v>
      </c>
      <c r="B114">
        <v>3</v>
      </c>
      <c r="C114" s="19">
        <v>15</v>
      </c>
      <c r="D114" s="20">
        <v>2021</v>
      </c>
      <c r="E114" s="21">
        <f t="shared" si="6"/>
        <v>44270</v>
      </c>
      <c r="F114" s="20">
        <v>364.46</v>
      </c>
      <c r="G114" s="20">
        <v>3162271</v>
      </c>
      <c r="H114" s="20">
        <v>362.67</v>
      </c>
      <c r="I114" s="20">
        <v>364.75</v>
      </c>
      <c r="J114" s="22">
        <v>360.45</v>
      </c>
      <c r="K114" s="2">
        <f t="shared" si="7"/>
        <v>12484.289815259735</v>
      </c>
      <c r="L114" s="2">
        <f>IF(B114&lt;&gt;B113,L113*(1+Dashboard!$G$5)+Dashboard!$G$6, L113)</f>
        <v>12267.118116228987</v>
      </c>
      <c r="M114">
        <f t="shared" si="11"/>
        <v>0</v>
      </c>
      <c r="N114">
        <f t="shared" si="8"/>
        <v>34.254211203588149</v>
      </c>
      <c r="O114">
        <f>IF(B114&lt;&gt;B113, Dashboard!$L$6,0)</f>
        <v>0</v>
      </c>
      <c r="P114">
        <f t="shared" si="9"/>
        <v>34.178342342336677</v>
      </c>
      <c r="Q114">
        <f>IF(B114&lt;&gt;B113,IF(F114&lt;=AVERAGE(F92:F113),Dashboard!$N$6-Dashboard!$G$7,Dashboard!$N$6+Dashboard!$G$7),0)</f>
        <v>0</v>
      </c>
      <c r="R114">
        <f t="shared" si="10"/>
        <v>30.625882527325714</v>
      </c>
    </row>
    <row r="115" spans="1:18" x14ac:dyDescent="0.3">
      <c r="A115" t="s">
        <v>694</v>
      </c>
      <c r="B115">
        <v>3</v>
      </c>
      <c r="C115" s="19">
        <v>16</v>
      </c>
      <c r="D115" s="20">
        <v>2021</v>
      </c>
      <c r="E115" s="21">
        <f t="shared" si="6"/>
        <v>44271</v>
      </c>
      <c r="F115" s="20">
        <v>364.05</v>
      </c>
      <c r="G115" s="20">
        <v>3698397</v>
      </c>
      <c r="H115" s="20">
        <v>365.12</v>
      </c>
      <c r="I115" s="20">
        <v>365.78</v>
      </c>
      <c r="J115" s="22">
        <v>363.25</v>
      </c>
      <c r="K115" s="2">
        <f t="shared" si="7"/>
        <v>12470.245588666266</v>
      </c>
      <c r="L115" s="2">
        <f>IF(B115&lt;&gt;B114,L114*(1+Dashboard!$G$5)+Dashboard!$G$6, L114)</f>
        <v>12267.118116228987</v>
      </c>
      <c r="M115">
        <f t="shared" si="11"/>
        <v>0</v>
      </c>
      <c r="N115">
        <f t="shared" si="8"/>
        <v>34.254211203588149</v>
      </c>
      <c r="O115">
        <f>IF(B115&lt;&gt;B114, Dashboard!$L$6,0)</f>
        <v>0</v>
      </c>
      <c r="P115">
        <f t="shared" si="9"/>
        <v>34.178342342336677</v>
      </c>
      <c r="Q115">
        <f>IF(B115&lt;&gt;B114,IF(F115&lt;=AVERAGE(F93:F114),Dashboard!$N$6-Dashboard!$G$7,Dashboard!$N$6+Dashboard!$G$7),0)</f>
        <v>0</v>
      </c>
      <c r="R115">
        <f t="shared" si="10"/>
        <v>30.625882527325714</v>
      </c>
    </row>
    <row r="116" spans="1:18" x14ac:dyDescent="0.3">
      <c r="A116" t="s">
        <v>693</v>
      </c>
      <c r="B116">
        <v>3</v>
      </c>
      <c r="C116" s="19">
        <v>17</v>
      </c>
      <c r="D116" s="20">
        <v>2021</v>
      </c>
      <c r="E116" s="21">
        <f t="shared" si="6"/>
        <v>44272</v>
      </c>
      <c r="F116" s="20">
        <v>365.24</v>
      </c>
      <c r="G116" s="20">
        <v>5011554</v>
      </c>
      <c r="H116" s="20">
        <v>362.83</v>
      </c>
      <c r="I116" s="20">
        <v>366.05</v>
      </c>
      <c r="J116" s="22">
        <v>361.62</v>
      </c>
      <c r="K116" s="2">
        <f t="shared" si="7"/>
        <v>12511.008099998537</v>
      </c>
      <c r="L116" s="2">
        <f>IF(B116&lt;&gt;B115,L115*(1+Dashboard!$G$5)+Dashboard!$G$6, L115)</f>
        <v>12267.118116228987</v>
      </c>
      <c r="M116">
        <f t="shared" si="11"/>
        <v>0</v>
      </c>
      <c r="N116">
        <f t="shared" si="8"/>
        <v>34.254211203588149</v>
      </c>
      <c r="O116">
        <f>IF(B116&lt;&gt;B115, Dashboard!$L$6,0)</f>
        <v>0</v>
      </c>
      <c r="P116">
        <f t="shared" si="9"/>
        <v>34.178342342336677</v>
      </c>
      <c r="Q116">
        <f>IF(B116&lt;&gt;B115,IF(F116&lt;=AVERAGE(F94:F115),Dashboard!$N$6-Dashboard!$G$7,Dashboard!$N$6+Dashboard!$G$7),0)</f>
        <v>0</v>
      </c>
      <c r="R116">
        <f t="shared" si="10"/>
        <v>30.625882527325714</v>
      </c>
    </row>
    <row r="117" spans="1:18" x14ac:dyDescent="0.3">
      <c r="A117" t="s">
        <v>692</v>
      </c>
      <c r="B117">
        <v>3</v>
      </c>
      <c r="C117" s="19">
        <v>18</v>
      </c>
      <c r="D117" s="20">
        <v>2021</v>
      </c>
      <c r="E117" s="21">
        <f t="shared" si="6"/>
        <v>44273</v>
      </c>
      <c r="F117" s="20">
        <v>359.87</v>
      </c>
      <c r="G117" s="20">
        <v>5073991</v>
      </c>
      <c r="H117" s="20">
        <v>362.73</v>
      </c>
      <c r="I117" s="20">
        <v>364.76</v>
      </c>
      <c r="J117" s="22">
        <v>359.28</v>
      </c>
      <c r="K117" s="2">
        <f t="shared" si="7"/>
        <v>12327.062985835268</v>
      </c>
      <c r="L117" s="2">
        <f>IF(B117&lt;&gt;B116,L116*(1+Dashboard!$G$5)+Dashboard!$G$6, L116)</f>
        <v>12267.118116228987</v>
      </c>
      <c r="M117">
        <f t="shared" si="11"/>
        <v>0</v>
      </c>
      <c r="N117">
        <f t="shared" si="8"/>
        <v>34.254211203588149</v>
      </c>
      <c r="O117">
        <f>IF(B117&lt;&gt;B116, Dashboard!$L$6,0)</f>
        <v>0</v>
      </c>
      <c r="P117">
        <f t="shared" si="9"/>
        <v>34.178342342336677</v>
      </c>
      <c r="Q117">
        <f>IF(B117&lt;&gt;B116,IF(F117&lt;=AVERAGE(F95:F116),Dashboard!$N$6-Dashboard!$G$7,Dashboard!$N$6+Dashboard!$G$7),0)</f>
        <v>0</v>
      </c>
      <c r="R117">
        <f t="shared" si="10"/>
        <v>30.625882527325714</v>
      </c>
    </row>
    <row r="118" spans="1:18" x14ac:dyDescent="0.3">
      <c r="A118" t="s">
        <v>691</v>
      </c>
      <c r="B118">
        <v>3</v>
      </c>
      <c r="C118" s="19">
        <v>19</v>
      </c>
      <c r="D118" s="20">
        <v>2021</v>
      </c>
      <c r="E118" s="21">
        <f t="shared" si="6"/>
        <v>44274</v>
      </c>
      <c r="F118" s="20">
        <v>359.23</v>
      </c>
      <c r="G118" s="20">
        <v>5382753</v>
      </c>
      <c r="H118" s="20">
        <v>359.65</v>
      </c>
      <c r="I118" s="20">
        <v>361.17</v>
      </c>
      <c r="J118" s="22">
        <v>357.14</v>
      </c>
      <c r="K118" s="2">
        <f t="shared" si="7"/>
        <v>12305.140290664971</v>
      </c>
      <c r="L118" s="2">
        <f>IF(B118&lt;&gt;B117,L117*(1+Dashboard!$G$5)+Dashboard!$G$6, L117)</f>
        <v>12267.118116228987</v>
      </c>
      <c r="M118">
        <f t="shared" si="11"/>
        <v>0</v>
      </c>
      <c r="N118">
        <f t="shared" si="8"/>
        <v>34.254211203588149</v>
      </c>
      <c r="O118">
        <f>IF(B118&lt;&gt;B117, Dashboard!$L$6,0)</f>
        <v>0</v>
      </c>
      <c r="P118">
        <f t="shared" si="9"/>
        <v>34.178342342336677</v>
      </c>
      <c r="Q118">
        <f>IF(B118&lt;&gt;B117,IF(F118&lt;=AVERAGE(F96:F117),Dashboard!$N$6-Dashboard!$G$7,Dashboard!$N$6+Dashboard!$G$7),0)</f>
        <v>0</v>
      </c>
      <c r="R118">
        <f t="shared" si="10"/>
        <v>30.625882527325714</v>
      </c>
    </row>
    <row r="119" spans="1:18" x14ac:dyDescent="0.3">
      <c r="A119" t="s">
        <v>690</v>
      </c>
      <c r="B119">
        <v>3</v>
      </c>
      <c r="C119" s="19">
        <v>22</v>
      </c>
      <c r="D119" s="20">
        <v>2021</v>
      </c>
      <c r="E119" s="21">
        <f t="shared" si="6"/>
        <v>44277</v>
      </c>
      <c r="F119" s="20">
        <v>362.07</v>
      </c>
      <c r="G119" s="20">
        <v>3417647</v>
      </c>
      <c r="H119" s="20">
        <v>359.79</v>
      </c>
      <c r="I119" s="20">
        <v>363.5</v>
      </c>
      <c r="J119" s="22">
        <v>359.76</v>
      </c>
      <c r="K119" s="2">
        <f t="shared" si="7"/>
        <v>12402.422250483161</v>
      </c>
      <c r="L119" s="2">
        <f>IF(B119&lt;&gt;B118,L118*(1+Dashboard!$G$5)+Dashboard!$G$6, L118)</f>
        <v>12267.118116228987</v>
      </c>
      <c r="M119">
        <f t="shared" si="11"/>
        <v>0</v>
      </c>
      <c r="N119">
        <f t="shared" si="8"/>
        <v>34.254211203588149</v>
      </c>
      <c r="O119">
        <f>IF(B119&lt;&gt;B118, Dashboard!$L$6,0)</f>
        <v>0</v>
      </c>
      <c r="P119">
        <f t="shared" si="9"/>
        <v>34.178342342336677</v>
      </c>
      <c r="Q119">
        <f>IF(B119&lt;&gt;B118,IF(F119&lt;=AVERAGE(F97:F118),Dashboard!$N$6-Dashboard!$G$7,Dashboard!$N$6+Dashboard!$G$7),0)</f>
        <v>0</v>
      </c>
      <c r="R119">
        <f t="shared" si="10"/>
        <v>30.625882527325714</v>
      </c>
    </row>
    <row r="120" spans="1:18" x14ac:dyDescent="0.3">
      <c r="A120" t="s">
        <v>689</v>
      </c>
      <c r="B120">
        <v>3</v>
      </c>
      <c r="C120" s="19">
        <v>23</v>
      </c>
      <c r="D120" s="20">
        <v>2021</v>
      </c>
      <c r="E120" s="21">
        <f t="shared" si="6"/>
        <v>44278</v>
      </c>
      <c r="F120" s="20">
        <v>359.41</v>
      </c>
      <c r="G120" s="20">
        <v>4954604</v>
      </c>
      <c r="H120" s="20">
        <v>361.53</v>
      </c>
      <c r="I120" s="20">
        <v>362.94</v>
      </c>
      <c r="J120" s="22">
        <v>358.51</v>
      </c>
      <c r="K120" s="2">
        <f t="shared" si="7"/>
        <v>12311.306048681618</v>
      </c>
      <c r="L120" s="2">
        <f>IF(B120&lt;&gt;B119,L119*(1+Dashboard!$G$5)+Dashboard!$G$6, L119)</f>
        <v>12267.118116228987</v>
      </c>
      <c r="M120">
        <f t="shared" si="11"/>
        <v>0</v>
      </c>
      <c r="N120">
        <f t="shared" si="8"/>
        <v>34.254211203588149</v>
      </c>
      <c r="O120">
        <f>IF(B120&lt;&gt;B119, Dashboard!$L$6,0)</f>
        <v>0</v>
      </c>
      <c r="P120">
        <f t="shared" si="9"/>
        <v>34.178342342336677</v>
      </c>
      <c r="Q120">
        <f>IF(B120&lt;&gt;B119,IF(F120&lt;=AVERAGE(F98:F119),Dashboard!$N$6-Dashboard!$G$7,Dashboard!$N$6+Dashboard!$G$7),0)</f>
        <v>0</v>
      </c>
      <c r="R120">
        <f t="shared" si="10"/>
        <v>30.625882527325714</v>
      </c>
    </row>
    <row r="121" spans="1:18" x14ac:dyDescent="0.3">
      <c r="A121" t="s">
        <v>688</v>
      </c>
      <c r="B121">
        <v>3</v>
      </c>
      <c r="C121" s="19">
        <v>24</v>
      </c>
      <c r="D121" s="20">
        <v>2021</v>
      </c>
      <c r="E121" s="21">
        <f t="shared" si="6"/>
        <v>44279</v>
      </c>
      <c r="F121" s="20">
        <v>357.42</v>
      </c>
      <c r="G121" s="20">
        <v>4098983</v>
      </c>
      <c r="H121" s="20">
        <v>360.71</v>
      </c>
      <c r="I121" s="20">
        <v>362.27</v>
      </c>
      <c r="J121" s="22">
        <v>357.42</v>
      </c>
      <c r="K121" s="2">
        <f t="shared" si="7"/>
        <v>12243.140168386477</v>
      </c>
      <c r="L121" s="2">
        <f>IF(B121&lt;&gt;B120,L120*(1+Dashboard!$G$5)+Dashboard!$G$6, L120)</f>
        <v>12267.118116228987</v>
      </c>
      <c r="M121">
        <f t="shared" si="11"/>
        <v>0</v>
      </c>
      <c r="N121">
        <f t="shared" si="8"/>
        <v>34.254211203588149</v>
      </c>
      <c r="O121">
        <f>IF(B121&lt;&gt;B120, Dashboard!$L$6,0)</f>
        <v>0</v>
      </c>
      <c r="P121">
        <f t="shared" si="9"/>
        <v>34.178342342336677</v>
      </c>
      <c r="Q121">
        <f>IF(B121&lt;&gt;B120,IF(F121&lt;=AVERAGE(F99:F120),Dashboard!$N$6-Dashboard!$G$7,Dashboard!$N$6+Dashboard!$G$7),0)</f>
        <v>0</v>
      </c>
      <c r="R121">
        <f t="shared" si="10"/>
        <v>30.625882527325714</v>
      </c>
    </row>
    <row r="122" spans="1:18" x14ac:dyDescent="0.3">
      <c r="A122" t="s">
        <v>687</v>
      </c>
      <c r="B122">
        <v>3</v>
      </c>
      <c r="C122" s="19">
        <v>25</v>
      </c>
      <c r="D122" s="20">
        <v>2021</v>
      </c>
      <c r="E122" s="21">
        <f t="shared" si="6"/>
        <v>44280</v>
      </c>
      <c r="F122" s="20">
        <v>359.43</v>
      </c>
      <c r="G122" s="20">
        <v>5487296</v>
      </c>
      <c r="H122" s="20">
        <v>356.08</v>
      </c>
      <c r="I122" s="20">
        <v>360.24</v>
      </c>
      <c r="J122" s="22">
        <v>354.14</v>
      </c>
      <c r="K122" s="2">
        <f t="shared" si="7"/>
        <v>12311.991132905689</v>
      </c>
      <c r="L122" s="2">
        <f>IF(B122&lt;&gt;B121,L121*(1+Dashboard!$G$5)+Dashboard!$G$6, L121)</f>
        <v>12267.118116228987</v>
      </c>
      <c r="M122">
        <f t="shared" si="11"/>
        <v>0</v>
      </c>
      <c r="N122">
        <f t="shared" si="8"/>
        <v>34.254211203588149</v>
      </c>
      <c r="O122">
        <f>IF(B122&lt;&gt;B121, Dashboard!$L$6,0)</f>
        <v>0</v>
      </c>
      <c r="P122">
        <f t="shared" si="9"/>
        <v>34.178342342336677</v>
      </c>
      <c r="Q122">
        <f>IF(B122&lt;&gt;B121,IF(F122&lt;=AVERAGE(F100:F121),Dashboard!$N$6-Dashboard!$G$7,Dashboard!$N$6+Dashboard!$G$7),0)</f>
        <v>0</v>
      </c>
      <c r="R122">
        <f t="shared" si="10"/>
        <v>30.625882527325714</v>
      </c>
    </row>
    <row r="123" spans="1:18" x14ac:dyDescent="0.3">
      <c r="A123" t="s">
        <v>686</v>
      </c>
      <c r="B123">
        <v>3</v>
      </c>
      <c r="C123" s="19">
        <v>26</v>
      </c>
      <c r="D123" s="20">
        <v>2021</v>
      </c>
      <c r="E123" s="21">
        <f t="shared" si="6"/>
        <v>44281</v>
      </c>
      <c r="F123" s="20">
        <v>364.01</v>
      </c>
      <c r="G123" s="20">
        <v>3322643</v>
      </c>
      <c r="H123" s="20">
        <v>359.37</v>
      </c>
      <c r="I123" s="20">
        <v>364.37</v>
      </c>
      <c r="J123" s="22">
        <v>358.75</v>
      </c>
      <c r="K123" s="2">
        <f t="shared" si="7"/>
        <v>12468.875420218123</v>
      </c>
      <c r="L123" s="2">
        <f>IF(B123&lt;&gt;B122,L122*(1+Dashboard!$G$5)+Dashboard!$G$6, L122)</f>
        <v>12267.118116228987</v>
      </c>
      <c r="M123">
        <f t="shared" si="11"/>
        <v>0</v>
      </c>
      <c r="N123">
        <f t="shared" si="8"/>
        <v>34.254211203588149</v>
      </c>
      <c r="O123">
        <f>IF(B123&lt;&gt;B122, Dashboard!$L$6,0)</f>
        <v>0</v>
      </c>
      <c r="P123">
        <f t="shared" si="9"/>
        <v>34.178342342336677</v>
      </c>
      <c r="Q123">
        <f>IF(B123&lt;&gt;B122,IF(F123&lt;=AVERAGE(F101:F122),Dashboard!$N$6-Dashboard!$G$7,Dashboard!$N$6+Dashboard!$G$7),0)</f>
        <v>0</v>
      </c>
      <c r="R123">
        <f t="shared" si="10"/>
        <v>30.625882527325714</v>
      </c>
    </row>
    <row r="124" spans="1:18" x14ac:dyDescent="0.3">
      <c r="A124" t="s">
        <v>685</v>
      </c>
      <c r="B124">
        <v>3</v>
      </c>
      <c r="C124" s="19">
        <v>29</v>
      </c>
      <c r="D124" s="20">
        <v>2021</v>
      </c>
      <c r="E124" s="21">
        <f t="shared" si="6"/>
        <v>44284</v>
      </c>
      <c r="F124" s="20">
        <v>363.79</v>
      </c>
      <c r="G124" s="20">
        <v>3143331</v>
      </c>
      <c r="H124" s="20">
        <v>362.57</v>
      </c>
      <c r="I124" s="20">
        <v>364.68</v>
      </c>
      <c r="J124" s="22">
        <v>361.10969999999998</v>
      </c>
      <c r="K124" s="2">
        <f t="shared" si="7"/>
        <v>12461.339493753334</v>
      </c>
      <c r="L124" s="2">
        <f>IF(B124&lt;&gt;B123,L123*(1+Dashboard!$G$5)+Dashboard!$G$6, L123)</f>
        <v>12267.118116228987</v>
      </c>
      <c r="M124">
        <f t="shared" si="11"/>
        <v>0</v>
      </c>
      <c r="N124">
        <f t="shared" si="8"/>
        <v>34.254211203588149</v>
      </c>
      <c r="O124">
        <f>IF(B124&lt;&gt;B123, Dashboard!$L$6,0)</f>
        <v>0</v>
      </c>
      <c r="P124">
        <f t="shared" si="9"/>
        <v>34.178342342336677</v>
      </c>
      <c r="Q124">
        <f>IF(B124&lt;&gt;B123,IF(F124&lt;=AVERAGE(F102:F123),Dashboard!$N$6-Dashboard!$G$7,Dashboard!$N$6+Dashboard!$G$7),0)</f>
        <v>0</v>
      </c>
      <c r="R124">
        <f t="shared" si="10"/>
        <v>30.625882527325714</v>
      </c>
    </row>
    <row r="125" spans="1:18" x14ac:dyDescent="0.3">
      <c r="A125" t="s">
        <v>684</v>
      </c>
      <c r="B125">
        <v>3</v>
      </c>
      <c r="C125" s="19">
        <v>30</v>
      </c>
      <c r="D125" s="20">
        <v>2021</v>
      </c>
      <c r="E125" s="21">
        <f t="shared" si="6"/>
        <v>44285</v>
      </c>
      <c r="F125" s="20">
        <v>362.86</v>
      </c>
      <c r="G125" s="20">
        <v>3696168</v>
      </c>
      <c r="H125" s="20">
        <v>362.56</v>
      </c>
      <c r="I125" s="20">
        <v>363.47</v>
      </c>
      <c r="J125" s="22">
        <v>361.27</v>
      </c>
      <c r="K125" s="2">
        <f t="shared" si="7"/>
        <v>12429.483077333996</v>
      </c>
      <c r="L125" s="2">
        <f>IF(B125&lt;&gt;B124,L124*(1+Dashboard!$G$5)+Dashboard!$G$6, L124)</f>
        <v>12267.118116228987</v>
      </c>
      <c r="M125">
        <f t="shared" si="11"/>
        <v>0</v>
      </c>
      <c r="N125">
        <f t="shared" si="8"/>
        <v>34.254211203588149</v>
      </c>
      <c r="O125">
        <f>IF(B125&lt;&gt;B124, Dashboard!$L$6,0)</f>
        <v>0</v>
      </c>
      <c r="P125">
        <f t="shared" si="9"/>
        <v>34.178342342336677</v>
      </c>
      <c r="Q125">
        <f>IF(B125&lt;&gt;B124,IF(F125&lt;=AVERAGE(F103:F124),Dashboard!$N$6-Dashboard!$G$7,Dashboard!$N$6+Dashboard!$G$7),0)</f>
        <v>0</v>
      </c>
      <c r="R125">
        <f t="shared" si="10"/>
        <v>30.625882527325714</v>
      </c>
    </row>
    <row r="126" spans="1:18" x14ac:dyDescent="0.3">
      <c r="A126" t="s">
        <v>683</v>
      </c>
      <c r="B126">
        <v>3</v>
      </c>
      <c r="C126" s="19">
        <v>31</v>
      </c>
      <c r="D126" s="20">
        <v>2021</v>
      </c>
      <c r="E126" s="21">
        <f t="shared" si="6"/>
        <v>44286</v>
      </c>
      <c r="F126" s="20">
        <v>364.3</v>
      </c>
      <c r="G126" s="20">
        <v>7470344</v>
      </c>
      <c r="H126" s="20">
        <v>363.39</v>
      </c>
      <c r="I126" s="20">
        <v>365.82</v>
      </c>
      <c r="J126" s="22">
        <v>363.39</v>
      </c>
      <c r="K126" s="2">
        <f t="shared" si="7"/>
        <v>12478.809141467163</v>
      </c>
      <c r="L126" s="2">
        <f>IF(B126&lt;&gt;B125,L125*(1+Dashboard!$G$5)+Dashboard!$G$6, L125)</f>
        <v>12267.118116228987</v>
      </c>
      <c r="M126">
        <f t="shared" si="11"/>
        <v>0</v>
      </c>
      <c r="N126">
        <f t="shared" si="8"/>
        <v>34.254211203588149</v>
      </c>
      <c r="O126">
        <f>IF(B126&lt;&gt;B125, Dashboard!$L$6,0)</f>
        <v>0</v>
      </c>
      <c r="P126">
        <f t="shared" si="9"/>
        <v>34.178342342336677</v>
      </c>
      <c r="Q126">
        <f>IF(B126&lt;&gt;B125,IF(F126&lt;=AVERAGE(F104:F125),Dashboard!$N$6-Dashboard!$G$7,Dashboard!$N$6+Dashboard!$G$7),0)</f>
        <v>0</v>
      </c>
      <c r="R126">
        <f t="shared" si="10"/>
        <v>30.625882527325714</v>
      </c>
    </row>
    <row r="127" spans="1:18" x14ac:dyDescent="0.3">
      <c r="A127" s="1">
        <v>44200</v>
      </c>
      <c r="B127">
        <v>4</v>
      </c>
      <c r="C127" s="19">
        <v>1</v>
      </c>
      <c r="D127" s="20">
        <v>2021</v>
      </c>
      <c r="E127" s="21">
        <f t="shared" si="6"/>
        <v>44287</v>
      </c>
      <c r="F127" s="20">
        <v>368.16</v>
      </c>
      <c r="G127" s="20">
        <v>5131981</v>
      </c>
      <c r="H127" s="20">
        <v>366.2</v>
      </c>
      <c r="I127" s="20">
        <v>368.29</v>
      </c>
      <c r="J127" s="22">
        <v>366.03</v>
      </c>
      <c r="K127" s="2">
        <f t="shared" si="7"/>
        <v>12611.030396713013</v>
      </c>
      <c r="L127" s="2">
        <f>IF(B127&lt;&gt;B126,L126*(1+Dashboard!$G$5)+Dashboard!$G$6, L126)</f>
        <v>14375.068755651801</v>
      </c>
      <c r="M127">
        <f t="shared" si="11"/>
        <v>1764.0383589387875</v>
      </c>
      <c r="N127">
        <f t="shared" si="8"/>
        <v>34.254211203588149</v>
      </c>
      <c r="O127">
        <f>IF(B127&lt;&gt;B126, Dashboard!$L$6,0)</f>
        <v>1859.7282542371197</v>
      </c>
      <c r="P127">
        <f t="shared" si="9"/>
        <v>39.2297554622767</v>
      </c>
      <c r="Q127">
        <f>IF(B127&lt;&gt;B126,IF(F127&lt;=AVERAGE(F105:F126),Dashboard!$N$6-Dashboard!$G$7,Dashboard!$N$6+Dashboard!$G$7),0)</f>
        <v>2232.609610169322</v>
      </c>
      <c r="R127">
        <f t="shared" si="10"/>
        <v>36.722577257444016</v>
      </c>
    </row>
    <row r="128" spans="1:18" x14ac:dyDescent="0.3">
      <c r="A128" s="1">
        <v>44320</v>
      </c>
      <c r="B128">
        <v>4</v>
      </c>
      <c r="C128" s="19">
        <v>5</v>
      </c>
      <c r="D128" s="20">
        <v>2021</v>
      </c>
      <c r="E128" s="21">
        <f t="shared" si="6"/>
        <v>44291</v>
      </c>
      <c r="F128" s="20">
        <v>373.47</v>
      </c>
      <c r="G128" s="20">
        <v>3764095</v>
      </c>
      <c r="H128" s="20">
        <v>370.89</v>
      </c>
      <c r="I128" s="20">
        <v>374.07</v>
      </c>
      <c r="J128" s="22">
        <v>370.81</v>
      </c>
      <c r="K128" s="2">
        <f t="shared" si="7"/>
        <v>14582.401478089085</v>
      </c>
      <c r="L128" s="2">
        <f>IF(B128&lt;&gt;B127,L127*(1+Dashboard!$G$5)+Dashboard!$G$6, L127)</f>
        <v>14375.068755651801</v>
      </c>
      <c r="M128">
        <f t="shared" si="11"/>
        <v>0</v>
      </c>
      <c r="N128">
        <f t="shared" si="8"/>
        <v>39.045710440166772</v>
      </c>
      <c r="O128">
        <f>IF(B128&lt;&gt;B127, Dashboard!$L$6,0)</f>
        <v>0</v>
      </c>
      <c r="P128">
        <f t="shared" si="9"/>
        <v>39.2297554622767</v>
      </c>
      <c r="Q128">
        <f>IF(B128&lt;&gt;B127,IF(F128&lt;=AVERAGE(F106:F127),Dashboard!$N$6-Dashboard!$G$7,Dashboard!$N$6+Dashboard!$G$7),0)</f>
        <v>0</v>
      </c>
      <c r="R128">
        <f t="shared" si="10"/>
        <v>36.722577257444016</v>
      </c>
    </row>
    <row r="129" spans="1:18" x14ac:dyDescent="0.3">
      <c r="A129" s="1">
        <v>44351</v>
      </c>
      <c r="B129">
        <v>4</v>
      </c>
      <c r="C129" s="19">
        <v>6</v>
      </c>
      <c r="D129" s="20">
        <v>2021</v>
      </c>
      <c r="E129" s="21">
        <f t="shared" si="6"/>
        <v>44292</v>
      </c>
      <c r="F129" s="20">
        <v>373.26</v>
      </c>
      <c r="G129" s="20">
        <v>3583491</v>
      </c>
      <c r="H129" s="20">
        <v>373.04</v>
      </c>
      <c r="I129" s="20">
        <v>374.33</v>
      </c>
      <c r="J129" s="22">
        <v>372.67</v>
      </c>
      <c r="K129" s="2">
        <f t="shared" si="7"/>
        <v>14574.201878896649</v>
      </c>
      <c r="L129" s="2">
        <f>IF(B129&lt;&gt;B128,L128*(1+Dashboard!$G$5)+Dashboard!$G$6, L128)</f>
        <v>14375.068755651801</v>
      </c>
      <c r="M129">
        <f t="shared" si="11"/>
        <v>0</v>
      </c>
      <c r="N129">
        <f t="shared" si="8"/>
        <v>39.045710440166772</v>
      </c>
      <c r="O129">
        <f>IF(B129&lt;&gt;B128, Dashboard!$L$6,0)</f>
        <v>0</v>
      </c>
      <c r="P129">
        <f t="shared" si="9"/>
        <v>39.2297554622767</v>
      </c>
      <c r="Q129">
        <f>IF(B129&lt;&gt;B128,IF(F129&lt;=AVERAGE(F107:F128),Dashboard!$N$6-Dashboard!$G$7,Dashboard!$N$6+Dashboard!$G$7),0)</f>
        <v>0</v>
      </c>
      <c r="R129">
        <f t="shared" si="10"/>
        <v>36.722577257444016</v>
      </c>
    </row>
    <row r="130" spans="1:18" x14ac:dyDescent="0.3">
      <c r="A130" s="1">
        <v>44381</v>
      </c>
      <c r="B130">
        <v>4</v>
      </c>
      <c r="C130" s="19">
        <v>7</v>
      </c>
      <c r="D130" s="20">
        <v>2021</v>
      </c>
      <c r="E130" s="21">
        <f t="shared" ref="E130:E193" si="12">DATE(D130,B130,C130)</f>
        <v>44293</v>
      </c>
      <c r="F130" s="20">
        <v>373.73</v>
      </c>
      <c r="G130" s="20">
        <v>2768895</v>
      </c>
      <c r="H130" s="20">
        <v>373.14</v>
      </c>
      <c r="I130" s="20">
        <v>374.0797</v>
      </c>
      <c r="J130" s="22">
        <v>372.72</v>
      </c>
      <c r="K130" s="2">
        <f t="shared" si="7"/>
        <v>14592.553362803528</v>
      </c>
      <c r="L130" s="2">
        <f>IF(B130&lt;&gt;B129,L129*(1+Dashboard!$G$5)+Dashboard!$G$6, L129)</f>
        <v>14375.068755651801</v>
      </c>
      <c r="M130">
        <f t="shared" si="11"/>
        <v>0</v>
      </c>
      <c r="N130">
        <f t="shared" si="8"/>
        <v>39.045710440166772</v>
      </c>
      <c r="O130">
        <f>IF(B130&lt;&gt;B129, Dashboard!$L$6,0)</f>
        <v>0</v>
      </c>
      <c r="P130">
        <f t="shared" si="9"/>
        <v>39.2297554622767</v>
      </c>
      <c r="Q130">
        <f>IF(B130&lt;&gt;B129,IF(F130&lt;=AVERAGE(F108:F129),Dashboard!$N$6-Dashboard!$G$7,Dashboard!$N$6+Dashboard!$G$7),0)</f>
        <v>0</v>
      </c>
      <c r="R130">
        <f t="shared" si="10"/>
        <v>36.722577257444016</v>
      </c>
    </row>
    <row r="131" spans="1:18" x14ac:dyDescent="0.3">
      <c r="A131" s="1">
        <v>44412</v>
      </c>
      <c r="B131">
        <v>4</v>
      </c>
      <c r="C131" s="19">
        <v>8</v>
      </c>
      <c r="D131" s="20">
        <v>2021</v>
      </c>
      <c r="E131" s="21">
        <f t="shared" si="12"/>
        <v>44294</v>
      </c>
      <c r="F131" s="20">
        <v>375.55</v>
      </c>
      <c r="G131" s="20">
        <v>3949423</v>
      </c>
      <c r="H131" s="20">
        <v>374.97</v>
      </c>
      <c r="I131" s="20">
        <v>375.56</v>
      </c>
      <c r="J131" s="22">
        <v>374.06</v>
      </c>
      <c r="K131" s="2">
        <f t="shared" ref="K131:K194" si="13">N131*F131</f>
        <v>14663.616555804632</v>
      </c>
      <c r="L131" s="2">
        <f>IF(B131&lt;&gt;B130,L130*(1+Dashboard!$G$5)+Dashboard!$G$6, L130)</f>
        <v>14375.068755651801</v>
      </c>
      <c r="M131">
        <f t="shared" si="11"/>
        <v>0</v>
      </c>
      <c r="N131">
        <f t="shared" si="8"/>
        <v>39.045710440166772</v>
      </c>
      <c r="O131">
        <f>IF(B131&lt;&gt;B130, Dashboard!$L$6,0)</f>
        <v>0</v>
      </c>
      <c r="P131">
        <f t="shared" si="9"/>
        <v>39.2297554622767</v>
      </c>
      <c r="Q131">
        <f>IF(B131&lt;&gt;B130,IF(F131&lt;=AVERAGE(F109:F130),Dashboard!$N$6-Dashboard!$G$7,Dashboard!$N$6+Dashboard!$G$7),0)</f>
        <v>0</v>
      </c>
      <c r="R131">
        <f t="shared" si="10"/>
        <v>36.722577257444016</v>
      </c>
    </row>
    <row r="132" spans="1:18" x14ac:dyDescent="0.3">
      <c r="A132" s="1">
        <v>44443</v>
      </c>
      <c r="B132">
        <v>4</v>
      </c>
      <c r="C132" s="19">
        <v>9</v>
      </c>
      <c r="D132" s="20">
        <v>2021</v>
      </c>
      <c r="E132" s="21">
        <f t="shared" si="12"/>
        <v>44295</v>
      </c>
      <c r="F132" s="20">
        <v>378.25</v>
      </c>
      <c r="G132" s="20">
        <v>2627530</v>
      </c>
      <c r="H132" s="20">
        <v>375.42</v>
      </c>
      <c r="I132" s="20">
        <v>378.4</v>
      </c>
      <c r="J132" s="22">
        <v>375.33</v>
      </c>
      <c r="K132" s="2">
        <f t="shared" si="13"/>
        <v>14769.039973993082</v>
      </c>
      <c r="L132" s="2">
        <f>IF(B132&lt;&gt;B131,L131*(1+Dashboard!$G$5)+Dashboard!$G$6, L131)</f>
        <v>14375.068755651801</v>
      </c>
      <c r="M132">
        <f t="shared" si="11"/>
        <v>0</v>
      </c>
      <c r="N132">
        <f t="shared" ref="N132:N195" si="14">N131+M131/F131</f>
        <v>39.045710440166772</v>
      </c>
      <c r="O132">
        <f>IF(B132&lt;&gt;B131, Dashboard!$L$6,0)</f>
        <v>0</v>
      </c>
      <c r="P132">
        <f t="shared" ref="P132:P195" si="15">P131+O132/F132</f>
        <v>39.2297554622767</v>
      </c>
      <c r="Q132">
        <f>IF(B132&lt;&gt;B131,IF(F132&lt;=AVERAGE(F110:F131),Dashboard!$N$6-Dashboard!$G$7,Dashboard!$N$6+Dashboard!$G$7),0)</f>
        <v>0</v>
      </c>
      <c r="R132">
        <f t="shared" ref="R132:R195" si="16">R131+Q132/H132</f>
        <v>36.722577257444016</v>
      </c>
    </row>
    <row r="133" spans="1:18" x14ac:dyDescent="0.3">
      <c r="A133" s="1">
        <v>44534</v>
      </c>
      <c r="B133">
        <v>4</v>
      </c>
      <c r="C133" s="19">
        <v>12</v>
      </c>
      <c r="D133" s="20">
        <v>2021</v>
      </c>
      <c r="E133" s="21">
        <f t="shared" si="12"/>
        <v>44298</v>
      </c>
      <c r="F133" s="20">
        <v>378.42</v>
      </c>
      <c r="G133" s="20">
        <v>2747529</v>
      </c>
      <c r="H133" s="20">
        <v>377.7</v>
      </c>
      <c r="I133" s="20">
        <v>378.65</v>
      </c>
      <c r="J133" s="22">
        <v>377.07990000000001</v>
      </c>
      <c r="K133" s="2">
        <f t="shared" si="13"/>
        <v>14775.677744767911</v>
      </c>
      <c r="L133" s="2">
        <f>IF(B133&lt;&gt;B132,L132*(1+Dashboard!$G$5)+Dashboard!$G$6, L132)</f>
        <v>14375.068755651801</v>
      </c>
      <c r="M133">
        <f t="shared" si="11"/>
        <v>0</v>
      </c>
      <c r="N133">
        <f t="shared" si="14"/>
        <v>39.045710440166772</v>
      </c>
      <c r="O133">
        <f>IF(B133&lt;&gt;B132, Dashboard!$L$6,0)</f>
        <v>0</v>
      </c>
      <c r="P133">
        <f t="shared" si="15"/>
        <v>39.2297554622767</v>
      </c>
      <c r="Q133">
        <f>IF(B133&lt;&gt;B132,IF(F133&lt;=AVERAGE(F111:F132),Dashboard!$N$6-Dashboard!$G$7,Dashboard!$N$6+Dashboard!$G$7),0)</f>
        <v>0</v>
      </c>
      <c r="R133">
        <f t="shared" si="16"/>
        <v>36.722577257444016</v>
      </c>
    </row>
    <row r="134" spans="1:18" x14ac:dyDescent="0.3">
      <c r="A134" t="s">
        <v>682</v>
      </c>
      <c r="B134">
        <v>4</v>
      </c>
      <c r="C134" s="19">
        <v>13</v>
      </c>
      <c r="D134" s="20">
        <v>2021</v>
      </c>
      <c r="E134" s="21">
        <f t="shared" si="12"/>
        <v>44299</v>
      </c>
      <c r="F134" s="20">
        <v>379.45</v>
      </c>
      <c r="G134" s="20">
        <v>2985533</v>
      </c>
      <c r="H134" s="20">
        <v>378.37</v>
      </c>
      <c r="I134" s="20">
        <v>380.12</v>
      </c>
      <c r="J134" s="22">
        <v>377.92</v>
      </c>
      <c r="K134" s="2">
        <f t="shared" si="13"/>
        <v>14815.894826521282</v>
      </c>
      <c r="L134" s="2">
        <f>IF(B134&lt;&gt;B133,L133*(1+Dashboard!$G$5)+Dashboard!$G$6, L133)</f>
        <v>14375.068755651801</v>
      </c>
      <c r="M134">
        <f t="shared" si="11"/>
        <v>0</v>
      </c>
      <c r="N134">
        <f t="shared" si="14"/>
        <v>39.045710440166772</v>
      </c>
      <c r="O134">
        <f>IF(B134&lt;&gt;B133, Dashboard!$L$6,0)</f>
        <v>0</v>
      </c>
      <c r="P134">
        <f t="shared" si="15"/>
        <v>39.2297554622767</v>
      </c>
      <c r="Q134">
        <f>IF(B134&lt;&gt;B133,IF(F134&lt;=AVERAGE(F112:F133),Dashboard!$N$6-Dashboard!$G$7,Dashboard!$N$6+Dashboard!$G$7),0)</f>
        <v>0</v>
      </c>
      <c r="R134">
        <f t="shared" si="16"/>
        <v>36.722577257444016</v>
      </c>
    </row>
    <row r="135" spans="1:18" x14ac:dyDescent="0.3">
      <c r="A135" t="s">
        <v>681</v>
      </c>
      <c r="B135">
        <v>4</v>
      </c>
      <c r="C135" s="19">
        <v>14</v>
      </c>
      <c r="D135" s="20">
        <v>2021</v>
      </c>
      <c r="E135" s="21">
        <f t="shared" si="12"/>
        <v>44300</v>
      </c>
      <c r="F135" s="20">
        <v>378.23</v>
      </c>
      <c r="G135" s="20">
        <v>3691057</v>
      </c>
      <c r="H135" s="20">
        <v>379.46</v>
      </c>
      <c r="I135" s="20">
        <v>380.51</v>
      </c>
      <c r="J135" s="22">
        <v>377.7</v>
      </c>
      <c r="K135" s="2">
        <f t="shared" si="13"/>
        <v>14768.259059784279</v>
      </c>
      <c r="L135" s="2">
        <f>IF(B135&lt;&gt;B134,L134*(1+Dashboard!$G$5)+Dashboard!$G$6, L134)</f>
        <v>14375.068755651801</v>
      </c>
      <c r="M135">
        <f t="shared" si="11"/>
        <v>0</v>
      </c>
      <c r="N135">
        <f t="shared" si="14"/>
        <v>39.045710440166772</v>
      </c>
      <c r="O135">
        <f>IF(B135&lt;&gt;B134, Dashboard!$L$6,0)</f>
        <v>0</v>
      </c>
      <c r="P135">
        <f t="shared" si="15"/>
        <v>39.2297554622767</v>
      </c>
      <c r="Q135">
        <f>IF(B135&lt;&gt;B134,IF(F135&lt;=AVERAGE(F113:F134),Dashboard!$N$6-Dashboard!$G$7,Dashboard!$N$6+Dashboard!$G$7),0)</f>
        <v>0</v>
      </c>
      <c r="R135">
        <f t="shared" si="16"/>
        <v>36.722577257444016</v>
      </c>
    </row>
    <row r="136" spans="1:18" x14ac:dyDescent="0.3">
      <c r="A136" t="s">
        <v>680</v>
      </c>
      <c r="B136">
        <v>4</v>
      </c>
      <c r="C136" s="19">
        <v>15</v>
      </c>
      <c r="D136" s="20">
        <v>2021</v>
      </c>
      <c r="E136" s="21">
        <f t="shared" si="12"/>
        <v>44301</v>
      </c>
      <c r="F136" s="20">
        <v>382.29</v>
      </c>
      <c r="G136" s="20">
        <v>3573828</v>
      </c>
      <c r="H136" s="20">
        <v>380.33</v>
      </c>
      <c r="I136" s="20">
        <v>382.54</v>
      </c>
      <c r="J136" s="22">
        <v>380.28</v>
      </c>
      <c r="K136" s="2">
        <f t="shared" si="13"/>
        <v>14926.784644171355</v>
      </c>
      <c r="L136" s="2">
        <f>IF(B136&lt;&gt;B135,L135*(1+Dashboard!$G$5)+Dashboard!$G$6, L135)</f>
        <v>14375.068755651801</v>
      </c>
      <c r="M136">
        <f t="shared" si="11"/>
        <v>0</v>
      </c>
      <c r="N136">
        <f t="shared" si="14"/>
        <v>39.045710440166772</v>
      </c>
      <c r="O136">
        <f>IF(B136&lt;&gt;B135, Dashboard!$L$6,0)</f>
        <v>0</v>
      </c>
      <c r="P136">
        <f t="shared" si="15"/>
        <v>39.2297554622767</v>
      </c>
      <c r="Q136">
        <f>IF(B136&lt;&gt;B135,IF(F136&lt;=AVERAGE(F114:F135),Dashboard!$N$6-Dashboard!$G$7,Dashboard!$N$6+Dashboard!$G$7),0)</f>
        <v>0</v>
      </c>
      <c r="R136">
        <f t="shared" si="16"/>
        <v>36.722577257444016</v>
      </c>
    </row>
    <row r="137" spans="1:18" x14ac:dyDescent="0.3">
      <c r="A137" t="s">
        <v>679</v>
      </c>
      <c r="B137">
        <v>4</v>
      </c>
      <c r="C137" s="19">
        <v>16</v>
      </c>
      <c r="D137" s="20">
        <v>2021</v>
      </c>
      <c r="E137" s="21">
        <f t="shared" si="12"/>
        <v>44302</v>
      </c>
      <c r="F137" s="20">
        <v>383.63</v>
      </c>
      <c r="G137" s="20">
        <v>3252459</v>
      </c>
      <c r="H137" s="20">
        <v>383.55799999999999</v>
      </c>
      <c r="I137" s="20">
        <v>384.15</v>
      </c>
      <c r="J137" s="22">
        <v>382.19</v>
      </c>
      <c r="K137" s="2">
        <f t="shared" si="13"/>
        <v>14979.105896161178</v>
      </c>
      <c r="L137" s="2">
        <f>IF(B137&lt;&gt;B136,L136*(1+Dashboard!$G$5)+Dashboard!$G$6, L136)</f>
        <v>14375.068755651801</v>
      </c>
      <c r="M137">
        <f t="shared" si="11"/>
        <v>0</v>
      </c>
      <c r="N137">
        <f t="shared" si="14"/>
        <v>39.045710440166772</v>
      </c>
      <c r="O137">
        <f>IF(B137&lt;&gt;B136, Dashboard!$L$6,0)</f>
        <v>0</v>
      </c>
      <c r="P137">
        <f t="shared" si="15"/>
        <v>39.2297554622767</v>
      </c>
      <c r="Q137">
        <f>IF(B137&lt;&gt;B136,IF(F137&lt;=AVERAGE(F115:F136),Dashboard!$N$6-Dashboard!$G$7,Dashboard!$N$6+Dashboard!$G$7),0)</f>
        <v>0</v>
      </c>
      <c r="R137">
        <f t="shared" si="16"/>
        <v>36.722577257444016</v>
      </c>
    </row>
    <row r="138" spans="1:18" x14ac:dyDescent="0.3">
      <c r="A138" t="s">
        <v>678</v>
      </c>
      <c r="B138">
        <v>4</v>
      </c>
      <c r="C138" s="19">
        <v>19</v>
      </c>
      <c r="D138" s="20">
        <v>2021</v>
      </c>
      <c r="E138" s="21">
        <f t="shared" si="12"/>
        <v>44305</v>
      </c>
      <c r="F138" s="20">
        <v>381.74</v>
      </c>
      <c r="G138" s="20">
        <v>3945743</v>
      </c>
      <c r="H138" s="20">
        <v>382.62</v>
      </c>
      <c r="I138" s="20">
        <v>383.09</v>
      </c>
      <c r="J138" s="22">
        <v>380.37</v>
      </c>
      <c r="K138" s="2">
        <f t="shared" si="13"/>
        <v>14905.309503429264</v>
      </c>
      <c r="L138" s="2">
        <f>IF(B138&lt;&gt;B137,L137*(1+Dashboard!$G$5)+Dashboard!$G$6, L137)</f>
        <v>14375.068755651801</v>
      </c>
      <c r="M138">
        <f t="shared" si="11"/>
        <v>0</v>
      </c>
      <c r="N138">
        <f t="shared" si="14"/>
        <v>39.045710440166772</v>
      </c>
      <c r="O138">
        <f>IF(B138&lt;&gt;B137, Dashboard!$L$6,0)</f>
        <v>0</v>
      </c>
      <c r="P138">
        <f t="shared" si="15"/>
        <v>39.2297554622767</v>
      </c>
      <c r="Q138">
        <f>IF(B138&lt;&gt;B137,IF(F138&lt;=AVERAGE(F116:F137),Dashboard!$N$6-Dashboard!$G$7,Dashboard!$N$6+Dashboard!$G$7),0)</f>
        <v>0</v>
      </c>
      <c r="R138">
        <f t="shared" si="16"/>
        <v>36.722577257444016</v>
      </c>
    </row>
    <row r="139" spans="1:18" x14ac:dyDescent="0.3">
      <c r="A139" t="s">
        <v>677</v>
      </c>
      <c r="B139">
        <v>4</v>
      </c>
      <c r="C139" s="19">
        <v>20</v>
      </c>
      <c r="D139" s="20">
        <v>2021</v>
      </c>
      <c r="E139" s="21">
        <f t="shared" si="12"/>
        <v>44306</v>
      </c>
      <c r="F139" s="20">
        <v>378.94</v>
      </c>
      <c r="G139" s="20">
        <v>4106739</v>
      </c>
      <c r="H139" s="20">
        <v>380.49</v>
      </c>
      <c r="I139" s="20">
        <v>381.16</v>
      </c>
      <c r="J139" s="22">
        <v>377.46499999999997</v>
      </c>
      <c r="K139" s="2">
        <f t="shared" si="13"/>
        <v>14795.981514196796</v>
      </c>
      <c r="L139" s="2">
        <f>IF(B139&lt;&gt;B138,L138*(1+Dashboard!$G$5)+Dashboard!$G$6, L138)</f>
        <v>14375.068755651801</v>
      </c>
      <c r="M139">
        <f t="shared" si="11"/>
        <v>0</v>
      </c>
      <c r="N139">
        <f t="shared" si="14"/>
        <v>39.045710440166772</v>
      </c>
      <c r="O139">
        <f>IF(B139&lt;&gt;B138, Dashboard!$L$6,0)</f>
        <v>0</v>
      </c>
      <c r="P139">
        <f t="shared" si="15"/>
        <v>39.2297554622767</v>
      </c>
      <c r="Q139">
        <f>IF(B139&lt;&gt;B138,IF(F139&lt;=AVERAGE(F117:F138),Dashboard!$N$6-Dashboard!$G$7,Dashboard!$N$6+Dashboard!$G$7),0)</f>
        <v>0</v>
      </c>
      <c r="R139">
        <f t="shared" si="16"/>
        <v>36.722577257444016</v>
      </c>
    </row>
    <row r="140" spans="1:18" x14ac:dyDescent="0.3">
      <c r="A140" t="s">
        <v>676</v>
      </c>
      <c r="B140">
        <v>4</v>
      </c>
      <c r="C140" s="19">
        <v>21</v>
      </c>
      <c r="D140" s="20">
        <v>2021</v>
      </c>
      <c r="E140" s="21">
        <f t="shared" si="12"/>
        <v>44307</v>
      </c>
      <c r="F140" s="20">
        <v>382.5</v>
      </c>
      <c r="G140" s="20">
        <v>3640080</v>
      </c>
      <c r="H140" s="20">
        <v>378.28</v>
      </c>
      <c r="I140" s="20">
        <v>382.67</v>
      </c>
      <c r="J140" s="22">
        <v>378.14</v>
      </c>
      <c r="K140" s="2">
        <f t="shared" si="13"/>
        <v>14934.98424336379</v>
      </c>
      <c r="L140" s="2">
        <f>IF(B140&lt;&gt;B139,L139*(1+Dashboard!$G$5)+Dashboard!$G$6, L139)</f>
        <v>14375.068755651801</v>
      </c>
      <c r="M140">
        <f t="shared" si="11"/>
        <v>0</v>
      </c>
      <c r="N140">
        <f t="shared" si="14"/>
        <v>39.045710440166772</v>
      </c>
      <c r="O140">
        <f>IF(B140&lt;&gt;B139, Dashboard!$L$6,0)</f>
        <v>0</v>
      </c>
      <c r="P140">
        <f t="shared" si="15"/>
        <v>39.2297554622767</v>
      </c>
      <c r="Q140">
        <f>IF(B140&lt;&gt;B139,IF(F140&lt;=AVERAGE(F118:F139),Dashboard!$N$6-Dashboard!$G$7,Dashboard!$N$6+Dashboard!$G$7),0)</f>
        <v>0</v>
      </c>
      <c r="R140">
        <f t="shared" si="16"/>
        <v>36.722577257444016</v>
      </c>
    </row>
    <row r="141" spans="1:18" x14ac:dyDescent="0.3">
      <c r="A141" t="s">
        <v>675</v>
      </c>
      <c r="B141">
        <v>4</v>
      </c>
      <c r="C141" s="19">
        <v>22</v>
      </c>
      <c r="D141" s="20">
        <v>2021</v>
      </c>
      <c r="E141" s="21">
        <f t="shared" si="12"/>
        <v>44308</v>
      </c>
      <c r="F141" s="20">
        <v>378.99</v>
      </c>
      <c r="G141" s="20">
        <v>3965016</v>
      </c>
      <c r="H141" s="20">
        <v>382.32</v>
      </c>
      <c r="I141" s="20">
        <v>383.11500000000001</v>
      </c>
      <c r="J141" s="22">
        <v>377.96</v>
      </c>
      <c r="K141" s="2">
        <f t="shared" si="13"/>
        <v>14797.933799718805</v>
      </c>
      <c r="L141" s="2">
        <f>IF(B141&lt;&gt;B140,L140*(1+Dashboard!$G$5)+Dashboard!$G$6, L140)</f>
        <v>14375.068755651801</v>
      </c>
      <c r="M141">
        <f t="shared" si="11"/>
        <v>0</v>
      </c>
      <c r="N141">
        <f t="shared" si="14"/>
        <v>39.045710440166772</v>
      </c>
      <c r="O141">
        <f>IF(B141&lt;&gt;B140, Dashboard!$L$6,0)</f>
        <v>0</v>
      </c>
      <c r="P141">
        <f t="shared" si="15"/>
        <v>39.2297554622767</v>
      </c>
      <c r="Q141">
        <f>IF(B141&lt;&gt;B140,IF(F141&lt;=AVERAGE(F119:F140),Dashboard!$N$6-Dashboard!$G$7,Dashboard!$N$6+Dashboard!$G$7),0)</f>
        <v>0</v>
      </c>
      <c r="R141">
        <f t="shared" si="16"/>
        <v>36.722577257444016</v>
      </c>
    </row>
    <row r="142" spans="1:18" x14ac:dyDescent="0.3">
      <c r="A142" t="s">
        <v>674</v>
      </c>
      <c r="B142">
        <v>4</v>
      </c>
      <c r="C142" s="19">
        <v>23</v>
      </c>
      <c r="D142" s="20">
        <v>2021</v>
      </c>
      <c r="E142" s="21">
        <f t="shared" si="12"/>
        <v>44309</v>
      </c>
      <c r="F142" s="20">
        <v>383.03</v>
      </c>
      <c r="G142" s="20">
        <v>3783209</v>
      </c>
      <c r="H142" s="20">
        <v>379.57</v>
      </c>
      <c r="I142" s="20">
        <v>384.45499999999998</v>
      </c>
      <c r="J142" s="22">
        <v>379.46</v>
      </c>
      <c r="K142" s="2">
        <f t="shared" si="13"/>
        <v>14955.678469897077</v>
      </c>
      <c r="L142" s="2">
        <f>IF(B142&lt;&gt;B141,L141*(1+Dashboard!$G$5)+Dashboard!$G$6, L141)</f>
        <v>14375.068755651801</v>
      </c>
      <c r="M142">
        <f t="shared" si="11"/>
        <v>0</v>
      </c>
      <c r="N142">
        <f t="shared" si="14"/>
        <v>39.045710440166772</v>
      </c>
      <c r="O142">
        <f>IF(B142&lt;&gt;B141, Dashboard!$L$6,0)</f>
        <v>0</v>
      </c>
      <c r="P142">
        <f t="shared" si="15"/>
        <v>39.2297554622767</v>
      </c>
      <c r="Q142">
        <f>IF(B142&lt;&gt;B141,IF(F142&lt;=AVERAGE(F120:F141),Dashboard!$N$6-Dashboard!$G$7,Dashboard!$N$6+Dashboard!$G$7),0)</f>
        <v>0</v>
      </c>
      <c r="R142">
        <f t="shared" si="16"/>
        <v>36.722577257444016</v>
      </c>
    </row>
    <row r="143" spans="1:18" x14ac:dyDescent="0.3">
      <c r="A143" t="s">
        <v>673</v>
      </c>
      <c r="B143">
        <v>4</v>
      </c>
      <c r="C143" s="19">
        <v>26</v>
      </c>
      <c r="D143" s="20">
        <v>2021</v>
      </c>
      <c r="E143" s="21">
        <f t="shared" si="12"/>
        <v>44312</v>
      </c>
      <c r="F143" s="20">
        <v>383.86</v>
      </c>
      <c r="G143" s="20">
        <v>3125214</v>
      </c>
      <c r="H143" s="20">
        <v>383.73</v>
      </c>
      <c r="I143" s="20">
        <v>384.45</v>
      </c>
      <c r="J143" s="22">
        <v>383.32</v>
      </c>
      <c r="K143" s="2">
        <f t="shared" si="13"/>
        <v>14988.086409562418</v>
      </c>
      <c r="L143" s="2">
        <f>IF(B143&lt;&gt;B142,L142*(1+Dashboard!$G$5)+Dashboard!$G$6, L142)</f>
        <v>14375.068755651801</v>
      </c>
      <c r="M143">
        <f t="shared" si="11"/>
        <v>0</v>
      </c>
      <c r="N143">
        <f t="shared" si="14"/>
        <v>39.045710440166772</v>
      </c>
      <c r="O143">
        <f>IF(B143&lt;&gt;B142, Dashboard!$L$6,0)</f>
        <v>0</v>
      </c>
      <c r="P143">
        <f t="shared" si="15"/>
        <v>39.2297554622767</v>
      </c>
      <c r="Q143">
        <f>IF(B143&lt;&gt;B142,IF(F143&lt;=AVERAGE(F121:F142),Dashboard!$N$6-Dashboard!$G$7,Dashboard!$N$6+Dashboard!$G$7),0)</f>
        <v>0</v>
      </c>
      <c r="R143">
        <f t="shared" si="16"/>
        <v>36.722577257444016</v>
      </c>
    </row>
    <row r="144" spans="1:18" x14ac:dyDescent="0.3">
      <c r="A144" t="s">
        <v>672</v>
      </c>
      <c r="B144">
        <v>4</v>
      </c>
      <c r="C144" s="19">
        <v>27</v>
      </c>
      <c r="D144" s="20">
        <v>2021</v>
      </c>
      <c r="E144" s="21">
        <f t="shared" si="12"/>
        <v>44313</v>
      </c>
      <c r="F144" s="20">
        <v>383.74</v>
      </c>
      <c r="G144" s="20">
        <v>3370642</v>
      </c>
      <c r="H144" s="20">
        <v>384.2</v>
      </c>
      <c r="I144" s="20">
        <v>384.38</v>
      </c>
      <c r="J144" s="22">
        <v>382.72</v>
      </c>
      <c r="K144" s="2">
        <f t="shared" si="13"/>
        <v>14983.400924309597</v>
      </c>
      <c r="L144" s="2">
        <f>IF(B144&lt;&gt;B143,L143*(1+Dashboard!$G$5)+Dashboard!$G$6, L143)</f>
        <v>14375.068755651801</v>
      </c>
      <c r="M144">
        <f t="shared" si="11"/>
        <v>0</v>
      </c>
      <c r="N144">
        <f t="shared" si="14"/>
        <v>39.045710440166772</v>
      </c>
      <c r="O144">
        <f>IF(B144&lt;&gt;B143, Dashboard!$L$6,0)</f>
        <v>0</v>
      </c>
      <c r="P144">
        <f t="shared" si="15"/>
        <v>39.2297554622767</v>
      </c>
      <c r="Q144">
        <f>IF(B144&lt;&gt;B143,IF(F144&lt;=AVERAGE(F122:F143),Dashboard!$N$6-Dashboard!$G$7,Dashboard!$N$6+Dashboard!$G$7),0)</f>
        <v>0</v>
      </c>
      <c r="R144">
        <f t="shared" si="16"/>
        <v>36.722577257444016</v>
      </c>
    </row>
    <row r="145" spans="1:18" x14ac:dyDescent="0.3">
      <c r="A145" t="s">
        <v>671</v>
      </c>
      <c r="B145">
        <v>4</v>
      </c>
      <c r="C145" s="19">
        <v>28</v>
      </c>
      <c r="D145" s="20">
        <v>2021</v>
      </c>
      <c r="E145" s="21">
        <f t="shared" si="12"/>
        <v>44314</v>
      </c>
      <c r="F145" s="20">
        <v>383.56</v>
      </c>
      <c r="G145" s="20">
        <v>3960389</v>
      </c>
      <c r="H145" s="20">
        <v>384.1</v>
      </c>
      <c r="I145" s="20">
        <v>385.16919999999999</v>
      </c>
      <c r="J145" s="22">
        <v>383.24</v>
      </c>
      <c r="K145" s="2">
        <f t="shared" si="13"/>
        <v>14976.372696430368</v>
      </c>
      <c r="L145" s="2">
        <f>IF(B145&lt;&gt;B144,L144*(1+Dashboard!$G$5)+Dashboard!$G$6, L144)</f>
        <v>14375.068755651801</v>
      </c>
      <c r="M145">
        <f t="shared" si="11"/>
        <v>0</v>
      </c>
      <c r="N145">
        <f t="shared" si="14"/>
        <v>39.045710440166772</v>
      </c>
      <c r="O145">
        <f>IF(B145&lt;&gt;B144, Dashboard!$L$6,0)</f>
        <v>0</v>
      </c>
      <c r="P145">
        <f t="shared" si="15"/>
        <v>39.2297554622767</v>
      </c>
      <c r="Q145">
        <f>IF(B145&lt;&gt;B144,IF(F145&lt;=AVERAGE(F123:F144),Dashboard!$N$6-Dashboard!$G$7,Dashboard!$N$6+Dashboard!$G$7),0)</f>
        <v>0</v>
      </c>
      <c r="R145">
        <f t="shared" si="16"/>
        <v>36.722577257444016</v>
      </c>
    </row>
    <row r="146" spans="1:18" x14ac:dyDescent="0.3">
      <c r="A146" t="s">
        <v>670</v>
      </c>
      <c r="B146">
        <v>4</v>
      </c>
      <c r="C146" s="19">
        <v>29</v>
      </c>
      <c r="D146" s="20">
        <v>2021</v>
      </c>
      <c r="E146" s="21">
        <f t="shared" si="12"/>
        <v>44315</v>
      </c>
      <c r="F146" s="20">
        <v>386.12</v>
      </c>
      <c r="G146" s="20">
        <v>4209880</v>
      </c>
      <c r="H146" s="20">
        <v>386.4</v>
      </c>
      <c r="I146" s="20">
        <v>386.74</v>
      </c>
      <c r="J146" s="22">
        <v>382.81</v>
      </c>
      <c r="K146" s="2">
        <f t="shared" si="13"/>
        <v>15076.329715157195</v>
      </c>
      <c r="L146" s="2">
        <f>IF(B146&lt;&gt;B145,L145*(1+Dashboard!$G$5)+Dashboard!$G$6, L145)</f>
        <v>14375.068755651801</v>
      </c>
      <c r="M146">
        <f t="shared" si="11"/>
        <v>0</v>
      </c>
      <c r="N146">
        <f t="shared" si="14"/>
        <v>39.045710440166772</v>
      </c>
      <c r="O146">
        <f>IF(B146&lt;&gt;B145, Dashboard!$L$6,0)</f>
        <v>0</v>
      </c>
      <c r="P146">
        <f t="shared" si="15"/>
        <v>39.2297554622767</v>
      </c>
      <c r="Q146">
        <f>IF(B146&lt;&gt;B145,IF(F146&lt;=AVERAGE(F124:F145),Dashboard!$N$6-Dashboard!$G$7,Dashboard!$N$6+Dashboard!$G$7),0)</f>
        <v>0</v>
      </c>
      <c r="R146">
        <f t="shared" si="16"/>
        <v>36.722577257444016</v>
      </c>
    </row>
    <row r="147" spans="1:18" x14ac:dyDescent="0.3">
      <c r="A147" t="s">
        <v>669</v>
      </c>
      <c r="B147">
        <v>4</v>
      </c>
      <c r="C147" s="19">
        <v>30</v>
      </c>
      <c r="D147" s="20">
        <v>2021</v>
      </c>
      <c r="E147" s="21">
        <f t="shared" si="12"/>
        <v>44316</v>
      </c>
      <c r="F147" s="20">
        <v>383.57</v>
      </c>
      <c r="G147" s="20">
        <v>5219206</v>
      </c>
      <c r="H147" s="20">
        <v>383.91</v>
      </c>
      <c r="I147" s="20">
        <v>384.76</v>
      </c>
      <c r="J147" s="22">
        <v>382.73</v>
      </c>
      <c r="K147" s="2">
        <f t="shared" si="13"/>
        <v>14976.763153534768</v>
      </c>
      <c r="L147" s="2">
        <f>IF(B147&lt;&gt;B146,L146*(1+Dashboard!$G$5)+Dashboard!$G$6, L146)</f>
        <v>14375.068755651801</v>
      </c>
      <c r="M147">
        <f t="shared" si="11"/>
        <v>0</v>
      </c>
      <c r="N147">
        <f t="shared" si="14"/>
        <v>39.045710440166772</v>
      </c>
      <c r="O147">
        <f>IF(B147&lt;&gt;B146, Dashboard!$L$6,0)</f>
        <v>0</v>
      </c>
      <c r="P147">
        <f t="shared" si="15"/>
        <v>39.2297554622767</v>
      </c>
      <c r="Q147">
        <f>IF(B147&lt;&gt;B146,IF(F147&lt;=AVERAGE(F125:F146),Dashboard!$N$6-Dashboard!$G$7,Dashboard!$N$6+Dashboard!$G$7),0)</f>
        <v>0</v>
      </c>
      <c r="R147">
        <f t="shared" si="16"/>
        <v>36.722577257444016</v>
      </c>
    </row>
    <row r="148" spans="1:18" x14ac:dyDescent="0.3">
      <c r="A148" s="1">
        <v>44260</v>
      </c>
      <c r="B148">
        <v>5</v>
      </c>
      <c r="C148" s="19">
        <v>3</v>
      </c>
      <c r="D148" s="20">
        <v>2021</v>
      </c>
      <c r="E148" s="21">
        <f t="shared" si="12"/>
        <v>44319</v>
      </c>
      <c r="F148" s="20">
        <v>384.44</v>
      </c>
      <c r="G148" s="20">
        <v>4180812</v>
      </c>
      <c r="H148" s="20">
        <v>385.56</v>
      </c>
      <c r="I148" s="20">
        <v>385.94</v>
      </c>
      <c r="J148" s="22">
        <v>383.96</v>
      </c>
      <c r="K148" s="2">
        <f t="shared" si="13"/>
        <v>15010.732921617713</v>
      </c>
      <c r="L148" s="2">
        <f>IF(B148&lt;&gt;B147,L147*(1+Dashboard!$G$5)+Dashboard!$G$6, L147)</f>
        <v>16501.569360701535</v>
      </c>
      <c r="M148">
        <f t="shared" si="11"/>
        <v>1490.8364390838215</v>
      </c>
      <c r="N148">
        <f t="shared" si="14"/>
        <v>39.045710440166772</v>
      </c>
      <c r="O148">
        <f>IF(B148&lt;&gt;B147, Dashboard!$L$6,0)</f>
        <v>1859.7282542371197</v>
      </c>
      <c r="P148">
        <f t="shared" si="15"/>
        <v>44.067254823001704</v>
      </c>
      <c r="Q148">
        <f>IF(B148&lt;&gt;B147,IF(F148&lt;=AVERAGE(F126:F147),Dashboard!$N$6-Dashboard!$G$7,Dashboard!$N$6+Dashboard!$G$7),0)</f>
        <v>2232.609610169322</v>
      </c>
      <c r="R148">
        <f t="shared" si="16"/>
        <v>42.513140620265162</v>
      </c>
    </row>
    <row r="149" spans="1:18" x14ac:dyDescent="0.3">
      <c r="A149" s="1">
        <v>44291</v>
      </c>
      <c r="B149">
        <v>5</v>
      </c>
      <c r="C149" s="19">
        <v>4</v>
      </c>
      <c r="D149" s="20">
        <v>2021</v>
      </c>
      <c r="E149" s="21">
        <f t="shared" si="12"/>
        <v>44320</v>
      </c>
      <c r="F149" s="20">
        <v>382.1</v>
      </c>
      <c r="G149" s="20">
        <v>5485646</v>
      </c>
      <c r="H149" s="20">
        <v>382.52</v>
      </c>
      <c r="I149" s="20">
        <v>382.96</v>
      </c>
      <c r="J149" s="22">
        <v>378.45</v>
      </c>
      <c r="K149" s="2">
        <f t="shared" si="13"/>
        <v>16401.12801145577</v>
      </c>
      <c r="L149" s="2">
        <f>IF(B149&lt;&gt;B148,L148*(1+Dashboard!$G$5)+Dashboard!$G$6, L148)</f>
        <v>16501.569360701535</v>
      </c>
      <c r="M149">
        <f t="shared" si="11"/>
        <v>0</v>
      </c>
      <c r="N149">
        <f t="shared" si="14"/>
        <v>42.923653523830858</v>
      </c>
      <c r="O149">
        <f>IF(B149&lt;&gt;B148, Dashboard!$L$6,0)</f>
        <v>0</v>
      </c>
      <c r="P149">
        <f t="shared" si="15"/>
        <v>44.067254823001704</v>
      </c>
      <c r="Q149">
        <f>IF(B149&lt;&gt;B148,IF(F149&lt;=AVERAGE(F127:F148),Dashboard!$N$6-Dashboard!$G$7,Dashboard!$N$6+Dashboard!$G$7),0)</f>
        <v>0</v>
      </c>
      <c r="R149">
        <f t="shared" si="16"/>
        <v>42.513140620265162</v>
      </c>
    </row>
    <row r="150" spans="1:18" x14ac:dyDescent="0.3">
      <c r="A150" s="1">
        <v>44321</v>
      </c>
      <c r="B150">
        <v>5</v>
      </c>
      <c r="C150" s="19">
        <v>5</v>
      </c>
      <c r="D150" s="20">
        <v>2021</v>
      </c>
      <c r="E150" s="21">
        <f t="shared" si="12"/>
        <v>44321</v>
      </c>
      <c r="F150" s="20">
        <v>382.17</v>
      </c>
      <c r="G150" s="20">
        <v>2319217</v>
      </c>
      <c r="H150" s="20">
        <v>383.72</v>
      </c>
      <c r="I150" s="20">
        <v>383.91</v>
      </c>
      <c r="J150" s="22">
        <v>381.44</v>
      </c>
      <c r="K150" s="2">
        <f t="shared" si="13"/>
        <v>16404.132667202441</v>
      </c>
      <c r="L150" s="2">
        <f>IF(B150&lt;&gt;B149,L149*(1+Dashboard!$G$5)+Dashboard!$G$6, L149)</f>
        <v>16501.569360701535</v>
      </c>
      <c r="M150">
        <f t="shared" si="11"/>
        <v>0</v>
      </c>
      <c r="N150">
        <f t="shared" si="14"/>
        <v>42.923653523830858</v>
      </c>
      <c r="O150">
        <f>IF(B150&lt;&gt;B149, Dashboard!$L$6,0)</f>
        <v>0</v>
      </c>
      <c r="P150">
        <f t="shared" si="15"/>
        <v>44.067254823001704</v>
      </c>
      <c r="Q150">
        <f>IF(B150&lt;&gt;B149,IF(F150&lt;=AVERAGE(F128:F149),Dashboard!$N$6-Dashboard!$G$7,Dashboard!$N$6+Dashboard!$G$7),0)</f>
        <v>0</v>
      </c>
      <c r="R150">
        <f t="shared" si="16"/>
        <v>42.513140620265162</v>
      </c>
    </row>
    <row r="151" spans="1:18" x14ac:dyDescent="0.3">
      <c r="A151" s="1">
        <v>44352</v>
      </c>
      <c r="B151">
        <v>5</v>
      </c>
      <c r="C151" s="19">
        <v>6</v>
      </c>
      <c r="D151" s="20">
        <v>2021</v>
      </c>
      <c r="E151" s="21">
        <f t="shared" si="12"/>
        <v>44322</v>
      </c>
      <c r="F151" s="20">
        <v>385.28</v>
      </c>
      <c r="G151" s="20">
        <v>4737289</v>
      </c>
      <c r="H151" s="20">
        <v>382.26</v>
      </c>
      <c r="I151" s="20">
        <v>385.37</v>
      </c>
      <c r="J151" s="22">
        <v>380.27</v>
      </c>
      <c r="K151" s="2">
        <f t="shared" si="13"/>
        <v>16537.625229661553</v>
      </c>
      <c r="L151" s="2">
        <f>IF(B151&lt;&gt;B150,L150*(1+Dashboard!$G$5)+Dashboard!$G$6, L150)</f>
        <v>16501.569360701535</v>
      </c>
      <c r="M151">
        <f t="shared" si="11"/>
        <v>0</v>
      </c>
      <c r="N151">
        <f t="shared" si="14"/>
        <v>42.923653523830858</v>
      </c>
      <c r="O151">
        <f>IF(B151&lt;&gt;B150, Dashboard!$L$6,0)</f>
        <v>0</v>
      </c>
      <c r="P151">
        <f t="shared" si="15"/>
        <v>44.067254823001704</v>
      </c>
      <c r="Q151">
        <f>IF(B151&lt;&gt;B150,IF(F151&lt;=AVERAGE(F129:F150),Dashboard!$N$6-Dashboard!$G$7,Dashboard!$N$6+Dashboard!$G$7),0)</f>
        <v>0</v>
      </c>
      <c r="R151">
        <f t="shared" si="16"/>
        <v>42.513140620265162</v>
      </c>
    </row>
    <row r="152" spans="1:18" x14ac:dyDescent="0.3">
      <c r="A152" s="1">
        <v>44382</v>
      </c>
      <c r="B152">
        <v>5</v>
      </c>
      <c r="C152" s="19">
        <v>7</v>
      </c>
      <c r="D152" s="20">
        <v>2021</v>
      </c>
      <c r="E152" s="21">
        <f t="shared" si="12"/>
        <v>44323</v>
      </c>
      <c r="F152" s="20">
        <v>388.03</v>
      </c>
      <c r="G152" s="20">
        <v>3516620</v>
      </c>
      <c r="H152" s="20">
        <v>386.02</v>
      </c>
      <c r="I152" s="20">
        <v>388.68</v>
      </c>
      <c r="J152" s="22">
        <v>385.33</v>
      </c>
      <c r="K152" s="2">
        <f t="shared" si="13"/>
        <v>16655.665276852087</v>
      </c>
      <c r="L152" s="2">
        <f>IF(B152&lt;&gt;B151,L151*(1+Dashboard!$G$5)+Dashboard!$G$6, L151)</f>
        <v>16501.569360701535</v>
      </c>
      <c r="M152">
        <f t="shared" si="11"/>
        <v>0</v>
      </c>
      <c r="N152">
        <f t="shared" si="14"/>
        <v>42.923653523830858</v>
      </c>
      <c r="O152">
        <f>IF(B152&lt;&gt;B151, Dashboard!$L$6,0)</f>
        <v>0</v>
      </c>
      <c r="P152">
        <f t="shared" si="15"/>
        <v>44.067254823001704</v>
      </c>
      <c r="Q152">
        <f>IF(B152&lt;&gt;B151,IF(F152&lt;=AVERAGE(F130:F151),Dashboard!$N$6-Dashboard!$G$7,Dashboard!$N$6+Dashboard!$G$7),0)</f>
        <v>0</v>
      </c>
      <c r="R152">
        <f t="shared" si="16"/>
        <v>42.513140620265162</v>
      </c>
    </row>
    <row r="153" spans="1:18" x14ac:dyDescent="0.3">
      <c r="A153" s="1">
        <v>44474</v>
      </c>
      <c r="B153">
        <v>5</v>
      </c>
      <c r="C153" s="19">
        <v>10</v>
      </c>
      <c r="D153" s="20">
        <v>2021</v>
      </c>
      <c r="E153" s="21">
        <f t="shared" si="12"/>
        <v>44326</v>
      </c>
      <c r="F153" s="20">
        <v>384.23</v>
      </c>
      <c r="G153" s="20">
        <v>5942697</v>
      </c>
      <c r="H153" s="20">
        <v>388.41</v>
      </c>
      <c r="I153" s="20">
        <v>388.66</v>
      </c>
      <c r="J153" s="22">
        <v>384.09</v>
      </c>
      <c r="K153" s="2">
        <f t="shared" si="13"/>
        <v>16492.555393461531</v>
      </c>
      <c r="L153" s="2">
        <f>IF(B153&lt;&gt;B152,L152*(1+Dashboard!$G$5)+Dashboard!$G$6, L152)</f>
        <v>16501.569360701535</v>
      </c>
      <c r="M153">
        <f t="shared" ref="M153:M216" si="17">IF(B153&lt;&gt;B152,IF((L153-K153&gt;0),L153-K153,0),0)</f>
        <v>0</v>
      </c>
      <c r="N153">
        <f t="shared" si="14"/>
        <v>42.923653523830858</v>
      </c>
      <c r="O153">
        <f>IF(B153&lt;&gt;B152, Dashboard!$L$6,0)</f>
        <v>0</v>
      </c>
      <c r="P153">
        <f t="shared" si="15"/>
        <v>44.067254823001704</v>
      </c>
      <c r="Q153">
        <f>IF(B153&lt;&gt;B152,IF(F153&lt;=AVERAGE(F131:F152),Dashboard!$N$6-Dashboard!$G$7,Dashboard!$N$6+Dashboard!$G$7),0)</f>
        <v>0</v>
      </c>
      <c r="R153">
        <f t="shared" si="16"/>
        <v>42.513140620265162</v>
      </c>
    </row>
    <row r="154" spans="1:18" x14ac:dyDescent="0.3">
      <c r="A154" s="1">
        <v>44505</v>
      </c>
      <c r="B154">
        <v>5</v>
      </c>
      <c r="C154" s="19">
        <v>11</v>
      </c>
      <c r="D154" s="20">
        <v>2021</v>
      </c>
      <c r="E154" s="21">
        <f t="shared" si="12"/>
        <v>44327</v>
      </c>
      <c r="F154" s="20">
        <v>380.86</v>
      </c>
      <c r="G154" s="20">
        <v>7081501</v>
      </c>
      <c r="H154" s="20">
        <v>379.75</v>
      </c>
      <c r="I154" s="20">
        <v>381.74</v>
      </c>
      <c r="J154" s="22">
        <v>376.95</v>
      </c>
      <c r="K154" s="2">
        <f t="shared" si="13"/>
        <v>16347.902681086221</v>
      </c>
      <c r="L154" s="2">
        <f>IF(B154&lt;&gt;B153,L153*(1+Dashboard!$G$5)+Dashboard!$G$6, L153)</f>
        <v>16501.569360701535</v>
      </c>
      <c r="M154">
        <f t="shared" si="17"/>
        <v>0</v>
      </c>
      <c r="N154">
        <f t="shared" si="14"/>
        <v>42.923653523830858</v>
      </c>
      <c r="O154">
        <f>IF(B154&lt;&gt;B153, Dashboard!$L$6,0)</f>
        <v>0</v>
      </c>
      <c r="P154">
        <f t="shared" si="15"/>
        <v>44.067254823001704</v>
      </c>
      <c r="Q154">
        <f>IF(B154&lt;&gt;B153,IF(F154&lt;=AVERAGE(F132:F153),Dashboard!$N$6-Dashboard!$G$7,Dashboard!$N$6+Dashboard!$G$7),0)</f>
        <v>0</v>
      </c>
      <c r="R154">
        <f t="shared" si="16"/>
        <v>42.513140620265162</v>
      </c>
    </row>
    <row r="155" spans="1:18" x14ac:dyDescent="0.3">
      <c r="A155" s="1">
        <v>44535</v>
      </c>
      <c r="B155">
        <v>5</v>
      </c>
      <c r="C155" s="19">
        <v>12</v>
      </c>
      <c r="D155" s="20">
        <v>2021</v>
      </c>
      <c r="E155" s="21">
        <f t="shared" si="12"/>
        <v>44328</v>
      </c>
      <c r="F155" s="20">
        <v>372.73</v>
      </c>
      <c r="G155" s="20">
        <v>7707441</v>
      </c>
      <c r="H155" s="20">
        <v>378.04</v>
      </c>
      <c r="I155" s="20">
        <v>379.27</v>
      </c>
      <c r="J155" s="22">
        <v>372.13</v>
      </c>
      <c r="K155" s="2">
        <f t="shared" si="13"/>
        <v>15998.933377937476</v>
      </c>
      <c r="L155" s="2">
        <f>IF(B155&lt;&gt;B154,L154*(1+Dashboard!$G$5)+Dashboard!$G$6, L154)</f>
        <v>16501.569360701535</v>
      </c>
      <c r="M155">
        <f t="shared" si="17"/>
        <v>0</v>
      </c>
      <c r="N155">
        <f t="shared" si="14"/>
        <v>42.923653523830858</v>
      </c>
      <c r="O155">
        <f>IF(B155&lt;&gt;B154, Dashboard!$L$6,0)</f>
        <v>0</v>
      </c>
      <c r="P155">
        <f t="shared" si="15"/>
        <v>44.067254823001704</v>
      </c>
      <c r="Q155">
        <f>IF(B155&lt;&gt;B154,IF(F155&lt;=AVERAGE(F133:F154),Dashboard!$N$6-Dashboard!$G$7,Dashboard!$N$6+Dashboard!$G$7),0)</f>
        <v>0</v>
      </c>
      <c r="R155">
        <f t="shared" si="16"/>
        <v>42.513140620265162</v>
      </c>
    </row>
    <row r="156" spans="1:18" x14ac:dyDescent="0.3">
      <c r="A156" t="s">
        <v>668</v>
      </c>
      <c r="B156">
        <v>5</v>
      </c>
      <c r="C156" s="19">
        <v>13</v>
      </c>
      <c r="D156" s="20">
        <v>2021</v>
      </c>
      <c r="E156" s="21">
        <f t="shared" si="12"/>
        <v>44329</v>
      </c>
      <c r="F156" s="20">
        <v>377.16</v>
      </c>
      <c r="G156" s="20">
        <v>7188191</v>
      </c>
      <c r="H156" s="20">
        <v>374.21</v>
      </c>
      <c r="I156" s="20">
        <v>379.05</v>
      </c>
      <c r="J156" s="22">
        <v>374.17</v>
      </c>
      <c r="K156" s="2">
        <f t="shared" si="13"/>
        <v>16189.085163048047</v>
      </c>
      <c r="L156" s="2">
        <f>IF(B156&lt;&gt;B155,L155*(1+Dashboard!$G$5)+Dashboard!$G$6, L155)</f>
        <v>16501.569360701535</v>
      </c>
      <c r="M156">
        <f t="shared" si="17"/>
        <v>0</v>
      </c>
      <c r="N156">
        <f t="shared" si="14"/>
        <v>42.923653523830858</v>
      </c>
      <c r="O156">
        <f>IF(B156&lt;&gt;B155, Dashboard!$L$6,0)</f>
        <v>0</v>
      </c>
      <c r="P156">
        <f t="shared" si="15"/>
        <v>44.067254823001704</v>
      </c>
      <c r="Q156">
        <f>IF(B156&lt;&gt;B155,IF(F156&lt;=AVERAGE(F134:F155),Dashboard!$N$6-Dashboard!$G$7,Dashboard!$N$6+Dashboard!$G$7),0)</f>
        <v>0</v>
      </c>
      <c r="R156">
        <f t="shared" si="16"/>
        <v>42.513140620265162</v>
      </c>
    </row>
    <row r="157" spans="1:18" x14ac:dyDescent="0.3">
      <c r="A157" t="s">
        <v>667</v>
      </c>
      <c r="B157">
        <v>5</v>
      </c>
      <c r="C157" s="19">
        <v>14</v>
      </c>
      <c r="D157" s="20">
        <v>2021</v>
      </c>
      <c r="E157" s="21">
        <f t="shared" si="12"/>
        <v>44330</v>
      </c>
      <c r="F157" s="20">
        <v>382.95</v>
      </c>
      <c r="G157" s="20">
        <v>5167919</v>
      </c>
      <c r="H157" s="20">
        <v>379.81</v>
      </c>
      <c r="I157" s="20">
        <v>383.79</v>
      </c>
      <c r="J157" s="22">
        <v>379.81</v>
      </c>
      <c r="K157" s="2">
        <f t="shared" si="13"/>
        <v>16437.613116951026</v>
      </c>
      <c r="L157" s="2">
        <f>IF(B157&lt;&gt;B156,L156*(1+Dashboard!$G$5)+Dashboard!$G$6, L156)</f>
        <v>16501.569360701535</v>
      </c>
      <c r="M157">
        <f t="shared" si="17"/>
        <v>0</v>
      </c>
      <c r="N157">
        <f t="shared" si="14"/>
        <v>42.923653523830858</v>
      </c>
      <c r="O157">
        <f>IF(B157&lt;&gt;B156, Dashboard!$L$6,0)</f>
        <v>0</v>
      </c>
      <c r="P157">
        <f t="shared" si="15"/>
        <v>44.067254823001704</v>
      </c>
      <c r="Q157">
        <f>IF(B157&lt;&gt;B156,IF(F157&lt;=AVERAGE(F135:F156),Dashboard!$N$6-Dashboard!$G$7,Dashboard!$N$6+Dashboard!$G$7),0)</f>
        <v>0</v>
      </c>
      <c r="R157">
        <f t="shared" si="16"/>
        <v>42.513140620265162</v>
      </c>
    </row>
    <row r="158" spans="1:18" x14ac:dyDescent="0.3">
      <c r="A158" t="s">
        <v>666</v>
      </c>
      <c r="B158">
        <v>5</v>
      </c>
      <c r="C158" s="19">
        <v>17</v>
      </c>
      <c r="D158" s="20">
        <v>2021</v>
      </c>
      <c r="E158" s="21">
        <f t="shared" si="12"/>
        <v>44333</v>
      </c>
      <c r="F158" s="20">
        <v>382.03</v>
      </c>
      <c r="G158" s="20">
        <v>3767788</v>
      </c>
      <c r="H158" s="20">
        <v>381.9</v>
      </c>
      <c r="I158" s="20">
        <v>382.75</v>
      </c>
      <c r="J158" s="22">
        <v>380</v>
      </c>
      <c r="K158" s="2">
        <f t="shared" si="13"/>
        <v>16398.1233557091</v>
      </c>
      <c r="L158" s="2">
        <f>IF(B158&lt;&gt;B157,L157*(1+Dashboard!$G$5)+Dashboard!$G$6, L157)</f>
        <v>16501.569360701535</v>
      </c>
      <c r="M158">
        <f t="shared" si="17"/>
        <v>0</v>
      </c>
      <c r="N158">
        <f t="shared" si="14"/>
        <v>42.923653523830858</v>
      </c>
      <c r="O158">
        <f>IF(B158&lt;&gt;B157, Dashboard!$L$6,0)</f>
        <v>0</v>
      </c>
      <c r="P158">
        <f t="shared" si="15"/>
        <v>44.067254823001704</v>
      </c>
      <c r="Q158">
        <f>IF(B158&lt;&gt;B157,IF(F158&lt;=AVERAGE(F136:F157),Dashboard!$N$6-Dashboard!$G$7,Dashboard!$N$6+Dashboard!$G$7),0)</f>
        <v>0</v>
      </c>
      <c r="R158">
        <f t="shared" si="16"/>
        <v>42.513140620265162</v>
      </c>
    </row>
    <row r="159" spans="1:18" x14ac:dyDescent="0.3">
      <c r="A159" t="s">
        <v>665</v>
      </c>
      <c r="B159">
        <v>5</v>
      </c>
      <c r="C159" s="19">
        <v>18</v>
      </c>
      <c r="D159" s="20">
        <v>2021</v>
      </c>
      <c r="E159" s="21">
        <f t="shared" si="12"/>
        <v>44334</v>
      </c>
      <c r="F159" s="20">
        <v>378.73</v>
      </c>
      <c r="G159" s="20">
        <v>3128310</v>
      </c>
      <c r="H159" s="20">
        <v>382.25</v>
      </c>
      <c r="I159" s="20">
        <v>382.47</v>
      </c>
      <c r="J159" s="22">
        <v>378.54</v>
      </c>
      <c r="K159" s="2">
        <f t="shared" si="13"/>
        <v>16256.475299080461</v>
      </c>
      <c r="L159" s="2">
        <f>IF(B159&lt;&gt;B158,L158*(1+Dashboard!$G$5)+Dashboard!$G$6, L158)</f>
        <v>16501.569360701535</v>
      </c>
      <c r="M159">
        <f t="shared" si="17"/>
        <v>0</v>
      </c>
      <c r="N159">
        <f t="shared" si="14"/>
        <v>42.923653523830858</v>
      </c>
      <c r="O159">
        <f>IF(B159&lt;&gt;B158, Dashboard!$L$6,0)</f>
        <v>0</v>
      </c>
      <c r="P159">
        <f t="shared" si="15"/>
        <v>44.067254823001704</v>
      </c>
      <c r="Q159">
        <f>IF(B159&lt;&gt;B158,IF(F159&lt;=AVERAGE(F137:F158),Dashboard!$N$6-Dashboard!$G$7,Dashboard!$N$6+Dashboard!$G$7),0)</f>
        <v>0</v>
      </c>
      <c r="R159">
        <f t="shared" si="16"/>
        <v>42.513140620265162</v>
      </c>
    </row>
    <row r="160" spans="1:18" x14ac:dyDescent="0.3">
      <c r="A160" t="s">
        <v>664</v>
      </c>
      <c r="B160">
        <v>5</v>
      </c>
      <c r="C160" s="19">
        <v>19</v>
      </c>
      <c r="D160" s="20">
        <v>2021</v>
      </c>
      <c r="E160" s="21">
        <f t="shared" si="12"/>
        <v>44335</v>
      </c>
      <c r="F160" s="20">
        <v>377.73</v>
      </c>
      <c r="G160" s="20">
        <v>5086270</v>
      </c>
      <c r="H160" s="20">
        <v>374.06</v>
      </c>
      <c r="I160" s="20">
        <v>377.84</v>
      </c>
      <c r="J160" s="22">
        <v>372.62</v>
      </c>
      <c r="K160" s="2">
        <f t="shared" si="13"/>
        <v>16213.55164555663</v>
      </c>
      <c r="L160" s="2">
        <f>IF(B160&lt;&gt;B159,L159*(1+Dashboard!$G$5)+Dashboard!$G$6, L159)</f>
        <v>16501.569360701535</v>
      </c>
      <c r="M160">
        <f t="shared" si="17"/>
        <v>0</v>
      </c>
      <c r="N160">
        <f t="shared" si="14"/>
        <v>42.923653523830858</v>
      </c>
      <c r="O160">
        <f>IF(B160&lt;&gt;B159, Dashboard!$L$6,0)</f>
        <v>0</v>
      </c>
      <c r="P160">
        <f t="shared" si="15"/>
        <v>44.067254823001704</v>
      </c>
      <c r="Q160">
        <f>IF(B160&lt;&gt;B159,IF(F160&lt;=AVERAGE(F138:F159),Dashboard!$N$6-Dashboard!$G$7,Dashboard!$N$6+Dashboard!$G$7),0)</f>
        <v>0</v>
      </c>
      <c r="R160">
        <f t="shared" si="16"/>
        <v>42.513140620265162</v>
      </c>
    </row>
    <row r="161" spans="1:18" x14ac:dyDescent="0.3">
      <c r="A161" t="s">
        <v>663</v>
      </c>
      <c r="B161">
        <v>5</v>
      </c>
      <c r="C161" s="19">
        <v>20</v>
      </c>
      <c r="D161" s="20">
        <v>2021</v>
      </c>
      <c r="E161" s="21">
        <f t="shared" si="12"/>
        <v>44336</v>
      </c>
      <c r="F161" s="20">
        <v>381.76</v>
      </c>
      <c r="G161" s="20">
        <v>4776714</v>
      </c>
      <c r="H161" s="20">
        <v>378.57</v>
      </c>
      <c r="I161" s="20">
        <v>382.99</v>
      </c>
      <c r="J161" s="22">
        <v>378.45</v>
      </c>
      <c r="K161" s="2">
        <f t="shared" si="13"/>
        <v>16386.533969257667</v>
      </c>
      <c r="L161" s="2">
        <f>IF(B161&lt;&gt;B160,L160*(1+Dashboard!$G$5)+Dashboard!$G$6, L160)</f>
        <v>16501.569360701535</v>
      </c>
      <c r="M161">
        <f t="shared" si="17"/>
        <v>0</v>
      </c>
      <c r="N161">
        <f t="shared" si="14"/>
        <v>42.923653523830858</v>
      </c>
      <c r="O161">
        <f>IF(B161&lt;&gt;B160, Dashboard!$L$6,0)</f>
        <v>0</v>
      </c>
      <c r="P161">
        <f t="shared" si="15"/>
        <v>44.067254823001704</v>
      </c>
      <c r="Q161">
        <f>IF(B161&lt;&gt;B160,IF(F161&lt;=AVERAGE(F139:F160),Dashboard!$N$6-Dashboard!$G$7,Dashboard!$N$6+Dashboard!$G$7),0)</f>
        <v>0</v>
      </c>
      <c r="R161">
        <f t="shared" si="16"/>
        <v>42.513140620265162</v>
      </c>
    </row>
    <row r="162" spans="1:18" x14ac:dyDescent="0.3">
      <c r="A162" t="s">
        <v>662</v>
      </c>
      <c r="B162">
        <v>5</v>
      </c>
      <c r="C162" s="19">
        <v>21</v>
      </c>
      <c r="D162" s="20">
        <v>2021</v>
      </c>
      <c r="E162" s="21">
        <f t="shared" si="12"/>
        <v>44337</v>
      </c>
      <c r="F162" s="20">
        <v>381.47</v>
      </c>
      <c r="G162" s="20">
        <v>3567453</v>
      </c>
      <c r="H162" s="20">
        <v>383.23</v>
      </c>
      <c r="I162" s="20">
        <v>384.45</v>
      </c>
      <c r="J162" s="22">
        <v>381.01</v>
      </c>
      <c r="K162" s="2">
        <f t="shared" si="13"/>
        <v>16374.086109735759</v>
      </c>
      <c r="L162" s="2">
        <f>IF(B162&lt;&gt;B161,L161*(1+Dashboard!$G$5)+Dashboard!$G$6, L161)</f>
        <v>16501.569360701535</v>
      </c>
      <c r="M162">
        <f t="shared" si="17"/>
        <v>0</v>
      </c>
      <c r="N162">
        <f t="shared" si="14"/>
        <v>42.923653523830858</v>
      </c>
      <c r="O162">
        <f>IF(B162&lt;&gt;B161, Dashboard!$L$6,0)</f>
        <v>0</v>
      </c>
      <c r="P162">
        <f t="shared" si="15"/>
        <v>44.067254823001704</v>
      </c>
      <c r="Q162">
        <f>IF(B162&lt;&gt;B161,IF(F162&lt;=AVERAGE(F140:F161),Dashboard!$N$6-Dashboard!$G$7,Dashboard!$N$6+Dashboard!$G$7),0)</f>
        <v>0</v>
      </c>
      <c r="R162">
        <f t="shared" si="16"/>
        <v>42.513140620265162</v>
      </c>
    </row>
    <row r="163" spans="1:18" x14ac:dyDescent="0.3">
      <c r="A163" t="s">
        <v>661</v>
      </c>
      <c r="B163">
        <v>5</v>
      </c>
      <c r="C163" s="19">
        <v>24</v>
      </c>
      <c r="D163" s="20">
        <v>2021</v>
      </c>
      <c r="E163" s="21">
        <f t="shared" si="12"/>
        <v>44340</v>
      </c>
      <c r="F163" s="20">
        <v>385.32</v>
      </c>
      <c r="G163" s="20">
        <v>2962453</v>
      </c>
      <c r="H163" s="20">
        <v>383.69</v>
      </c>
      <c r="I163" s="20">
        <v>386.4</v>
      </c>
      <c r="J163" s="22">
        <v>383.44</v>
      </c>
      <c r="K163" s="2">
        <f t="shared" si="13"/>
        <v>16539.342175802507</v>
      </c>
      <c r="L163" s="2">
        <f>IF(B163&lt;&gt;B162,L162*(1+Dashboard!$G$5)+Dashboard!$G$6, L162)</f>
        <v>16501.569360701535</v>
      </c>
      <c r="M163">
        <f t="shared" si="17"/>
        <v>0</v>
      </c>
      <c r="N163">
        <f t="shared" si="14"/>
        <v>42.923653523830858</v>
      </c>
      <c r="O163">
        <f>IF(B163&lt;&gt;B162, Dashboard!$L$6,0)</f>
        <v>0</v>
      </c>
      <c r="P163">
        <f t="shared" si="15"/>
        <v>44.067254823001704</v>
      </c>
      <c r="Q163">
        <f>IF(B163&lt;&gt;B162,IF(F163&lt;=AVERAGE(F141:F162),Dashboard!$N$6-Dashboard!$G$7,Dashboard!$N$6+Dashboard!$G$7),0)</f>
        <v>0</v>
      </c>
      <c r="R163">
        <f t="shared" si="16"/>
        <v>42.513140620265162</v>
      </c>
    </row>
    <row r="164" spans="1:18" x14ac:dyDescent="0.3">
      <c r="A164" t="s">
        <v>660</v>
      </c>
      <c r="B164">
        <v>5</v>
      </c>
      <c r="C164" s="19">
        <v>25</v>
      </c>
      <c r="D164" s="20">
        <v>2021</v>
      </c>
      <c r="E164" s="21">
        <f t="shared" si="12"/>
        <v>44341</v>
      </c>
      <c r="F164" s="20">
        <v>384.51</v>
      </c>
      <c r="G164" s="20">
        <v>4031807</v>
      </c>
      <c r="H164" s="20">
        <v>386.4</v>
      </c>
      <c r="I164" s="20">
        <v>386.76</v>
      </c>
      <c r="J164" s="22">
        <v>383.94</v>
      </c>
      <c r="K164" s="2">
        <f t="shared" si="13"/>
        <v>16504.574016448201</v>
      </c>
      <c r="L164" s="2">
        <f>IF(B164&lt;&gt;B163,L163*(1+Dashboard!$G$5)+Dashboard!$G$6, L163)</f>
        <v>16501.569360701535</v>
      </c>
      <c r="M164">
        <f t="shared" si="17"/>
        <v>0</v>
      </c>
      <c r="N164">
        <f t="shared" si="14"/>
        <v>42.923653523830858</v>
      </c>
      <c r="O164">
        <f>IF(B164&lt;&gt;B163, Dashboard!$L$6,0)</f>
        <v>0</v>
      </c>
      <c r="P164">
        <f t="shared" si="15"/>
        <v>44.067254823001704</v>
      </c>
      <c r="Q164">
        <f>IF(B164&lt;&gt;B163,IF(F164&lt;=AVERAGE(F142:F163),Dashboard!$N$6-Dashboard!$G$7,Dashboard!$N$6+Dashboard!$G$7),0)</f>
        <v>0</v>
      </c>
      <c r="R164">
        <f t="shared" si="16"/>
        <v>42.513140620265162</v>
      </c>
    </row>
    <row r="165" spans="1:18" x14ac:dyDescent="0.3">
      <c r="A165" t="s">
        <v>659</v>
      </c>
      <c r="B165">
        <v>5</v>
      </c>
      <c r="C165" s="19">
        <v>26</v>
      </c>
      <c r="D165" s="20">
        <v>2021</v>
      </c>
      <c r="E165" s="21">
        <f t="shared" si="12"/>
        <v>44342</v>
      </c>
      <c r="F165" s="20">
        <v>385.21</v>
      </c>
      <c r="G165" s="20">
        <v>2642705</v>
      </c>
      <c r="H165" s="20">
        <v>385.09</v>
      </c>
      <c r="I165" s="20">
        <v>385.75</v>
      </c>
      <c r="J165" s="22">
        <v>384.07</v>
      </c>
      <c r="K165" s="2">
        <f t="shared" si="13"/>
        <v>16534.620573914883</v>
      </c>
      <c r="L165" s="2">
        <f>IF(B165&lt;&gt;B164,L164*(1+Dashboard!$G$5)+Dashboard!$G$6, L164)</f>
        <v>16501.569360701535</v>
      </c>
      <c r="M165">
        <f t="shared" si="17"/>
        <v>0</v>
      </c>
      <c r="N165">
        <f t="shared" si="14"/>
        <v>42.923653523830858</v>
      </c>
      <c r="O165">
        <f>IF(B165&lt;&gt;B164, Dashboard!$L$6,0)</f>
        <v>0</v>
      </c>
      <c r="P165">
        <f t="shared" si="15"/>
        <v>44.067254823001704</v>
      </c>
      <c r="Q165">
        <f>IF(B165&lt;&gt;B164,IF(F165&lt;=AVERAGE(F143:F164),Dashboard!$N$6-Dashboard!$G$7,Dashboard!$N$6+Dashboard!$G$7),0)</f>
        <v>0</v>
      </c>
      <c r="R165">
        <f t="shared" si="16"/>
        <v>42.513140620265162</v>
      </c>
    </row>
    <row r="166" spans="1:18" x14ac:dyDescent="0.3">
      <c r="A166" t="s">
        <v>658</v>
      </c>
      <c r="B166">
        <v>5</v>
      </c>
      <c r="C166" s="19">
        <v>27</v>
      </c>
      <c r="D166" s="20">
        <v>2021</v>
      </c>
      <c r="E166" s="21">
        <f t="shared" si="12"/>
        <v>44343</v>
      </c>
      <c r="F166" s="20">
        <v>385.38</v>
      </c>
      <c r="G166" s="20">
        <v>3015864</v>
      </c>
      <c r="H166" s="20">
        <v>386.28199999999998</v>
      </c>
      <c r="I166" s="20">
        <v>386.78</v>
      </c>
      <c r="J166" s="22">
        <v>385.32</v>
      </c>
      <c r="K166" s="2">
        <f t="shared" si="13"/>
        <v>16541.917595013936</v>
      </c>
      <c r="L166" s="2">
        <f>IF(B166&lt;&gt;B165,L165*(1+Dashboard!$G$5)+Dashboard!$G$6, L165)</f>
        <v>16501.569360701535</v>
      </c>
      <c r="M166">
        <f t="shared" si="17"/>
        <v>0</v>
      </c>
      <c r="N166">
        <f t="shared" si="14"/>
        <v>42.923653523830858</v>
      </c>
      <c r="O166">
        <f>IF(B166&lt;&gt;B165, Dashboard!$L$6,0)</f>
        <v>0</v>
      </c>
      <c r="P166">
        <f t="shared" si="15"/>
        <v>44.067254823001704</v>
      </c>
      <c r="Q166">
        <f>IF(B166&lt;&gt;B165,IF(F166&lt;=AVERAGE(F144:F165),Dashboard!$N$6-Dashboard!$G$7,Dashboard!$N$6+Dashboard!$G$7),0)</f>
        <v>0</v>
      </c>
      <c r="R166">
        <f t="shared" si="16"/>
        <v>42.513140620265162</v>
      </c>
    </row>
    <row r="167" spans="1:18" x14ac:dyDescent="0.3">
      <c r="A167" t="s">
        <v>657</v>
      </c>
      <c r="B167">
        <v>5</v>
      </c>
      <c r="C167" s="19">
        <v>28</v>
      </c>
      <c r="D167" s="20">
        <v>2021</v>
      </c>
      <c r="E167" s="21">
        <f t="shared" si="12"/>
        <v>44344</v>
      </c>
      <c r="F167" s="20">
        <v>386.13</v>
      </c>
      <c r="G167" s="20">
        <v>3371117</v>
      </c>
      <c r="H167" s="20">
        <v>387.03</v>
      </c>
      <c r="I167" s="20">
        <v>387.27</v>
      </c>
      <c r="J167" s="22">
        <v>385.94</v>
      </c>
      <c r="K167" s="2">
        <f t="shared" si="13"/>
        <v>16574.110335156809</v>
      </c>
      <c r="L167" s="2">
        <f>IF(B167&lt;&gt;B166,L166*(1+Dashboard!$G$5)+Dashboard!$G$6, L166)</f>
        <v>16501.569360701535</v>
      </c>
      <c r="M167">
        <f t="shared" si="17"/>
        <v>0</v>
      </c>
      <c r="N167">
        <f t="shared" si="14"/>
        <v>42.923653523830858</v>
      </c>
      <c r="O167">
        <f>IF(B167&lt;&gt;B166, Dashboard!$L$6,0)</f>
        <v>0</v>
      </c>
      <c r="P167">
        <f t="shared" si="15"/>
        <v>44.067254823001704</v>
      </c>
      <c r="Q167">
        <f>IF(B167&lt;&gt;B166,IF(F167&lt;=AVERAGE(F145:F166),Dashboard!$N$6-Dashboard!$G$7,Dashboard!$N$6+Dashboard!$G$7),0)</f>
        <v>0</v>
      </c>
      <c r="R167">
        <f t="shared" si="16"/>
        <v>42.513140620265162</v>
      </c>
    </row>
    <row r="168" spans="1:18" x14ac:dyDescent="0.3">
      <c r="A168" s="1">
        <v>44202</v>
      </c>
      <c r="B168">
        <v>6</v>
      </c>
      <c r="C168" s="19">
        <v>1</v>
      </c>
      <c r="D168" s="20">
        <v>2021</v>
      </c>
      <c r="E168" s="21">
        <f t="shared" si="12"/>
        <v>44348</v>
      </c>
      <c r="F168" s="20">
        <v>385.83</v>
      </c>
      <c r="G168" s="20">
        <v>4389042</v>
      </c>
      <c r="H168" s="20">
        <v>388.5</v>
      </c>
      <c r="I168" s="20">
        <v>388.62</v>
      </c>
      <c r="J168" s="22">
        <v>385.38</v>
      </c>
      <c r="K168" s="2">
        <f t="shared" si="13"/>
        <v>16561.23323909966</v>
      </c>
      <c r="L168" s="2">
        <f>IF(B168&lt;&gt;B167,L167*(1+Dashboard!$G$5)+Dashboard!$G$6, L167)</f>
        <v>18646.783171075705</v>
      </c>
      <c r="M168">
        <f t="shared" si="17"/>
        <v>2085.5499319760456</v>
      </c>
      <c r="N168">
        <f t="shared" si="14"/>
        <v>42.923653523830858</v>
      </c>
      <c r="O168">
        <f>IF(B168&lt;&gt;B167, Dashboard!$L$6,0)</f>
        <v>1859.7282542371197</v>
      </c>
      <c r="P168">
        <f t="shared" si="15"/>
        <v>48.887326497669612</v>
      </c>
      <c r="Q168">
        <f>IF(B168&lt;&gt;B167,IF(F168&lt;=AVERAGE(F146:F167),Dashboard!$N$6-Dashboard!$G$7,Dashboard!$N$6+Dashboard!$G$7),0)</f>
        <v>2232.609610169322</v>
      </c>
      <c r="R168">
        <f t="shared" si="16"/>
        <v>48.259883503583879</v>
      </c>
    </row>
    <row r="169" spans="1:18" x14ac:dyDescent="0.3">
      <c r="A169" s="1">
        <v>44233</v>
      </c>
      <c r="B169">
        <v>6</v>
      </c>
      <c r="C169" s="19">
        <v>2</v>
      </c>
      <c r="D169" s="20">
        <v>2021</v>
      </c>
      <c r="E169" s="21">
        <f t="shared" si="12"/>
        <v>44349</v>
      </c>
      <c r="F169" s="20">
        <v>386.48</v>
      </c>
      <c r="G169" s="20">
        <v>3209191</v>
      </c>
      <c r="H169" s="20">
        <v>386.45</v>
      </c>
      <c r="I169" s="20">
        <v>387.24</v>
      </c>
      <c r="J169" s="22">
        <v>385.47</v>
      </c>
      <c r="K169" s="2">
        <f t="shared" si="13"/>
        <v>18678.197029669387</v>
      </c>
      <c r="L169" s="2">
        <f>IF(B169&lt;&gt;B168,L168*(1+Dashboard!$G$5)+Dashboard!$G$6, L168)</f>
        <v>18646.783171075705</v>
      </c>
      <c r="M169">
        <f t="shared" si="17"/>
        <v>0</v>
      </c>
      <c r="N169">
        <f t="shared" si="14"/>
        <v>48.329013221044775</v>
      </c>
      <c r="O169">
        <f>IF(B169&lt;&gt;B168, Dashboard!$L$6,0)</f>
        <v>0</v>
      </c>
      <c r="P169">
        <f t="shared" si="15"/>
        <v>48.887326497669612</v>
      </c>
      <c r="Q169">
        <f>IF(B169&lt;&gt;B168,IF(F169&lt;=AVERAGE(F147:F168),Dashboard!$N$6-Dashboard!$G$7,Dashboard!$N$6+Dashboard!$G$7),0)</f>
        <v>0</v>
      </c>
      <c r="R169">
        <f t="shared" si="16"/>
        <v>48.259883503583879</v>
      </c>
    </row>
    <row r="170" spans="1:18" x14ac:dyDescent="0.3">
      <c r="A170" s="1">
        <v>44261</v>
      </c>
      <c r="B170">
        <v>6</v>
      </c>
      <c r="C170" s="19">
        <v>3</v>
      </c>
      <c r="D170" s="20">
        <v>2021</v>
      </c>
      <c r="E170" s="21">
        <f t="shared" si="12"/>
        <v>44350</v>
      </c>
      <c r="F170" s="20">
        <v>385.01</v>
      </c>
      <c r="G170" s="20">
        <v>3390955</v>
      </c>
      <c r="H170" s="20">
        <v>384.17</v>
      </c>
      <c r="I170" s="20">
        <v>386.11</v>
      </c>
      <c r="J170" s="22">
        <v>382.7</v>
      </c>
      <c r="K170" s="2">
        <f t="shared" si="13"/>
        <v>18607.153380234449</v>
      </c>
      <c r="L170" s="2">
        <f>IF(B170&lt;&gt;B169,L169*(1+Dashboard!$G$5)+Dashboard!$G$6, L169)</f>
        <v>18646.783171075705</v>
      </c>
      <c r="M170">
        <f t="shared" si="17"/>
        <v>0</v>
      </c>
      <c r="N170">
        <f t="shared" si="14"/>
        <v>48.329013221044775</v>
      </c>
      <c r="O170">
        <f>IF(B170&lt;&gt;B169, Dashboard!$L$6,0)</f>
        <v>0</v>
      </c>
      <c r="P170">
        <f t="shared" si="15"/>
        <v>48.887326497669612</v>
      </c>
      <c r="Q170">
        <f>IF(B170&lt;&gt;B169,IF(F170&lt;=AVERAGE(F148:F169),Dashboard!$N$6-Dashboard!$G$7,Dashboard!$N$6+Dashboard!$G$7),0)</f>
        <v>0</v>
      </c>
      <c r="R170">
        <f t="shared" si="16"/>
        <v>48.259883503583879</v>
      </c>
    </row>
    <row r="171" spans="1:18" x14ac:dyDescent="0.3">
      <c r="A171" s="1">
        <v>44292</v>
      </c>
      <c r="B171">
        <v>6</v>
      </c>
      <c r="C171" s="19">
        <v>4</v>
      </c>
      <c r="D171" s="20">
        <v>2021</v>
      </c>
      <c r="E171" s="21">
        <f t="shared" si="12"/>
        <v>44351</v>
      </c>
      <c r="F171" s="20">
        <v>388.5</v>
      </c>
      <c r="G171" s="20">
        <v>2628143</v>
      </c>
      <c r="H171" s="20">
        <v>386.81</v>
      </c>
      <c r="I171" s="20">
        <v>388.8</v>
      </c>
      <c r="J171" s="22">
        <v>386.76</v>
      </c>
      <c r="K171" s="2">
        <f t="shared" si="13"/>
        <v>18775.821636375895</v>
      </c>
      <c r="L171" s="2">
        <f>IF(B171&lt;&gt;B170,L170*(1+Dashboard!$G$5)+Dashboard!$G$6, L170)</f>
        <v>18646.783171075705</v>
      </c>
      <c r="M171">
        <f t="shared" si="17"/>
        <v>0</v>
      </c>
      <c r="N171">
        <f t="shared" si="14"/>
        <v>48.329013221044775</v>
      </c>
      <c r="O171">
        <f>IF(B171&lt;&gt;B170, Dashboard!$L$6,0)</f>
        <v>0</v>
      </c>
      <c r="P171">
        <f t="shared" si="15"/>
        <v>48.887326497669612</v>
      </c>
      <c r="Q171">
        <f>IF(B171&lt;&gt;B170,IF(F171&lt;=AVERAGE(F149:F170),Dashboard!$N$6-Dashboard!$G$7,Dashboard!$N$6+Dashboard!$G$7),0)</f>
        <v>0</v>
      </c>
      <c r="R171">
        <f t="shared" si="16"/>
        <v>48.259883503583879</v>
      </c>
    </row>
    <row r="172" spans="1:18" x14ac:dyDescent="0.3">
      <c r="A172" s="1">
        <v>44383</v>
      </c>
      <c r="B172">
        <v>6</v>
      </c>
      <c r="C172" s="19">
        <v>7</v>
      </c>
      <c r="D172" s="20">
        <v>2021</v>
      </c>
      <c r="E172" s="21">
        <f t="shared" si="12"/>
        <v>44354</v>
      </c>
      <c r="F172" s="20">
        <v>388.17</v>
      </c>
      <c r="G172" s="20">
        <v>2500620</v>
      </c>
      <c r="H172" s="20">
        <v>388.52</v>
      </c>
      <c r="I172" s="20">
        <v>388.69</v>
      </c>
      <c r="J172" s="22">
        <v>387.25</v>
      </c>
      <c r="K172" s="2">
        <f t="shared" si="13"/>
        <v>18759.87306201295</v>
      </c>
      <c r="L172" s="2">
        <f>IF(B172&lt;&gt;B171,L171*(1+Dashboard!$G$5)+Dashboard!$G$6, L171)</f>
        <v>18646.783171075705</v>
      </c>
      <c r="M172">
        <f t="shared" si="17"/>
        <v>0</v>
      </c>
      <c r="N172">
        <f t="shared" si="14"/>
        <v>48.329013221044775</v>
      </c>
      <c r="O172">
        <f>IF(B172&lt;&gt;B171, Dashboard!$L$6,0)</f>
        <v>0</v>
      </c>
      <c r="P172">
        <f t="shared" si="15"/>
        <v>48.887326497669612</v>
      </c>
      <c r="Q172">
        <f>IF(B172&lt;&gt;B171,IF(F172&lt;=AVERAGE(F150:F171),Dashboard!$N$6-Dashboard!$G$7,Dashboard!$N$6+Dashboard!$G$7),0)</f>
        <v>0</v>
      </c>
      <c r="R172">
        <f t="shared" si="16"/>
        <v>48.259883503583879</v>
      </c>
    </row>
    <row r="173" spans="1:18" x14ac:dyDescent="0.3">
      <c r="A173" s="1">
        <v>44414</v>
      </c>
      <c r="B173">
        <v>6</v>
      </c>
      <c r="C173" s="19">
        <v>8</v>
      </c>
      <c r="D173" s="20">
        <v>2021</v>
      </c>
      <c r="E173" s="21">
        <f t="shared" si="12"/>
        <v>44355</v>
      </c>
      <c r="F173" s="20">
        <v>388.23</v>
      </c>
      <c r="G173" s="20">
        <v>2386617</v>
      </c>
      <c r="H173" s="20">
        <v>389</v>
      </c>
      <c r="I173" s="20">
        <v>389.08</v>
      </c>
      <c r="J173" s="22">
        <v>386.44</v>
      </c>
      <c r="K173" s="2">
        <f t="shared" si="13"/>
        <v>18762.772802806216</v>
      </c>
      <c r="L173" s="2">
        <f>IF(B173&lt;&gt;B172,L172*(1+Dashboard!$G$5)+Dashboard!$G$6, L172)</f>
        <v>18646.783171075705</v>
      </c>
      <c r="M173">
        <f t="shared" si="17"/>
        <v>0</v>
      </c>
      <c r="N173">
        <f t="shared" si="14"/>
        <v>48.329013221044775</v>
      </c>
      <c r="O173">
        <f>IF(B173&lt;&gt;B172, Dashboard!$L$6,0)</f>
        <v>0</v>
      </c>
      <c r="P173">
        <f t="shared" si="15"/>
        <v>48.887326497669612</v>
      </c>
      <c r="Q173">
        <f>IF(B173&lt;&gt;B172,IF(F173&lt;=AVERAGE(F151:F172),Dashboard!$N$6-Dashboard!$G$7,Dashboard!$N$6+Dashboard!$G$7),0)</f>
        <v>0</v>
      </c>
      <c r="R173">
        <f t="shared" si="16"/>
        <v>48.259883503583879</v>
      </c>
    </row>
    <row r="174" spans="1:18" x14ac:dyDescent="0.3">
      <c r="A174" s="1">
        <v>44445</v>
      </c>
      <c r="B174">
        <v>6</v>
      </c>
      <c r="C174" s="19">
        <v>9</v>
      </c>
      <c r="D174" s="20">
        <v>2021</v>
      </c>
      <c r="E174" s="21">
        <f t="shared" si="12"/>
        <v>44356</v>
      </c>
      <c r="F174" s="20">
        <v>387.62</v>
      </c>
      <c r="G174" s="20">
        <v>2968089</v>
      </c>
      <c r="H174" s="20">
        <v>389.08</v>
      </c>
      <c r="I174" s="20">
        <v>389.13</v>
      </c>
      <c r="J174" s="22">
        <v>387.41</v>
      </c>
      <c r="K174" s="2">
        <f t="shared" si="13"/>
        <v>18733.292104741377</v>
      </c>
      <c r="L174" s="2">
        <f>IF(B174&lt;&gt;B173,L173*(1+Dashboard!$G$5)+Dashboard!$G$6, L173)</f>
        <v>18646.783171075705</v>
      </c>
      <c r="M174">
        <f t="shared" si="17"/>
        <v>0</v>
      </c>
      <c r="N174">
        <f t="shared" si="14"/>
        <v>48.329013221044775</v>
      </c>
      <c r="O174">
        <f>IF(B174&lt;&gt;B173, Dashboard!$L$6,0)</f>
        <v>0</v>
      </c>
      <c r="P174">
        <f t="shared" si="15"/>
        <v>48.887326497669612</v>
      </c>
      <c r="Q174">
        <f>IF(B174&lt;&gt;B173,IF(F174&lt;=AVERAGE(F152:F173),Dashboard!$N$6-Dashboard!$G$7,Dashboard!$N$6+Dashboard!$G$7),0)</f>
        <v>0</v>
      </c>
      <c r="R174">
        <f t="shared" si="16"/>
        <v>48.259883503583879</v>
      </c>
    </row>
    <row r="175" spans="1:18" x14ac:dyDescent="0.3">
      <c r="A175" s="1">
        <v>44475</v>
      </c>
      <c r="B175">
        <v>6</v>
      </c>
      <c r="C175" s="19">
        <v>10</v>
      </c>
      <c r="D175" s="20">
        <v>2021</v>
      </c>
      <c r="E175" s="21">
        <f t="shared" si="12"/>
        <v>44357</v>
      </c>
      <c r="F175" s="20">
        <v>389.41</v>
      </c>
      <c r="G175" s="20">
        <v>2611815</v>
      </c>
      <c r="H175" s="20">
        <v>388.86</v>
      </c>
      <c r="I175" s="20">
        <v>390.35969999999998</v>
      </c>
      <c r="J175" s="22">
        <v>387.58</v>
      </c>
      <c r="K175" s="2">
        <f t="shared" si="13"/>
        <v>18819.801038407048</v>
      </c>
      <c r="L175" s="2">
        <f>IF(B175&lt;&gt;B174,L174*(1+Dashboard!$G$5)+Dashboard!$G$6, L174)</f>
        <v>18646.783171075705</v>
      </c>
      <c r="M175">
        <f t="shared" si="17"/>
        <v>0</v>
      </c>
      <c r="N175">
        <f t="shared" si="14"/>
        <v>48.329013221044775</v>
      </c>
      <c r="O175">
        <f>IF(B175&lt;&gt;B174, Dashboard!$L$6,0)</f>
        <v>0</v>
      </c>
      <c r="P175">
        <f t="shared" si="15"/>
        <v>48.887326497669612</v>
      </c>
      <c r="Q175">
        <f>IF(B175&lt;&gt;B174,IF(F175&lt;=AVERAGE(F153:F174),Dashboard!$N$6-Dashboard!$G$7,Dashboard!$N$6+Dashboard!$G$7),0)</f>
        <v>0</v>
      </c>
      <c r="R175">
        <f t="shared" si="16"/>
        <v>48.259883503583879</v>
      </c>
    </row>
    <row r="176" spans="1:18" x14ac:dyDescent="0.3">
      <c r="A176" s="1">
        <v>44506</v>
      </c>
      <c r="B176">
        <v>6</v>
      </c>
      <c r="C176" s="19">
        <v>11</v>
      </c>
      <c r="D176" s="20">
        <v>2021</v>
      </c>
      <c r="E176" s="21">
        <f t="shared" si="12"/>
        <v>44358</v>
      </c>
      <c r="F176" s="20">
        <v>390.09</v>
      </c>
      <c r="G176" s="20">
        <v>2241500</v>
      </c>
      <c r="H176" s="20">
        <v>390</v>
      </c>
      <c r="I176" s="20">
        <v>390.2</v>
      </c>
      <c r="J176" s="22">
        <v>388.73</v>
      </c>
      <c r="K176" s="2">
        <f t="shared" si="13"/>
        <v>18852.664767397357</v>
      </c>
      <c r="L176" s="2">
        <f>IF(B176&lt;&gt;B175,L175*(1+Dashboard!$G$5)+Dashboard!$G$6, L175)</f>
        <v>18646.783171075705</v>
      </c>
      <c r="M176">
        <f t="shared" si="17"/>
        <v>0</v>
      </c>
      <c r="N176">
        <f t="shared" si="14"/>
        <v>48.329013221044775</v>
      </c>
      <c r="O176">
        <f>IF(B176&lt;&gt;B175, Dashboard!$L$6,0)</f>
        <v>0</v>
      </c>
      <c r="P176">
        <f t="shared" si="15"/>
        <v>48.887326497669612</v>
      </c>
      <c r="Q176">
        <f>IF(B176&lt;&gt;B175,IF(F176&lt;=AVERAGE(F154:F175),Dashboard!$N$6-Dashboard!$G$7,Dashboard!$N$6+Dashboard!$G$7),0)</f>
        <v>0</v>
      </c>
      <c r="R176">
        <f t="shared" si="16"/>
        <v>48.259883503583879</v>
      </c>
    </row>
    <row r="177" spans="1:18" x14ac:dyDescent="0.3">
      <c r="A177" t="s">
        <v>656</v>
      </c>
      <c r="B177">
        <v>6</v>
      </c>
      <c r="C177" s="19">
        <v>14</v>
      </c>
      <c r="D177" s="20">
        <v>2021</v>
      </c>
      <c r="E177" s="21">
        <f t="shared" si="12"/>
        <v>44361</v>
      </c>
      <c r="F177" s="20">
        <v>391.07</v>
      </c>
      <c r="G177" s="20">
        <v>2252205</v>
      </c>
      <c r="H177" s="20">
        <v>390.21</v>
      </c>
      <c r="I177" s="20">
        <v>391.07</v>
      </c>
      <c r="J177" s="22">
        <v>389</v>
      </c>
      <c r="K177" s="2">
        <f t="shared" si="13"/>
        <v>18900.027200353979</v>
      </c>
      <c r="L177" s="2">
        <f>IF(B177&lt;&gt;B176,L176*(1+Dashboard!$G$5)+Dashboard!$G$6, L176)</f>
        <v>18646.783171075705</v>
      </c>
      <c r="M177">
        <f t="shared" si="17"/>
        <v>0</v>
      </c>
      <c r="N177">
        <f t="shared" si="14"/>
        <v>48.329013221044775</v>
      </c>
      <c r="O177">
        <f>IF(B177&lt;&gt;B176, Dashboard!$L$6,0)</f>
        <v>0</v>
      </c>
      <c r="P177">
        <f t="shared" si="15"/>
        <v>48.887326497669612</v>
      </c>
      <c r="Q177">
        <f>IF(B177&lt;&gt;B176,IF(F177&lt;=AVERAGE(F155:F176),Dashboard!$N$6-Dashboard!$G$7,Dashboard!$N$6+Dashboard!$G$7),0)</f>
        <v>0</v>
      </c>
      <c r="R177">
        <f t="shared" si="16"/>
        <v>48.259883503583879</v>
      </c>
    </row>
    <row r="178" spans="1:18" x14ac:dyDescent="0.3">
      <c r="A178" t="s">
        <v>655</v>
      </c>
      <c r="B178">
        <v>6</v>
      </c>
      <c r="C178" s="19">
        <v>15</v>
      </c>
      <c r="D178" s="20">
        <v>2021</v>
      </c>
      <c r="E178" s="21">
        <f t="shared" si="12"/>
        <v>44362</v>
      </c>
      <c r="F178" s="20">
        <v>390.25</v>
      </c>
      <c r="G178" s="20">
        <v>2405039</v>
      </c>
      <c r="H178" s="20">
        <v>391.15</v>
      </c>
      <c r="I178" s="20">
        <v>391.2</v>
      </c>
      <c r="J178" s="22">
        <v>389.40989999999999</v>
      </c>
      <c r="K178" s="2">
        <f t="shared" si="13"/>
        <v>18860.397409512723</v>
      </c>
      <c r="L178" s="2">
        <f>IF(B178&lt;&gt;B177,L177*(1+Dashboard!$G$5)+Dashboard!$G$6, L177)</f>
        <v>18646.783171075705</v>
      </c>
      <c r="M178">
        <f t="shared" si="17"/>
        <v>0</v>
      </c>
      <c r="N178">
        <f t="shared" si="14"/>
        <v>48.329013221044775</v>
      </c>
      <c r="O178">
        <f>IF(B178&lt;&gt;B177, Dashboard!$L$6,0)</f>
        <v>0</v>
      </c>
      <c r="P178">
        <f t="shared" si="15"/>
        <v>48.887326497669612</v>
      </c>
      <c r="Q178">
        <f>IF(B178&lt;&gt;B177,IF(F178&lt;=AVERAGE(F156:F177),Dashboard!$N$6-Dashboard!$G$7,Dashboard!$N$6+Dashboard!$G$7),0)</f>
        <v>0</v>
      </c>
      <c r="R178">
        <f t="shared" si="16"/>
        <v>48.259883503583879</v>
      </c>
    </row>
    <row r="179" spans="1:18" x14ac:dyDescent="0.3">
      <c r="A179" t="s">
        <v>654</v>
      </c>
      <c r="B179">
        <v>6</v>
      </c>
      <c r="C179" s="19">
        <v>16</v>
      </c>
      <c r="D179" s="20">
        <v>2021</v>
      </c>
      <c r="E179" s="21">
        <f t="shared" si="12"/>
        <v>44363</v>
      </c>
      <c r="F179" s="20">
        <v>388.11</v>
      </c>
      <c r="G179" s="20">
        <v>4194316</v>
      </c>
      <c r="H179" s="20">
        <v>390.41899999999998</v>
      </c>
      <c r="I179" s="20">
        <v>390.58</v>
      </c>
      <c r="J179" s="22">
        <v>386.02</v>
      </c>
      <c r="K179" s="2">
        <f t="shared" si="13"/>
        <v>18756.973321219688</v>
      </c>
      <c r="L179" s="2">
        <f>IF(B179&lt;&gt;B178,L178*(1+Dashboard!$G$5)+Dashboard!$G$6, L178)</f>
        <v>18646.783171075705</v>
      </c>
      <c r="M179">
        <f t="shared" si="17"/>
        <v>0</v>
      </c>
      <c r="N179">
        <f t="shared" si="14"/>
        <v>48.329013221044775</v>
      </c>
      <c r="O179">
        <f>IF(B179&lt;&gt;B178, Dashboard!$L$6,0)</f>
        <v>0</v>
      </c>
      <c r="P179">
        <f t="shared" si="15"/>
        <v>48.887326497669612</v>
      </c>
      <c r="Q179">
        <f>IF(B179&lt;&gt;B178,IF(F179&lt;=AVERAGE(F157:F178),Dashboard!$N$6-Dashboard!$G$7,Dashboard!$N$6+Dashboard!$G$7),0)</f>
        <v>0</v>
      </c>
      <c r="R179">
        <f t="shared" si="16"/>
        <v>48.259883503583879</v>
      </c>
    </row>
    <row r="180" spans="1:18" x14ac:dyDescent="0.3">
      <c r="A180" t="s">
        <v>653</v>
      </c>
      <c r="B180">
        <v>6</v>
      </c>
      <c r="C180" s="19">
        <v>17</v>
      </c>
      <c r="D180" s="20">
        <v>2021</v>
      </c>
      <c r="E180" s="21">
        <f t="shared" si="12"/>
        <v>44364</v>
      </c>
      <c r="F180" s="20">
        <v>387.97</v>
      </c>
      <c r="G180" s="20">
        <v>4065333</v>
      </c>
      <c r="H180" s="20">
        <v>387.62</v>
      </c>
      <c r="I180" s="20">
        <v>388.91</v>
      </c>
      <c r="J180" s="22">
        <v>385.5</v>
      </c>
      <c r="K180" s="2">
        <f t="shared" si="13"/>
        <v>18750.207259368744</v>
      </c>
      <c r="L180" s="2">
        <f>IF(B180&lt;&gt;B179,L179*(1+Dashboard!$G$5)+Dashboard!$G$6, L179)</f>
        <v>18646.783171075705</v>
      </c>
      <c r="M180">
        <f t="shared" si="17"/>
        <v>0</v>
      </c>
      <c r="N180">
        <f t="shared" si="14"/>
        <v>48.329013221044775</v>
      </c>
      <c r="O180">
        <f>IF(B180&lt;&gt;B179, Dashboard!$L$6,0)</f>
        <v>0</v>
      </c>
      <c r="P180">
        <f t="shared" si="15"/>
        <v>48.887326497669612</v>
      </c>
      <c r="Q180">
        <f>IF(B180&lt;&gt;B179,IF(F180&lt;=AVERAGE(F158:F179),Dashboard!$N$6-Dashboard!$G$7,Dashboard!$N$6+Dashboard!$G$7),0)</f>
        <v>0</v>
      </c>
      <c r="R180">
        <f t="shared" si="16"/>
        <v>48.259883503583879</v>
      </c>
    </row>
    <row r="181" spans="1:18" x14ac:dyDescent="0.3">
      <c r="A181" t="s">
        <v>652</v>
      </c>
      <c r="B181">
        <v>6</v>
      </c>
      <c r="C181" s="19">
        <v>18</v>
      </c>
      <c r="D181" s="20">
        <v>2021</v>
      </c>
      <c r="E181" s="21">
        <f t="shared" si="12"/>
        <v>44365</v>
      </c>
      <c r="F181" s="20">
        <v>382.82</v>
      </c>
      <c r="G181" s="20">
        <v>5211110</v>
      </c>
      <c r="H181" s="20">
        <v>384.79</v>
      </c>
      <c r="I181" s="20">
        <v>385.38</v>
      </c>
      <c r="J181" s="22">
        <v>382.52</v>
      </c>
      <c r="K181" s="2">
        <f t="shared" si="13"/>
        <v>18501.31284128036</v>
      </c>
      <c r="L181" s="2">
        <f>IF(B181&lt;&gt;B180,L180*(1+Dashboard!$G$5)+Dashboard!$G$6, L180)</f>
        <v>18646.783171075705</v>
      </c>
      <c r="M181">
        <f t="shared" si="17"/>
        <v>0</v>
      </c>
      <c r="N181">
        <f t="shared" si="14"/>
        <v>48.329013221044775</v>
      </c>
      <c r="O181">
        <f>IF(B181&lt;&gt;B180, Dashboard!$L$6,0)</f>
        <v>0</v>
      </c>
      <c r="P181">
        <f t="shared" si="15"/>
        <v>48.887326497669612</v>
      </c>
      <c r="Q181">
        <f>IF(B181&lt;&gt;B180,IF(F181&lt;=AVERAGE(F159:F180),Dashboard!$N$6-Dashboard!$G$7,Dashboard!$N$6+Dashboard!$G$7),0)</f>
        <v>0</v>
      </c>
      <c r="R181">
        <f t="shared" si="16"/>
        <v>48.259883503583879</v>
      </c>
    </row>
    <row r="182" spans="1:18" x14ac:dyDescent="0.3">
      <c r="A182" t="s">
        <v>651</v>
      </c>
      <c r="B182">
        <v>6</v>
      </c>
      <c r="C182" s="19">
        <v>21</v>
      </c>
      <c r="D182" s="20">
        <v>2021</v>
      </c>
      <c r="E182" s="21">
        <f t="shared" si="12"/>
        <v>44368</v>
      </c>
      <c r="F182" s="20">
        <v>388.18</v>
      </c>
      <c r="G182" s="20">
        <v>4389779</v>
      </c>
      <c r="H182" s="20">
        <v>384.5</v>
      </c>
      <c r="I182" s="20">
        <v>388.38</v>
      </c>
      <c r="J182" s="22">
        <v>383.65</v>
      </c>
      <c r="K182" s="2">
        <f t="shared" si="13"/>
        <v>18760.356352145162</v>
      </c>
      <c r="L182" s="2">
        <f>IF(B182&lt;&gt;B181,L181*(1+Dashboard!$G$5)+Dashboard!$G$6, L181)</f>
        <v>18646.783171075705</v>
      </c>
      <c r="M182">
        <f t="shared" si="17"/>
        <v>0</v>
      </c>
      <c r="N182">
        <f t="shared" si="14"/>
        <v>48.329013221044775</v>
      </c>
      <c r="O182">
        <f>IF(B182&lt;&gt;B181, Dashboard!$L$6,0)</f>
        <v>0</v>
      </c>
      <c r="P182">
        <f t="shared" si="15"/>
        <v>48.887326497669612</v>
      </c>
      <c r="Q182">
        <f>IF(B182&lt;&gt;B181,IF(F182&lt;=AVERAGE(F160:F181),Dashboard!$N$6-Dashboard!$G$7,Dashboard!$N$6+Dashboard!$G$7),0)</f>
        <v>0</v>
      </c>
      <c r="R182">
        <f t="shared" si="16"/>
        <v>48.259883503583879</v>
      </c>
    </row>
    <row r="183" spans="1:18" x14ac:dyDescent="0.3">
      <c r="A183" t="s">
        <v>650</v>
      </c>
      <c r="B183">
        <v>6</v>
      </c>
      <c r="C183" s="19">
        <v>22</v>
      </c>
      <c r="D183" s="20">
        <v>2021</v>
      </c>
      <c r="E183" s="21">
        <f t="shared" si="12"/>
        <v>44369</v>
      </c>
      <c r="F183" s="20">
        <v>390.24</v>
      </c>
      <c r="G183" s="20">
        <v>2705442</v>
      </c>
      <c r="H183" s="20">
        <v>388.24</v>
      </c>
      <c r="I183" s="20">
        <v>391.09</v>
      </c>
      <c r="J183" s="22">
        <v>387.47</v>
      </c>
      <c r="K183" s="2">
        <f t="shared" si="13"/>
        <v>18859.914119380512</v>
      </c>
      <c r="L183" s="2">
        <f>IF(B183&lt;&gt;B182,L182*(1+Dashboard!$G$5)+Dashboard!$G$6, L182)</f>
        <v>18646.783171075705</v>
      </c>
      <c r="M183">
        <f t="shared" si="17"/>
        <v>0</v>
      </c>
      <c r="N183">
        <f t="shared" si="14"/>
        <v>48.329013221044775</v>
      </c>
      <c r="O183">
        <f>IF(B183&lt;&gt;B182, Dashboard!$L$6,0)</f>
        <v>0</v>
      </c>
      <c r="P183">
        <f t="shared" si="15"/>
        <v>48.887326497669612</v>
      </c>
      <c r="Q183">
        <f>IF(B183&lt;&gt;B182,IF(F183&lt;=AVERAGE(F161:F182),Dashboard!$N$6-Dashboard!$G$7,Dashboard!$N$6+Dashboard!$G$7),0)</f>
        <v>0</v>
      </c>
      <c r="R183">
        <f t="shared" si="16"/>
        <v>48.259883503583879</v>
      </c>
    </row>
    <row r="184" spans="1:18" x14ac:dyDescent="0.3">
      <c r="A184" t="s">
        <v>649</v>
      </c>
      <c r="B184">
        <v>6</v>
      </c>
      <c r="C184" s="19">
        <v>23</v>
      </c>
      <c r="D184" s="20">
        <v>2021</v>
      </c>
      <c r="E184" s="21">
        <f t="shared" si="12"/>
        <v>44370</v>
      </c>
      <c r="F184" s="20">
        <v>389.82</v>
      </c>
      <c r="G184" s="20">
        <v>2404155</v>
      </c>
      <c r="H184" s="20">
        <v>390.35</v>
      </c>
      <c r="I184" s="20">
        <v>391.14</v>
      </c>
      <c r="J184" s="22">
        <v>389.7</v>
      </c>
      <c r="K184" s="2">
        <f t="shared" si="13"/>
        <v>18839.615933827674</v>
      </c>
      <c r="L184" s="2">
        <f>IF(B184&lt;&gt;B183,L183*(1+Dashboard!$G$5)+Dashboard!$G$6, L183)</f>
        <v>18646.783171075705</v>
      </c>
      <c r="M184">
        <f t="shared" si="17"/>
        <v>0</v>
      </c>
      <c r="N184">
        <f t="shared" si="14"/>
        <v>48.329013221044775</v>
      </c>
      <c r="O184">
        <f>IF(B184&lt;&gt;B183, Dashboard!$L$6,0)</f>
        <v>0</v>
      </c>
      <c r="P184">
        <f t="shared" si="15"/>
        <v>48.887326497669612</v>
      </c>
      <c r="Q184">
        <f>IF(B184&lt;&gt;B183,IF(F184&lt;=AVERAGE(F162:F183),Dashboard!$N$6-Dashboard!$G$7,Dashboard!$N$6+Dashboard!$G$7),0)</f>
        <v>0</v>
      </c>
      <c r="R184">
        <f t="shared" si="16"/>
        <v>48.259883503583879</v>
      </c>
    </row>
    <row r="185" spans="1:18" x14ac:dyDescent="0.3">
      <c r="A185" t="s">
        <v>648</v>
      </c>
      <c r="B185">
        <v>6</v>
      </c>
      <c r="C185" s="19">
        <v>24</v>
      </c>
      <c r="D185" s="20">
        <v>2021</v>
      </c>
      <c r="E185" s="21">
        <f t="shared" si="12"/>
        <v>44371</v>
      </c>
      <c r="F185" s="20">
        <v>392.05</v>
      </c>
      <c r="G185" s="20">
        <v>2987820</v>
      </c>
      <c r="H185" s="20">
        <v>391.89</v>
      </c>
      <c r="I185" s="20">
        <v>392.51850000000002</v>
      </c>
      <c r="J185" s="22">
        <v>391.67</v>
      </c>
      <c r="K185" s="2">
        <f t="shared" si="13"/>
        <v>18947.389633310606</v>
      </c>
      <c r="L185" s="2">
        <f>IF(B185&lt;&gt;B184,L184*(1+Dashboard!$G$5)+Dashboard!$G$6, L184)</f>
        <v>18646.783171075705</v>
      </c>
      <c r="M185">
        <f t="shared" si="17"/>
        <v>0</v>
      </c>
      <c r="N185">
        <f t="shared" si="14"/>
        <v>48.329013221044775</v>
      </c>
      <c r="O185">
        <f>IF(B185&lt;&gt;B184, Dashboard!$L$6,0)</f>
        <v>0</v>
      </c>
      <c r="P185">
        <f t="shared" si="15"/>
        <v>48.887326497669612</v>
      </c>
      <c r="Q185">
        <f>IF(B185&lt;&gt;B184,IF(F185&lt;=AVERAGE(F163:F184),Dashboard!$N$6-Dashboard!$G$7,Dashboard!$N$6+Dashboard!$G$7),0)</f>
        <v>0</v>
      </c>
      <c r="R185">
        <f t="shared" si="16"/>
        <v>48.259883503583879</v>
      </c>
    </row>
    <row r="186" spans="1:18" x14ac:dyDescent="0.3">
      <c r="A186" t="s">
        <v>647</v>
      </c>
      <c r="B186">
        <v>6</v>
      </c>
      <c r="C186" s="19">
        <v>25</v>
      </c>
      <c r="D186" s="20">
        <v>2021</v>
      </c>
      <c r="E186" s="21">
        <f t="shared" si="12"/>
        <v>44372</v>
      </c>
      <c r="F186" s="20">
        <v>393.5</v>
      </c>
      <c r="G186" s="20">
        <v>2863066</v>
      </c>
      <c r="H186" s="20">
        <v>392.9</v>
      </c>
      <c r="I186" s="20">
        <v>393.92</v>
      </c>
      <c r="J186" s="22">
        <v>392.54</v>
      </c>
      <c r="K186" s="2">
        <f t="shared" si="13"/>
        <v>19017.466702481121</v>
      </c>
      <c r="L186" s="2">
        <f>IF(B186&lt;&gt;B185,L185*(1+Dashboard!$G$5)+Dashboard!$G$6, L185)</f>
        <v>18646.783171075705</v>
      </c>
      <c r="M186">
        <f t="shared" si="17"/>
        <v>0</v>
      </c>
      <c r="N186">
        <f t="shared" si="14"/>
        <v>48.329013221044775</v>
      </c>
      <c r="O186">
        <f>IF(B186&lt;&gt;B185, Dashboard!$L$6,0)</f>
        <v>0</v>
      </c>
      <c r="P186">
        <f t="shared" si="15"/>
        <v>48.887326497669612</v>
      </c>
      <c r="Q186">
        <f>IF(B186&lt;&gt;B185,IF(F186&lt;=AVERAGE(F164:F185),Dashboard!$N$6-Dashboard!$G$7,Dashboard!$N$6+Dashboard!$G$7),0)</f>
        <v>0</v>
      </c>
      <c r="R186">
        <f t="shared" si="16"/>
        <v>48.259883503583879</v>
      </c>
    </row>
    <row r="187" spans="1:18" x14ac:dyDescent="0.3">
      <c r="A187" t="s">
        <v>646</v>
      </c>
      <c r="B187">
        <v>6</v>
      </c>
      <c r="C187" s="19">
        <v>28</v>
      </c>
      <c r="D187" s="20">
        <v>2021</v>
      </c>
      <c r="E187" s="21">
        <f t="shared" si="12"/>
        <v>44375</v>
      </c>
      <c r="F187" s="20">
        <v>394.32</v>
      </c>
      <c r="G187" s="20">
        <v>2418472</v>
      </c>
      <c r="H187" s="20">
        <v>394.03</v>
      </c>
      <c r="I187" s="20">
        <v>394.45</v>
      </c>
      <c r="J187" s="22">
        <v>392.83</v>
      </c>
      <c r="K187" s="2">
        <f t="shared" si="13"/>
        <v>19057.096493322377</v>
      </c>
      <c r="L187" s="2">
        <f>IF(B187&lt;&gt;B186,L186*(1+Dashboard!$G$5)+Dashboard!$G$6, L186)</f>
        <v>18646.783171075705</v>
      </c>
      <c r="M187">
        <f t="shared" si="17"/>
        <v>0</v>
      </c>
      <c r="N187">
        <f t="shared" si="14"/>
        <v>48.329013221044775</v>
      </c>
      <c r="O187">
        <f>IF(B187&lt;&gt;B186, Dashboard!$L$6,0)</f>
        <v>0</v>
      </c>
      <c r="P187">
        <f t="shared" si="15"/>
        <v>48.887326497669612</v>
      </c>
      <c r="Q187">
        <f>IF(B187&lt;&gt;B186,IF(F187&lt;=AVERAGE(F165:F186),Dashboard!$N$6-Dashboard!$G$7,Dashboard!$N$6+Dashboard!$G$7),0)</f>
        <v>0</v>
      </c>
      <c r="R187">
        <f t="shared" si="16"/>
        <v>48.259883503583879</v>
      </c>
    </row>
    <row r="188" spans="1:18" x14ac:dyDescent="0.3">
      <c r="A188" t="s">
        <v>645</v>
      </c>
      <c r="B188">
        <v>6</v>
      </c>
      <c r="C188" s="19">
        <v>29</v>
      </c>
      <c r="D188" s="20">
        <v>2021</v>
      </c>
      <c r="E188" s="21">
        <f t="shared" si="12"/>
        <v>44376</v>
      </c>
      <c r="F188" s="20">
        <v>393.16</v>
      </c>
      <c r="G188" s="20">
        <v>2927626</v>
      </c>
      <c r="H188" s="20">
        <v>393.35</v>
      </c>
      <c r="I188" s="20">
        <v>393.94</v>
      </c>
      <c r="J188" s="22">
        <v>392.66</v>
      </c>
      <c r="K188" s="2">
        <f t="shared" si="13"/>
        <v>19001.034837985964</v>
      </c>
      <c r="L188" s="2">
        <f>IF(B188&lt;&gt;B187,L187*(1+Dashboard!$G$5)+Dashboard!$G$6, L187)</f>
        <v>18646.783171075705</v>
      </c>
      <c r="M188">
        <f t="shared" si="17"/>
        <v>0</v>
      </c>
      <c r="N188">
        <f t="shared" si="14"/>
        <v>48.329013221044775</v>
      </c>
      <c r="O188">
        <f>IF(B188&lt;&gt;B187, Dashboard!$L$6,0)</f>
        <v>0</v>
      </c>
      <c r="P188">
        <f t="shared" si="15"/>
        <v>48.887326497669612</v>
      </c>
      <c r="Q188">
        <f>IF(B188&lt;&gt;B187,IF(F188&lt;=AVERAGE(F166:F187),Dashboard!$N$6-Dashboard!$G$7,Dashboard!$N$6+Dashboard!$G$7),0)</f>
        <v>0</v>
      </c>
      <c r="R188">
        <f t="shared" si="16"/>
        <v>48.259883503583879</v>
      </c>
    </row>
    <row r="189" spans="1:18" x14ac:dyDescent="0.3">
      <c r="A189" t="s">
        <v>644</v>
      </c>
      <c r="B189">
        <v>6</v>
      </c>
      <c r="C189" s="19">
        <v>30</v>
      </c>
      <c r="D189" s="20">
        <v>2021</v>
      </c>
      <c r="E189" s="21">
        <f t="shared" si="12"/>
        <v>44377</v>
      </c>
      <c r="F189" s="20">
        <v>393.52</v>
      </c>
      <c r="G189" s="20">
        <v>3795925</v>
      </c>
      <c r="H189" s="20">
        <v>392.72</v>
      </c>
      <c r="I189" s="20">
        <v>394.13099999999997</v>
      </c>
      <c r="J189" s="22">
        <v>392.72</v>
      </c>
      <c r="K189" s="2">
        <f t="shared" si="13"/>
        <v>19018.43328274554</v>
      </c>
      <c r="L189" s="2">
        <f>IF(B189&lt;&gt;B188,L188*(1+Dashboard!$G$5)+Dashboard!$G$6, L188)</f>
        <v>18646.783171075705</v>
      </c>
      <c r="M189">
        <f t="shared" si="17"/>
        <v>0</v>
      </c>
      <c r="N189">
        <f t="shared" si="14"/>
        <v>48.329013221044775</v>
      </c>
      <c r="O189">
        <f>IF(B189&lt;&gt;B188, Dashboard!$L$6,0)</f>
        <v>0</v>
      </c>
      <c r="P189">
        <f t="shared" si="15"/>
        <v>48.887326497669612</v>
      </c>
      <c r="Q189">
        <f>IF(B189&lt;&gt;B188,IF(F189&lt;=AVERAGE(F167:F188),Dashboard!$N$6-Dashboard!$G$7,Dashboard!$N$6+Dashboard!$G$7),0)</f>
        <v>0</v>
      </c>
      <c r="R189">
        <f t="shared" si="16"/>
        <v>48.259883503583879</v>
      </c>
    </row>
    <row r="190" spans="1:18" x14ac:dyDescent="0.3">
      <c r="A190" s="1">
        <v>44203</v>
      </c>
      <c r="B190">
        <v>7</v>
      </c>
      <c r="C190" s="19">
        <v>1</v>
      </c>
      <c r="D190" s="20">
        <v>2021</v>
      </c>
      <c r="E190" s="21">
        <f t="shared" si="12"/>
        <v>44378</v>
      </c>
      <c r="F190" s="20">
        <v>395.74</v>
      </c>
      <c r="G190" s="20">
        <v>3414515</v>
      </c>
      <c r="H190" s="20">
        <v>394.3</v>
      </c>
      <c r="I190" s="20">
        <v>395.85</v>
      </c>
      <c r="J190" s="22">
        <v>394.20620000000002</v>
      </c>
      <c r="K190" s="2">
        <f t="shared" si="13"/>
        <v>19125.72369209626</v>
      </c>
      <c r="L190" s="2">
        <f>IF(B190&lt;&gt;B189,L189*(1+Dashboard!$G$5)+Dashboard!$G$6, L189)</f>
        <v>20810.874862981171</v>
      </c>
      <c r="M190">
        <f t="shared" si="17"/>
        <v>1685.1511708849102</v>
      </c>
      <c r="N190">
        <f t="shared" si="14"/>
        <v>48.329013221044775</v>
      </c>
      <c r="O190">
        <f>IF(B190&lt;&gt;B189, Dashboard!$L$6,0)</f>
        <v>1859.7282542371197</v>
      </c>
      <c r="P190">
        <f t="shared" si="15"/>
        <v>53.586695412202182</v>
      </c>
      <c r="Q190">
        <f>IF(B190&lt;&gt;B189,IF(F190&lt;=AVERAGE(F168:F189),Dashboard!$N$6-Dashboard!$G$7,Dashboard!$N$6+Dashboard!$G$7),0)</f>
        <v>2232.609610169322</v>
      </c>
      <c r="R190">
        <f t="shared" si="16"/>
        <v>53.92209402899428</v>
      </c>
    </row>
    <row r="191" spans="1:18" x14ac:dyDescent="0.3">
      <c r="A191" s="1">
        <v>44234</v>
      </c>
      <c r="B191">
        <v>7</v>
      </c>
      <c r="C191" s="19">
        <v>2</v>
      </c>
      <c r="D191" s="20">
        <v>2021</v>
      </c>
      <c r="E191" s="21">
        <f t="shared" si="12"/>
        <v>44379</v>
      </c>
      <c r="F191" s="20">
        <v>398.75</v>
      </c>
      <c r="G191" s="20">
        <v>4363111</v>
      </c>
      <c r="H191" s="20">
        <v>396.85</v>
      </c>
      <c r="I191" s="20">
        <v>399.05</v>
      </c>
      <c r="J191" s="22">
        <v>396.52499999999998</v>
      </c>
      <c r="K191" s="2">
        <f t="shared" si="13"/>
        <v>20969.162459225099</v>
      </c>
      <c r="L191" s="2">
        <f>IF(B191&lt;&gt;B190,L190*(1+Dashboard!$G$5)+Dashboard!$G$6, L190)</f>
        <v>20810.874862981171</v>
      </c>
      <c r="M191">
        <f t="shared" si="17"/>
        <v>0</v>
      </c>
      <c r="N191">
        <f t="shared" si="14"/>
        <v>52.587241277053543</v>
      </c>
      <c r="O191">
        <f>IF(B191&lt;&gt;B190, Dashboard!$L$6,0)</f>
        <v>0</v>
      </c>
      <c r="P191">
        <f t="shared" si="15"/>
        <v>53.586695412202182</v>
      </c>
      <c r="Q191">
        <f>IF(B191&lt;&gt;B190,IF(F191&lt;=AVERAGE(F169:F190),Dashboard!$N$6-Dashboard!$G$7,Dashboard!$N$6+Dashboard!$G$7),0)</f>
        <v>0</v>
      </c>
      <c r="R191">
        <f t="shared" si="16"/>
        <v>53.92209402899428</v>
      </c>
    </row>
    <row r="192" spans="1:18" x14ac:dyDescent="0.3">
      <c r="A192" s="1">
        <v>44354</v>
      </c>
      <c r="B192">
        <v>7</v>
      </c>
      <c r="C192" s="19">
        <v>6</v>
      </c>
      <c r="D192" s="20">
        <v>2021</v>
      </c>
      <c r="E192" s="21">
        <f t="shared" si="12"/>
        <v>44383</v>
      </c>
      <c r="F192" s="20">
        <v>398</v>
      </c>
      <c r="G192" s="20">
        <v>4331346</v>
      </c>
      <c r="H192" s="20">
        <v>398.77</v>
      </c>
      <c r="I192" s="20">
        <v>398.99</v>
      </c>
      <c r="J192" s="22">
        <v>395.3</v>
      </c>
      <c r="K192" s="2">
        <f t="shared" si="13"/>
        <v>20929.722028267312</v>
      </c>
      <c r="L192" s="2">
        <f>IF(B192&lt;&gt;B191,L191*(1+Dashboard!$G$5)+Dashboard!$G$6, L191)</f>
        <v>20810.874862981171</v>
      </c>
      <c r="M192">
        <f t="shared" si="17"/>
        <v>0</v>
      </c>
      <c r="N192">
        <f t="shared" si="14"/>
        <v>52.587241277053543</v>
      </c>
      <c r="O192">
        <f>IF(B192&lt;&gt;B191, Dashboard!$L$6,0)</f>
        <v>0</v>
      </c>
      <c r="P192">
        <f t="shared" si="15"/>
        <v>53.586695412202182</v>
      </c>
      <c r="Q192">
        <f>IF(B192&lt;&gt;B191,IF(F192&lt;=AVERAGE(F170:F191),Dashboard!$N$6-Dashboard!$G$7,Dashboard!$N$6+Dashboard!$G$7),0)</f>
        <v>0</v>
      </c>
      <c r="R192">
        <f t="shared" si="16"/>
        <v>53.92209402899428</v>
      </c>
    </row>
    <row r="193" spans="1:18" x14ac:dyDescent="0.3">
      <c r="A193" s="1">
        <v>44384</v>
      </c>
      <c r="B193">
        <v>7</v>
      </c>
      <c r="C193" s="19">
        <v>7</v>
      </c>
      <c r="D193" s="20">
        <v>2021</v>
      </c>
      <c r="E193" s="21">
        <f t="shared" si="12"/>
        <v>44384</v>
      </c>
      <c r="F193" s="20">
        <v>399.37</v>
      </c>
      <c r="G193" s="20">
        <v>4747830</v>
      </c>
      <c r="H193" s="20">
        <v>398.67</v>
      </c>
      <c r="I193" s="20">
        <v>399.66</v>
      </c>
      <c r="J193" s="22">
        <v>396.68</v>
      </c>
      <c r="K193" s="2">
        <f t="shared" si="13"/>
        <v>21001.766548816875</v>
      </c>
      <c r="L193" s="2">
        <f>IF(B193&lt;&gt;B192,L192*(1+Dashboard!$G$5)+Dashboard!$G$6, L192)</f>
        <v>20810.874862981171</v>
      </c>
      <c r="M193">
        <f t="shared" si="17"/>
        <v>0</v>
      </c>
      <c r="N193">
        <f t="shared" si="14"/>
        <v>52.587241277053543</v>
      </c>
      <c r="O193">
        <f>IF(B193&lt;&gt;B192, Dashboard!$L$6,0)</f>
        <v>0</v>
      </c>
      <c r="P193">
        <f t="shared" si="15"/>
        <v>53.586695412202182</v>
      </c>
      <c r="Q193">
        <f>IF(B193&lt;&gt;B192,IF(F193&lt;=AVERAGE(F171:F192),Dashboard!$N$6-Dashboard!$G$7,Dashboard!$N$6+Dashboard!$G$7),0)</f>
        <v>0</v>
      </c>
      <c r="R193">
        <f t="shared" si="16"/>
        <v>53.92209402899428</v>
      </c>
    </row>
    <row r="194" spans="1:18" x14ac:dyDescent="0.3">
      <c r="A194" s="1">
        <v>44415</v>
      </c>
      <c r="B194">
        <v>7</v>
      </c>
      <c r="C194" s="19">
        <v>8</v>
      </c>
      <c r="D194" s="20">
        <v>2021</v>
      </c>
      <c r="E194" s="21">
        <f t="shared" ref="E194:E257" si="18">DATE(D194,B194,C194)</f>
        <v>44385</v>
      </c>
      <c r="F194" s="20">
        <v>396.19</v>
      </c>
      <c r="G194" s="20">
        <v>5817105</v>
      </c>
      <c r="H194" s="20">
        <v>394.2</v>
      </c>
      <c r="I194" s="20">
        <v>396.88</v>
      </c>
      <c r="J194" s="22">
        <v>393.02</v>
      </c>
      <c r="K194" s="2">
        <f t="shared" si="13"/>
        <v>20834.539121555845</v>
      </c>
      <c r="L194" s="2">
        <f>IF(B194&lt;&gt;B193,L193*(1+Dashboard!$G$5)+Dashboard!$G$6, L193)</f>
        <v>20810.874862981171</v>
      </c>
      <c r="M194">
        <f t="shared" si="17"/>
        <v>0</v>
      </c>
      <c r="N194">
        <f t="shared" si="14"/>
        <v>52.587241277053543</v>
      </c>
      <c r="O194">
        <f>IF(B194&lt;&gt;B193, Dashboard!$L$6,0)</f>
        <v>0</v>
      </c>
      <c r="P194">
        <f t="shared" si="15"/>
        <v>53.586695412202182</v>
      </c>
      <c r="Q194">
        <f>IF(B194&lt;&gt;B193,IF(F194&lt;=AVERAGE(F172:F193),Dashboard!$N$6-Dashboard!$G$7,Dashboard!$N$6+Dashboard!$G$7),0)</f>
        <v>0</v>
      </c>
      <c r="R194">
        <f t="shared" si="16"/>
        <v>53.92209402899428</v>
      </c>
    </row>
    <row r="195" spans="1:18" x14ac:dyDescent="0.3">
      <c r="A195" s="1">
        <v>44446</v>
      </c>
      <c r="B195">
        <v>7</v>
      </c>
      <c r="C195" s="19">
        <v>9</v>
      </c>
      <c r="D195" s="20">
        <v>2021</v>
      </c>
      <c r="E195" s="21">
        <f t="shared" si="18"/>
        <v>44386</v>
      </c>
      <c r="F195" s="20">
        <v>400.37</v>
      </c>
      <c r="G195" s="20">
        <v>3332168</v>
      </c>
      <c r="H195" s="20">
        <v>397.63</v>
      </c>
      <c r="I195" s="20">
        <v>400.65</v>
      </c>
      <c r="J195" s="22">
        <v>397.42</v>
      </c>
      <c r="K195" s="2">
        <f t="shared" ref="K195:K258" si="19">N195*F195</f>
        <v>21054.353790093926</v>
      </c>
      <c r="L195" s="2">
        <f>IF(B195&lt;&gt;B194,L194*(1+Dashboard!$G$5)+Dashboard!$G$6, L194)</f>
        <v>20810.874862981171</v>
      </c>
      <c r="M195">
        <f t="shared" si="17"/>
        <v>0</v>
      </c>
      <c r="N195">
        <f t="shared" si="14"/>
        <v>52.587241277053543</v>
      </c>
      <c r="O195">
        <f>IF(B195&lt;&gt;B194, Dashboard!$L$6,0)</f>
        <v>0</v>
      </c>
      <c r="P195">
        <f t="shared" si="15"/>
        <v>53.586695412202182</v>
      </c>
      <c r="Q195">
        <f>IF(B195&lt;&gt;B194,IF(F195&lt;=AVERAGE(F173:F194),Dashboard!$N$6-Dashboard!$G$7,Dashboard!$N$6+Dashboard!$G$7),0)</f>
        <v>0</v>
      </c>
      <c r="R195">
        <f t="shared" si="16"/>
        <v>53.92209402899428</v>
      </c>
    </row>
    <row r="196" spans="1:18" x14ac:dyDescent="0.3">
      <c r="A196" s="1">
        <v>44537</v>
      </c>
      <c r="B196">
        <v>7</v>
      </c>
      <c r="C196" s="19">
        <v>12</v>
      </c>
      <c r="D196" s="20">
        <v>2021</v>
      </c>
      <c r="E196" s="21">
        <f t="shared" si="18"/>
        <v>44389</v>
      </c>
      <c r="F196" s="20">
        <v>401.82</v>
      </c>
      <c r="G196" s="20">
        <v>2929163</v>
      </c>
      <c r="H196" s="20">
        <v>400.3</v>
      </c>
      <c r="I196" s="20">
        <v>402.03</v>
      </c>
      <c r="J196" s="22">
        <v>399.87</v>
      </c>
      <c r="K196" s="2">
        <f t="shared" si="19"/>
        <v>21130.605289945655</v>
      </c>
      <c r="L196" s="2">
        <f>IF(B196&lt;&gt;B195,L195*(1+Dashboard!$G$5)+Dashboard!$G$6, L195)</f>
        <v>20810.874862981171</v>
      </c>
      <c r="M196">
        <f t="shared" si="17"/>
        <v>0</v>
      </c>
      <c r="N196">
        <f t="shared" ref="N196:N259" si="20">N195+M195/F195</f>
        <v>52.587241277053543</v>
      </c>
      <c r="O196">
        <f>IF(B196&lt;&gt;B195, Dashboard!$L$6,0)</f>
        <v>0</v>
      </c>
      <c r="P196">
        <f t="shared" ref="P196:P259" si="21">P195+O196/F196</f>
        <v>53.586695412202182</v>
      </c>
      <c r="Q196">
        <f>IF(B196&lt;&gt;B195,IF(F196&lt;=AVERAGE(F174:F195),Dashboard!$N$6-Dashboard!$G$7,Dashboard!$N$6+Dashboard!$G$7),0)</f>
        <v>0</v>
      </c>
      <c r="R196">
        <f t="shared" ref="R196:R259" si="22">R195+Q196/H196</f>
        <v>53.92209402899428</v>
      </c>
    </row>
    <row r="197" spans="1:18" x14ac:dyDescent="0.3">
      <c r="A197" t="s">
        <v>643</v>
      </c>
      <c r="B197">
        <v>7</v>
      </c>
      <c r="C197" s="19">
        <v>13</v>
      </c>
      <c r="D197" s="20">
        <v>2021</v>
      </c>
      <c r="E197" s="21">
        <f t="shared" si="18"/>
        <v>44390</v>
      </c>
      <c r="F197" s="20">
        <v>400.46</v>
      </c>
      <c r="G197" s="20">
        <v>4313092</v>
      </c>
      <c r="H197" s="20">
        <v>401.08</v>
      </c>
      <c r="I197" s="20">
        <v>402.5</v>
      </c>
      <c r="J197" s="22">
        <v>400.18</v>
      </c>
      <c r="K197" s="2">
        <f t="shared" si="19"/>
        <v>21059.086641808863</v>
      </c>
      <c r="L197" s="2">
        <f>IF(B197&lt;&gt;B196,L196*(1+Dashboard!$G$5)+Dashboard!$G$6, L196)</f>
        <v>20810.874862981171</v>
      </c>
      <c r="M197">
        <f t="shared" si="17"/>
        <v>0</v>
      </c>
      <c r="N197">
        <f t="shared" si="20"/>
        <v>52.587241277053543</v>
      </c>
      <c r="O197">
        <f>IF(B197&lt;&gt;B196, Dashboard!$L$6,0)</f>
        <v>0</v>
      </c>
      <c r="P197">
        <f t="shared" si="21"/>
        <v>53.586695412202182</v>
      </c>
      <c r="Q197">
        <f>IF(B197&lt;&gt;B196,IF(F197&lt;=AVERAGE(F175:F196),Dashboard!$N$6-Dashboard!$G$7,Dashboard!$N$6+Dashboard!$G$7),0)</f>
        <v>0</v>
      </c>
      <c r="R197">
        <f t="shared" si="22"/>
        <v>53.92209402899428</v>
      </c>
    </row>
    <row r="198" spans="1:18" x14ac:dyDescent="0.3">
      <c r="A198" t="s">
        <v>642</v>
      </c>
      <c r="B198">
        <v>7</v>
      </c>
      <c r="C198" s="19">
        <v>14</v>
      </c>
      <c r="D198" s="20">
        <v>2021</v>
      </c>
      <c r="E198" s="21">
        <f t="shared" si="18"/>
        <v>44391</v>
      </c>
      <c r="F198" s="20">
        <v>401.01</v>
      </c>
      <c r="G198" s="20">
        <v>3332211</v>
      </c>
      <c r="H198" s="20">
        <v>402.06</v>
      </c>
      <c r="I198" s="20">
        <v>402.57</v>
      </c>
      <c r="J198" s="22">
        <v>399.82</v>
      </c>
      <c r="K198" s="2">
        <f t="shared" si="19"/>
        <v>21088.00962451124</v>
      </c>
      <c r="L198" s="2">
        <f>IF(B198&lt;&gt;B197,L197*(1+Dashboard!$G$5)+Dashboard!$G$6, L197)</f>
        <v>20810.874862981171</v>
      </c>
      <c r="M198">
        <f t="shared" si="17"/>
        <v>0</v>
      </c>
      <c r="N198">
        <f t="shared" si="20"/>
        <v>52.587241277053543</v>
      </c>
      <c r="O198">
        <f>IF(B198&lt;&gt;B197, Dashboard!$L$6,0)</f>
        <v>0</v>
      </c>
      <c r="P198">
        <f t="shared" si="21"/>
        <v>53.586695412202182</v>
      </c>
      <c r="Q198">
        <f>IF(B198&lt;&gt;B197,IF(F198&lt;=AVERAGE(F176:F197),Dashboard!$N$6-Dashboard!$G$7,Dashboard!$N$6+Dashboard!$G$7),0)</f>
        <v>0</v>
      </c>
      <c r="R198">
        <f t="shared" si="22"/>
        <v>53.92209402899428</v>
      </c>
    </row>
    <row r="199" spans="1:18" x14ac:dyDescent="0.3">
      <c r="A199" t="s">
        <v>641</v>
      </c>
      <c r="B199">
        <v>7</v>
      </c>
      <c r="C199" s="19">
        <v>15</v>
      </c>
      <c r="D199" s="20">
        <v>2021</v>
      </c>
      <c r="E199" s="21">
        <f t="shared" si="18"/>
        <v>44392</v>
      </c>
      <c r="F199" s="20">
        <v>399.72</v>
      </c>
      <c r="G199" s="20">
        <v>4483895</v>
      </c>
      <c r="H199" s="20">
        <v>399.74</v>
      </c>
      <c r="I199" s="20">
        <v>400.38</v>
      </c>
      <c r="J199" s="22">
        <v>397.80500000000001</v>
      </c>
      <c r="K199" s="2">
        <f t="shared" si="19"/>
        <v>21020.172083263842</v>
      </c>
      <c r="L199" s="2">
        <f>IF(B199&lt;&gt;B198,L198*(1+Dashboard!$G$5)+Dashboard!$G$6, L198)</f>
        <v>20810.874862981171</v>
      </c>
      <c r="M199">
        <f t="shared" si="17"/>
        <v>0</v>
      </c>
      <c r="N199">
        <f t="shared" si="20"/>
        <v>52.587241277053543</v>
      </c>
      <c r="O199">
        <f>IF(B199&lt;&gt;B198, Dashboard!$L$6,0)</f>
        <v>0</v>
      </c>
      <c r="P199">
        <f t="shared" si="21"/>
        <v>53.586695412202182</v>
      </c>
      <c r="Q199">
        <f>IF(B199&lt;&gt;B198,IF(F199&lt;=AVERAGE(F177:F198),Dashboard!$N$6-Dashboard!$G$7,Dashboard!$N$6+Dashboard!$G$7),0)</f>
        <v>0</v>
      </c>
      <c r="R199">
        <f t="shared" si="22"/>
        <v>53.92209402899428</v>
      </c>
    </row>
    <row r="200" spans="1:18" x14ac:dyDescent="0.3">
      <c r="A200" t="s">
        <v>640</v>
      </c>
      <c r="B200">
        <v>7</v>
      </c>
      <c r="C200" s="19">
        <v>16</v>
      </c>
      <c r="D200" s="20">
        <v>2021</v>
      </c>
      <c r="E200" s="21">
        <f t="shared" si="18"/>
        <v>44393</v>
      </c>
      <c r="F200" s="20">
        <v>396.61</v>
      </c>
      <c r="G200" s="20">
        <v>4516552</v>
      </c>
      <c r="H200" s="20">
        <v>400.84</v>
      </c>
      <c r="I200" s="20">
        <v>400.88</v>
      </c>
      <c r="J200" s="22">
        <v>396.14</v>
      </c>
      <c r="K200" s="2">
        <f t="shared" si="19"/>
        <v>20856.625762892207</v>
      </c>
      <c r="L200" s="2">
        <f>IF(B200&lt;&gt;B199,L199*(1+Dashboard!$G$5)+Dashboard!$G$6, L199)</f>
        <v>20810.874862981171</v>
      </c>
      <c r="M200">
        <f t="shared" si="17"/>
        <v>0</v>
      </c>
      <c r="N200">
        <f t="shared" si="20"/>
        <v>52.587241277053543</v>
      </c>
      <c r="O200">
        <f>IF(B200&lt;&gt;B199, Dashboard!$L$6,0)</f>
        <v>0</v>
      </c>
      <c r="P200">
        <f t="shared" si="21"/>
        <v>53.586695412202182</v>
      </c>
      <c r="Q200">
        <f>IF(B200&lt;&gt;B199,IF(F200&lt;=AVERAGE(F178:F199),Dashboard!$N$6-Dashboard!$G$7,Dashboard!$N$6+Dashboard!$G$7),0)</f>
        <v>0</v>
      </c>
      <c r="R200">
        <f t="shared" si="22"/>
        <v>53.92209402899428</v>
      </c>
    </row>
    <row r="201" spans="1:18" x14ac:dyDescent="0.3">
      <c r="A201" t="s">
        <v>639</v>
      </c>
      <c r="B201">
        <v>7</v>
      </c>
      <c r="C201" s="19">
        <v>19</v>
      </c>
      <c r="D201" s="20">
        <v>2021</v>
      </c>
      <c r="E201" s="21">
        <f t="shared" si="18"/>
        <v>44396</v>
      </c>
      <c r="F201" s="20">
        <v>390.68</v>
      </c>
      <c r="G201" s="20">
        <v>12336210</v>
      </c>
      <c r="H201" s="20">
        <v>391.78</v>
      </c>
      <c r="I201" s="20">
        <v>392.26</v>
      </c>
      <c r="J201" s="22">
        <v>387.93</v>
      </c>
      <c r="K201" s="2">
        <f t="shared" si="19"/>
        <v>20544.783422119279</v>
      </c>
      <c r="L201" s="2">
        <f>IF(B201&lt;&gt;B200,L200*(1+Dashboard!$G$5)+Dashboard!$G$6, L200)</f>
        <v>20810.874862981171</v>
      </c>
      <c r="M201">
        <f t="shared" si="17"/>
        <v>0</v>
      </c>
      <c r="N201">
        <f t="shared" si="20"/>
        <v>52.587241277053543</v>
      </c>
      <c r="O201">
        <f>IF(B201&lt;&gt;B200, Dashboard!$L$6,0)</f>
        <v>0</v>
      </c>
      <c r="P201">
        <f t="shared" si="21"/>
        <v>53.586695412202182</v>
      </c>
      <c r="Q201">
        <f>IF(B201&lt;&gt;B200,IF(F201&lt;=AVERAGE(F179:F200),Dashboard!$N$6-Dashboard!$G$7,Dashboard!$N$6+Dashboard!$G$7),0)</f>
        <v>0</v>
      </c>
      <c r="R201">
        <f t="shared" si="22"/>
        <v>53.92209402899428</v>
      </c>
    </row>
    <row r="202" spans="1:18" x14ac:dyDescent="0.3">
      <c r="A202" t="s">
        <v>638</v>
      </c>
      <c r="B202">
        <v>7</v>
      </c>
      <c r="C202" s="19">
        <v>20</v>
      </c>
      <c r="D202" s="20">
        <v>2021</v>
      </c>
      <c r="E202" s="21">
        <f t="shared" si="18"/>
        <v>44397</v>
      </c>
      <c r="F202" s="20">
        <v>396.2</v>
      </c>
      <c r="G202" s="20">
        <v>4043076</v>
      </c>
      <c r="H202" s="20">
        <v>391.34500000000003</v>
      </c>
      <c r="I202" s="20">
        <v>397.5</v>
      </c>
      <c r="J202" s="22">
        <v>390.01</v>
      </c>
      <c r="K202" s="2">
        <f t="shared" si="19"/>
        <v>20835.064993968612</v>
      </c>
      <c r="L202" s="2">
        <f>IF(B202&lt;&gt;B201,L201*(1+Dashboard!$G$5)+Dashboard!$G$6, L201)</f>
        <v>20810.874862981171</v>
      </c>
      <c r="M202">
        <f t="shared" si="17"/>
        <v>0</v>
      </c>
      <c r="N202">
        <f t="shared" si="20"/>
        <v>52.587241277053543</v>
      </c>
      <c r="O202">
        <f>IF(B202&lt;&gt;B201, Dashboard!$L$6,0)</f>
        <v>0</v>
      </c>
      <c r="P202">
        <f t="shared" si="21"/>
        <v>53.586695412202182</v>
      </c>
      <c r="Q202">
        <f>IF(B202&lt;&gt;B201,IF(F202&lt;=AVERAGE(F180:F201),Dashboard!$N$6-Dashboard!$G$7,Dashboard!$N$6+Dashboard!$G$7),0)</f>
        <v>0</v>
      </c>
      <c r="R202">
        <f t="shared" si="22"/>
        <v>53.92209402899428</v>
      </c>
    </row>
    <row r="203" spans="1:18" x14ac:dyDescent="0.3">
      <c r="A203" t="s">
        <v>637</v>
      </c>
      <c r="B203">
        <v>7</v>
      </c>
      <c r="C203" s="19">
        <v>21</v>
      </c>
      <c r="D203" s="20">
        <v>2021</v>
      </c>
      <c r="E203" s="21">
        <f t="shared" si="18"/>
        <v>44398</v>
      </c>
      <c r="F203" s="20">
        <v>399.53</v>
      </c>
      <c r="G203" s="20">
        <v>2996601</v>
      </c>
      <c r="H203" s="20">
        <v>397.48</v>
      </c>
      <c r="I203" s="20">
        <v>399.62</v>
      </c>
      <c r="J203" s="22">
        <v>397.27</v>
      </c>
      <c r="K203" s="2">
        <f t="shared" si="19"/>
        <v>21010.180507421202</v>
      </c>
      <c r="L203" s="2">
        <f>IF(B203&lt;&gt;B202,L202*(1+Dashboard!$G$5)+Dashboard!$G$6, L202)</f>
        <v>20810.874862981171</v>
      </c>
      <c r="M203">
        <f t="shared" si="17"/>
        <v>0</v>
      </c>
      <c r="N203">
        <f t="shared" si="20"/>
        <v>52.587241277053543</v>
      </c>
      <c r="O203">
        <f>IF(B203&lt;&gt;B202, Dashboard!$L$6,0)</f>
        <v>0</v>
      </c>
      <c r="P203">
        <f t="shared" si="21"/>
        <v>53.586695412202182</v>
      </c>
      <c r="Q203">
        <f>IF(B203&lt;&gt;B202,IF(F203&lt;=AVERAGE(F181:F202),Dashboard!$N$6-Dashboard!$G$7,Dashboard!$N$6+Dashboard!$G$7),0)</f>
        <v>0</v>
      </c>
      <c r="R203">
        <f t="shared" si="22"/>
        <v>53.92209402899428</v>
      </c>
    </row>
    <row r="204" spans="1:18" x14ac:dyDescent="0.3">
      <c r="A204" t="s">
        <v>636</v>
      </c>
      <c r="B204">
        <v>7</v>
      </c>
      <c r="C204" s="19">
        <v>22</v>
      </c>
      <c r="D204" s="20">
        <v>2021</v>
      </c>
      <c r="E204" s="21">
        <f t="shared" si="18"/>
        <v>44399</v>
      </c>
      <c r="F204" s="20">
        <v>400.38</v>
      </c>
      <c r="G204" s="20">
        <v>2575749</v>
      </c>
      <c r="H204" s="20">
        <v>399.71</v>
      </c>
      <c r="I204" s="20">
        <v>400.56</v>
      </c>
      <c r="J204" s="22">
        <v>398.7</v>
      </c>
      <c r="K204" s="2">
        <f t="shared" si="19"/>
        <v>21054.879662506697</v>
      </c>
      <c r="L204" s="2">
        <f>IF(B204&lt;&gt;B203,L203*(1+Dashboard!$G$5)+Dashboard!$G$6, L203)</f>
        <v>20810.874862981171</v>
      </c>
      <c r="M204">
        <f t="shared" si="17"/>
        <v>0</v>
      </c>
      <c r="N204">
        <f t="shared" si="20"/>
        <v>52.587241277053543</v>
      </c>
      <c r="O204">
        <f>IF(B204&lt;&gt;B203, Dashboard!$L$6,0)</f>
        <v>0</v>
      </c>
      <c r="P204">
        <f t="shared" si="21"/>
        <v>53.586695412202182</v>
      </c>
      <c r="Q204">
        <f>IF(B204&lt;&gt;B203,IF(F204&lt;=AVERAGE(F182:F203),Dashboard!$N$6-Dashboard!$G$7,Dashboard!$N$6+Dashboard!$G$7),0)</f>
        <v>0</v>
      </c>
      <c r="R204">
        <f t="shared" si="22"/>
        <v>53.92209402899428</v>
      </c>
    </row>
    <row r="205" spans="1:18" x14ac:dyDescent="0.3">
      <c r="A205" t="s">
        <v>635</v>
      </c>
      <c r="B205">
        <v>7</v>
      </c>
      <c r="C205" s="19">
        <v>23</v>
      </c>
      <c r="D205" s="20">
        <v>2021</v>
      </c>
      <c r="E205" s="21">
        <f t="shared" si="18"/>
        <v>44400</v>
      </c>
      <c r="F205" s="20">
        <v>404.38</v>
      </c>
      <c r="G205" s="20">
        <v>3151949</v>
      </c>
      <c r="H205" s="20">
        <v>402.17</v>
      </c>
      <c r="I205" s="20">
        <v>404.75</v>
      </c>
      <c r="J205" s="22">
        <v>401.58</v>
      </c>
      <c r="K205" s="2">
        <f t="shared" si="19"/>
        <v>21265.228627614913</v>
      </c>
      <c r="L205" s="2">
        <f>IF(B205&lt;&gt;B204,L204*(1+Dashboard!$G$5)+Dashboard!$G$6, L204)</f>
        <v>20810.874862981171</v>
      </c>
      <c r="M205">
        <f t="shared" si="17"/>
        <v>0</v>
      </c>
      <c r="N205">
        <f t="shared" si="20"/>
        <v>52.587241277053543</v>
      </c>
      <c r="O205">
        <f>IF(B205&lt;&gt;B204, Dashboard!$L$6,0)</f>
        <v>0</v>
      </c>
      <c r="P205">
        <f t="shared" si="21"/>
        <v>53.586695412202182</v>
      </c>
      <c r="Q205">
        <f>IF(B205&lt;&gt;B204,IF(F205&lt;=AVERAGE(F183:F204),Dashboard!$N$6-Dashboard!$G$7,Dashboard!$N$6+Dashboard!$G$7),0)</f>
        <v>0</v>
      </c>
      <c r="R205">
        <f t="shared" si="22"/>
        <v>53.92209402899428</v>
      </c>
    </row>
    <row r="206" spans="1:18" x14ac:dyDescent="0.3">
      <c r="A206" t="s">
        <v>634</v>
      </c>
      <c r="B206">
        <v>7</v>
      </c>
      <c r="C206" s="19">
        <v>26</v>
      </c>
      <c r="D206" s="20">
        <v>2021</v>
      </c>
      <c r="E206" s="21">
        <f t="shared" si="18"/>
        <v>44403</v>
      </c>
      <c r="F206" s="20">
        <v>405.41</v>
      </c>
      <c r="G206" s="20">
        <v>2374331</v>
      </c>
      <c r="H206" s="20">
        <v>403.92</v>
      </c>
      <c r="I206" s="20">
        <v>405.42</v>
      </c>
      <c r="J206" s="22">
        <v>403.82</v>
      </c>
      <c r="K206" s="2">
        <f t="shared" si="19"/>
        <v>21319.393486130277</v>
      </c>
      <c r="L206" s="2">
        <f>IF(B206&lt;&gt;B205,L205*(1+Dashboard!$G$5)+Dashboard!$G$6, L205)</f>
        <v>20810.874862981171</v>
      </c>
      <c r="M206">
        <f t="shared" si="17"/>
        <v>0</v>
      </c>
      <c r="N206">
        <f t="shared" si="20"/>
        <v>52.587241277053543</v>
      </c>
      <c r="O206">
        <f>IF(B206&lt;&gt;B205, Dashboard!$L$6,0)</f>
        <v>0</v>
      </c>
      <c r="P206">
        <f t="shared" si="21"/>
        <v>53.586695412202182</v>
      </c>
      <c r="Q206">
        <f>IF(B206&lt;&gt;B205,IF(F206&lt;=AVERAGE(F184:F205),Dashboard!$N$6-Dashboard!$G$7,Dashboard!$N$6+Dashboard!$G$7),0)</f>
        <v>0</v>
      </c>
      <c r="R206">
        <f t="shared" si="22"/>
        <v>53.92209402899428</v>
      </c>
    </row>
    <row r="207" spans="1:18" x14ac:dyDescent="0.3">
      <c r="A207" t="s">
        <v>633</v>
      </c>
      <c r="B207">
        <v>7</v>
      </c>
      <c r="C207" s="19">
        <v>27</v>
      </c>
      <c r="D207" s="20">
        <v>2021</v>
      </c>
      <c r="E207" s="21">
        <f t="shared" si="18"/>
        <v>44404</v>
      </c>
      <c r="F207" s="20">
        <v>403.61</v>
      </c>
      <c r="G207" s="20">
        <v>3626075</v>
      </c>
      <c r="H207" s="20">
        <v>404.45</v>
      </c>
      <c r="I207" s="20">
        <v>404.45</v>
      </c>
      <c r="J207" s="22">
        <v>400.8</v>
      </c>
      <c r="K207" s="2">
        <f t="shared" si="19"/>
        <v>21224.736451831581</v>
      </c>
      <c r="L207" s="2">
        <f>IF(B207&lt;&gt;B206,L206*(1+Dashboard!$G$5)+Dashboard!$G$6, L206)</f>
        <v>20810.874862981171</v>
      </c>
      <c r="M207">
        <f t="shared" si="17"/>
        <v>0</v>
      </c>
      <c r="N207">
        <f t="shared" si="20"/>
        <v>52.587241277053543</v>
      </c>
      <c r="O207">
        <f>IF(B207&lt;&gt;B206, Dashboard!$L$6,0)</f>
        <v>0</v>
      </c>
      <c r="P207">
        <f t="shared" si="21"/>
        <v>53.586695412202182</v>
      </c>
      <c r="Q207">
        <f>IF(B207&lt;&gt;B206,IF(F207&lt;=AVERAGE(F185:F206),Dashboard!$N$6-Dashboard!$G$7,Dashboard!$N$6+Dashboard!$G$7),0)</f>
        <v>0</v>
      </c>
      <c r="R207">
        <f t="shared" si="22"/>
        <v>53.92209402899428</v>
      </c>
    </row>
    <row r="208" spans="1:18" x14ac:dyDescent="0.3">
      <c r="A208" t="s">
        <v>632</v>
      </c>
      <c r="B208">
        <v>7</v>
      </c>
      <c r="C208" s="19">
        <v>28</v>
      </c>
      <c r="D208" s="20">
        <v>2021</v>
      </c>
      <c r="E208" s="21">
        <f t="shared" si="18"/>
        <v>44405</v>
      </c>
      <c r="F208" s="20">
        <v>403.39</v>
      </c>
      <c r="G208" s="20">
        <v>3763730</v>
      </c>
      <c r="H208" s="20">
        <v>404.17</v>
      </c>
      <c r="I208" s="20">
        <v>404.76</v>
      </c>
      <c r="J208" s="22">
        <v>402.04</v>
      </c>
      <c r="K208" s="2">
        <f t="shared" si="19"/>
        <v>21213.167258750629</v>
      </c>
      <c r="L208" s="2">
        <f>IF(B208&lt;&gt;B207,L207*(1+Dashboard!$G$5)+Dashboard!$G$6, L207)</f>
        <v>20810.874862981171</v>
      </c>
      <c r="M208">
        <f t="shared" si="17"/>
        <v>0</v>
      </c>
      <c r="N208">
        <f t="shared" si="20"/>
        <v>52.587241277053543</v>
      </c>
      <c r="O208">
        <f>IF(B208&lt;&gt;B207, Dashboard!$L$6,0)</f>
        <v>0</v>
      </c>
      <c r="P208">
        <f t="shared" si="21"/>
        <v>53.586695412202182</v>
      </c>
      <c r="Q208">
        <f>IF(B208&lt;&gt;B207,IF(F208&lt;=AVERAGE(F186:F207),Dashboard!$N$6-Dashboard!$G$7,Dashboard!$N$6+Dashboard!$G$7),0)</f>
        <v>0</v>
      </c>
      <c r="R208">
        <f t="shared" si="22"/>
        <v>53.92209402899428</v>
      </c>
    </row>
    <row r="209" spans="1:18" x14ac:dyDescent="0.3">
      <c r="A209" t="s">
        <v>631</v>
      </c>
      <c r="B209">
        <v>7</v>
      </c>
      <c r="C209" s="19">
        <v>29</v>
      </c>
      <c r="D209" s="20">
        <v>2021</v>
      </c>
      <c r="E209" s="21">
        <f t="shared" si="18"/>
        <v>44406</v>
      </c>
      <c r="F209" s="20">
        <v>405.13</v>
      </c>
      <c r="G209" s="20">
        <v>2274198</v>
      </c>
      <c r="H209" s="20">
        <v>404.36</v>
      </c>
      <c r="I209" s="20">
        <v>406.13</v>
      </c>
      <c r="J209" s="22">
        <v>404.35</v>
      </c>
      <c r="K209" s="2">
        <f t="shared" si="19"/>
        <v>21304.669058572701</v>
      </c>
      <c r="L209" s="2">
        <f>IF(B209&lt;&gt;B208,L208*(1+Dashboard!$G$5)+Dashboard!$G$6, L208)</f>
        <v>20810.874862981171</v>
      </c>
      <c r="M209">
        <f t="shared" si="17"/>
        <v>0</v>
      </c>
      <c r="N209">
        <f t="shared" si="20"/>
        <v>52.587241277053543</v>
      </c>
      <c r="O209">
        <f>IF(B209&lt;&gt;B208, Dashboard!$L$6,0)</f>
        <v>0</v>
      </c>
      <c r="P209">
        <f t="shared" si="21"/>
        <v>53.586695412202182</v>
      </c>
      <c r="Q209">
        <f>IF(B209&lt;&gt;B208,IF(F209&lt;=AVERAGE(F187:F208),Dashboard!$N$6-Dashboard!$G$7,Dashboard!$N$6+Dashboard!$G$7),0)</f>
        <v>0</v>
      </c>
      <c r="R209">
        <f t="shared" si="22"/>
        <v>53.92209402899428</v>
      </c>
    </row>
    <row r="210" spans="1:18" x14ac:dyDescent="0.3">
      <c r="A210" t="s">
        <v>630</v>
      </c>
      <c r="B210">
        <v>7</v>
      </c>
      <c r="C210" s="19">
        <v>30</v>
      </c>
      <c r="D210" s="20">
        <v>2021</v>
      </c>
      <c r="E210" s="21">
        <f t="shared" si="18"/>
        <v>44407</v>
      </c>
      <c r="F210" s="20">
        <v>403.15</v>
      </c>
      <c r="G210" s="20">
        <v>5204480</v>
      </c>
      <c r="H210" s="20">
        <v>402.59</v>
      </c>
      <c r="I210" s="20">
        <v>404.53</v>
      </c>
      <c r="J210" s="22">
        <v>402.46969999999999</v>
      </c>
      <c r="K210" s="2">
        <f t="shared" si="19"/>
        <v>21200.546320844136</v>
      </c>
      <c r="L210" s="2">
        <f>IF(B210&lt;&gt;B209,L209*(1+Dashboard!$G$5)+Dashboard!$G$6, L209)</f>
        <v>20810.874862981171</v>
      </c>
      <c r="M210">
        <f t="shared" si="17"/>
        <v>0</v>
      </c>
      <c r="N210">
        <f t="shared" si="20"/>
        <v>52.587241277053543</v>
      </c>
      <c r="O210">
        <f>IF(B210&lt;&gt;B209, Dashboard!$L$6,0)</f>
        <v>0</v>
      </c>
      <c r="P210">
        <f t="shared" si="21"/>
        <v>53.586695412202182</v>
      </c>
      <c r="Q210">
        <f>IF(B210&lt;&gt;B209,IF(F210&lt;=AVERAGE(F188:F209),Dashboard!$N$6-Dashboard!$G$7,Dashboard!$N$6+Dashboard!$G$7),0)</f>
        <v>0</v>
      </c>
      <c r="R210">
        <f t="shared" si="22"/>
        <v>53.92209402899428</v>
      </c>
    </row>
    <row r="211" spans="1:18" x14ac:dyDescent="0.3">
      <c r="A211" s="1">
        <v>44235</v>
      </c>
      <c r="B211">
        <v>8</v>
      </c>
      <c r="C211" s="19">
        <v>2</v>
      </c>
      <c r="D211" s="20">
        <v>2021</v>
      </c>
      <c r="E211" s="21">
        <f t="shared" si="18"/>
        <v>44410</v>
      </c>
      <c r="F211" s="20">
        <v>402.33</v>
      </c>
      <c r="G211" s="20">
        <v>5814735</v>
      </c>
      <c r="H211" s="20">
        <v>404.78</v>
      </c>
      <c r="I211" s="20">
        <v>405.36</v>
      </c>
      <c r="J211" s="22">
        <v>401.94</v>
      </c>
      <c r="K211" s="2">
        <f t="shared" si="19"/>
        <v>21157.42478299695</v>
      </c>
      <c r="L211" s="2">
        <f>IF(B211&lt;&gt;B210,L210*(1+Dashboard!$G$5)+Dashboard!$G$6, L210)</f>
        <v>22994.010561775402</v>
      </c>
      <c r="M211">
        <f t="shared" si="17"/>
        <v>1836.5857787784516</v>
      </c>
      <c r="N211">
        <f t="shared" si="20"/>
        <v>52.587241277053543</v>
      </c>
      <c r="O211">
        <f>IF(B211&lt;&gt;B210, Dashboard!$L$6,0)</f>
        <v>1859.7282542371197</v>
      </c>
      <c r="P211">
        <f t="shared" si="21"/>
        <v>58.209090595850235</v>
      </c>
      <c r="Q211">
        <f>IF(B211&lt;&gt;B210,IF(F211&lt;=AVERAGE(F189:F210),Dashboard!$N$6-Dashboard!$G$7,Dashboard!$N$6+Dashboard!$G$7),0)</f>
        <v>2232.609610169322</v>
      </c>
      <c r="R211">
        <f t="shared" si="22"/>
        <v>59.437706485561606</v>
      </c>
    </row>
    <row r="212" spans="1:18" x14ac:dyDescent="0.3">
      <c r="A212" s="1">
        <v>44263</v>
      </c>
      <c r="B212">
        <v>8</v>
      </c>
      <c r="C212" s="19">
        <v>3</v>
      </c>
      <c r="D212" s="20">
        <v>2021</v>
      </c>
      <c r="E212" s="21">
        <f t="shared" si="18"/>
        <v>44411</v>
      </c>
      <c r="F212" s="20">
        <v>405.58</v>
      </c>
      <c r="G212" s="20">
        <v>4129628</v>
      </c>
      <c r="H212" s="20">
        <v>403.08</v>
      </c>
      <c r="I212" s="20">
        <v>405.66</v>
      </c>
      <c r="J212" s="22">
        <v>400.92</v>
      </c>
      <c r="K212" s="2">
        <f t="shared" si="19"/>
        <v>23179.754936606438</v>
      </c>
      <c r="L212" s="2">
        <f>IF(B212&lt;&gt;B211,L211*(1+Dashboard!$G$5)+Dashboard!$G$6, L211)</f>
        <v>22994.010561775402</v>
      </c>
      <c r="M212">
        <f t="shared" si="17"/>
        <v>0</v>
      </c>
      <c r="N212">
        <f t="shared" si="20"/>
        <v>57.152115332625961</v>
      </c>
      <c r="O212">
        <f>IF(B212&lt;&gt;B211, Dashboard!$L$6,0)</f>
        <v>0</v>
      </c>
      <c r="P212">
        <f t="shared" si="21"/>
        <v>58.209090595850235</v>
      </c>
      <c r="Q212">
        <f>IF(B212&lt;&gt;B211,IF(F212&lt;=AVERAGE(F190:F211),Dashboard!$N$6-Dashboard!$G$7,Dashboard!$N$6+Dashboard!$G$7),0)</f>
        <v>0</v>
      </c>
      <c r="R212">
        <f t="shared" si="22"/>
        <v>59.437706485561606</v>
      </c>
    </row>
    <row r="213" spans="1:18" x14ac:dyDescent="0.3">
      <c r="A213" s="1">
        <v>44294</v>
      </c>
      <c r="B213">
        <v>8</v>
      </c>
      <c r="C213" s="19">
        <v>4</v>
      </c>
      <c r="D213" s="20">
        <v>2021</v>
      </c>
      <c r="E213" s="21">
        <f t="shared" si="18"/>
        <v>44412</v>
      </c>
      <c r="F213" s="20">
        <v>403.64</v>
      </c>
      <c r="G213" s="20">
        <v>3880216</v>
      </c>
      <c r="H213" s="20">
        <v>404.31</v>
      </c>
      <c r="I213" s="20">
        <v>404.86</v>
      </c>
      <c r="J213" s="22">
        <v>403.34</v>
      </c>
      <c r="K213" s="2">
        <f t="shared" si="19"/>
        <v>23068.879832861141</v>
      </c>
      <c r="L213" s="2">
        <f>IF(B213&lt;&gt;B212,L212*(1+Dashboard!$G$5)+Dashboard!$G$6, L212)</f>
        <v>22994.010561775402</v>
      </c>
      <c r="M213">
        <f t="shared" si="17"/>
        <v>0</v>
      </c>
      <c r="N213">
        <f t="shared" si="20"/>
        <v>57.152115332625961</v>
      </c>
      <c r="O213">
        <f>IF(B213&lt;&gt;B212, Dashboard!$L$6,0)</f>
        <v>0</v>
      </c>
      <c r="P213">
        <f t="shared" si="21"/>
        <v>58.209090595850235</v>
      </c>
      <c r="Q213">
        <f>IF(B213&lt;&gt;B212,IF(F213&lt;=AVERAGE(F191:F212),Dashboard!$N$6-Dashboard!$G$7,Dashboard!$N$6+Dashboard!$G$7),0)</f>
        <v>0</v>
      </c>
      <c r="R213">
        <f t="shared" si="22"/>
        <v>59.437706485561606</v>
      </c>
    </row>
    <row r="214" spans="1:18" x14ac:dyDescent="0.3">
      <c r="A214" s="1">
        <v>44324</v>
      </c>
      <c r="B214">
        <v>8</v>
      </c>
      <c r="C214" s="19">
        <v>5</v>
      </c>
      <c r="D214" s="20">
        <v>2021</v>
      </c>
      <c r="E214" s="21">
        <f t="shared" si="18"/>
        <v>44413</v>
      </c>
      <c r="F214" s="20">
        <v>406.16</v>
      </c>
      <c r="G214" s="20">
        <v>3052826</v>
      </c>
      <c r="H214" s="20">
        <v>404.7</v>
      </c>
      <c r="I214" s="20">
        <v>406.19</v>
      </c>
      <c r="J214" s="22">
        <v>404.38</v>
      </c>
      <c r="K214" s="2">
        <f t="shared" si="19"/>
        <v>23212.903163499363</v>
      </c>
      <c r="L214" s="2">
        <f>IF(B214&lt;&gt;B213,L213*(1+Dashboard!$G$5)+Dashboard!$G$6, L213)</f>
        <v>22994.010561775402</v>
      </c>
      <c r="M214">
        <f t="shared" si="17"/>
        <v>0</v>
      </c>
      <c r="N214">
        <f t="shared" si="20"/>
        <v>57.152115332625961</v>
      </c>
      <c r="O214">
        <f>IF(B214&lt;&gt;B213, Dashboard!$L$6,0)</f>
        <v>0</v>
      </c>
      <c r="P214">
        <f t="shared" si="21"/>
        <v>58.209090595850235</v>
      </c>
      <c r="Q214">
        <f>IF(B214&lt;&gt;B213,IF(F214&lt;=AVERAGE(F192:F213),Dashboard!$N$6-Dashboard!$G$7,Dashboard!$N$6+Dashboard!$G$7),0)</f>
        <v>0</v>
      </c>
      <c r="R214">
        <f t="shared" si="22"/>
        <v>59.437706485561606</v>
      </c>
    </row>
    <row r="215" spans="1:18" x14ac:dyDescent="0.3">
      <c r="A215" s="1">
        <v>44355</v>
      </c>
      <c r="B215">
        <v>8</v>
      </c>
      <c r="C215" s="19">
        <v>6</v>
      </c>
      <c r="D215" s="20">
        <v>2021</v>
      </c>
      <c r="E215" s="21">
        <f t="shared" si="18"/>
        <v>44414</v>
      </c>
      <c r="F215" s="20">
        <v>406.86</v>
      </c>
      <c r="G215" s="20">
        <v>2486923</v>
      </c>
      <c r="H215" s="20">
        <v>406.44</v>
      </c>
      <c r="I215" s="20">
        <v>407.18</v>
      </c>
      <c r="J215" s="22">
        <v>406.17</v>
      </c>
      <c r="K215" s="2">
        <f t="shared" si="19"/>
        <v>23252.909644232201</v>
      </c>
      <c r="L215" s="2">
        <f>IF(B215&lt;&gt;B214,L214*(1+Dashboard!$G$5)+Dashboard!$G$6, L214)</f>
        <v>22994.010561775402</v>
      </c>
      <c r="M215">
        <f t="shared" si="17"/>
        <v>0</v>
      </c>
      <c r="N215">
        <f t="shared" si="20"/>
        <v>57.152115332625961</v>
      </c>
      <c r="O215">
        <f>IF(B215&lt;&gt;B214, Dashboard!$L$6,0)</f>
        <v>0</v>
      </c>
      <c r="P215">
        <f t="shared" si="21"/>
        <v>58.209090595850235</v>
      </c>
      <c r="Q215">
        <f>IF(B215&lt;&gt;B214,IF(F215&lt;=AVERAGE(F193:F214),Dashboard!$N$6-Dashboard!$G$7,Dashboard!$N$6+Dashboard!$G$7),0)</f>
        <v>0</v>
      </c>
      <c r="R215">
        <f t="shared" si="22"/>
        <v>59.437706485561606</v>
      </c>
    </row>
    <row r="216" spans="1:18" x14ac:dyDescent="0.3">
      <c r="A216" s="1">
        <v>44447</v>
      </c>
      <c r="B216">
        <v>8</v>
      </c>
      <c r="C216" s="19">
        <v>9</v>
      </c>
      <c r="D216" s="20">
        <v>2021</v>
      </c>
      <c r="E216" s="21">
        <f t="shared" si="18"/>
        <v>44417</v>
      </c>
      <c r="F216" s="20">
        <v>406.47</v>
      </c>
      <c r="G216" s="20">
        <v>1984384</v>
      </c>
      <c r="H216" s="20">
        <v>406.75</v>
      </c>
      <c r="I216" s="20">
        <v>407.04919999999998</v>
      </c>
      <c r="J216" s="22">
        <v>405.69</v>
      </c>
      <c r="K216" s="2">
        <f t="shared" si="19"/>
        <v>23230.620319252477</v>
      </c>
      <c r="L216" s="2">
        <f>IF(B216&lt;&gt;B215,L215*(1+Dashboard!$G$5)+Dashboard!$G$6, L215)</f>
        <v>22994.010561775402</v>
      </c>
      <c r="M216">
        <f t="shared" si="17"/>
        <v>0</v>
      </c>
      <c r="N216">
        <f t="shared" si="20"/>
        <v>57.152115332625961</v>
      </c>
      <c r="O216">
        <f>IF(B216&lt;&gt;B215, Dashboard!$L$6,0)</f>
        <v>0</v>
      </c>
      <c r="P216">
        <f t="shared" si="21"/>
        <v>58.209090595850235</v>
      </c>
      <c r="Q216">
        <f>IF(B216&lt;&gt;B215,IF(F216&lt;=AVERAGE(F194:F215),Dashboard!$N$6-Dashboard!$G$7,Dashboard!$N$6+Dashboard!$G$7),0)</f>
        <v>0</v>
      </c>
      <c r="R216">
        <f t="shared" si="22"/>
        <v>59.437706485561606</v>
      </c>
    </row>
    <row r="217" spans="1:18" x14ac:dyDescent="0.3">
      <c r="A217" s="1">
        <v>44477</v>
      </c>
      <c r="B217">
        <v>8</v>
      </c>
      <c r="C217" s="19">
        <v>10</v>
      </c>
      <c r="D217" s="20">
        <v>2021</v>
      </c>
      <c r="E217" s="21">
        <f t="shared" si="18"/>
        <v>44418</v>
      </c>
      <c r="F217" s="20">
        <v>406.98</v>
      </c>
      <c r="G217" s="20">
        <v>2400730</v>
      </c>
      <c r="H217" s="20">
        <v>406.91</v>
      </c>
      <c r="I217" s="20">
        <v>407.67</v>
      </c>
      <c r="J217" s="22">
        <v>406.23</v>
      </c>
      <c r="K217" s="2">
        <f t="shared" si="19"/>
        <v>23259.767898072114</v>
      </c>
      <c r="L217" s="2">
        <f>IF(B217&lt;&gt;B216,L216*(1+Dashboard!$G$5)+Dashboard!$G$6, L216)</f>
        <v>22994.010561775402</v>
      </c>
      <c r="M217">
        <f t="shared" ref="M217:M280" si="23">IF(B217&lt;&gt;B216,IF((L217-K217&gt;0),L217-K217,0),0)</f>
        <v>0</v>
      </c>
      <c r="N217">
        <f t="shared" si="20"/>
        <v>57.152115332625961</v>
      </c>
      <c r="O217">
        <f>IF(B217&lt;&gt;B216, Dashboard!$L$6,0)</f>
        <v>0</v>
      </c>
      <c r="P217">
        <f t="shared" si="21"/>
        <v>58.209090595850235</v>
      </c>
      <c r="Q217">
        <f>IF(B217&lt;&gt;B216,IF(F217&lt;=AVERAGE(F195:F216),Dashboard!$N$6-Dashboard!$G$7,Dashboard!$N$6+Dashboard!$G$7),0)</f>
        <v>0</v>
      </c>
      <c r="R217">
        <f t="shared" si="22"/>
        <v>59.437706485561606</v>
      </c>
    </row>
    <row r="218" spans="1:18" x14ac:dyDescent="0.3">
      <c r="A218" s="1">
        <v>44508</v>
      </c>
      <c r="B218">
        <v>8</v>
      </c>
      <c r="C218" s="19">
        <v>11</v>
      </c>
      <c r="D218" s="20">
        <v>2021</v>
      </c>
      <c r="E218" s="21">
        <f t="shared" si="18"/>
        <v>44419</v>
      </c>
      <c r="F218" s="20">
        <v>407.96</v>
      </c>
      <c r="G218" s="20">
        <v>3554430</v>
      </c>
      <c r="H218" s="20">
        <v>408</v>
      </c>
      <c r="I218" s="20">
        <v>408.07</v>
      </c>
      <c r="J218" s="22">
        <v>406.91</v>
      </c>
      <c r="K218" s="2">
        <f t="shared" si="19"/>
        <v>23315.776971098087</v>
      </c>
      <c r="L218" s="2">
        <f>IF(B218&lt;&gt;B217,L217*(1+Dashboard!$G$5)+Dashboard!$G$6, L217)</f>
        <v>22994.010561775402</v>
      </c>
      <c r="M218">
        <f t="shared" si="23"/>
        <v>0</v>
      </c>
      <c r="N218">
        <f t="shared" si="20"/>
        <v>57.152115332625961</v>
      </c>
      <c r="O218">
        <f>IF(B218&lt;&gt;B217, Dashboard!$L$6,0)</f>
        <v>0</v>
      </c>
      <c r="P218">
        <f t="shared" si="21"/>
        <v>58.209090595850235</v>
      </c>
      <c r="Q218">
        <f>IF(B218&lt;&gt;B217,IF(F218&lt;=AVERAGE(F196:F217),Dashboard!$N$6-Dashboard!$G$7,Dashboard!$N$6+Dashboard!$G$7),0)</f>
        <v>0</v>
      </c>
      <c r="R218">
        <f t="shared" si="22"/>
        <v>59.437706485561606</v>
      </c>
    </row>
    <row r="219" spans="1:18" x14ac:dyDescent="0.3">
      <c r="A219" s="1">
        <v>44538</v>
      </c>
      <c r="B219">
        <v>8</v>
      </c>
      <c r="C219" s="19">
        <v>12</v>
      </c>
      <c r="D219" s="20">
        <v>2021</v>
      </c>
      <c r="E219" s="21">
        <f t="shared" si="18"/>
        <v>44420</v>
      </c>
      <c r="F219" s="20">
        <v>409.15</v>
      </c>
      <c r="G219" s="20">
        <v>2320453</v>
      </c>
      <c r="H219" s="20">
        <v>407.82</v>
      </c>
      <c r="I219" s="20">
        <v>409.33</v>
      </c>
      <c r="J219" s="22">
        <v>406.97</v>
      </c>
      <c r="K219" s="2">
        <f t="shared" si="19"/>
        <v>23383.787988343909</v>
      </c>
      <c r="L219" s="2">
        <f>IF(B219&lt;&gt;B218,L218*(1+Dashboard!$G$5)+Dashboard!$G$6, L218)</f>
        <v>22994.010561775402</v>
      </c>
      <c r="M219">
        <f t="shared" si="23"/>
        <v>0</v>
      </c>
      <c r="N219">
        <f t="shared" si="20"/>
        <v>57.152115332625961</v>
      </c>
      <c r="O219">
        <f>IF(B219&lt;&gt;B218, Dashboard!$L$6,0)</f>
        <v>0</v>
      </c>
      <c r="P219">
        <f t="shared" si="21"/>
        <v>58.209090595850235</v>
      </c>
      <c r="Q219">
        <f>IF(B219&lt;&gt;B218,IF(F219&lt;=AVERAGE(F197:F218),Dashboard!$N$6-Dashboard!$G$7,Dashboard!$N$6+Dashboard!$G$7),0)</f>
        <v>0</v>
      </c>
      <c r="R219">
        <f t="shared" si="22"/>
        <v>59.437706485561606</v>
      </c>
    </row>
    <row r="220" spans="1:18" x14ac:dyDescent="0.3">
      <c r="A220" t="s">
        <v>629</v>
      </c>
      <c r="B220">
        <v>8</v>
      </c>
      <c r="C220" s="19">
        <v>13</v>
      </c>
      <c r="D220" s="20">
        <v>2021</v>
      </c>
      <c r="E220" s="21">
        <f t="shared" si="18"/>
        <v>44421</v>
      </c>
      <c r="F220" s="20">
        <v>409.96</v>
      </c>
      <c r="G220" s="20">
        <v>2253785</v>
      </c>
      <c r="H220" s="20">
        <v>409.64</v>
      </c>
      <c r="I220" s="20">
        <v>409.96</v>
      </c>
      <c r="J220" s="22">
        <v>409.18</v>
      </c>
      <c r="K220" s="2">
        <f t="shared" si="19"/>
        <v>23430.081201763336</v>
      </c>
      <c r="L220" s="2">
        <f>IF(B220&lt;&gt;B219,L219*(1+Dashboard!$G$5)+Dashboard!$G$6, L219)</f>
        <v>22994.010561775402</v>
      </c>
      <c r="M220">
        <f t="shared" si="23"/>
        <v>0</v>
      </c>
      <c r="N220">
        <f t="shared" si="20"/>
        <v>57.152115332625961</v>
      </c>
      <c r="O220">
        <f>IF(B220&lt;&gt;B219, Dashboard!$L$6,0)</f>
        <v>0</v>
      </c>
      <c r="P220">
        <f t="shared" si="21"/>
        <v>58.209090595850235</v>
      </c>
      <c r="Q220">
        <f>IF(B220&lt;&gt;B219,IF(F220&lt;=AVERAGE(F198:F219),Dashboard!$N$6-Dashboard!$G$7,Dashboard!$N$6+Dashboard!$G$7),0)</f>
        <v>0</v>
      </c>
      <c r="R220">
        <f t="shared" si="22"/>
        <v>59.437706485561606</v>
      </c>
    </row>
    <row r="221" spans="1:18" x14ac:dyDescent="0.3">
      <c r="A221" t="s">
        <v>628</v>
      </c>
      <c r="B221">
        <v>8</v>
      </c>
      <c r="C221" s="19">
        <v>16</v>
      </c>
      <c r="D221" s="20">
        <v>2021</v>
      </c>
      <c r="E221" s="21">
        <f t="shared" si="18"/>
        <v>44424</v>
      </c>
      <c r="F221" s="20">
        <v>410.94</v>
      </c>
      <c r="G221" s="20">
        <v>3385158</v>
      </c>
      <c r="H221" s="20">
        <v>408.71</v>
      </c>
      <c r="I221" s="20">
        <v>411.01</v>
      </c>
      <c r="J221" s="22">
        <v>407.15</v>
      </c>
      <c r="K221" s="2">
        <f t="shared" si="19"/>
        <v>23486.090274789312</v>
      </c>
      <c r="L221" s="2">
        <f>IF(B221&lt;&gt;B220,L220*(1+Dashboard!$G$5)+Dashboard!$G$6, L220)</f>
        <v>22994.010561775402</v>
      </c>
      <c r="M221">
        <f t="shared" si="23"/>
        <v>0</v>
      </c>
      <c r="N221">
        <f t="shared" si="20"/>
        <v>57.152115332625961</v>
      </c>
      <c r="O221">
        <f>IF(B221&lt;&gt;B220, Dashboard!$L$6,0)</f>
        <v>0</v>
      </c>
      <c r="P221">
        <f t="shared" si="21"/>
        <v>58.209090595850235</v>
      </c>
      <c r="Q221">
        <f>IF(B221&lt;&gt;B220,IF(F221&lt;=AVERAGE(F199:F220),Dashboard!$N$6-Dashboard!$G$7,Dashboard!$N$6+Dashboard!$G$7),0)</f>
        <v>0</v>
      </c>
      <c r="R221">
        <f t="shared" si="22"/>
        <v>59.437706485561606</v>
      </c>
    </row>
    <row r="222" spans="1:18" x14ac:dyDescent="0.3">
      <c r="A222" t="s">
        <v>627</v>
      </c>
      <c r="B222">
        <v>8</v>
      </c>
      <c r="C222" s="19">
        <v>17</v>
      </c>
      <c r="D222" s="20">
        <v>2021</v>
      </c>
      <c r="E222" s="21">
        <f t="shared" si="18"/>
        <v>44425</v>
      </c>
      <c r="F222" s="20">
        <v>408.23</v>
      </c>
      <c r="G222" s="20">
        <v>5186251</v>
      </c>
      <c r="H222" s="20">
        <v>408.41</v>
      </c>
      <c r="I222" s="20">
        <v>409.05</v>
      </c>
      <c r="J222" s="22">
        <v>405.31</v>
      </c>
      <c r="K222" s="2">
        <f t="shared" si="19"/>
        <v>23331.208042237897</v>
      </c>
      <c r="L222" s="2">
        <f>IF(B222&lt;&gt;B221,L221*(1+Dashboard!$G$5)+Dashboard!$G$6, L221)</f>
        <v>22994.010561775402</v>
      </c>
      <c r="M222">
        <f t="shared" si="23"/>
        <v>0</v>
      </c>
      <c r="N222">
        <f t="shared" si="20"/>
        <v>57.152115332625961</v>
      </c>
      <c r="O222">
        <f>IF(B222&lt;&gt;B221, Dashboard!$L$6,0)</f>
        <v>0</v>
      </c>
      <c r="P222">
        <f t="shared" si="21"/>
        <v>58.209090595850235</v>
      </c>
      <c r="Q222">
        <f>IF(B222&lt;&gt;B221,IF(F222&lt;=AVERAGE(F200:F221),Dashboard!$N$6-Dashboard!$G$7,Dashboard!$N$6+Dashboard!$G$7),0)</f>
        <v>0</v>
      </c>
      <c r="R222">
        <f t="shared" si="22"/>
        <v>59.437706485561606</v>
      </c>
    </row>
    <row r="223" spans="1:18" x14ac:dyDescent="0.3">
      <c r="A223" t="s">
        <v>626</v>
      </c>
      <c r="B223">
        <v>8</v>
      </c>
      <c r="C223" s="19">
        <v>18</v>
      </c>
      <c r="D223" s="20">
        <v>2021</v>
      </c>
      <c r="E223" s="21">
        <f t="shared" si="18"/>
        <v>44426</v>
      </c>
      <c r="F223" s="20">
        <v>403.84</v>
      </c>
      <c r="G223" s="20">
        <v>4878277</v>
      </c>
      <c r="H223" s="20">
        <v>407.22</v>
      </c>
      <c r="I223" s="20">
        <v>408.75</v>
      </c>
      <c r="J223" s="22">
        <v>403.54</v>
      </c>
      <c r="K223" s="2">
        <f t="shared" si="19"/>
        <v>23080.310255927667</v>
      </c>
      <c r="L223" s="2">
        <f>IF(B223&lt;&gt;B222,L222*(1+Dashboard!$G$5)+Dashboard!$G$6, L222)</f>
        <v>22994.010561775402</v>
      </c>
      <c r="M223">
        <f t="shared" si="23"/>
        <v>0</v>
      </c>
      <c r="N223">
        <f t="shared" si="20"/>
        <v>57.152115332625961</v>
      </c>
      <c r="O223">
        <f>IF(B223&lt;&gt;B222, Dashboard!$L$6,0)</f>
        <v>0</v>
      </c>
      <c r="P223">
        <f t="shared" si="21"/>
        <v>58.209090595850235</v>
      </c>
      <c r="Q223">
        <f>IF(B223&lt;&gt;B222,IF(F223&lt;=AVERAGE(F201:F222),Dashboard!$N$6-Dashboard!$G$7,Dashboard!$N$6+Dashboard!$G$7),0)</f>
        <v>0</v>
      </c>
      <c r="R223">
        <f t="shared" si="22"/>
        <v>59.437706485561606</v>
      </c>
    </row>
    <row r="224" spans="1:18" x14ac:dyDescent="0.3">
      <c r="A224" t="s">
        <v>625</v>
      </c>
      <c r="B224">
        <v>8</v>
      </c>
      <c r="C224" s="19">
        <v>19</v>
      </c>
      <c r="D224" s="20">
        <v>2021</v>
      </c>
      <c r="E224" s="21">
        <f t="shared" si="18"/>
        <v>44427</v>
      </c>
      <c r="F224" s="20">
        <v>404.41</v>
      </c>
      <c r="G224" s="20">
        <v>5505717</v>
      </c>
      <c r="H224" s="20">
        <v>401.09</v>
      </c>
      <c r="I224" s="20">
        <v>405.55</v>
      </c>
      <c r="J224" s="22">
        <v>400.93099999999998</v>
      </c>
      <c r="K224" s="2">
        <f t="shared" si="19"/>
        <v>23112.886961667267</v>
      </c>
      <c r="L224" s="2">
        <f>IF(B224&lt;&gt;B223,L223*(1+Dashboard!$G$5)+Dashboard!$G$6, L223)</f>
        <v>22994.010561775402</v>
      </c>
      <c r="M224">
        <f t="shared" si="23"/>
        <v>0</v>
      </c>
      <c r="N224">
        <f t="shared" si="20"/>
        <v>57.152115332625961</v>
      </c>
      <c r="O224">
        <f>IF(B224&lt;&gt;B223, Dashboard!$L$6,0)</f>
        <v>0</v>
      </c>
      <c r="P224">
        <f t="shared" si="21"/>
        <v>58.209090595850235</v>
      </c>
      <c r="Q224">
        <f>IF(B224&lt;&gt;B223,IF(F224&lt;=AVERAGE(F202:F223),Dashboard!$N$6-Dashboard!$G$7,Dashboard!$N$6+Dashboard!$G$7),0)</f>
        <v>0</v>
      </c>
      <c r="R224">
        <f t="shared" si="22"/>
        <v>59.437706485561606</v>
      </c>
    </row>
    <row r="225" spans="1:18" x14ac:dyDescent="0.3">
      <c r="A225" t="s">
        <v>624</v>
      </c>
      <c r="B225">
        <v>8</v>
      </c>
      <c r="C225" s="19">
        <v>20</v>
      </c>
      <c r="D225" s="20">
        <v>2021</v>
      </c>
      <c r="E225" s="21">
        <f t="shared" si="18"/>
        <v>44428</v>
      </c>
      <c r="F225" s="20">
        <v>407.61</v>
      </c>
      <c r="G225" s="20">
        <v>3263571</v>
      </c>
      <c r="H225" s="20">
        <v>404.68</v>
      </c>
      <c r="I225" s="20">
        <v>407.92</v>
      </c>
      <c r="J225" s="22">
        <v>404.26</v>
      </c>
      <c r="K225" s="2">
        <f t="shared" si="19"/>
        <v>23295.773730731667</v>
      </c>
      <c r="L225" s="2">
        <f>IF(B225&lt;&gt;B224,L224*(1+Dashboard!$G$5)+Dashboard!$G$6, L224)</f>
        <v>22994.010561775402</v>
      </c>
      <c r="M225">
        <f t="shared" si="23"/>
        <v>0</v>
      </c>
      <c r="N225">
        <f t="shared" si="20"/>
        <v>57.152115332625961</v>
      </c>
      <c r="O225">
        <f>IF(B225&lt;&gt;B224, Dashboard!$L$6,0)</f>
        <v>0</v>
      </c>
      <c r="P225">
        <f t="shared" si="21"/>
        <v>58.209090595850235</v>
      </c>
      <c r="Q225">
        <f>IF(B225&lt;&gt;B224,IF(F225&lt;=AVERAGE(F203:F224),Dashboard!$N$6-Dashboard!$G$7,Dashboard!$N$6+Dashboard!$G$7),0)</f>
        <v>0</v>
      </c>
      <c r="R225">
        <f t="shared" si="22"/>
        <v>59.437706485561606</v>
      </c>
    </row>
    <row r="226" spans="1:18" x14ac:dyDescent="0.3">
      <c r="A226" t="s">
        <v>623</v>
      </c>
      <c r="B226">
        <v>8</v>
      </c>
      <c r="C226" s="19">
        <v>23</v>
      </c>
      <c r="D226" s="20">
        <v>2021</v>
      </c>
      <c r="E226" s="21">
        <f t="shared" si="18"/>
        <v>44431</v>
      </c>
      <c r="F226" s="20">
        <v>411.22</v>
      </c>
      <c r="G226" s="20">
        <v>3259398</v>
      </c>
      <c r="H226" s="20">
        <v>409.25</v>
      </c>
      <c r="I226" s="20">
        <v>412.08</v>
      </c>
      <c r="J226" s="22">
        <v>409.23</v>
      </c>
      <c r="K226" s="2">
        <f t="shared" si="19"/>
        <v>23502.092867082451</v>
      </c>
      <c r="L226" s="2">
        <f>IF(B226&lt;&gt;B225,L225*(1+Dashboard!$G$5)+Dashboard!$G$6, L225)</f>
        <v>22994.010561775402</v>
      </c>
      <c r="M226">
        <f t="shared" si="23"/>
        <v>0</v>
      </c>
      <c r="N226">
        <f t="shared" si="20"/>
        <v>57.152115332625961</v>
      </c>
      <c r="O226">
        <f>IF(B226&lt;&gt;B225, Dashboard!$L$6,0)</f>
        <v>0</v>
      </c>
      <c r="P226">
        <f t="shared" si="21"/>
        <v>58.209090595850235</v>
      </c>
      <c r="Q226">
        <f>IF(B226&lt;&gt;B225,IF(F226&lt;=AVERAGE(F204:F225),Dashboard!$N$6-Dashboard!$G$7,Dashboard!$N$6+Dashboard!$G$7),0)</f>
        <v>0</v>
      </c>
      <c r="R226">
        <f t="shared" si="22"/>
        <v>59.437706485561606</v>
      </c>
    </row>
    <row r="227" spans="1:18" x14ac:dyDescent="0.3">
      <c r="A227" t="s">
        <v>622</v>
      </c>
      <c r="B227">
        <v>8</v>
      </c>
      <c r="C227" s="19">
        <v>24</v>
      </c>
      <c r="D227" s="20">
        <v>2021</v>
      </c>
      <c r="E227" s="21">
        <f t="shared" si="18"/>
        <v>44432</v>
      </c>
      <c r="F227" s="20">
        <v>411.87</v>
      </c>
      <c r="G227" s="20">
        <v>3006487</v>
      </c>
      <c r="H227" s="20">
        <v>411.9</v>
      </c>
      <c r="I227" s="20">
        <v>412.36</v>
      </c>
      <c r="J227" s="22">
        <v>411.35</v>
      </c>
      <c r="K227" s="2">
        <f t="shared" si="19"/>
        <v>23539.241742048656</v>
      </c>
      <c r="L227" s="2">
        <f>IF(B227&lt;&gt;B226,L226*(1+Dashboard!$G$5)+Dashboard!$G$6, L226)</f>
        <v>22994.010561775402</v>
      </c>
      <c r="M227">
        <f t="shared" si="23"/>
        <v>0</v>
      </c>
      <c r="N227">
        <f t="shared" si="20"/>
        <v>57.152115332625961</v>
      </c>
      <c r="O227">
        <f>IF(B227&lt;&gt;B226, Dashboard!$L$6,0)</f>
        <v>0</v>
      </c>
      <c r="P227">
        <f t="shared" si="21"/>
        <v>58.209090595850235</v>
      </c>
      <c r="Q227">
        <f>IF(B227&lt;&gt;B226,IF(F227&lt;=AVERAGE(F205:F226),Dashboard!$N$6-Dashboard!$G$7,Dashboard!$N$6+Dashboard!$G$7),0)</f>
        <v>0</v>
      </c>
      <c r="R227">
        <f t="shared" si="22"/>
        <v>59.437706485561606</v>
      </c>
    </row>
    <row r="228" spans="1:18" x14ac:dyDescent="0.3">
      <c r="A228" t="s">
        <v>621</v>
      </c>
      <c r="B228">
        <v>8</v>
      </c>
      <c r="C228" s="19">
        <v>25</v>
      </c>
      <c r="D228" s="20">
        <v>2021</v>
      </c>
      <c r="E228" s="21">
        <f t="shared" si="18"/>
        <v>44433</v>
      </c>
      <c r="F228" s="20">
        <v>412.63</v>
      </c>
      <c r="G228" s="20">
        <v>3261412</v>
      </c>
      <c r="H228" s="20">
        <v>412.06</v>
      </c>
      <c r="I228" s="20">
        <v>413.21</v>
      </c>
      <c r="J228" s="22">
        <v>411.67</v>
      </c>
      <c r="K228" s="2">
        <f t="shared" si="19"/>
        <v>23582.677349701451</v>
      </c>
      <c r="L228" s="2">
        <f>IF(B228&lt;&gt;B227,L227*(1+Dashboard!$G$5)+Dashboard!$G$6, L227)</f>
        <v>22994.010561775402</v>
      </c>
      <c r="M228">
        <f t="shared" si="23"/>
        <v>0</v>
      </c>
      <c r="N228">
        <f t="shared" si="20"/>
        <v>57.152115332625961</v>
      </c>
      <c r="O228">
        <f>IF(B228&lt;&gt;B227, Dashboard!$L$6,0)</f>
        <v>0</v>
      </c>
      <c r="P228">
        <f t="shared" si="21"/>
        <v>58.209090595850235</v>
      </c>
      <c r="Q228">
        <f>IF(B228&lt;&gt;B227,IF(F228&lt;=AVERAGE(F206:F227),Dashboard!$N$6-Dashboard!$G$7,Dashboard!$N$6+Dashboard!$G$7),0)</f>
        <v>0</v>
      </c>
      <c r="R228">
        <f t="shared" si="22"/>
        <v>59.437706485561606</v>
      </c>
    </row>
    <row r="229" spans="1:18" x14ac:dyDescent="0.3">
      <c r="A229" t="s">
        <v>620</v>
      </c>
      <c r="B229">
        <v>8</v>
      </c>
      <c r="C229" s="19">
        <v>26</v>
      </c>
      <c r="D229" s="20">
        <v>2021</v>
      </c>
      <c r="E229" s="21">
        <f t="shared" si="18"/>
        <v>44434</v>
      </c>
      <c r="F229" s="20">
        <v>410.22</v>
      </c>
      <c r="G229" s="20">
        <v>4707561</v>
      </c>
      <c r="H229" s="20">
        <v>412.41</v>
      </c>
      <c r="I229" s="20">
        <v>412.66</v>
      </c>
      <c r="J229" s="22">
        <v>410.2</v>
      </c>
      <c r="K229" s="2">
        <f t="shared" si="19"/>
        <v>23444.940751749822</v>
      </c>
      <c r="L229" s="2">
        <f>IF(B229&lt;&gt;B228,L228*(1+Dashboard!$G$5)+Dashboard!$G$6, L228)</f>
        <v>22994.010561775402</v>
      </c>
      <c r="M229">
        <f t="shared" si="23"/>
        <v>0</v>
      </c>
      <c r="N229">
        <f t="shared" si="20"/>
        <v>57.152115332625961</v>
      </c>
      <c r="O229">
        <f>IF(B229&lt;&gt;B228, Dashboard!$L$6,0)</f>
        <v>0</v>
      </c>
      <c r="P229">
        <f t="shared" si="21"/>
        <v>58.209090595850235</v>
      </c>
      <c r="Q229">
        <f>IF(B229&lt;&gt;B228,IF(F229&lt;=AVERAGE(F207:F228),Dashboard!$N$6-Dashboard!$G$7,Dashboard!$N$6+Dashboard!$G$7),0)</f>
        <v>0</v>
      </c>
      <c r="R229">
        <f t="shared" si="22"/>
        <v>59.437706485561606</v>
      </c>
    </row>
    <row r="230" spans="1:18" x14ac:dyDescent="0.3">
      <c r="A230" t="s">
        <v>619</v>
      </c>
      <c r="B230">
        <v>8</v>
      </c>
      <c r="C230" s="19">
        <v>27</v>
      </c>
      <c r="D230" s="20">
        <v>2021</v>
      </c>
      <c r="E230" s="21">
        <f t="shared" si="18"/>
        <v>44435</v>
      </c>
      <c r="F230" s="20">
        <v>413.86</v>
      </c>
      <c r="G230" s="20">
        <v>3882200</v>
      </c>
      <c r="H230" s="20">
        <v>411.09</v>
      </c>
      <c r="I230" s="20">
        <v>414.33</v>
      </c>
      <c r="J230" s="22">
        <v>411.02</v>
      </c>
      <c r="K230" s="2">
        <f t="shared" si="19"/>
        <v>23652.974451560582</v>
      </c>
      <c r="L230" s="2">
        <f>IF(B230&lt;&gt;B229,L229*(1+Dashboard!$G$5)+Dashboard!$G$6, L229)</f>
        <v>22994.010561775402</v>
      </c>
      <c r="M230">
        <f t="shared" si="23"/>
        <v>0</v>
      </c>
      <c r="N230">
        <f t="shared" si="20"/>
        <v>57.152115332625961</v>
      </c>
      <c r="O230">
        <f>IF(B230&lt;&gt;B229, Dashboard!$L$6,0)</f>
        <v>0</v>
      </c>
      <c r="P230">
        <f t="shared" si="21"/>
        <v>58.209090595850235</v>
      </c>
      <c r="Q230">
        <f>IF(B230&lt;&gt;B229,IF(F230&lt;=AVERAGE(F208:F229),Dashboard!$N$6-Dashboard!$G$7,Dashboard!$N$6+Dashboard!$G$7),0)</f>
        <v>0</v>
      </c>
      <c r="R230">
        <f t="shared" si="22"/>
        <v>59.437706485561606</v>
      </c>
    </row>
    <row r="231" spans="1:18" x14ac:dyDescent="0.3">
      <c r="A231" t="s">
        <v>618</v>
      </c>
      <c r="B231">
        <v>8</v>
      </c>
      <c r="C231" s="19">
        <v>30</v>
      </c>
      <c r="D231" s="20">
        <v>2021</v>
      </c>
      <c r="E231" s="21">
        <f t="shared" si="18"/>
        <v>44438</v>
      </c>
      <c r="F231" s="20">
        <v>415.76</v>
      </c>
      <c r="G231" s="20">
        <v>2811785</v>
      </c>
      <c r="H231" s="20">
        <v>414.66</v>
      </c>
      <c r="I231" s="20">
        <v>416.56</v>
      </c>
      <c r="J231" s="22">
        <v>414.39</v>
      </c>
      <c r="K231" s="2">
        <f t="shared" si="19"/>
        <v>23761.56347069257</v>
      </c>
      <c r="L231" s="2">
        <f>IF(B231&lt;&gt;B230,L230*(1+Dashboard!$G$5)+Dashboard!$G$6, L230)</f>
        <v>22994.010561775402</v>
      </c>
      <c r="M231">
        <f t="shared" si="23"/>
        <v>0</v>
      </c>
      <c r="N231">
        <f t="shared" si="20"/>
        <v>57.152115332625961</v>
      </c>
      <c r="O231">
        <f>IF(B231&lt;&gt;B230, Dashboard!$L$6,0)</f>
        <v>0</v>
      </c>
      <c r="P231">
        <f t="shared" si="21"/>
        <v>58.209090595850235</v>
      </c>
      <c r="Q231">
        <f>IF(B231&lt;&gt;B230,IF(F231&lt;=AVERAGE(F209:F230),Dashboard!$N$6-Dashboard!$G$7,Dashboard!$N$6+Dashboard!$G$7),0)</f>
        <v>0</v>
      </c>
      <c r="R231">
        <f t="shared" si="22"/>
        <v>59.437706485561606</v>
      </c>
    </row>
    <row r="232" spans="1:18" x14ac:dyDescent="0.3">
      <c r="A232" t="s">
        <v>617</v>
      </c>
      <c r="B232">
        <v>8</v>
      </c>
      <c r="C232" s="19">
        <v>31</v>
      </c>
      <c r="D232" s="20">
        <v>2021</v>
      </c>
      <c r="E232" s="21">
        <f t="shared" si="18"/>
        <v>44439</v>
      </c>
      <c r="F232" s="20">
        <v>415.05</v>
      </c>
      <c r="G232" s="20">
        <v>6062916</v>
      </c>
      <c r="H232" s="20">
        <v>415.66</v>
      </c>
      <c r="I232" s="20">
        <v>416.02</v>
      </c>
      <c r="J232" s="22">
        <v>414.58</v>
      </c>
      <c r="K232" s="2">
        <f t="shared" si="19"/>
        <v>23720.985468806404</v>
      </c>
      <c r="L232" s="2">
        <f>IF(B232&lt;&gt;B231,L231*(1+Dashboard!$G$5)+Dashboard!$G$6, L231)</f>
        <v>22994.010561775402</v>
      </c>
      <c r="M232">
        <f t="shared" si="23"/>
        <v>0</v>
      </c>
      <c r="N232">
        <f t="shared" si="20"/>
        <v>57.152115332625961</v>
      </c>
      <c r="O232">
        <f>IF(B232&lt;&gt;B231, Dashboard!$L$6,0)</f>
        <v>0</v>
      </c>
      <c r="P232">
        <f t="shared" si="21"/>
        <v>58.209090595850235</v>
      </c>
      <c r="Q232">
        <f>IF(B232&lt;&gt;B231,IF(F232&lt;=AVERAGE(F210:F231),Dashboard!$N$6-Dashboard!$G$7,Dashboard!$N$6+Dashboard!$G$7),0)</f>
        <v>0</v>
      </c>
      <c r="R232">
        <f t="shared" si="22"/>
        <v>59.437706485561606</v>
      </c>
    </row>
    <row r="233" spans="1:18" x14ac:dyDescent="0.3">
      <c r="A233" s="1">
        <v>44205</v>
      </c>
      <c r="B233">
        <v>9</v>
      </c>
      <c r="C233" s="19">
        <v>1</v>
      </c>
      <c r="D233" s="20">
        <v>2021</v>
      </c>
      <c r="E233" s="21">
        <f t="shared" si="18"/>
        <v>44440</v>
      </c>
      <c r="F233" s="20">
        <v>415.49</v>
      </c>
      <c r="G233" s="20">
        <v>3256370</v>
      </c>
      <c r="H233" s="20">
        <v>416.05</v>
      </c>
      <c r="I233" s="20">
        <v>416.59</v>
      </c>
      <c r="J233" s="22">
        <v>415.16</v>
      </c>
      <c r="K233" s="2">
        <f t="shared" si="19"/>
        <v>23746.13239955276</v>
      </c>
      <c r="L233" s="2">
        <f>IF(B233&lt;&gt;B232,L232*(1+Dashboard!$G$5)+Dashboard!$G$6, L232)</f>
        <v>25196.357854719023</v>
      </c>
      <c r="M233">
        <f t="shared" si="23"/>
        <v>1450.2254551662627</v>
      </c>
      <c r="N233">
        <f t="shared" si="20"/>
        <v>57.152115332625961</v>
      </c>
      <c r="O233">
        <f>IF(B233&lt;&gt;B232, Dashboard!$L$6,0)</f>
        <v>1859.7282542371197</v>
      </c>
      <c r="P233">
        <f t="shared" si="21"/>
        <v>62.685078596132115</v>
      </c>
      <c r="Q233">
        <f>IF(B233&lt;&gt;B232,IF(F233&lt;=AVERAGE(F211:F232),Dashboard!$N$6-Dashboard!$G$7,Dashboard!$N$6+Dashboard!$G$7),0)</f>
        <v>2232.609610169322</v>
      </c>
      <c r="R233">
        <f t="shared" si="22"/>
        <v>64.803911533438836</v>
      </c>
    </row>
    <row r="234" spans="1:18" x14ac:dyDescent="0.3">
      <c r="A234" s="1">
        <v>44236</v>
      </c>
      <c r="B234">
        <v>9</v>
      </c>
      <c r="C234" s="19">
        <v>2</v>
      </c>
      <c r="D234" s="20">
        <v>2021</v>
      </c>
      <c r="E234" s="21">
        <f t="shared" si="18"/>
        <v>44441</v>
      </c>
      <c r="F234" s="20">
        <v>416.73</v>
      </c>
      <c r="G234" s="20">
        <v>2836923</v>
      </c>
      <c r="H234" s="20">
        <v>416.8</v>
      </c>
      <c r="I234" s="20">
        <v>417.44</v>
      </c>
      <c r="J234" s="22">
        <v>415.495</v>
      </c>
      <c r="K234" s="2">
        <f t="shared" si="19"/>
        <v>25271.554571222074</v>
      </c>
      <c r="L234" s="2">
        <f>IF(B234&lt;&gt;B233,L233*(1+Dashboard!$G$5)+Dashboard!$G$6, L233)</f>
        <v>25196.357854719023</v>
      </c>
      <c r="M234">
        <f t="shared" si="23"/>
        <v>0</v>
      </c>
      <c r="N234">
        <f t="shared" si="20"/>
        <v>60.642513308910019</v>
      </c>
      <c r="O234">
        <f>IF(B234&lt;&gt;B233, Dashboard!$L$6,0)</f>
        <v>0</v>
      </c>
      <c r="P234">
        <f t="shared" si="21"/>
        <v>62.685078596132115</v>
      </c>
      <c r="Q234">
        <f>IF(B234&lt;&gt;B233,IF(F234&lt;=AVERAGE(F212:F233),Dashboard!$N$6-Dashboard!$G$7,Dashboard!$N$6+Dashboard!$G$7),0)</f>
        <v>0</v>
      </c>
      <c r="R234">
        <f t="shared" si="22"/>
        <v>64.803911533438836</v>
      </c>
    </row>
    <row r="235" spans="1:18" x14ac:dyDescent="0.3">
      <c r="A235" s="1">
        <v>44264</v>
      </c>
      <c r="B235">
        <v>9</v>
      </c>
      <c r="C235" s="19">
        <v>3</v>
      </c>
      <c r="D235" s="20">
        <v>2021</v>
      </c>
      <c r="E235" s="21">
        <f t="shared" si="18"/>
        <v>44442</v>
      </c>
      <c r="F235" s="20">
        <v>416.57</v>
      </c>
      <c r="G235" s="20">
        <v>3743999</v>
      </c>
      <c r="H235" s="20">
        <v>415.58</v>
      </c>
      <c r="I235" s="20">
        <v>417.05930000000001</v>
      </c>
      <c r="J235" s="22">
        <v>415.16</v>
      </c>
      <c r="K235" s="2">
        <f t="shared" si="19"/>
        <v>25261.851769092646</v>
      </c>
      <c r="L235" s="2">
        <f>IF(B235&lt;&gt;B234,L234*(1+Dashboard!$G$5)+Dashboard!$G$6, L234)</f>
        <v>25196.357854719023</v>
      </c>
      <c r="M235">
        <f t="shared" si="23"/>
        <v>0</v>
      </c>
      <c r="N235">
        <f t="shared" si="20"/>
        <v>60.642513308910019</v>
      </c>
      <c r="O235">
        <f>IF(B235&lt;&gt;B234, Dashboard!$L$6,0)</f>
        <v>0</v>
      </c>
      <c r="P235">
        <f t="shared" si="21"/>
        <v>62.685078596132115</v>
      </c>
      <c r="Q235">
        <f>IF(B235&lt;&gt;B234,IF(F235&lt;=AVERAGE(F213:F234),Dashboard!$N$6-Dashboard!$G$7,Dashboard!$N$6+Dashboard!$G$7),0)</f>
        <v>0</v>
      </c>
      <c r="R235">
        <f t="shared" si="22"/>
        <v>64.803911533438836</v>
      </c>
    </row>
    <row r="236" spans="1:18" x14ac:dyDescent="0.3">
      <c r="A236" s="1">
        <v>44386</v>
      </c>
      <c r="B236">
        <v>9</v>
      </c>
      <c r="C236" s="19">
        <v>7</v>
      </c>
      <c r="D236" s="20">
        <v>2021</v>
      </c>
      <c r="E236" s="21">
        <f t="shared" si="18"/>
        <v>44446</v>
      </c>
      <c r="F236" s="20">
        <v>415.03</v>
      </c>
      <c r="G236" s="20">
        <v>3542491</v>
      </c>
      <c r="H236" s="20">
        <v>416.27</v>
      </c>
      <c r="I236" s="20">
        <v>416.29</v>
      </c>
      <c r="J236" s="22">
        <v>414.42</v>
      </c>
      <c r="K236" s="2">
        <f t="shared" si="19"/>
        <v>25168.462298596922</v>
      </c>
      <c r="L236" s="2">
        <f>IF(B236&lt;&gt;B235,L235*(1+Dashboard!$G$5)+Dashboard!$G$6, L235)</f>
        <v>25196.357854719023</v>
      </c>
      <c r="M236">
        <f t="shared" si="23"/>
        <v>0</v>
      </c>
      <c r="N236">
        <f t="shared" si="20"/>
        <v>60.642513308910019</v>
      </c>
      <c r="O236">
        <f>IF(B236&lt;&gt;B235, Dashboard!$L$6,0)</f>
        <v>0</v>
      </c>
      <c r="P236">
        <f t="shared" si="21"/>
        <v>62.685078596132115</v>
      </c>
      <c r="Q236">
        <f>IF(B236&lt;&gt;B235,IF(F236&lt;=AVERAGE(F214:F235),Dashboard!$N$6-Dashboard!$G$7,Dashboard!$N$6+Dashboard!$G$7),0)</f>
        <v>0</v>
      </c>
      <c r="R236">
        <f t="shared" si="22"/>
        <v>64.803911533438836</v>
      </c>
    </row>
    <row r="237" spans="1:18" x14ac:dyDescent="0.3">
      <c r="A237" s="1">
        <v>44417</v>
      </c>
      <c r="B237">
        <v>9</v>
      </c>
      <c r="C237" s="19">
        <v>8</v>
      </c>
      <c r="D237" s="20">
        <v>2021</v>
      </c>
      <c r="E237" s="21">
        <f t="shared" si="18"/>
        <v>44447</v>
      </c>
      <c r="F237" s="20">
        <v>414.63</v>
      </c>
      <c r="G237" s="20">
        <v>4012604</v>
      </c>
      <c r="H237" s="20">
        <v>414.53</v>
      </c>
      <c r="I237" s="20">
        <v>415.26</v>
      </c>
      <c r="J237" s="22">
        <v>412.67309999999998</v>
      </c>
      <c r="K237" s="2">
        <f t="shared" si="19"/>
        <v>25144.20529327336</v>
      </c>
      <c r="L237" s="2">
        <f>IF(B237&lt;&gt;B236,L236*(1+Dashboard!$G$5)+Dashboard!$G$6, L236)</f>
        <v>25196.357854719023</v>
      </c>
      <c r="M237">
        <f t="shared" si="23"/>
        <v>0</v>
      </c>
      <c r="N237">
        <f t="shared" si="20"/>
        <v>60.642513308910019</v>
      </c>
      <c r="O237">
        <f>IF(B237&lt;&gt;B236, Dashboard!$L$6,0)</f>
        <v>0</v>
      </c>
      <c r="P237">
        <f t="shared" si="21"/>
        <v>62.685078596132115</v>
      </c>
      <c r="Q237">
        <f>IF(B237&lt;&gt;B236,IF(F237&lt;=AVERAGE(F215:F236),Dashboard!$N$6-Dashboard!$G$7,Dashboard!$N$6+Dashboard!$G$7),0)</f>
        <v>0</v>
      </c>
      <c r="R237">
        <f t="shared" si="22"/>
        <v>64.803911533438836</v>
      </c>
    </row>
    <row r="238" spans="1:18" x14ac:dyDescent="0.3">
      <c r="A238" s="1">
        <v>44448</v>
      </c>
      <c r="B238">
        <v>9</v>
      </c>
      <c r="C238" s="19">
        <v>9</v>
      </c>
      <c r="D238" s="20">
        <v>2021</v>
      </c>
      <c r="E238" s="21">
        <f t="shared" si="18"/>
        <v>44448</v>
      </c>
      <c r="F238" s="20">
        <v>412.77</v>
      </c>
      <c r="G238" s="20">
        <v>3887829</v>
      </c>
      <c r="H238" s="20">
        <v>414.34</v>
      </c>
      <c r="I238" s="20">
        <v>416.07</v>
      </c>
      <c r="J238" s="22">
        <v>412.57</v>
      </c>
      <c r="K238" s="2">
        <f t="shared" si="19"/>
        <v>25031.410218518788</v>
      </c>
      <c r="L238" s="2">
        <f>IF(B238&lt;&gt;B237,L237*(1+Dashboard!$G$5)+Dashboard!$G$6, L237)</f>
        <v>25196.357854719023</v>
      </c>
      <c r="M238">
        <f t="shared" si="23"/>
        <v>0</v>
      </c>
      <c r="N238">
        <f t="shared" si="20"/>
        <v>60.642513308910019</v>
      </c>
      <c r="O238">
        <f>IF(B238&lt;&gt;B237, Dashboard!$L$6,0)</f>
        <v>0</v>
      </c>
      <c r="P238">
        <f t="shared" si="21"/>
        <v>62.685078596132115</v>
      </c>
      <c r="Q238">
        <f>IF(B238&lt;&gt;B237,IF(F238&lt;=AVERAGE(F216:F237),Dashboard!$N$6-Dashboard!$G$7,Dashboard!$N$6+Dashboard!$G$7),0)</f>
        <v>0</v>
      </c>
      <c r="R238">
        <f t="shared" si="22"/>
        <v>64.803911533438836</v>
      </c>
    </row>
    <row r="239" spans="1:18" x14ac:dyDescent="0.3">
      <c r="A239" s="1">
        <v>44478</v>
      </c>
      <c r="B239">
        <v>9</v>
      </c>
      <c r="C239" s="19">
        <v>10</v>
      </c>
      <c r="D239" s="20">
        <v>2021</v>
      </c>
      <c r="E239" s="21">
        <f t="shared" si="18"/>
        <v>44449</v>
      </c>
      <c r="F239" s="20">
        <v>409.58</v>
      </c>
      <c r="G239" s="20">
        <v>4035509</v>
      </c>
      <c r="H239" s="20">
        <v>414.69</v>
      </c>
      <c r="I239" s="20">
        <v>415.1</v>
      </c>
      <c r="J239" s="22">
        <v>409.41500000000002</v>
      </c>
      <c r="K239" s="2">
        <f t="shared" si="19"/>
        <v>24837.960601063365</v>
      </c>
      <c r="L239" s="2">
        <f>IF(B239&lt;&gt;B238,L238*(1+Dashboard!$G$5)+Dashboard!$G$6, L238)</f>
        <v>25196.357854719023</v>
      </c>
      <c r="M239">
        <f t="shared" si="23"/>
        <v>0</v>
      </c>
      <c r="N239">
        <f t="shared" si="20"/>
        <v>60.642513308910019</v>
      </c>
      <c r="O239">
        <f>IF(B239&lt;&gt;B238, Dashboard!$L$6,0)</f>
        <v>0</v>
      </c>
      <c r="P239">
        <f t="shared" si="21"/>
        <v>62.685078596132115</v>
      </c>
      <c r="Q239">
        <f>IF(B239&lt;&gt;B238,IF(F239&lt;=AVERAGE(F217:F238),Dashboard!$N$6-Dashboard!$G$7,Dashboard!$N$6+Dashboard!$G$7),0)</f>
        <v>0</v>
      </c>
      <c r="R239">
        <f t="shared" si="22"/>
        <v>64.803911533438836</v>
      </c>
    </row>
    <row r="240" spans="1:18" x14ac:dyDescent="0.3">
      <c r="A240" t="s">
        <v>616</v>
      </c>
      <c r="B240">
        <v>9</v>
      </c>
      <c r="C240" s="19">
        <v>13</v>
      </c>
      <c r="D240" s="20">
        <v>2021</v>
      </c>
      <c r="E240" s="21">
        <f t="shared" si="18"/>
        <v>44452</v>
      </c>
      <c r="F240" s="20">
        <v>410.54</v>
      </c>
      <c r="G240" s="20">
        <v>4738340</v>
      </c>
      <c r="H240" s="20">
        <v>412.52</v>
      </c>
      <c r="I240" s="20">
        <v>412.71</v>
      </c>
      <c r="J240" s="22">
        <v>408.31</v>
      </c>
      <c r="K240" s="2">
        <f t="shared" si="19"/>
        <v>24896.17741383992</v>
      </c>
      <c r="L240" s="2">
        <f>IF(B240&lt;&gt;B239,L239*(1+Dashboard!$G$5)+Dashboard!$G$6, L239)</f>
        <v>25196.357854719023</v>
      </c>
      <c r="M240">
        <f t="shared" si="23"/>
        <v>0</v>
      </c>
      <c r="N240">
        <f t="shared" si="20"/>
        <v>60.642513308910019</v>
      </c>
      <c r="O240">
        <f>IF(B240&lt;&gt;B239, Dashboard!$L$6,0)</f>
        <v>0</v>
      </c>
      <c r="P240">
        <f t="shared" si="21"/>
        <v>62.685078596132115</v>
      </c>
      <c r="Q240">
        <f>IF(B240&lt;&gt;B239,IF(F240&lt;=AVERAGE(F218:F239),Dashboard!$N$6-Dashboard!$G$7,Dashboard!$N$6+Dashboard!$G$7),0)</f>
        <v>0</v>
      </c>
      <c r="R240">
        <f t="shared" si="22"/>
        <v>64.803911533438836</v>
      </c>
    </row>
    <row r="241" spans="1:18" x14ac:dyDescent="0.3">
      <c r="A241" t="s">
        <v>615</v>
      </c>
      <c r="B241">
        <v>9</v>
      </c>
      <c r="C241" s="19">
        <v>14</v>
      </c>
      <c r="D241" s="20">
        <v>2021</v>
      </c>
      <c r="E241" s="21">
        <f t="shared" si="18"/>
        <v>44453</v>
      </c>
      <c r="F241" s="20">
        <v>408.41</v>
      </c>
      <c r="G241" s="20">
        <v>3657667</v>
      </c>
      <c r="H241" s="20">
        <v>412.02</v>
      </c>
      <c r="I241" s="20">
        <v>412.18</v>
      </c>
      <c r="J241" s="22">
        <v>407.49</v>
      </c>
      <c r="K241" s="2">
        <f t="shared" si="19"/>
        <v>24767.008860491944</v>
      </c>
      <c r="L241" s="2">
        <f>IF(B241&lt;&gt;B240,L240*(1+Dashboard!$G$5)+Dashboard!$G$6, L240)</f>
        <v>25196.357854719023</v>
      </c>
      <c r="M241">
        <f t="shared" si="23"/>
        <v>0</v>
      </c>
      <c r="N241">
        <f t="shared" si="20"/>
        <v>60.642513308910019</v>
      </c>
      <c r="O241">
        <f>IF(B241&lt;&gt;B240, Dashboard!$L$6,0)</f>
        <v>0</v>
      </c>
      <c r="P241">
        <f t="shared" si="21"/>
        <v>62.685078596132115</v>
      </c>
      <c r="Q241">
        <f>IF(B241&lt;&gt;B240,IF(F241&lt;=AVERAGE(F219:F240),Dashboard!$N$6-Dashboard!$G$7,Dashboard!$N$6+Dashboard!$G$7),0)</f>
        <v>0</v>
      </c>
      <c r="R241">
        <f t="shared" si="22"/>
        <v>64.803911533438836</v>
      </c>
    </row>
    <row r="242" spans="1:18" x14ac:dyDescent="0.3">
      <c r="A242" t="s">
        <v>614</v>
      </c>
      <c r="B242">
        <v>9</v>
      </c>
      <c r="C242" s="19">
        <v>15</v>
      </c>
      <c r="D242" s="20">
        <v>2021</v>
      </c>
      <c r="E242" s="21">
        <f t="shared" si="18"/>
        <v>44454</v>
      </c>
      <c r="F242" s="20">
        <v>411.82</v>
      </c>
      <c r="G242" s="20">
        <v>3891386</v>
      </c>
      <c r="H242" s="20">
        <v>408.79</v>
      </c>
      <c r="I242" s="20">
        <v>412.25779999999997</v>
      </c>
      <c r="J242" s="22">
        <v>407.7</v>
      </c>
      <c r="K242" s="2">
        <f t="shared" si="19"/>
        <v>24973.799830875323</v>
      </c>
      <c r="L242" s="2">
        <f>IF(B242&lt;&gt;B241,L241*(1+Dashboard!$G$5)+Dashboard!$G$6, L241)</f>
        <v>25196.357854719023</v>
      </c>
      <c r="M242">
        <f t="shared" si="23"/>
        <v>0</v>
      </c>
      <c r="N242">
        <f t="shared" si="20"/>
        <v>60.642513308910019</v>
      </c>
      <c r="O242">
        <f>IF(B242&lt;&gt;B241, Dashboard!$L$6,0)</f>
        <v>0</v>
      </c>
      <c r="P242">
        <f t="shared" si="21"/>
        <v>62.685078596132115</v>
      </c>
      <c r="Q242">
        <f>IF(B242&lt;&gt;B241,IF(F242&lt;=AVERAGE(F220:F241),Dashboard!$N$6-Dashboard!$G$7,Dashboard!$N$6+Dashboard!$G$7),0)</f>
        <v>0</v>
      </c>
      <c r="R242">
        <f t="shared" si="22"/>
        <v>64.803911533438836</v>
      </c>
    </row>
    <row r="243" spans="1:18" x14ac:dyDescent="0.3">
      <c r="A243" t="s">
        <v>613</v>
      </c>
      <c r="B243">
        <v>9</v>
      </c>
      <c r="C243" s="19">
        <v>16</v>
      </c>
      <c r="D243" s="20">
        <v>2021</v>
      </c>
      <c r="E243" s="21">
        <f t="shared" si="18"/>
        <v>44455</v>
      </c>
      <c r="F243" s="20">
        <v>411.11</v>
      </c>
      <c r="G243" s="20">
        <v>3351499</v>
      </c>
      <c r="H243" s="20">
        <v>411.27</v>
      </c>
      <c r="I243" s="20">
        <v>412.19</v>
      </c>
      <c r="J243" s="22">
        <v>408.23</v>
      </c>
      <c r="K243" s="2">
        <f t="shared" si="19"/>
        <v>24930.743646425999</v>
      </c>
      <c r="L243" s="2">
        <f>IF(B243&lt;&gt;B242,L242*(1+Dashboard!$G$5)+Dashboard!$G$6, L242)</f>
        <v>25196.357854719023</v>
      </c>
      <c r="M243">
        <f t="shared" si="23"/>
        <v>0</v>
      </c>
      <c r="N243">
        <f t="shared" si="20"/>
        <v>60.642513308910019</v>
      </c>
      <c r="O243">
        <f>IF(B243&lt;&gt;B242, Dashboard!$L$6,0)</f>
        <v>0</v>
      </c>
      <c r="P243">
        <f t="shared" si="21"/>
        <v>62.685078596132115</v>
      </c>
      <c r="Q243">
        <f>IF(B243&lt;&gt;B242,IF(F243&lt;=AVERAGE(F221:F242),Dashboard!$N$6-Dashboard!$G$7,Dashboard!$N$6+Dashboard!$G$7),0)</f>
        <v>0</v>
      </c>
      <c r="R243">
        <f t="shared" si="22"/>
        <v>64.803911533438836</v>
      </c>
    </row>
    <row r="244" spans="1:18" x14ac:dyDescent="0.3">
      <c r="A244" t="s">
        <v>612</v>
      </c>
      <c r="B244">
        <v>9</v>
      </c>
      <c r="C244" s="19">
        <v>17</v>
      </c>
      <c r="D244" s="20">
        <v>2021</v>
      </c>
      <c r="E244" s="21">
        <f t="shared" si="18"/>
        <v>44456</v>
      </c>
      <c r="F244" s="20">
        <v>407.08</v>
      </c>
      <c r="G244" s="20">
        <v>5396095</v>
      </c>
      <c r="H244" s="20">
        <v>410.35</v>
      </c>
      <c r="I244" s="20">
        <v>410.78</v>
      </c>
      <c r="J244" s="22">
        <v>406.77</v>
      </c>
      <c r="K244" s="2">
        <f t="shared" si="19"/>
        <v>24686.354317791091</v>
      </c>
      <c r="L244" s="2">
        <f>IF(B244&lt;&gt;B243,L243*(1+Dashboard!$G$5)+Dashboard!$G$6, L243)</f>
        <v>25196.357854719023</v>
      </c>
      <c r="M244">
        <f t="shared" si="23"/>
        <v>0</v>
      </c>
      <c r="N244">
        <f t="shared" si="20"/>
        <v>60.642513308910019</v>
      </c>
      <c r="O244">
        <f>IF(B244&lt;&gt;B243, Dashboard!$L$6,0)</f>
        <v>0</v>
      </c>
      <c r="P244">
        <f t="shared" si="21"/>
        <v>62.685078596132115</v>
      </c>
      <c r="Q244">
        <f>IF(B244&lt;&gt;B243,IF(F244&lt;=AVERAGE(F222:F243),Dashboard!$N$6-Dashboard!$G$7,Dashboard!$N$6+Dashboard!$G$7),0)</f>
        <v>0</v>
      </c>
      <c r="R244">
        <f t="shared" si="22"/>
        <v>64.803911533438836</v>
      </c>
    </row>
    <row r="245" spans="1:18" x14ac:dyDescent="0.3">
      <c r="A245" t="s">
        <v>611</v>
      </c>
      <c r="B245">
        <v>9</v>
      </c>
      <c r="C245" s="19">
        <v>20</v>
      </c>
      <c r="D245" s="20">
        <v>2021</v>
      </c>
      <c r="E245" s="21">
        <f t="shared" si="18"/>
        <v>44459</v>
      </c>
      <c r="F245" s="20">
        <v>400.43</v>
      </c>
      <c r="G245" s="20">
        <v>10942740</v>
      </c>
      <c r="H245" s="20">
        <v>401.11</v>
      </c>
      <c r="I245" s="20">
        <v>402.64</v>
      </c>
      <c r="J245" s="22">
        <v>395.57</v>
      </c>
      <c r="K245" s="2">
        <f t="shared" si="19"/>
        <v>24283.081604286839</v>
      </c>
      <c r="L245" s="2">
        <f>IF(B245&lt;&gt;B244,L244*(1+Dashboard!$G$5)+Dashboard!$G$6, L244)</f>
        <v>25196.357854719023</v>
      </c>
      <c r="M245">
        <f t="shared" si="23"/>
        <v>0</v>
      </c>
      <c r="N245">
        <f t="shared" si="20"/>
        <v>60.642513308910019</v>
      </c>
      <c r="O245">
        <f>IF(B245&lt;&gt;B244, Dashboard!$L$6,0)</f>
        <v>0</v>
      </c>
      <c r="P245">
        <f t="shared" si="21"/>
        <v>62.685078596132115</v>
      </c>
      <c r="Q245">
        <f>IF(B245&lt;&gt;B244,IF(F245&lt;=AVERAGE(F223:F244),Dashboard!$N$6-Dashboard!$G$7,Dashboard!$N$6+Dashboard!$G$7),0)</f>
        <v>0</v>
      </c>
      <c r="R245">
        <f t="shared" si="22"/>
        <v>64.803911533438836</v>
      </c>
    </row>
    <row r="246" spans="1:18" x14ac:dyDescent="0.3">
      <c r="A246" t="s">
        <v>610</v>
      </c>
      <c r="B246">
        <v>9</v>
      </c>
      <c r="C246" s="19">
        <v>21</v>
      </c>
      <c r="D246" s="20">
        <v>2021</v>
      </c>
      <c r="E246" s="21">
        <f t="shared" si="18"/>
        <v>44460</v>
      </c>
      <c r="F246" s="20">
        <v>400.04</v>
      </c>
      <c r="G246" s="20">
        <v>6418124</v>
      </c>
      <c r="H246" s="20">
        <v>402.66</v>
      </c>
      <c r="I246" s="20">
        <v>403.9</v>
      </c>
      <c r="J246" s="22">
        <v>399.44</v>
      </c>
      <c r="K246" s="2">
        <f t="shared" si="19"/>
        <v>24259.431024096364</v>
      </c>
      <c r="L246" s="2">
        <f>IF(B246&lt;&gt;B245,L245*(1+Dashboard!$G$5)+Dashboard!$G$6, L245)</f>
        <v>25196.357854719023</v>
      </c>
      <c r="M246">
        <f t="shared" si="23"/>
        <v>0</v>
      </c>
      <c r="N246">
        <f t="shared" si="20"/>
        <v>60.642513308910019</v>
      </c>
      <c r="O246">
        <f>IF(B246&lt;&gt;B245, Dashboard!$L$6,0)</f>
        <v>0</v>
      </c>
      <c r="P246">
        <f t="shared" si="21"/>
        <v>62.685078596132115</v>
      </c>
      <c r="Q246">
        <f>IF(B246&lt;&gt;B245,IF(F246&lt;=AVERAGE(F224:F245),Dashboard!$N$6-Dashboard!$G$7,Dashboard!$N$6+Dashboard!$G$7),0)</f>
        <v>0</v>
      </c>
      <c r="R246">
        <f t="shared" si="22"/>
        <v>64.803911533438836</v>
      </c>
    </row>
    <row r="247" spans="1:18" x14ac:dyDescent="0.3">
      <c r="A247" t="s">
        <v>609</v>
      </c>
      <c r="B247">
        <v>9</v>
      </c>
      <c r="C247" s="19">
        <v>22</v>
      </c>
      <c r="D247" s="20">
        <v>2021</v>
      </c>
      <c r="E247" s="21">
        <f t="shared" si="18"/>
        <v>44461</v>
      </c>
      <c r="F247" s="20">
        <v>403.9</v>
      </c>
      <c r="G247" s="20">
        <v>6004773</v>
      </c>
      <c r="H247" s="20">
        <v>402.17</v>
      </c>
      <c r="I247" s="20">
        <v>405.85</v>
      </c>
      <c r="J247" s="22">
        <v>401.26</v>
      </c>
      <c r="K247" s="2">
        <f t="shared" si="19"/>
        <v>24493.511125468754</v>
      </c>
      <c r="L247" s="2">
        <f>IF(B247&lt;&gt;B246,L246*(1+Dashboard!$G$5)+Dashboard!$G$6, L246)</f>
        <v>25196.357854719023</v>
      </c>
      <c r="M247">
        <f t="shared" si="23"/>
        <v>0</v>
      </c>
      <c r="N247">
        <f t="shared" si="20"/>
        <v>60.642513308910019</v>
      </c>
      <c r="O247">
        <f>IF(B247&lt;&gt;B246, Dashboard!$L$6,0)</f>
        <v>0</v>
      </c>
      <c r="P247">
        <f t="shared" si="21"/>
        <v>62.685078596132115</v>
      </c>
      <c r="Q247">
        <f>IF(B247&lt;&gt;B246,IF(F247&lt;=AVERAGE(F225:F246),Dashboard!$N$6-Dashboard!$G$7,Dashboard!$N$6+Dashboard!$G$7),0)</f>
        <v>0</v>
      </c>
      <c r="R247">
        <f t="shared" si="22"/>
        <v>64.803911533438836</v>
      </c>
    </row>
    <row r="248" spans="1:18" x14ac:dyDescent="0.3">
      <c r="A248" t="s">
        <v>608</v>
      </c>
      <c r="B248">
        <v>9</v>
      </c>
      <c r="C248" s="19">
        <v>23</v>
      </c>
      <c r="D248" s="20">
        <v>2021</v>
      </c>
      <c r="E248" s="21">
        <f t="shared" si="18"/>
        <v>44462</v>
      </c>
      <c r="F248" s="20">
        <v>408.78</v>
      </c>
      <c r="G248" s="20">
        <v>4098043</v>
      </c>
      <c r="H248" s="20">
        <v>405.71</v>
      </c>
      <c r="I248" s="20">
        <v>410.32</v>
      </c>
      <c r="J248" s="22">
        <v>405.47</v>
      </c>
      <c r="K248" s="2">
        <f t="shared" si="19"/>
        <v>24789.446590416235</v>
      </c>
      <c r="L248" s="2">
        <f>IF(B248&lt;&gt;B247,L247*(1+Dashboard!$G$5)+Dashboard!$G$6, L247)</f>
        <v>25196.357854719023</v>
      </c>
      <c r="M248">
        <f t="shared" si="23"/>
        <v>0</v>
      </c>
      <c r="N248">
        <f t="shared" si="20"/>
        <v>60.642513308910019</v>
      </c>
      <c r="O248">
        <f>IF(B248&lt;&gt;B247, Dashboard!$L$6,0)</f>
        <v>0</v>
      </c>
      <c r="P248">
        <f t="shared" si="21"/>
        <v>62.685078596132115</v>
      </c>
      <c r="Q248">
        <f>IF(B248&lt;&gt;B247,IF(F248&lt;=AVERAGE(F226:F247),Dashboard!$N$6-Dashboard!$G$7,Dashboard!$N$6+Dashboard!$G$7),0)</f>
        <v>0</v>
      </c>
      <c r="R248">
        <f t="shared" si="22"/>
        <v>64.803911533438836</v>
      </c>
    </row>
    <row r="249" spans="1:18" x14ac:dyDescent="0.3">
      <c r="A249" t="s">
        <v>607</v>
      </c>
      <c r="B249">
        <v>9</v>
      </c>
      <c r="C249" s="19">
        <v>24</v>
      </c>
      <c r="D249" s="20">
        <v>2021</v>
      </c>
      <c r="E249" s="21">
        <f t="shared" si="18"/>
        <v>44463</v>
      </c>
      <c r="F249" s="20">
        <v>409.46</v>
      </c>
      <c r="G249" s="20">
        <v>3417688</v>
      </c>
      <c r="H249" s="20">
        <v>407.17</v>
      </c>
      <c r="I249" s="20">
        <v>410.13</v>
      </c>
      <c r="J249" s="22">
        <v>406.95</v>
      </c>
      <c r="K249" s="2">
        <f t="shared" si="19"/>
        <v>24830.683499466293</v>
      </c>
      <c r="L249" s="2">
        <f>IF(B249&lt;&gt;B248,L248*(1+Dashboard!$G$5)+Dashboard!$G$6, L248)</f>
        <v>25196.357854719023</v>
      </c>
      <c r="M249">
        <f t="shared" si="23"/>
        <v>0</v>
      </c>
      <c r="N249">
        <f t="shared" si="20"/>
        <v>60.642513308910019</v>
      </c>
      <c r="O249">
        <f>IF(B249&lt;&gt;B248, Dashboard!$L$6,0)</f>
        <v>0</v>
      </c>
      <c r="P249">
        <f t="shared" si="21"/>
        <v>62.685078596132115</v>
      </c>
      <c r="Q249">
        <f>IF(B249&lt;&gt;B248,IF(F249&lt;=AVERAGE(F227:F248),Dashboard!$N$6-Dashboard!$G$7,Dashboard!$N$6+Dashboard!$G$7),0)</f>
        <v>0</v>
      </c>
      <c r="R249">
        <f t="shared" si="22"/>
        <v>64.803911533438836</v>
      </c>
    </row>
    <row r="250" spans="1:18" x14ac:dyDescent="0.3">
      <c r="A250" t="s">
        <v>606</v>
      </c>
      <c r="B250">
        <v>9</v>
      </c>
      <c r="C250" s="19">
        <v>27</v>
      </c>
      <c r="D250" s="20">
        <v>2021</v>
      </c>
      <c r="E250" s="21">
        <f t="shared" si="18"/>
        <v>44466</v>
      </c>
      <c r="F250" s="20">
        <v>408.3</v>
      </c>
      <c r="G250" s="20">
        <v>3546600</v>
      </c>
      <c r="H250" s="20">
        <v>408.42099999999999</v>
      </c>
      <c r="I250" s="20">
        <v>409.57</v>
      </c>
      <c r="J250" s="22">
        <v>407.59</v>
      </c>
      <c r="K250" s="2">
        <f t="shared" si="19"/>
        <v>24760.338184027962</v>
      </c>
      <c r="L250" s="2">
        <f>IF(B250&lt;&gt;B249,L249*(1+Dashboard!$G$5)+Dashboard!$G$6, L249)</f>
        <v>25196.357854719023</v>
      </c>
      <c r="M250">
        <f t="shared" si="23"/>
        <v>0</v>
      </c>
      <c r="N250">
        <f t="shared" si="20"/>
        <v>60.642513308910019</v>
      </c>
      <c r="O250">
        <f>IF(B250&lt;&gt;B249, Dashboard!$L$6,0)</f>
        <v>0</v>
      </c>
      <c r="P250">
        <f t="shared" si="21"/>
        <v>62.685078596132115</v>
      </c>
      <c r="Q250">
        <f>IF(B250&lt;&gt;B249,IF(F250&lt;=AVERAGE(F228:F249),Dashboard!$N$6-Dashboard!$G$7,Dashboard!$N$6+Dashboard!$G$7),0)</f>
        <v>0</v>
      </c>
      <c r="R250">
        <f t="shared" si="22"/>
        <v>64.803911533438836</v>
      </c>
    </row>
    <row r="251" spans="1:18" x14ac:dyDescent="0.3">
      <c r="A251" t="s">
        <v>605</v>
      </c>
      <c r="B251">
        <v>9</v>
      </c>
      <c r="C251" s="19">
        <v>28</v>
      </c>
      <c r="D251" s="20">
        <v>2021</v>
      </c>
      <c r="E251" s="21">
        <f t="shared" si="18"/>
        <v>44467</v>
      </c>
      <c r="F251" s="20">
        <v>400.14</v>
      </c>
      <c r="G251" s="20">
        <v>8234309</v>
      </c>
      <c r="H251" s="20">
        <v>405.55</v>
      </c>
      <c r="I251" s="20">
        <v>405.87</v>
      </c>
      <c r="J251" s="22">
        <v>399.33</v>
      </c>
      <c r="K251" s="2">
        <f t="shared" si="19"/>
        <v>24265.495275427253</v>
      </c>
      <c r="L251" s="2">
        <f>IF(B251&lt;&gt;B250,L250*(1+Dashboard!$G$5)+Dashboard!$G$6, L250)</f>
        <v>25196.357854719023</v>
      </c>
      <c r="M251">
        <f t="shared" si="23"/>
        <v>0</v>
      </c>
      <c r="N251">
        <f t="shared" si="20"/>
        <v>60.642513308910019</v>
      </c>
      <c r="O251">
        <f>IF(B251&lt;&gt;B250, Dashboard!$L$6,0)</f>
        <v>0</v>
      </c>
      <c r="P251">
        <f t="shared" si="21"/>
        <v>62.685078596132115</v>
      </c>
      <c r="Q251">
        <f>IF(B251&lt;&gt;B250,IF(F251&lt;=AVERAGE(F229:F250),Dashboard!$N$6-Dashboard!$G$7,Dashboard!$N$6+Dashboard!$G$7),0)</f>
        <v>0</v>
      </c>
      <c r="R251">
        <f t="shared" si="22"/>
        <v>64.803911533438836</v>
      </c>
    </row>
    <row r="252" spans="1:18" x14ac:dyDescent="0.3">
      <c r="A252" t="s">
        <v>604</v>
      </c>
      <c r="B252">
        <v>9</v>
      </c>
      <c r="C252" s="19">
        <v>29</v>
      </c>
      <c r="D252" s="20">
        <v>2021</v>
      </c>
      <c r="E252" s="21">
        <f t="shared" si="18"/>
        <v>44468</v>
      </c>
      <c r="F252" s="20">
        <v>399.46</v>
      </c>
      <c r="G252" s="20">
        <v>4724166</v>
      </c>
      <c r="H252" s="20">
        <v>400.1</v>
      </c>
      <c r="I252" s="20">
        <v>401.79</v>
      </c>
      <c r="J252" s="22">
        <v>398.86</v>
      </c>
      <c r="K252" s="2">
        <f t="shared" si="19"/>
        <v>24224.258366377195</v>
      </c>
      <c r="L252" s="2">
        <f>IF(B252&lt;&gt;B251,L251*(1+Dashboard!$G$5)+Dashboard!$G$6, L251)</f>
        <v>25196.357854719023</v>
      </c>
      <c r="M252">
        <f t="shared" si="23"/>
        <v>0</v>
      </c>
      <c r="N252">
        <f t="shared" si="20"/>
        <v>60.642513308910019</v>
      </c>
      <c r="O252">
        <f>IF(B252&lt;&gt;B251, Dashboard!$L$6,0)</f>
        <v>0</v>
      </c>
      <c r="P252">
        <f t="shared" si="21"/>
        <v>62.685078596132115</v>
      </c>
      <c r="Q252">
        <f>IF(B252&lt;&gt;B251,IF(F252&lt;=AVERAGE(F230:F251),Dashboard!$N$6-Dashboard!$G$7,Dashboard!$N$6+Dashboard!$G$7),0)</f>
        <v>0</v>
      </c>
      <c r="R252">
        <f t="shared" si="22"/>
        <v>64.803911533438836</v>
      </c>
    </row>
    <row r="253" spans="1:18" x14ac:dyDescent="0.3">
      <c r="A253" t="s">
        <v>603</v>
      </c>
      <c r="B253">
        <v>9</v>
      </c>
      <c r="C253" s="19">
        <v>30</v>
      </c>
      <c r="D253" s="20">
        <v>2021</v>
      </c>
      <c r="E253" s="21">
        <f t="shared" si="18"/>
        <v>44469</v>
      </c>
      <c r="F253" s="20">
        <v>394.4</v>
      </c>
      <c r="G253" s="20">
        <v>9511155</v>
      </c>
      <c r="H253" s="20">
        <v>400.85</v>
      </c>
      <c r="I253" s="20">
        <v>401.52</v>
      </c>
      <c r="J253" s="22">
        <v>394.34</v>
      </c>
      <c r="K253" s="2">
        <f t="shared" si="19"/>
        <v>23917.40724903411</v>
      </c>
      <c r="L253" s="2">
        <f>IF(B253&lt;&gt;B252,L252*(1+Dashboard!$G$5)+Dashboard!$G$6, L252)</f>
        <v>25196.357854719023</v>
      </c>
      <c r="M253">
        <f t="shared" si="23"/>
        <v>0</v>
      </c>
      <c r="N253">
        <f t="shared" si="20"/>
        <v>60.642513308910019</v>
      </c>
      <c r="O253">
        <f>IF(B253&lt;&gt;B252, Dashboard!$L$6,0)</f>
        <v>0</v>
      </c>
      <c r="P253">
        <f t="shared" si="21"/>
        <v>62.685078596132115</v>
      </c>
      <c r="Q253">
        <f>IF(B253&lt;&gt;B252,IF(F253&lt;=AVERAGE(F231:F252),Dashboard!$N$6-Dashboard!$G$7,Dashboard!$N$6+Dashboard!$G$7),0)</f>
        <v>0</v>
      </c>
      <c r="R253">
        <f t="shared" si="22"/>
        <v>64.803911533438836</v>
      </c>
    </row>
    <row r="254" spans="1:18" x14ac:dyDescent="0.3">
      <c r="A254" s="1">
        <v>44206</v>
      </c>
      <c r="B254">
        <v>10</v>
      </c>
      <c r="C254" s="19">
        <v>1</v>
      </c>
      <c r="D254" s="20">
        <v>2021</v>
      </c>
      <c r="E254" s="21">
        <f t="shared" si="18"/>
        <v>44470</v>
      </c>
      <c r="F254" s="20">
        <v>399.12</v>
      </c>
      <c r="G254" s="20">
        <v>8482196</v>
      </c>
      <c r="H254" s="20">
        <v>396.226</v>
      </c>
      <c r="I254" s="20">
        <v>400.85</v>
      </c>
      <c r="J254" s="22">
        <v>392.77</v>
      </c>
      <c r="K254" s="2">
        <f t="shared" si="19"/>
        <v>24203.639911852166</v>
      </c>
      <c r="L254" s="2">
        <f>IF(B254&lt;&gt;B253,L253*(1+Dashboard!$G$5)+Dashboard!$G$6, L253)</f>
        <v>27418.085803840549</v>
      </c>
      <c r="M254">
        <f t="shared" si="23"/>
        <v>3214.4458919883837</v>
      </c>
      <c r="N254">
        <f t="shared" si="20"/>
        <v>60.642513308910019</v>
      </c>
      <c r="O254">
        <f>IF(B254&lt;&gt;B253, Dashboard!$L$6,0)</f>
        <v>1859.7282542371197</v>
      </c>
      <c r="P254">
        <f t="shared" si="21"/>
        <v>67.344650289450215</v>
      </c>
      <c r="Q254">
        <f>IF(B254&lt;&gt;B253,IF(F254&lt;=AVERAGE(F232:F253),Dashboard!$N$6-Dashboard!$G$7,Dashboard!$N$6+Dashboard!$G$7),0)</f>
        <v>1232.609610169322</v>
      </c>
      <c r="R254">
        <f t="shared" si="22"/>
        <v>67.914786665735363</v>
      </c>
    </row>
    <row r="255" spans="1:18" x14ac:dyDescent="0.3">
      <c r="A255" s="1">
        <v>44296</v>
      </c>
      <c r="B255">
        <v>10</v>
      </c>
      <c r="C255" s="19">
        <v>4</v>
      </c>
      <c r="D255" s="20">
        <v>2021</v>
      </c>
      <c r="E255" s="21">
        <f t="shared" si="18"/>
        <v>44473</v>
      </c>
      <c r="F255" s="20">
        <v>394.21</v>
      </c>
      <c r="G255" s="20">
        <v>8820427</v>
      </c>
      <c r="H255" s="20">
        <v>398.12</v>
      </c>
      <c r="I255" s="20">
        <v>398.94</v>
      </c>
      <c r="J255" s="22">
        <v>391.96</v>
      </c>
      <c r="K255" s="2">
        <f t="shared" si="19"/>
        <v>27080.786742663815</v>
      </c>
      <c r="L255" s="2">
        <f>IF(B255&lt;&gt;B254,L254*(1+Dashboard!$G$5)+Dashboard!$G$6, L254)</f>
        <v>27418.085803840549</v>
      </c>
      <c r="M255">
        <f t="shared" si="23"/>
        <v>0</v>
      </c>
      <c r="N255">
        <f t="shared" si="20"/>
        <v>68.696346471839419</v>
      </c>
      <c r="O255">
        <f>IF(B255&lt;&gt;B254, Dashboard!$L$6,0)</f>
        <v>0</v>
      </c>
      <c r="P255">
        <f t="shared" si="21"/>
        <v>67.344650289450215</v>
      </c>
      <c r="Q255">
        <f>IF(B255&lt;&gt;B254,IF(F255&lt;=AVERAGE(F233:F254),Dashboard!$N$6-Dashboard!$G$7,Dashboard!$N$6+Dashboard!$G$7),0)</f>
        <v>0</v>
      </c>
      <c r="R255">
        <f t="shared" si="22"/>
        <v>67.914786665735363</v>
      </c>
    </row>
    <row r="256" spans="1:18" x14ac:dyDescent="0.3">
      <c r="A256" s="1">
        <v>44326</v>
      </c>
      <c r="B256">
        <v>10</v>
      </c>
      <c r="C256" s="19">
        <v>5</v>
      </c>
      <c r="D256" s="20">
        <v>2021</v>
      </c>
      <c r="E256" s="21">
        <f t="shared" si="18"/>
        <v>44474</v>
      </c>
      <c r="F256" s="20">
        <v>398.04</v>
      </c>
      <c r="G256" s="20">
        <v>5523244</v>
      </c>
      <c r="H256" s="20">
        <v>395.56</v>
      </c>
      <c r="I256" s="20">
        <v>400.3526</v>
      </c>
      <c r="J256" s="22">
        <v>394.79</v>
      </c>
      <c r="K256" s="2">
        <f t="shared" si="19"/>
        <v>27343.893749650964</v>
      </c>
      <c r="L256" s="2">
        <f>IF(B256&lt;&gt;B255,L255*(1+Dashboard!$G$5)+Dashboard!$G$6, L255)</f>
        <v>27418.085803840549</v>
      </c>
      <c r="M256">
        <f t="shared" si="23"/>
        <v>0</v>
      </c>
      <c r="N256">
        <f t="shared" si="20"/>
        <v>68.696346471839419</v>
      </c>
      <c r="O256">
        <f>IF(B256&lt;&gt;B255, Dashboard!$L$6,0)</f>
        <v>0</v>
      </c>
      <c r="P256">
        <f t="shared" si="21"/>
        <v>67.344650289450215</v>
      </c>
      <c r="Q256">
        <f>IF(B256&lt;&gt;B255,IF(F256&lt;=AVERAGE(F234:F255),Dashboard!$N$6-Dashboard!$G$7,Dashboard!$N$6+Dashboard!$G$7),0)</f>
        <v>0</v>
      </c>
      <c r="R256">
        <f t="shared" si="22"/>
        <v>67.914786665735363</v>
      </c>
    </row>
    <row r="257" spans="1:18" x14ac:dyDescent="0.3">
      <c r="A257" s="1">
        <v>44357</v>
      </c>
      <c r="B257">
        <v>10</v>
      </c>
      <c r="C257" s="19">
        <v>6</v>
      </c>
      <c r="D257" s="20">
        <v>2021</v>
      </c>
      <c r="E257" s="21">
        <f t="shared" si="18"/>
        <v>44475</v>
      </c>
      <c r="F257" s="20">
        <v>399.81</v>
      </c>
      <c r="G257" s="20">
        <v>6589951</v>
      </c>
      <c r="H257" s="20">
        <v>394.65</v>
      </c>
      <c r="I257" s="20">
        <v>400.02</v>
      </c>
      <c r="J257" s="22">
        <v>393.06</v>
      </c>
      <c r="K257" s="2">
        <f t="shared" si="19"/>
        <v>27465.486282906117</v>
      </c>
      <c r="L257" s="2">
        <f>IF(B257&lt;&gt;B256,L256*(1+Dashboard!$G$5)+Dashboard!$G$6, L256)</f>
        <v>27418.085803840549</v>
      </c>
      <c r="M257">
        <f t="shared" si="23"/>
        <v>0</v>
      </c>
      <c r="N257">
        <f t="shared" si="20"/>
        <v>68.696346471839419</v>
      </c>
      <c r="O257">
        <f>IF(B257&lt;&gt;B256, Dashboard!$L$6,0)</f>
        <v>0</v>
      </c>
      <c r="P257">
        <f t="shared" si="21"/>
        <v>67.344650289450215</v>
      </c>
      <c r="Q257">
        <f>IF(B257&lt;&gt;B256,IF(F257&lt;=AVERAGE(F235:F256),Dashboard!$N$6-Dashboard!$G$7,Dashboard!$N$6+Dashboard!$G$7),0)</f>
        <v>0</v>
      </c>
      <c r="R257">
        <f t="shared" si="22"/>
        <v>67.914786665735363</v>
      </c>
    </row>
    <row r="258" spans="1:18" x14ac:dyDescent="0.3">
      <c r="A258" s="1">
        <v>44387</v>
      </c>
      <c r="B258">
        <v>10</v>
      </c>
      <c r="C258" s="19">
        <v>7</v>
      </c>
      <c r="D258" s="20">
        <v>2021</v>
      </c>
      <c r="E258" s="21">
        <f t="shared" ref="E258:E321" si="24">DATE(D258,B258,C258)</f>
        <v>44476</v>
      </c>
      <c r="F258" s="20">
        <v>403.25</v>
      </c>
      <c r="G258" s="20">
        <v>4409195</v>
      </c>
      <c r="H258" s="20">
        <v>403.07</v>
      </c>
      <c r="I258" s="20">
        <v>406.05</v>
      </c>
      <c r="J258" s="22">
        <v>402.85</v>
      </c>
      <c r="K258" s="2">
        <f t="shared" si="19"/>
        <v>27701.801714769244</v>
      </c>
      <c r="L258" s="2">
        <f>IF(B258&lt;&gt;B257,L257*(1+Dashboard!$G$5)+Dashboard!$G$6, L257)</f>
        <v>27418.085803840549</v>
      </c>
      <c r="M258">
        <f t="shared" si="23"/>
        <v>0</v>
      </c>
      <c r="N258">
        <f t="shared" si="20"/>
        <v>68.696346471839419</v>
      </c>
      <c r="O258">
        <f>IF(B258&lt;&gt;B257, Dashboard!$L$6,0)</f>
        <v>0</v>
      </c>
      <c r="P258">
        <f t="shared" si="21"/>
        <v>67.344650289450215</v>
      </c>
      <c r="Q258">
        <f>IF(B258&lt;&gt;B257,IF(F258&lt;=AVERAGE(F236:F257),Dashboard!$N$6-Dashboard!$G$7,Dashboard!$N$6+Dashboard!$G$7),0)</f>
        <v>0</v>
      </c>
      <c r="R258">
        <f t="shared" si="22"/>
        <v>67.914786665735363</v>
      </c>
    </row>
    <row r="259" spans="1:18" x14ac:dyDescent="0.3">
      <c r="A259" s="1">
        <v>44418</v>
      </c>
      <c r="B259">
        <v>10</v>
      </c>
      <c r="C259" s="19">
        <v>8</v>
      </c>
      <c r="D259" s="20">
        <v>2021</v>
      </c>
      <c r="E259" s="21">
        <f t="shared" si="24"/>
        <v>44477</v>
      </c>
      <c r="F259" s="20">
        <v>402.49</v>
      </c>
      <c r="G259" s="20">
        <v>3960919</v>
      </c>
      <c r="H259" s="20">
        <v>404.04</v>
      </c>
      <c r="I259" s="20">
        <v>404.38810000000001</v>
      </c>
      <c r="J259" s="22">
        <v>401.94</v>
      </c>
      <c r="K259" s="2">
        <f t="shared" ref="K259:K322" si="25">N259*F259</f>
        <v>27649.592491450647</v>
      </c>
      <c r="L259" s="2">
        <f>IF(B259&lt;&gt;B258,L258*(1+Dashboard!$G$5)+Dashboard!$G$6, L258)</f>
        <v>27418.085803840549</v>
      </c>
      <c r="M259">
        <f t="shared" si="23"/>
        <v>0</v>
      </c>
      <c r="N259">
        <f t="shared" si="20"/>
        <v>68.696346471839419</v>
      </c>
      <c r="O259">
        <f>IF(B259&lt;&gt;B258, Dashboard!$L$6,0)</f>
        <v>0</v>
      </c>
      <c r="P259">
        <f t="shared" si="21"/>
        <v>67.344650289450215</v>
      </c>
      <c r="Q259">
        <f>IF(B259&lt;&gt;B258,IF(F259&lt;=AVERAGE(F237:F258),Dashboard!$N$6-Dashboard!$G$7,Dashboard!$N$6+Dashboard!$G$7),0)</f>
        <v>0</v>
      </c>
      <c r="R259">
        <f t="shared" si="22"/>
        <v>67.914786665735363</v>
      </c>
    </row>
    <row r="260" spans="1:18" x14ac:dyDescent="0.3">
      <c r="A260" s="1">
        <v>44510</v>
      </c>
      <c r="B260">
        <v>10</v>
      </c>
      <c r="C260" s="19">
        <v>11</v>
      </c>
      <c r="D260" s="20">
        <v>2021</v>
      </c>
      <c r="E260" s="21">
        <f t="shared" si="24"/>
        <v>44480</v>
      </c>
      <c r="F260" s="20">
        <v>399.56</v>
      </c>
      <c r="G260" s="20">
        <v>3695672</v>
      </c>
      <c r="H260" s="20">
        <v>401.91</v>
      </c>
      <c r="I260" s="20">
        <v>404.74</v>
      </c>
      <c r="J260" s="22">
        <v>399.56</v>
      </c>
      <c r="K260" s="2">
        <f t="shared" si="25"/>
        <v>27448.31219628816</v>
      </c>
      <c r="L260" s="2">
        <f>IF(B260&lt;&gt;B259,L259*(1+Dashboard!$G$5)+Dashboard!$G$6, L259)</f>
        <v>27418.085803840549</v>
      </c>
      <c r="M260">
        <f t="shared" si="23"/>
        <v>0</v>
      </c>
      <c r="N260">
        <f t="shared" ref="N260:N323" si="26">N259+M259/F259</f>
        <v>68.696346471839419</v>
      </c>
      <c r="O260">
        <f>IF(B260&lt;&gt;B259, Dashboard!$L$6,0)</f>
        <v>0</v>
      </c>
      <c r="P260">
        <f t="shared" ref="P260:P323" si="27">P259+O260/F260</f>
        <v>67.344650289450215</v>
      </c>
      <c r="Q260">
        <f>IF(B260&lt;&gt;B259,IF(F260&lt;=AVERAGE(F238:F259),Dashboard!$N$6-Dashboard!$G$7,Dashboard!$N$6+Dashboard!$G$7),0)</f>
        <v>0</v>
      </c>
      <c r="R260">
        <f t="shared" ref="R260:R323" si="28">R259+Q260/H260</f>
        <v>67.914786665735363</v>
      </c>
    </row>
    <row r="261" spans="1:18" x14ac:dyDescent="0.3">
      <c r="A261" s="1">
        <v>44540</v>
      </c>
      <c r="B261">
        <v>10</v>
      </c>
      <c r="C261" s="19">
        <v>12</v>
      </c>
      <c r="D261" s="20">
        <v>2021</v>
      </c>
      <c r="E261" s="21">
        <f t="shared" si="24"/>
        <v>44481</v>
      </c>
      <c r="F261" s="20">
        <v>398.76</v>
      </c>
      <c r="G261" s="20">
        <v>6201264</v>
      </c>
      <c r="H261" s="20">
        <v>400.55</v>
      </c>
      <c r="I261" s="20">
        <v>400.92</v>
      </c>
      <c r="J261" s="22">
        <v>397.87</v>
      </c>
      <c r="K261" s="2">
        <f t="shared" si="25"/>
        <v>27393.355119110685</v>
      </c>
      <c r="L261" s="2">
        <f>IF(B261&lt;&gt;B260,L260*(1+Dashboard!$G$5)+Dashboard!$G$6, L260)</f>
        <v>27418.085803840549</v>
      </c>
      <c r="M261">
        <f t="shared" si="23"/>
        <v>0</v>
      </c>
      <c r="N261">
        <f t="shared" si="26"/>
        <v>68.696346471839419</v>
      </c>
      <c r="O261">
        <f>IF(B261&lt;&gt;B260, Dashboard!$L$6,0)</f>
        <v>0</v>
      </c>
      <c r="P261">
        <f t="shared" si="27"/>
        <v>67.344650289450215</v>
      </c>
      <c r="Q261">
        <f>IF(B261&lt;&gt;B260,IF(F261&lt;=AVERAGE(F239:F260),Dashboard!$N$6-Dashboard!$G$7,Dashboard!$N$6+Dashboard!$G$7),0)</f>
        <v>0</v>
      </c>
      <c r="R261">
        <f t="shared" si="28"/>
        <v>67.914786665735363</v>
      </c>
    </row>
    <row r="262" spans="1:18" x14ac:dyDescent="0.3">
      <c r="A262" t="s">
        <v>602</v>
      </c>
      <c r="B262">
        <v>10</v>
      </c>
      <c r="C262" s="19">
        <v>13</v>
      </c>
      <c r="D262" s="20">
        <v>2021</v>
      </c>
      <c r="E262" s="21">
        <f t="shared" si="24"/>
        <v>44482</v>
      </c>
      <c r="F262" s="20">
        <v>400.04</v>
      </c>
      <c r="G262" s="20">
        <v>6492363</v>
      </c>
      <c r="H262" s="20">
        <v>399.64</v>
      </c>
      <c r="I262" s="20">
        <v>400.88</v>
      </c>
      <c r="J262" s="22">
        <v>396.75</v>
      </c>
      <c r="K262" s="2">
        <f t="shared" si="25"/>
        <v>27481.286442594643</v>
      </c>
      <c r="L262" s="2">
        <f>IF(B262&lt;&gt;B261,L261*(1+Dashboard!$G$5)+Dashboard!$G$6, L261)</f>
        <v>27418.085803840549</v>
      </c>
      <c r="M262">
        <f t="shared" si="23"/>
        <v>0</v>
      </c>
      <c r="N262">
        <f t="shared" si="26"/>
        <v>68.696346471839419</v>
      </c>
      <c r="O262">
        <f>IF(B262&lt;&gt;B261, Dashboard!$L$6,0)</f>
        <v>0</v>
      </c>
      <c r="P262">
        <f t="shared" si="27"/>
        <v>67.344650289450215</v>
      </c>
      <c r="Q262">
        <f>IF(B262&lt;&gt;B261,IF(F262&lt;=AVERAGE(F240:F261),Dashboard!$N$6-Dashboard!$G$7,Dashboard!$N$6+Dashboard!$G$7),0)</f>
        <v>0</v>
      </c>
      <c r="R262">
        <f t="shared" si="28"/>
        <v>67.914786665735363</v>
      </c>
    </row>
    <row r="263" spans="1:18" x14ac:dyDescent="0.3">
      <c r="A263" t="s">
        <v>601</v>
      </c>
      <c r="B263">
        <v>10</v>
      </c>
      <c r="C263" s="19">
        <v>14</v>
      </c>
      <c r="D263" s="20">
        <v>2021</v>
      </c>
      <c r="E263" s="21">
        <f t="shared" si="24"/>
        <v>44483</v>
      </c>
      <c r="F263" s="20">
        <v>406.76</v>
      </c>
      <c r="G263" s="20">
        <v>3788390</v>
      </c>
      <c r="H263" s="20">
        <v>403.7</v>
      </c>
      <c r="I263" s="20">
        <v>406.95</v>
      </c>
      <c r="J263" s="22">
        <v>403.22</v>
      </c>
      <c r="K263" s="2">
        <f t="shared" si="25"/>
        <v>27942.925890885403</v>
      </c>
      <c r="L263" s="2">
        <f>IF(B263&lt;&gt;B262,L262*(1+Dashboard!$G$5)+Dashboard!$G$6, L262)</f>
        <v>27418.085803840549</v>
      </c>
      <c r="M263">
        <f t="shared" si="23"/>
        <v>0</v>
      </c>
      <c r="N263">
        <f t="shared" si="26"/>
        <v>68.696346471839419</v>
      </c>
      <c r="O263">
        <f>IF(B263&lt;&gt;B262, Dashboard!$L$6,0)</f>
        <v>0</v>
      </c>
      <c r="P263">
        <f t="shared" si="27"/>
        <v>67.344650289450215</v>
      </c>
      <c r="Q263">
        <f>IF(B263&lt;&gt;B262,IF(F263&lt;=AVERAGE(F241:F262),Dashboard!$N$6-Dashboard!$G$7,Dashboard!$N$6+Dashboard!$G$7),0)</f>
        <v>0</v>
      </c>
      <c r="R263">
        <f t="shared" si="28"/>
        <v>67.914786665735363</v>
      </c>
    </row>
    <row r="264" spans="1:18" x14ac:dyDescent="0.3">
      <c r="A264" t="s">
        <v>600</v>
      </c>
      <c r="B264">
        <v>10</v>
      </c>
      <c r="C264" s="19">
        <v>15</v>
      </c>
      <c r="D264" s="20">
        <v>2021</v>
      </c>
      <c r="E264" s="21">
        <f t="shared" si="24"/>
        <v>44484</v>
      </c>
      <c r="F264" s="20">
        <v>409.93</v>
      </c>
      <c r="G264" s="20">
        <v>3501619</v>
      </c>
      <c r="H264" s="20">
        <v>408.92</v>
      </c>
      <c r="I264" s="20">
        <v>410.26</v>
      </c>
      <c r="J264" s="22">
        <v>408.27499999999998</v>
      </c>
      <c r="K264" s="2">
        <f t="shared" si="25"/>
        <v>28160.693309201135</v>
      </c>
      <c r="L264" s="2">
        <f>IF(B264&lt;&gt;B263,L263*(1+Dashboard!$G$5)+Dashboard!$G$6, L263)</f>
        <v>27418.085803840549</v>
      </c>
      <c r="M264">
        <f t="shared" si="23"/>
        <v>0</v>
      </c>
      <c r="N264">
        <f t="shared" si="26"/>
        <v>68.696346471839419</v>
      </c>
      <c r="O264">
        <f>IF(B264&lt;&gt;B263, Dashboard!$L$6,0)</f>
        <v>0</v>
      </c>
      <c r="P264">
        <f t="shared" si="27"/>
        <v>67.344650289450215</v>
      </c>
      <c r="Q264">
        <f>IF(B264&lt;&gt;B263,IF(F264&lt;=AVERAGE(F242:F263),Dashboard!$N$6-Dashboard!$G$7,Dashboard!$N$6+Dashboard!$G$7),0)</f>
        <v>0</v>
      </c>
      <c r="R264">
        <f t="shared" si="28"/>
        <v>67.914786665735363</v>
      </c>
    </row>
    <row r="265" spans="1:18" x14ac:dyDescent="0.3">
      <c r="A265" t="s">
        <v>599</v>
      </c>
      <c r="B265">
        <v>10</v>
      </c>
      <c r="C265" s="19">
        <v>18</v>
      </c>
      <c r="D265" s="20">
        <v>2021</v>
      </c>
      <c r="E265" s="21">
        <f t="shared" si="24"/>
        <v>44487</v>
      </c>
      <c r="F265" s="20">
        <v>411.18</v>
      </c>
      <c r="G265" s="20">
        <v>3402670</v>
      </c>
      <c r="H265" s="20">
        <v>408.2</v>
      </c>
      <c r="I265" s="20">
        <v>411.46</v>
      </c>
      <c r="J265" s="22">
        <v>407.53</v>
      </c>
      <c r="K265" s="2">
        <f t="shared" si="25"/>
        <v>28246.563742290931</v>
      </c>
      <c r="L265" s="2">
        <f>IF(B265&lt;&gt;B264,L264*(1+Dashboard!$G$5)+Dashboard!$G$6, L264)</f>
        <v>27418.085803840549</v>
      </c>
      <c r="M265">
        <f t="shared" si="23"/>
        <v>0</v>
      </c>
      <c r="N265">
        <f t="shared" si="26"/>
        <v>68.696346471839419</v>
      </c>
      <c r="O265">
        <f>IF(B265&lt;&gt;B264, Dashboard!$L$6,0)</f>
        <v>0</v>
      </c>
      <c r="P265">
        <f t="shared" si="27"/>
        <v>67.344650289450215</v>
      </c>
      <c r="Q265">
        <f>IF(B265&lt;&gt;B264,IF(F265&lt;=AVERAGE(F243:F264),Dashboard!$N$6-Dashboard!$G$7,Dashboard!$N$6+Dashboard!$G$7),0)</f>
        <v>0</v>
      </c>
      <c r="R265">
        <f t="shared" si="28"/>
        <v>67.914786665735363</v>
      </c>
    </row>
    <row r="266" spans="1:18" x14ac:dyDescent="0.3">
      <c r="A266" t="s">
        <v>598</v>
      </c>
      <c r="B266">
        <v>10</v>
      </c>
      <c r="C266" s="19">
        <v>19</v>
      </c>
      <c r="D266" s="20">
        <v>2021</v>
      </c>
      <c r="E266" s="21">
        <f t="shared" si="24"/>
        <v>44488</v>
      </c>
      <c r="F266" s="20">
        <v>414.38</v>
      </c>
      <c r="G266" s="20">
        <v>2838262</v>
      </c>
      <c r="H266" s="20">
        <v>412.74</v>
      </c>
      <c r="I266" s="20">
        <v>414.38</v>
      </c>
      <c r="J266" s="22">
        <v>412.14</v>
      </c>
      <c r="K266" s="2">
        <f t="shared" si="25"/>
        <v>28466.392051000817</v>
      </c>
      <c r="L266" s="2">
        <f>IF(B266&lt;&gt;B265,L265*(1+Dashboard!$G$5)+Dashboard!$G$6, L265)</f>
        <v>27418.085803840549</v>
      </c>
      <c r="M266">
        <f t="shared" si="23"/>
        <v>0</v>
      </c>
      <c r="N266">
        <f t="shared" si="26"/>
        <v>68.696346471839419</v>
      </c>
      <c r="O266">
        <f>IF(B266&lt;&gt;B265, Dashboard!$L$6,0)</f>
        <v>0</v>
      </c>
      <c r="P266">
        <f t="shared" si="27"/>
        <v>67.344650289450215</v>
      </c>
      <c r="Q266">
        <f>IF(B266&lt;&gt;B265,IF(F266&lt;=AVERAGE(F244:F265),Dashboard!$N$6-Dashboard!$G$7,Dashboard!$N$6+Dashboard!$G$7),0)</f>
        <v>0</v>
      </c>
      <c r="R266">
        <f t="shared" si="28"/>
        <v>67.914786665735363</v>
      </c>
    </row>
    <row r="267" spans="1:18" x14ac:dyDescent="0.3">
      <c r="A267" t="s">
        <v>597</v>
      </c>
      <c r="B267">
        <v>10</v>
      </c>
      <c r="C267" s="19">
        <v>20</v>
      </c>
      <c r="D267" s="20">
        <v>2021</v>
      </c>
      <c r="E267" s="21">
        <f t="shared" si="24"/>
        <v>44489</v>
      </c>
      <c r="F267" s="20">
        <v>415.99</v>
      </c>
      <c r="G267" s="20">
        <v>3208156</v>
      </c>
      <c r="H267" s="20">
        <v>414.74</v>
      </c>
      <c r="I267" s="20">
        <v>416.22</v>
      </c>
      <c r="J267" s="22">
        <v>414.65</v>
      </c>
      <c r="K267" s="2">
        <f t="shared" si="25"/>
        <v>28576.993168820482</v>
      </c>
      <c r="L267" s="2">
        <f>IF(B267&lt;&gt;B266,L266*(1+Dashboard!$G$5)+Dashboard!$G$6, L266)</f>
        <v>27418.085803840549</v>
      </c>
      <c r="M267">
        <f t="shared" si="23"/>
        <v>0</v>
      </c>
      <c r="N267">
        <f t="shared" si="26"/>
        <v>68.696346471839419</v>
      </c>
      <c r="O267">
        <f>IF(B267&lt;&gt;B266, Dashboard!$L$6,0)</f>
        <v>0</v>
      </c>
      <c r="P267">
        <f t="shared" si="27"/>
        <v>67.344650289450215</v>
      </c>
      <c r="Q267">
        <f>IF(B267&lt;&gt;B266,IF(F267&lt;=AVERAGE(F245:F266),Dashboard!$N$6-Dashboard!$G$7,Dashboard!$N$6+Dashboard!$G$7),0)</f>
        <v>0</v>
      </c>
      <c r="R267">
        <f t="shared" si="28"/>
        <v>67.914786665735363</v>
      </c>
    </row>
    <row r="268" spans="1:18" x14ac:dyDescent="0.3">
      <c r="A268" t="s">
        <v>596</v>
      </c>
      <c r="B268">
        <v>10</v>
      </c>
      <c r="C268" s="19">
        <v>21</v>
      </c>
      <c r="D268" s="20">
        <v>2021</v>
      </c>
      <c r="E268" s="21">
        <f t="shared" si="24"/>
        <v>44490</v>
      </c>
      <c r="F268" s="20">
        <v>417.01</v>
      </c>
      <c r="G268" s="20">
        <v>2579450</v>
      </c>
      <c r="H268" s="20">
        <v>415.38</v>
      </c>
      <c r="I268" s="20">
        <v>417.24</v>
      </c>
      <c r="J268" s="22">
        <v>414.94490000000002</v>
      </c>
      <c r="K268" s="2">
        <f t="shared" si="25"/>
        <v>28647.063442221755</v>
      </c>
      <c r="L268" s="2">
        <f>IF(B268&lt;&gt;B267,L267*(1+Dashboard!$G$5)+Dashboard!$G$6, L267)</f>
        <v>27418.085803840549</v>
      </c>
      <c r="M268">
        <f t="shared" si="23"/>
        <v>0</v>
      </c>
      <c r="N268">
        <f t="shared" si="26"/>
        <v>68.696346471839419</v>
      </c>
      <c r="O268">
        <f>IF(B268&lt;&gt;B267, Dashboard!$L$6,0)</f>
        <v>0</v>
      </c>
      <c r="P268">
        <f t="shared" si="27"/>
        <v>67.344650289450215</v>
      </c>
      <c r="Q268">
        <f>IF(B268&lt;&gt;B267,IF(F268&lt;=AVERAGE(F246:F267),Dashboard!$N$6-Dashboard!$G$7,Dashboard!$N$6+Dashboard!$G$7),0)</f>
        <v>0</v>
      </c>
      <c r="R268">
        <f t="shared" si="28"/>
        <v>67.914786665735363</v>
      </c>
    </row>
    <row r="269" spans="1:18" x14ac:dyDescent="0.3">
      <c r="A269" t="s">
        <v>595</v>
      </c>
      <c r="B269">
        <v>10</v>
      </c>
      <c r="C269" s="19">
        <v>22</v>
      </c>
      <c r="D269" s="20">
        <v>2021</v>
      </c>
      <c r="E269" s="21">
        <f t="shared" si="24"/>
        <v>44491</v>
      </c>
      <c r="F269" s="20">
        <v>416.59</v>
      </c>
      <c r="G269" s="20">
        <v>3648855</v>
      </c>
      <c r="H269" s="20">
        <v>416.58</v>
      </c>
      <c r="I269" s="20">
        <v>418</v>
      </c>
      <c r="J269" s="22">
        <v>414.7</v>
      </c>
      <c r="K269" s="2">
        <f t="shared" si="25"/>
        <v>28618.210976703584</v>
      </c>
      <c r="L269" s="2">
        <f>IF(B269&lt;&gt;B268,L268*(1+Dashboard!$G$5)+Dashboard!$G$6, L268)</f>
        <v>27418.085803840549</v>
      </c>
      <c r="M269">
        <f t="shared" si="23"/>
        <v>0</v>
      </c>
      <c r="N269">
        <f t="shared" si="26"/>
        <v>68.696346471839419</v>
      </c>
      <c r="O269">
        <f>IF(B269&lt;&gt;B268, Dashboard!$L$6,0)</f>
        <v>0</v>
      </c>
      <c r="P269">
        <f t="shared" si="27"/>
        <v>67.344650289450215</v>
      </c>
      <c r="Q269">
        <f>IF(B269&lt;&gt;B268,IF(F269&lt;=AVERAGE(F247:F268),Dashboard!$N$6-Dashboard!$G$7,Dashboard!$N$6+Dashboard!$G$7),0)</f>
        <v>0</v>
      </c>
      <c r="R269">
        <f t="shared" si="28"/>
        <v>67.914786665735363</v>
      </c>
    </row>
    <row r="270" spans="1:18" x14ac:dyDescent="0.3">
      <c r="A270" t="s">
        <v>594</v>
      </c>
      <c r="B270">
        <v>10</v>
      </c>
      <c r="C270" s="19">
        <v>25</v>
      </c>
      <c r="D270" s="20">
        <v>2021</v>
      </c>
      <c r="E270" s="21">
        <f t="shared" si="24"/>
        <v>44494</v>
      </c>
      <c r="F270" s="20">
        <v>418.75</v>
      </c>
      <c r="G270" s="20">
        <v>2511465</v>
      </c>
      <c r="H270" s="20">
        <v>417.64</v>
      </c>
      <c r="I270" s="20">
        <v>419.14</v>
      </c>
      <c r="J270" s="22">
        <v>415.93</v>
      </c>
      <c r="K270" s="2">
        <f t="shared" si="25"/>
        <v>28766.595085082758</v>
      </c>
      <c r="L270" s="2">
        <f>IF(B270&lt;&gt;B269,L269*(1+Dashboard!$G$5)+Dashboard!$G$6, L269)</f>
        <v>27418.085803840549</v>
      </c>
      <c r="M270">
        <f t="shared" si="23"/>
        <v>0</v>
      </c>
      <c r="N270">
        <f t="shared" si="26"/>
        <v>68.696346471839419</v>
      </c>
      <c r="O270">
        <f>IF(B270&lt;&gt;B269, Dashboard!$L$6,0)</f>
        <v>0</v>
      </c>
      <c r="P270">
        <f t="shared" si="27"/>
        <v>67.344650289450215</v>
      </c>
      <c r="Q270">
        <f>IF(B270&lt;&gt;B269,IF(F270&lt;=AVERAGE(F248:F269),Dashboard!$N$6-Dashboard!$G$7,Dashboard!$N$6+Dashboard!$G$7),0)</f>
        <v>0</v>
      </c>
      <c r="R270">
        <f t="shared" si="28"/>
        <v>67.914786665735363</v>
      </c>
    </row>
    <row r="271" spans="1:18" x14ac:dyDescent="0.3">
      <c r="A271" t="s">
        <v>593</v>
      </c>
      <c r="B271">
        <v>10</v>
      </c>
      <c r="C271" s="19">
        <v>26</v>
      </c>
      <c r="D271" s="20">
        <v>2021</v>
      </c>
      <c r="E271" s="21">
        <f t="shared" si="24"/>
        <v>44495</v>
      </c>
      <c r="F271" s="20">
        <v>419.15</v>
      </c>
      <c r="G271" s="20">
        <v>3085261</v>
      </c>
      <c r="H271" s="20">
        <v>420.27</v>
      </c>
      <c r="I271" s="20">
        <v>421.52940000000001</v>
      </c>
      <c r="J271" s="22">
        <v>418.86</v>
      </c>
      <c r="K271" s="2">
        <f t="shared" si="25"/>
        <v>28794.073623671491</v>
      </c>
      <c r="L271" s="2">
        <f>IF(B271&lt;&gt;B270,L270*(1+Dashboard!$G$5)+Dashboard!$G$6, L270)</f>
        <v>27418.085803840549</v>
      </c>
      <c r="M271">
        <f t="shared" si="23"/>
        <v>0</v>
      </c>
      <c r="N271">
        <f t="shared" si="26"/>
        <v>68.696346471839419</v>
      </c>
      <c r="O271">
        <f>IF(B271&lt;&gt;B270, Dashboard!$L$6,0)</f>
        <v>0</v>
      </c>
      <c r="P271">
        <f t="shared" si="27"/>
        <v>67.344650289450215</v>
      </c>
      <c r="Q271">
        <f>IF(B271&lt;&gt;B270,IF(F271&lt;=AVERAGE(F249:F270),Dashboard!$N$6-Dashboard!$G$7,Dashboard!$N$6+Dashboard!$G$7),0)</f>
        <v>0</v>
      </c>
      <c r="R271">
        <f t="shared" si="28"/>
        <v>67.914786665735363</v>
      </c>
    </row>
    <row r="272" spans="1:18" x14ac:dyDescent="0.3">
      <c r="A272" t="s">
        <v>592</v>
      </c>
      <c r="B272">
        <v>10</v>
      </c>
      <c r="C272" s="19">
        <v>27</v>
      </c>
      <c r="D272" s="20">
        <v>2021</v>
      </c>
      <c r="E272" s="21">
        <f t="shared" si="24"/>
        <v>44496</v>
      </c>
      <c r="F272" s="20">
        <v>417.33</v>
      </c>
      <c r="G272" s="20">
        <v>2873514</v>
      </c>
      <c r="H272" s="20">
        <v>419.66</v>
      </c>
      <c r="I272" s="20">
        <v>420.29</v>
      </c>
      <c r="J272" s="22">
        <v>417.28</v>
      </c>
      <c r="K272" s="2">
        <f t="shared" si="25"/>
        <v>28669.046273092743</v>
      </c>
      <c r="L272" s="2">
        <f>IF(B272&lt;&gt;B271,L271*(1+Dashboard!$G$5)+Dashboard!$G$6, L271)</f>
        <v>27418.085803840549</v>
      </c>
      <c r="M272">
        <f t="shared" si="23"/>
        <v>0</v>
      </c>
      <c r="N272">
        <f t="shared" si="26"/>
        <v>68.696346471839419</v>
      </c>
      <c r="O272">
        <f>IF(B272&lt;&gt;B271, Dashboard!$L$6,0)</f>
        <v>0</v>
      </c>
      <c r="P272">
        <f t="shared" si="27"/>
        <v>67.344650289450215</v>
      </c>
      <c r="Q272">
        <f>IF(B272&lt;&gt;B271,IF(F272&lt;=AVERAGE(F250:F271),Dashboard!$N$6-Dashboard!$G$7,Dashboard!$N$6+Dashboard!$G$7),0)</f>
        <v>0</v>
      </c>
      <c r="R272">
        <f t="shared" si="28"/>
        <v>67.914786665735363</v>
      </c>
    </row>
    <row r="273" spans="1:18" x14ac:dyDescent="0.3">
      <c r="A273" t="s">
        <v>591</v>
      </c>
      <c r="B273">
        <v>10</v>
      </c>
      <c r="C273" s="19">
        <v>28</v>
      </c>
      <c r="D273" s="20">
        <v>2021</v>
      </c>
      <c r="E273" s="21">
        <f t="shared" si="24"/>
        <v>44497</v>
      </c>
      <c r="F273" s="20">
        <v>421.41</v>
      </c>
      <c r="G273" s="20">
        <v>3643561</v>
      </c>
      <c r="H273" s="20">
        <v>418.78</v>
      </c>
      <c r="I273" s="20">
        <v>421.44</v>
      </c>
      <c r="J273" s="22">
        <v>418.75</v>
      </c>
      <c r="K273" s="2">
        <f t="shared" si="25"/>
        <v>28949.327366697853</v>
      </c>
      <c r="L273" s="2">
        <f>IF(B273&lt;&gt;B272,L272*(1+Dashboard!$G$5)+Dashboard!$G$6, L272)</f>
        <v>27418.085803840549</v>
      </c>
      <c r="M273">
        <f t="shared" si="23"/>
        <v>0</v>
      </c>
      <c r="N273">
        <f t="shared" si="26"/>
        <v>68.696346471839419</v>
      </c>
      <c r="O273">
        <f>IF(B273&lt;&gt;B272, Dashboard!$L$6,0)</f>
        <v>0</v>
      </c>
      <c r="P273">
        <f t="shared" si="27"/>
        <v>67.344650289450215</v>
      </c>
      <c r="Q273">
        <f>IF(B273&lt;&gt;B272,IF(F273&lt;=AVERAGE(F251:F272),Dashboard!$N$6-Dashboard!$G$7,Dashboard!$N$6+Dashboard!$G$7),0)</f>
        <v>0</v>
      </c>
      <c r="R273">
        <f t="shared" si="28"/>
        <v>67.914786665735363</v>
      </c>
    </row>
    <row r="274" spans="1:18" x14ac:dyDescent="0.3">
      <c r="A274" t="s">
        <v>590</v>
      </c>
      <c r="B274">
        <v>10</v>
      </c>
      <c r="C274" s="19">
        <v>29</v>
      </c>
      <c r="D274" s="20">
        <v>2021</v>
      </c>
      <c r="E274" s="21">
        <f t="shared" si="24"/>
        <v>44498</v>
      </c>
      <c r="F274" s="20">
        <v>422.16</v>
      </c>
      <c r="G274" s="20">
        <v>4637741</v>
      </c>
      <c r="H274" s="20">
        <v>419.15</v>
      </c>
      <c r="I274" s="20">
        <v>422.51499999999999</v>
      </c>
      <c r="J274" s="22">
        <v>418.87</v>
      </c>
      <c r="K274" s="2">
        <f t="shared" si="25"/>
        <v>29000.849626551731</v>
      </c>
      <c r="L274" s="2">
        <f>IF(B274&lt;&gt;B273,L273*(1+Dashboard!$G$5)+Dashboard!$G$6, L273)</f>
        <v>27418.085803840549</v>
      </c>
      <c r="M274">
        <f t="shared" si="23"/>
        <v>0</v>
      </c>
      <c r="N274">
        <f t="shared" si="26"/>
        <v>68.696346471839419</v>
      </c>
      <c r="O274">
        <f>IF(B274&lt;&gt;B273, Dashboard!$L$6,0)</f>
        <v>0</v>
      </c>
      <c r="P274">
        <f t="shared" si="27"/>
        <v>67.344650289450215</v>
      </c>
      <c r="Q274">
        <f>IF(B274&lt;&gt;B273,IF(F274&lt;=AVERAGE(F252:F273),Dashboard!$N$6-Dashboard!$G$7,Dashboard!$N$6+Dashboard!$G$7),0)</f>
        <v>0</v>
      </c>
      <c r="R274">
        <f t="shared" si="28"/>
        <v>67.914786665735363</v>
      </c>
    </row>
    <row r="275" spans="1:18" x14ac:dyDescent="0.3">
      <c r="A275" s="1">
        <v>44207</v>
      </c>
      <c r="B275">
        <v>11</v>
      </c>
      <c r="C275" s="19">
        <v>1</v>
      </c>
      <c r="D275" s="20">
        <v>2021</v>
      </c>
      <c r="E275" s="21">
        <f t="shared" si="24"/>
        <v>44501</v>
      </c>
      <c r="F275" s="20">
        <v>423.05</v>
      </c>
      <c r="G275" s="20">
        <v>3937315</v>
      </c>
      <c r="H275" s="20">
        <v>423.19</v>
      </c>
      <c r="I275" s="20">
        <v>423.57</v>
      </c>
      <c r="J275" s="22">
        <v>421.28</v>
      </c>
      <c r="K275" s="2">
        <f t="shared" si="25"/>
        <v>29061.989374911667</v>
      </c>
      <c r="L275" s="2">
        <f>IF(B275&lt;&gt;B274,L274*(1+Dashboard!$G$5)+Dashboard!$G$6, L274)</f>
        <v>29659.364958914342</v>
      </c>
      <c r="M275">
        <f t="shared" si="23"/>
        <v>597.37558400267517</v>
      </c>
      <c r="N275">
        <f t="shared" si="26"/>
        <v>68.696346471839419</v>
      </c>
      <c r="O275">
        <f>IF(B275&lt;&gt;B274, Dashboard!$L$6,0)</f>
        <v>1859.7282542371197</v>
      </c>
      <c r="P275">
        <f t="shared" si="27"/>
        <v>71.740651363169917</v>
      </c>
      <c r="Q275">
        <f>IF(B275&lt;&gt;B274,IF(F275&lt;=AVERAGE(F253:F274),Dashboard!$N$6-Dashboard!$G$7,Dashboard!$N$6+Dashboard!$G$7),0)</f>
        <v>2232.609610169322</v>
      </c>
      <c r="R275">
        <f t="shared" si="28"/>
        <v>73.190453884169926</v>
      </c>
    </row>
    <row r="276" spans="1:18" x14ac:dyDescent="0.3">
      <c r="A276" s="1">
        <v>44238</v>
      </c>
      <c r="B276">
        <v>11</v>
      </c>
      <c r="C276" s="19">
        <v>2</v>
      </c>
      <c r="D276" s="20">
        <v>2021</v>
      </c>
      <c r="E276" s="21">
        <f t="shared" si="24"/>
        <v>44502</v>
      </c>
      <c r="F276" s="20">
        <v>424.69</v>
      </c>
      <c r="G276" s="20">
        <v>2989214</v>
      </c>
      <c r="H276" s="20">
        <v>423.15</v>
      </c>
      <c r="I276" s="20">
        <v>424.96</v>
      </c>
      <c r="J276" s="22">
        <v>423.01</v>
      </c>
      <c r="K276" s="2">
        <f t="shared" si="25"/>
        <v>29774.342759487838</v>
      </c>
      <c r="L276" s="2">
        <f>IF(B276&lt;&gt;B275,L275*(1+Dashboard!$G$5)+Dashboard!$G$6, L275)</f>
        <v>29659.364958914342</v>
      </c>
      <c r="M276">
        <f t="shared" si="23"/>
        <v>0</v>
      </c>
      <c r="N276">
        <f t="shared" si="26"/>
        <v>70.108414983841953</v>
      </c>
      <c r="O276">
        <f>IF(B276&lt;&gt;B275, Dashboard!$L$6,0)</f>
        <v>0</v>
      </c>
      <c r="P276">
        <f t="shared" si="27"/>
        <v>71.740651363169917</v>
      </c>
      <c r="Q276">
        <f>IF(B276&lt;&gt;B275,IF(F276&lt;=AVERAGE(F254:F275),Dashboard!$N$6-Dashboard!$G$7,Dashboard!$N$6+Dashboard!$G$7),0)</f>
        <v>0</v>
      </c>
      <c r="R276">
        <f t="shared" si="28"/>
        <v>73.190453884169926</v>
      </c>
    </row>
    <row r="277" spans="1:18" x14ac:dyDescent="0.3">
      <c r="A277" s="1">
        <v>44266</v>
      </c>
      <c r="B277">
        <v>11</v>
      </c>
      <c r="C277" s="19">
        <v>3</v>
      </c>
      <c r="D277" s="20">
        <v>2021</v>
      </c>
      <c r="E277" s="21">
        <f t="shared" si="24"/>
        <v>44503</v>
      </c>
      <c r="F277" s="20">
        <v>427.25</v>
      </c>
      <c r="G277" s="20">
        <v>3562910</v>
      </c>
      <c r="H277" s="20">
        <v>424.14</v>
      </c>
      <c r="I277" s="20">
        <v>427.66</v>
      </c>
      <c r="J277" s="22">
        <v>423.69</v>
      </c>
      <c r="K277" s="2">
        <f t="shared" si="25"/>
        <v>29953.820301846474</v>
      </c>
      <c r="L277" s="2">
        <f>IF(B277&lt;&gt;B276,L276*(1+Dashboard!$G$5)+Dashboard!$G$6, L276)</f>
        <v>29659.364958914342</v>
      </c>
      <c r="M277">
        <f t="shared" si="23"/>
        <v>0</v>
      </c>
      <c r="N277">
        <f t="shared" si="26"/>
        <v>70.108414983841953</v>
      </c>
      <c r="O277">
        <f>IF(B277&lt;&gt;B276, Dashboard!$L$6,0)</f>
        <v>0</v>
      </c>
      <c r="P277">
        <f t="shared" si="27"/>
        <v>71.740651363169917</v>
      </c>
      <c r="Q277">
        <f>IF(B277&lt;&gt;B276,IF(F277&lt;=AVERAGE(F255:F276),Dashboard!$N$6-Dashboard!$G$7,Dashboard!$N$6+Dashboard!$G$7),0)</f>
        <v>0</v>
      </c>
      <c r="R277">
        <f t="shared" si="28"/>
        <v>73.190453884169926</v>
      </c>
    </row>
    <row r="278" spans="1:18" x14ac:dyDescent="0.3">
      <c r="A278" s="1">
        <v>44297</v>
      </c>
      <c r="B278">
        <v>11</v>
      </c>
      <c r="C278" s="19">
        <v>4</v>
      </c>
      <c r="D278" s="20">
        <v>2021</v>
      </c>
      <c r="E278" s="21">
        <f t="shared" si="24"/>
        <v>44504</v>
      </c>
      <c r="F278" s="20">
        <v>429.25</v>
      </c>
      <c r="G278" s="20">
        <v>4287284</v>
      </c>
      <c r="H278" s="20">
        <v>427.85</v>
      </c>
      <c r="I278" s="20">
        <v>429.37</v>
      </c>
      <c r="J278" s="22">
        <v>427.54</v>
      </c>
      <c r="K278" s="2">
        <f t="shared" si="25"/>
        <v>30094.037131814159</v>
      </c>
      <c r="L278" s="2">
        <f>IF(B278&lt;&gt;B277,L277*(1+Dashboard!$G$5)+Dashboard!$G$6, L277)</f>
        <v>29659.364958914342</v>
      </c>
      <c r="M278">
        <f t="shared" si="23"/>
        <v>0</v>
      </c>
      <c r="N278">
        <f t="shared" si="26"/>
        <v>70.108414983841953</v>
      </c>
      <c r="O278">
        <f>IF(B278&lt;&gt;B277, Dashboard!$L$6,0)</f>
        <v>0</v>
      </c>
      <c r="P278">
        <f t="shared" si="27"/>
        <v>71.740651363169917</v>
      </c>
      <c r="Q278">
        <f>IF(B278&lt;&gt;B277,IF(F278&lt;=AVERAGE(F256:F277),Dashboard!$N$6-Dashboard!$G$7,Dashboard!$N$6+Dashboard!$G$7),0)</f>
        <v>0</v>
      </c>
      <c r="R278">
        <f t="shared" si="28"/>
        <v>73.190453884169926</v>
      </c>
    </row>
    <row r="279" spans="1:18" x14ac:dyDescent="0.3">
      <c r="A279" s="1">
        <v>44327</v>
      </c>
      <c r="B279">
        <v>11</v>
      </c>
      <c r="C279" s="19">
        <v>5</v>
      </c>
      <c r="D279" s="20">
        <v>2021</v>
      </c>
      <c r="E279" s="21">
        <f t="shared" si="24"/>
        <v>44505</v>
      </c>
      <c r="F279" s="20">
        <v>430.71</v>
      </c>
      <c r="G279" s="20">
        <v>4942933</v>
      </c>
      <c r="H279" s="20">
        <v>431.55</v>
      </c>
      <c r="I279" s="20">
        <v>432.76</v>
      </c>
      <c r="J279" s="22">
        <v>429.3</v>
      </c>
      <c r="K279" s="2">
        <f t="shared" si="25"/>
        <v>30196.395417690568</v>
      </c>
      <c r="L279" s="2">
        <f>IF(B279&lt;&gt;B278,L278*(1+Dashboard!$G$5)+Dashboard!$G$6, L278)</f>
        <v>29659.364958914342</v>
      </c>
      <c r="M279">
        <f t="shared" si="23"/>
        <v>0</v>
      </c>
      <c r="N279">
        <f t="shared" si="26"/>
        <v>70.108414983841953</v>
      </c>
      <c r="O279">
        <f>IF(B279&lt;&gt;B278, Dashboard!$L$6,0)</f>
        <v>0</v>
      </c>
      <c r="P279">
        <f t="shared" si="27"/>
        <v>71.740651363169917</v>
      </c>
      <c r="Q279">
        <f>IF(B279&lt;&gt;B278,IF(F279&lt;=AVERAGE(F257:F278),Dashboard!$N$6-Dashboard!$G$7,Dashboard!$N$6+Dashboard!$G$7),0)</f>
        <v>0</v>
      </c>
      <c r="R279">
        <f t="shared" si="28"/>
        <v>73.190453884169926</v>
      </c>
    </row>
    <row r="280" spans="1:18" x14ac:dyDescent="0.3">
      <c r="A280" s="1">
        <v>44419</v>
      </c>
      <c r="B280">
        <v>11</v>
      </c>
      <c r="C280" s="19">
        <v>8</v>
      </c>
      <c r="D280" s="20">
        <v>2021</v>
      </c>
      <c r="E280" s="21">
        <f t="shared" si="24"/>
        <v>44508</v>
      </c>
      <c r="F280" s="20">
        <v>431.23</v>
      </c>
      <c r="G280" s="20">
        <v>3511610</v>
      </c>
      <c r="H280" s="20">
        <v>431.88</v>
      </c>
      <c r="I280" s="20">
        <v>432.34</v>
      </c>
      <c r="J280" s="22">
        <v>430.5</v>
      </c>
      <c r="K280" s="2">
        <f t="shared" si="25"/>
        <v>30232.851793482168</v>
      </c>
      <c r="L280" s="2">
        <f>IF(B280&lt;&gt;B279,L279*(1+Dashboard!$G$5)+Dashboard!$G$6, L279)</f>
        <v>29659.364958914342</v>
      </c>
      <c r="M280">
        <f t="shared" si="23"/>
        <v>0</v>
      </c>
      <c r="N280">
        <f t="shared" si="26"/>
        <v>70.108414983841953</v>
      </c>
      <c r="O280">
        <f>IF(B280&lt;&gt;B279, Dashboard!$L$6,0)</f>
        <v>0</v>
      </c>
      <c r="P280">
        <f t="shared" si="27"/>
        <v>71.740651363169917</v>
      </c>
      <c r="Q280">
        <f>IF(B280&lt;&gt;B279,IF(F280&lt;=AVERAGE(F258:F279),Dashboard!$N$6-Dashboard!$G$7,Dashboard!$N$6+Dashboard!$G$7),0)</f>
        <v>0</v>
      </c>
      <c r="R280">
        <f t="shared" si="28"/>
        <v>73.190453884169926</v>
      </c>
    </row>
    <row r="281" spans="1:18" x14ac:dyDescent="0.3">
      <c r="A281" s="1">
        <v>44450</v>
      </c>
      <c r="B281">
        <v>11</v>
      </c>
      <c r="C281" s="19">
        <v>9</v>
      </c>
      <c r="D281" s="20">
        <v>2021</v>
      </c>
      <c r="E281" s="21">
        <f t="shared" si="24"/>
        <v>44509</v>
      </c>
      <c r="F281" s="20">
        <v>429.72</v>
      </c>
      <c r="G281" s="20">
        <v>4696024</v>
      </c>
      <c r="H281" s="20">
        <v>431.56</v>
      </c>
      <c r="I281" s="20">
        <v>431.75</v>
      </c>
      <c r="J281" s="22">
        <v>428.34</v>
      </c>
      <c r="K281" s="2">
        <f t="shared" si="25"/>
        <v>30126.988086856567</v>
      </c>
      <c r="L281" s="2">
        <f>IF(B281&lt;&gt;B280,L280*(1+Dashboard!$G$5)+Dashboard!$G$6, L280)</f>
        <v>29659.364958914342</v>
      </c>
      <c r="M281">
        <f t="shared" ref="M281:M344" si="29">IF(B281&lt;&gt;B280,IF((L281-K281&gt;0),L281-K281,0),0)</f>
        <v>0</v>
      </c>
      <c r="N281">
        <f t="shared" si="26"/>
        <v>70.108414983841953</v>
      </c>
      <c r="O281">
        <f>IF(B281&lt;&gt;B280, Dashboard!$L$6,0)</f>
        <v>0</v>
      </c>
      <c r="P281">
        <f t="shared" si="27"/>
        <v>71.740651363169917</v>
      </c>
      <c r="Q281">
        <f>IF(B281&lt;&gt;B280,IF(F281&lt;=AVERAGE(F259:F280),Dashboard!$N$6-Dashboard!$G$7,Dashboard!$N$6+Dashboard!$G$7),0)</f>
        <v>0</v>
      </c>
      <c r="R281">
        <f t="shared" si="28"/>
        <v>73.190453884169926</v>
      </c>
    </row>
    <row r="282" spans="1:18" x14ac:dyDescent="0.3">
      <c r="A282" s="1">
        <v>44480</v>
      </c>
      <c r="B282">
        <v>11</v>
      </c>
      <c r="C282" s="19">
        <v>10</v>
      </c>
      <c r="D282" s="20">
        <v>2021</v>
      </c>
      <c r="E282" s="21">
        <f t="shared" si="24"/>
        <v>44510</v>
      </c>
      <c r="F282" s="20">
        <v>426.26</v>
      </c>
      <c r="G282" s="20">
        <v>6350658</v>
      </c>
      <c r="H282" s="20">
        <v>428.09</v>
      </c>
      <c r="I282" s="20">
        <v>429.73</v>
      </c>
      <c r="J282" s="22">
        <v>424.81</v>
      </c>
      <c r="K282" s="2">
        <f t="shared" si="25"/>
        <v>29884.412971012469</v>
      </c>
      <c r="L282" s="2">
        <f>IF(B282&lt;&gt;B281,L281*(1+Dashboard!$G$5)+Dashboard!$G$6, L281)</f>
        <v>29659.364958914342</v>
      </c>
      <c r="M282">
        <f t="shared" si="29"/>
        <v>0</v>
      </c>
      <c r="N282">
        <f t="shared" si="26"/>
        <v>70.108414983841953</v>
      </c>
      <c r="O282">
        <f>IF(B282&lt;&gt;B281, Dashboard!$L$6,0)</f>
        <v>0</v>
      </c>
      <c r="P282">
        <f t="shared" si="27"/>
        <v>71.740651363169917</v>
      </c>
      <c r="Q282">
        <f>IF(B282&lt;&gt;B281,IF(F282&lt;=AVERAGE(F260:F281),Dashboard!$N$6-Dashboard!$G$7,Dashboard!$N$6+Dashboard!$G$7),0)</f>
        <v>0</v>
      </c>
      <c r="R282">
        <f t="shared" si="28"/>
        <v>73.190453884169926</v>
      </c>
    </row>
    <row r="283" spans="1:18" x14ac:dyDescent="0.3">
      <c r="A283" s="1">
        <v>44511</v>
      </c>
      <c r="B283">
        <v>11</v>
      </c>
      <c r="C283" s="19">
        <v>11</v>
      </c>
      <c r="D283" s="20">
        <v>2021</v>
      </c>
      <c r="E283" s="21">
        <f t="shared" si="24"/>
        <v>44511</v>
      </c>
      <c r="F283" s="20">
        <v>426.4</v>
      </c>
      <c r="G283" s="20">
        <v>3634631</v>
      </c>
      <c r="H283" s="20">
        <v>427.7</v>
      </c>
      <c r="I283" s="20">
        <v>427.82</v>
      </c>
      <c r="J283" s="22">
        <v>426.39</v>
      </c>
      <c r="K283" s="2">
        <f t="shared" si="25"/>
        <v>29894.228149110208</v>
      </c>
      <c r="L283" s="2">
        <f>IF(B283&lt;&gt;B282,L282*(1+Dashboard!$G$5)+Dashboard!$G$6, L282)</f>
        <v>29659.364958914342</v>
      </c>
      <c r="M283">
        <f t="shared" si="29"/>
        <v>0</v>
      </c>
      <c r="N283">
        <f t="shared" si="26"/>
        <v>70.108414983841953</v>
      </c>
      <c r="O283">
        <f>IF(B283&lt;&gt;B282, Dashboard!$L$6,0)</f>
        <v>0</v>
      </c>
      <c r="P283">
        <f t="shared" si="27"/>
        <v>71.740651363169917</v>
      </c>
      <c r="Q283">
        <f>IF(B283&lt;&gt;B282,IF(F283&lt;=AVERAGE(F261:F282),Dashboard!$N$6-Dashboard!$G$7,Dashboard!$N$6+Dashboard!$G$7),0)</f>
        <v>0</v>
      </c>
      <c r="R283">
        <f t="shared" si="28"/>
        <v>73.190453884169926</v>
      </c>
    </row>
    <row r="284" spans="1:18" x14ac:dyDescent="0.3">
      <c r="A284" s="1">
        <v>44541</v>
      </c>
      <c r="B284">
        <v>11</v>
      </c>
      <c r="C284" s="19">
        <v>12</v>
      </c>
      <c r="D284" s="20">
        <v>2021</v>
      </c>
      <c r="E284" s="21">
        <f t="shared" si="24"/>
        <v>44512</v>
      </c>
      <c r="F284" s="20">
        <v>429.57</v>
      </c>
      <c r="G284" s="20">
        <v>3655495</v>
      </c>
      <c r="H284" s="20">
        <v>427.66</v>
      </c>
      <c r="I284" s="20">
        <v>430.17</v>
      </c>
      <c r="J284" s="22">
        <v>426.73</v>
      </c>
      <c r="K284" s="2">
        <f t="shared" si="25"/>
        <v>30116.471824608987</v>
      </c>
      <c r="L284" s="2">
        <f>IF(B284&lt;&gt;B283,L283*(1+Dashboard!$G$5)+Dashboard!$G$6, L283)</f>
        <v>29659.364958914342</v>
      </c>
      <c r="M284">
        <f t="shared" si="29"/>
        <v>0</v>
      </c>
      <c r="N284">
        <f t="shared" si="26"/>
        <v>70.108414983841953</v>
      </c>
      <c r="O284">
        <f>IF(B284&lt;&gt;B283, Dashboard!$L$6,0)</f>
        <v>0</v>
      </c>
      <c r="P284">
        <f t="shared" si="27"/>
        <v>71.740651363169917</v>
      </c>
      <c r="Q284">
        <f>IF(B284&lt;&gt;B283,IF(F284&lt;=AVERAGE(F262:F283),Dashboard!$N$6-Dashboard!$G$7,Dashboard!$N$6+Dashboard!$G$7),0)</f>
        <v>0</v>
      </c>
      <c r="R284">
        <f t="shared" si="28"/>
        <v>73.190453884169926</v>
      </c>
    </row>
    <row r="285" spans="1:18" x14ac:dyDescent="0.3">
      <c r="A285" t="s">
        <v>589</v>
      </c>
      <c r="B285">
        <v>11</v>
      </c>
      <c r="C285" s="19">
        <v>15</v>
      </c>
      <c r="D285" s="20">
        <v>2021</v>
      </c>
      <c r="E285" s="21">
        <f t="shared" si="24"/>
        <v>44515</v>
      </c>
      <c r="F285" s="20">
        <v>429.77</v>
      </c>
      <c r="G285" s="20">
        <v>3122286</v>
      </c>
      <c r="H285" s="20">
        <v>430.95</v>
      </c>
      <c r="I285" s="20">
        <v>431.005</v>
      </c>
      <c r="J285" s="22">
        <v>428.65</v>
      </c>
      <c r="K285" s="2">
        <f t="shared" si="25"/>
        <v>30130.493507605755</v>
      </c>
      <c r="L285" s="2">
        <f>IF(B285&lt;&gt;B284,L284*(1+Dashboard!$G$5)+Dashboard!$G$6, L284)</f>
        <v>29659.364958914342</v>
      </c>
      <c r="M285">
        <f t="shared" si="29"/>
        <v>0</v>
      </c>
      <c r="N285">
        <f t="shared" si="26"/>
        <v>70.108414983841953</v>
      </c>
      <c r="O285">
        <f>IF(B285&lt;&gt;B284, Dashboard!$L$6,0)</f>
        <v>0</v>
      </c>
      <c r="P285">
        <f t="shared" si="27"/>
        <v>71.740651363169917</v>
      </c>
      <c r="Q285">
        <f>IF(B285&lt;&gt;B284,IF(F285&lt;=AVERAGE(F263:F284),Dashboard!$N$6-Dashboard!$G$7,Dashboard!$N$6+Dashboard!$G$7),0)</f>
        <v>0</v>
      </c>
      <c r="R285">
        <f t="shared" si="28"/>
        <v>73.190453884169926</v>
      </c>
    </row>
    <row r="286" spans="1:18" x14ac:dyDescent="0.3">
      <c r="A286" t="s">
        <v>588</v>
      </c>
      <c r="B286">
        <v>11</v>
      </c>
      <c r="C286" s="19">
        <v>16</v>
      </c>
      <c r="D286" s="20">
        <v>2021</v>
      </c>
      <c r="E286" s="21">
        <f t="shared" si="24"/>
        <v>44516</v>
      </c>
      <c r="F286" s="20">
        <v>431.41</v>
      </c>
      <c r="G286" s="20">
        <v>3266998</v>
      </c>
      <c r="H286" s="20">
        <v>429.52</v>
      </c>
      <c r="I286" s="20">
        <v>432.59</v>
      </c>
      <c r="J286" s="22">
        <v>429.47210000000001</v>
      </c>
      <c r="K286" s="2">
        <f t="shared" si="25"/>
        <v>30245.471308179258</v>
      </c>
      <c r="L286" s="2">
        <f>IF(B286&lt;&gt;B285,L285*(1+Dashboard!$G$5)+Dashboard!$G$6, L285)</f>
        <v>29659.364958914342</v>
      </c>
      <c r="M286">
        <f t="shared" si="29"/>
        <v>0</v>
      </c>
      <c r="N286">
        <f t="shared" si="26"/>
        <v>70.108414983841953</v>
      </c>
      <c r="O286">
        <f>IF(B286&lt;&gt;B285, Dashboard!$L$6,0)</f>
        <v>0</v>
      </c>
      <c r="P286">
        <f t="shared" si="27"/>
        <v>71.740651363169917</v>
      </c>
      <c r="Q286">
        <f>IF(B286&lt;&gt;B285,IF(F286&lt;=AVERAGE(F264:F285),Dashboard!$N$6-Dashboard!$G$7,Dashboard!$N$6+Dashboard!$G$7),0)</f>
        <v>0</v>
      </c>
      <c r="R286">
        <f t="shared" si="28"/>
        <v>73.190453884169926</v>
      </c>
    </row>
    <row r="287" spans="1:18" x14ac:dyDescent="0.3">
      <c r="A287" t="s">
        <v>587</v>
      </c>
      <c r="B287">
        <v>11</v>
      </c>
      <c r="C287" s="19">
        <v>17</v>
      </c>
      <c r="D287" s="20">
        <v>2021</v>
      </c>
      <c r="E287" s="21">
        <f t="shared" si="24"/>
        <v>44517</v>
      </c>
      <c r="F287" s="20">
        <v>430.37</v>
      </c>
      <c r="G287" s="20">
        <v>3764856</v>
      </c>
      <c r="H287" s="20">
        <v>431.24</v>
      </c>
      <c r="I287" s="20">
        <v>431.39</v>
      </c>
      <c r="J287" s="22">
        <v>429.84</v>
      </c>
      <c r="K287" s="2">
        <f t="shared" si="25"/>
        <v>30172.558556596061</v>
      </c>
      <c r="L287" s="2">
        <f>IF(B287&lt;&gt;B286,L286*(1+Dashboard!$G$5)+Dashboard!$G$6, L286)</f>
        <v>29659.364958914342</v>
      </c>
      <c r="M287">
        <f t="shared" si="29"/>
        <v>0</v>
      </c>
      <c r="N287">
        <f t="shared" si="26"/>
        <v>70.108414983841953</v>
      </c>
      <c r="O287">
        <f>IF(B287&lt;&gt;B286, Dashboard!$L$6,0)</f>
        <v>0</v>
      </c>
      <c r="P287">
        <f t="shared" si="27"/>
        <v>71.740651363169917</v>
      </c>
      <c r="Q287">
        <f>IF(B287&lt;&gt;B286,IF(F287&lt;=AVERAGE(F265:F286),Dashboard!$N$6-Dashboard!$G$7,Dashboard!$N$6+Dashboard!$G$7),0)</f>
        <v>0</v>
      </c>
      <c r="R287">
        <f t="shared" si="28"/>
        <v>73.190453884169926</v>
      </c>
    </row>
    <row r="288" spans="1:18" x14ac:dyDescent="0.3">
      <c r="A288" t="s">
        <v>586</v>
      </c>
      <c r="B288">
        <v>11</v>
      </c>
      <c r="C288" s="19">
        <v>18</v>
      </c>
      <c r="D288" s="20">
        <v>2021</v>
      </c>
      <c r="E288" s="21">
        <f t="shared" si="24"/>
        <v>44518</v>
      </c>
      <c r="F288" s="20">
        <v>431.86</v>
      </c>
      <c r="G288" s="20">
        <v>4736823</v>
      </c>
      <c r="H288" s="20">
        <v>431.44</v>
      </c>
      <c r="I288" s="20">
        <v>432.17</v>
      </c>
      <c r="J288" s="22">
        <v>428.8</v>
      </c>
      <c r="K288" s="2">
        <f t="shared" si="25"/>
        <v>30277.020094921987</v>
      </c>
      <c r="L288" s="2">
        <f>IF(B288&lt;&gt;B287,L287*(1+Dashboard!$G$5)+Dashboard!$G$6, L287)</f>
        <v>29659.364958914342</v>
      </c>
      <c r="M288">
        <f t="shared" si="29"/>
        <v>0</v>
      </c>
      <c r="N288">
        <f t="shared" si="26"/>
        <v>70.108414983841953</v>
      </c>
      <c r="O288">
        <f>IF(B288&lt;&gt;B287, Dashboard!$L$6,0)</f>
        <v>0</v>
      </c>
      <c r="P288">
        <f t="shared" si="27"/>
        <v>71.740651363169917</v>
      </c>
      <c r="Q288">
        <f>IF(B288&lt;&gt;B287,IF(F288&lt;=AVERAGE(F266:F287),Dashboard!$N$6-Dashboard!$G$7,Dashboard!$N$6+Dashboard!$G$7),0)</f>
        <v>0</v>
      </c>
      <c r="R288">
        <f t="shared" si="28"/>
        <v>73.190453884169926</v>
      </c>
    </row>
    <row r="289" spans="1:18" x14ac:dyDescent="0.3">
      <c r="A289" t="s">
        <v>585</v>
      </c>
      <c r="B289">
        <v>11</v>
      </c>
      <c r="C289" s="19">
        <v>19</v>
      </c>
      <c r="D289" s="20">
        <v>2021</v>
      </c>
      <c r="E289" s="21">
        <f t="shared" si="24"/>
        <v>44519</v>
      </c>
      <c r="F289" s="20">
        <v>431.05</v>
      </c>
      <c r="G289" s="20">
        <v>4886525</v>
      </c>
      <c r="H289" s="20">
        <v>431.87</v>
      </c>
      <c r="I289" s="20">
        <v>432.99</v>
      </c>
      <c r="J289" s="22">
        <v>430.37979999999999</v>
      </c>
      <c r="K289" s="2">
        <f t="shared" si="25"/>
        <v>30220.232278785075</v>
      </c>
      <c r="L289" s="2">
        <f>IF(B289&lt;&gt;B288,L288*(1+Dashboard!$G$5)+Dashboard!$G$6, L288)</f>
        <v>29659.364958914342</v>
      </c>
      <c r="M289">
        <f t="shared" si="29"/>
        <v>0</v>
      </c>
      <c r="N289">
        <f t="shared" si="26"/>
        <v>70.108414983841953</v>
      </c>
      <c r="O289">
        <f>IF(B289&lt;&gt;B288, Dashboard!$L$6,0)</f>
        <v>0</v>
      </c>
      <c r="P289">
        <f t="shared" si="27"/>
        <v>71.740651363169917</v>
      </c>
      <c r="Q289">
        <f>IF(B289&lt;&gt;B288,IF(F289&lt;=AVERAGE(F267:F288),Dashboard!$N$6-Dashboard!$G$7,Dashboard!$N$6+Dashboard!$G$7),0)</f>
        <v>0</v>
      </c>
      <c r="R289">
        <f t="shared" si="28"/>
        <v>73.190453884169926</v>
      </c>
    </row>
    <row r="290" spans="1:18" x14ac:dyDescent="0.3">
      <c r="A290" t="s">
        <v>584</v>
      </c>
      <c r="B290">
        <v>11</v>
      </c>
      <c r="C290" s="19">
        <v>22</v>
      </c>
      <c r="D290" s="20">
        <v>2021</v>
      </c>
      <c r="E290" s="21">
        <f t="shared" si="24"/>
        <v>44522</v>
      </c>
      <c r="F290" s="20">
        <v>429.91</v>
      </c>
      <c r="G290" s="20">
        <v>4875928</v>
      </c>
      <c r="H290" s="20">
        <v>432.93</v>
      </c>
      <c r="I290" s="20">
        <v>435.41</v>
      </c>
      <c r="J290" s="22">
        <v>429.72</v>
      </c>
      <c r="K290" s="2">
        <f t="shared" si="25"/>
        <v>30140.308685703498</v>
      </c>
      <c r="L290" s="2">
        <f>IF(B290&lt;&gt;B289,L289*(1+Dashboard!$G$5)+Dashboard!$G$6, L289)</f>
        <v>29659.364958914342</v>
      </c>
      <c r="M290">
        <f t="shared" si="29"/>
        <v>0</v>
      </c>
      <c r="N290">
        <f t="shared" si="26"/>
        <v>70.108414983841953</v>
      </c>
      <c r="O290">
        <f>IF(B290&lt;&gt;B289, Dashboard!$L$6,0)</f>
        <v>0</v>
      </c>
      <c r="P290">
        <f t="shared" si="27"/>
        <v>71.740651363169917</v>
      </c>
      <c r="Q290">
        <f>IF(B290&lt;&gt;B289,IF(F290&lt;=AVERAGE(F268:F289),Dashboard!$N$6-Dashboard!$G$7,Dashboard!$N$6+Dashboard!$G$7),0)</f>
        <v>0</v>
      </c>
      <c r="R290">
        <f t="shared" si="28"/>
        <v>73.190453884169926</v>
      </c>
    </row>
    <row r="291" spans="1:18" x14ac:dyDescent="0.3">
      <c r="A291" t="s">
        <v>583</v>
      </c>
      <c r="B291">
        <v>11</v>
      </c>
      <c r="C291" s="19">
        <v>23</v>
      </c>
      <c r="D291" s="20">
        <v>2021</v>
      </c>
      <c r="E291" s="21">
        <f t="shared" si="24"/>
        <v>44523</v>
      </c>
      <c r="F291" s="20">
        <v>430.47</v>
      </c>
      <c r="G291" s="20">
        <v>6801311</v>
      </c>
      <c r="H291" s="20">
        <v>429.57</v>
      </c>
      <c r="I291" s="20">
        <v>431.29</v>
      </c>
      <c r="J291" s="22">
        <v>427.04</v>
      </c>
      <c r="K291" s="2">
        <f t="shared" si="25"/>
        <v>30179.569398094449</v>
      </c>
      <c r="L291" s="2">
        <f>IF(B291&lt;&gt;B290,L290*(1+Dashboard!$G$5)+Dashboard!$G$6, L290)</f>
        <v>29659.364958914342</v>
      </c>
      <c r="M291">
        <f t="shared" si="29"/>
        <v>0</v>
      </c>
      <c r="N291">
        <f t="shared" si="26"/>
        <v>70.108414983841953</v>
      </c>
      <c r="O291">
        <f>IF(B291&lt;&gt;B290, Dashboard!$L$6,0)</f>
        <v>0</v>
      </c>
      <c r="P291">
        <f t="shared" si="27"/>
        <v>71.740651363169917</v>
      </c>
      <c r="Q291">
        <f>IF(B291&lt;&gt;B290,IF(F291&lt;=AVERAGE(F269:F290),Dashboard!$N$6-Dashboard!$G$7,Dashboard!$N$6+Dashboard!$G$7),0)</f>
        <v>0</v>
      </c>
      <c r="R291">
        <f t="shared" si="28"/>
        <v>73.190453884169926</v>
      </c>
    </row>
    <row r="292" spans="1:18" x14ac:dyDescent="0.3">
      <c r="A292" t="s">
        <v>582</v>
      </c>
      <c r="B292">
        <v>11</v>
      </c>
      <c r="C292" s="19">
        <v>24</v>
      </c>
      <c r="D292" s="20">
        <v>2021</v>
      </c>
      <c r="E292" s="21">
        <f t="shared" si="24"/>
        <v>44524</v>
      </c>
      <c r="F292" s="20">
        <v>431.53</v>
      </c>
      <c r="G292" s="20">
        <v>4569588</v>
      </c>
      <c r="H292" s="20">
        <v>428.56</v>
      </c>
      <c r="I292" s="20">
        <v>431.75</v>
      </c>
      <c r="J292" s="22">
        <v>427.71</v>
      </c>
      <c r="K292" s="2">
        <f t="shared" si="25"/>
        <v>30253.884317977318</v>
      </c>
      <c r="L292" s="2">
        <f>IF(B292&lt;&gt;B291,L291*(1+Dashboard!$G$5)+Dashboard!$G$6, L291)</f>
        <v>29659.364958914342</v>
      </c>
      <c r="M292">
        <f t="shared" si="29"/>
        <v>0</v>
      </c>
      <c r="N292">
        <f t="shared" si="26"/>
        <v>70.108414983841953</v>
      </c>
      <c r="O292">
        <f>IF(B292&lt;&gt;B291, Dashboard!$L$6,0)</f>
        <v>0</v>
      </c>
      <c r="P292">
        <f t="shared" si="27"/>
        <v>71.740651363169917</v>
      </c>
      <c r="Q292">
        <f>IF(B292&lt;&gt;B291,IF(F292&lt;=AVERAGE(F270:F291),Dashboard!$N$6-Dashboard!$G$7,Dashboard!$N$6+Dashboard!$G$7),0)</f>
        <v>0</v>
      </c>
      <c r="R292">
        <f t="shared" si="28"/>
        <v>73.190453884169926</v>
      </c>
    </row>
    <row r="293" spans="1:18" x14ac:dyDescent="0.3">
      <c r="A293" t="s">
        <v>581</v>
      </c>
      <c r="B293">
        <v>11</v>
      </c>
      <c r="C293" s="19">
        <v>26</v>
      </c>
      <c r="D293" s="20">
        <v>2021</v>
      </c>
      <c r="E293" s="21">
        <f t="shared" si="24"/>
        <v>44526</v>
      </c>
      <c r="F293" s="20">
        <v>422.14</v>
      </c>
      <c r="G293" s="20">
        <v>7702478</v>
      </c>
      <c r="H293" s="20">
        <v>425.19</v>
      </c>
      <c r="I293" s="20">
        <v>426.52</v>
      </c>
      <c r="J293" s="22">
        <v>420.9</v>
      </c>
      <c r="K293" s="2">
        <f t="shared" si="25"/>
        <v>29595.566301279043</v>
      </c>
      <c r="L293" s="2">
        <f>IF(B293&lt;&gt;B292,L292*(1+Dashboard!$G$5)+Dashboard!$G$6, L292)</f>
        <v>29659.364958914342</v>
      </c>
      <c r="M293">
        <f t="shared" si="29"/>
        <v>0</v>
      </c>
      <c r="N293">
        <f t="shared" si="26"/>
        <v>70.108414983841953</v>
      </c>
      <c r="O293">
        <f>IF(B293&lt;&gt;B292, Dashboard!$L$6,0)</f>
        <v>0</v>
      </c>
      <c r="P293">
        <f t="shared" si="27"/>
        <v>71.740651363169917</v>
      </c>
      <c r="Q293">
        <f>IF(B293&lt;&gt;B292,IF(F293&lt;=AVERAGE(F271:F292),Dashboard!$N$6-Dashboard!$G$7,Dashboard!$N$6+Dashboard!$G$7),0)</f>
        <v>0</v>
      </c>
      <c r="R293">
        <f t="shared" si="28"/>
        <v>73.190453884169926</v>
      </c>
    </row>
    <row r="294" spans="1:18" x14ac:dyDescent="0.3">
      <c r="A294" t="s">
        <v>580</v>
      </c>
      <c r="B294">
        <v>11</v>
      </c>
      <c r="C294" s="19">
        <v>29</v>
      </c>
      <c r="D294" s="20">
        <v>2021</v>
      </c>
      <c r="E294" s="21">
        <f t="shared" si="24"/>
        <v>44529</v>
      </c>
      <c r="F294" s="20">
        <v>427.24</v>
      </c>
      <c r="G294" s="20">
        <v>6300761</v>
      </c>
      <c r="H294" s="20">
        <v>426.71</v>
      </c>
      <c r="I294" s="20">
        <v>428.98</v>
      </c>
      <c r="J294" s="22">
        <v>424.55</v>
      </c>
      <c r="K294" s="2">
        <f t="shared" si="25"/>
        <v>29953.119217696636</v>
      </c>
      <c r="L294" s="2">
        <f>IF(B294&lt;&gt;B293,L293*(1+Dashboard!$G$5)+Dashboard!$G$6, L293)</f>
        <v>29659.364958914342</v>
      </c>
      <c r="M294">
        <f t="shared" si="29"/>
        <v>0</v>
      </c>
      <c r="N294">
        <f t="shared" si="26"/>
        <v>70.108414983841953</v>
      </c>
      <c r="O294">
        <f>IF(B294&lt;&gt;B293, Dashboard!$L$6,0)</f>
        <v>0</v>
      </c>
      <c r="P294">
        <f t="shared" si="27"/>
        <v>71.740651363169917</v>
      </c>
      <c r="Q294">
        <f>IF(B294&lt;&gt;B293,IF(F294&lt;=AVERAGE(F272:F293),Dashboard!$N$6-Dashboard!$G$7,Dashboard!$N$6+Dashboard!$G$7),0)</f>
        <v>0</v>
      </c>
      <c r="R294">
        <f t="shared" si="28"/>
        <v>73.190453884169926</v>
      </c>
    </row>
    <row r="295" spans="1:18" x14ac:dyDescent="0.3">
      <c r="A295" t="s">
        <v>579</v>
      </c>
      <c r="B295">
        <v>11</v>
      </c>
      <c r="C295" s="19">
        <v>30</v>
      </c>
      <c r="D295" s="20">
        <v>2021</v>
      </c>
      <c r="E295" s="21">
        <f t="shared" si="24"/>
        <v>44530</v>
      </c>
      <c r="F295" s="20">
        <v>419.06</v>
      </c>
      <c r="G295" s="20">
        <v>8657643</v>
      </c>
      <c r="H295" s="20">
        <v>424.8</v>
      </c>
      <c r="I295" s="20">
        <v>426.63</v>
      </c>
      <c r="J295" s="22">
        <v>418.63</v>
      </c>
      <c r="K295" s="2">
        <f t="shared" si="25"/>
        <v>29379.63238312881</v>
      </c>
      <c r="L295" s="2">
        <f>IF(B295&lt;&gt;B294,L294*(1+Dashboard!$G$5)+Dashboard!$G$6, L294)</f>
        <v>29659.364958914342</v>
      </c>
      <c r="M295">
        <f t="shared" si="29"/>
        <v>0</v>
      </c>
      <c r="N295">
        <f t="shared" si="26"/>
        <v>70.108414983841953</v>
      </c>
      <c r="O295">
        <f>IF(B295&lt;&gt;B294, Dashboard!$L$6,0)</f>
        <v>0</v>
      </c>
      <c r="P295">
        <f t="shared" si="27"/>
        <v>71.740651363169917</v>
      </c>
      <c r="Q295">
        <f>IF(B295&lt;&gt;B294,IF(F295&lt;=AVERAGE(F273:F294),Dashboard!$N$6-Dashboard!$G$7,Dashboard!$N$6+Dashboard!$G$7),0)</f>
        <v>0</v>
      </c>
      <c r="R295">
        <f t="shared" si="28"/>
        <v>73.190453884169926</v>
      </c>
    </row>
    <row r="296" spans="1:18" x14ac:dyDescent="0.3">
      <c r="A296" s="1">
        <v>44208</v>
      </c>
      <c r="B296">
        <v>12</v>
      </c>
      <c r="C296" s="19">
        <v>1</v>
      </c>
      <c r="D296" s="20">
        <v>2021</v>
      </c>
      <c r="E296" s="21">
        <f t="shared" si="24"/>
        <v>44531</v>
      </c>
      <c r="F296" s="20">
        <v>414.24</v>
      </c>
      <c r="G296" s="20">
        <v>8370491</v>
      </c>
      <c r="H296" s="20">
        <v>424.47</v>
      </c>
      <c r="I296" s="20">
        <v>427.22120000000001</v>
      </c>
      <c r="J296" s="22">
        <v>413.97</v>
      </c>
      <c r="K296" s="2">
        <f t="shared" si="25"/>
        <v>29041.709822906691</v>
      </c>
      <c r="L296" s="2">
        <f>IF(B296&lt;&gt;B295,L295*(1+Dashboard!$G$5)+Dashboard!$G$6, L295)</f>
        <v>31920.367370552787</v>
      </c>
      <c r="M296">
        <f t="shared" si="29"/>
        <v>2878.6575476460966</v>
      </c>
      <c r="N296">
        <f t="shared" si="26"/>
        <v>70.108414983841953</v>
      </c>
      <c r="O296">
        <f>IF(B296&lt;&gt;B295, Dashboard!$L$6,0)</f>
        <v>1859.7282542371197</v>
      </c>
      <c r="P296">
        <f t="shared" si="27"/>
        <v>76.230145990045926</v>
      </c>
      <c r="Q296">
        <f>IF(B296&lt;&gt;B295,IF(F296&lt;=AVERAGE(F274:F295),Dashboard!$N$6-Dashboard!$G$7,Dashboard!$N$6+Dashboard!$G$7),0)</f>
        <v>1232.609610169322</v>
      </c>
      <c r="R296">
        <f t="shared" si="28"/>
        <v>76.094333098647567</v>
      </c>
    </row>
    <row r="297" spans="1:18" x14ac:dyDescent="0.3">
      <c r="A297" s="1">
        <v>44239</v>
      </c>
      <c r="B297">
        <v>12</v>
      </c>
      <c r="C297" s="19">
        <v>2</v>
      </c>
      <c r="D297" s="20">
        <v>2021</v>
      </c>
      <c r="E297" s="21">
        <f t="shared" si="24"/>
        <v>44532</v>
      </c>
      <c r="F297" s="20">
        <v>420.56</v>
      </c>
      <c r="G297" s="20">
        <v>10417670</v>
      </c>
      <c r="H297" s="20">
        <v>414.42</v>
      </c>
      <c r="I297" s="20">
        <v>422.06</v>
      </c>
      <c r="J297" s="22">
        <v>414.03</v>
      </c>
      <c r="K297" s="2">
        <f t="shared" si="25"/>
        <v>32407.371816723833</v>
      </c>
      <c r="L297" s="2">
        <f>IF(B297&lt;&gt;B296,L296*(1+Dashboard!$G$5)+Dashboard!$G$6, L296)</f>
        <v>31920.367370552787</v>
      </c>
      <c r="M297">
        <f t="shared" si="29"/>
        <v>0</v>
      </c>
      <c r="N297">
        <f t="shared" si="26"/>
        <v>77.057665533393177</v>
      </c>
      <c r="O297">
        <f>IF(B297&lt;&gt;B296, Dashboard!$L$6,0)</f>
        <v>0</v>
      </c>
      <c r="P297">
        <f t="shared" si="27"/>
        <v>76.230145990045926</v>
      </c>
      <c r="Q297">
        <f>IF(B297&lt;&gt;B296,IF(F297&lt;=AVERAGE(F275:F296),Dashboard!$N$6-Dashboard!$G$7,Dashboard!$N$6+Dashboard!$G$7),0)</f>
        <v>0</v>
      </c>
      <c r="R297">
        <f t="shared" si="28"/>
        <v>76.094333098647567</v>
      </c>
    </row>
    <row r="298" spans="1:18" x14ac:dyDescent="0.3">
      <c r="A298" s="1">
        <v>44267</v>
      </c>
      <c r="B298">
        <v>12</v>
      </c>
      <c r="C298" s="19">
        <v>3</v>
      </c>
      <c r="D298" s="20">
        <v>2021</v>
      </c>
      <c r="E298" s="21">
        <f t="shared" si="24"/>
        <v>44533</v>
      </c>
      <c r="F298" s="20">
        <v>416.84</v>
      </c>
      <c r="G298" s="20">
        <v>10228930</v>
      </c>
      <c r="H298" s="20">
        <v>422.12</v>
      </c>
      <c r="I298" s="20">
        <v>423.19</v>
      </c>
      <c r="J298" s="22">
        <v>412.77</v>
      </c>
      <c r="K298" s="2">
        <f t="shared" si="25"/>
        <v>32120.71730093961</v>
      </c>
      <c r="L298" s="2">
        <f>IF(B298&lt;&gt;B297,L297*(1+Dashboard!$G$5)+Dashboard!$G$6, L297)</f>
        <v>31920.367370552787</v>
      </c>
      <c r="M298">
        <f t="shared" si="29"/>
        <v>0</v>
      </c>
      <c r="N298">
        <f t="shared" si="26"/>
        <v>77.057665533393177</v>
      </c>
      <c r="O298">
        <f>IF(B298&lt;&gt;B297, Dashboard!$L$6,0)</f>
        <v>0</v>
      </c>
      <c r="P298">
        <f t="shared" si="27"/>
        <v>76.230145990045926</v>
      </c>
      <c r="Q298">
        <f>IF(B298&lt;&gt;B297,IF(F298&lt;=AVERAGE(F276:F297),Dashboard!$N$6-Dashboard!$G$7,Dashboard!$N$6+Dashboard!$G$7),0)</f>
        <v>0</v>
      </c>
      <c r="R298">
        <f t="shared" si="28"/>
        <v>76.094333098647567</v>
      </c>
    </row>
    <row r="299" spans="1:18" x14ac:dyDescent="0.3">
      <c r="A299" s="1">
        <v>44359</v>
      </c>
      <c r="B299">
        <v>12</v>
      </c>
      <c r="C299" s="19">
        <v>6</v>
      </c>
      <c r="D299" s="20">
        <v>2021</v>
      </c>
      <c r="E299" s="21">
        <f t="shared" si="24"/>
        <v>44536</v>
      </c>
      <c r="F299" s="20">
        <v>421.82</v>
      </c>
      <c r="G299" s="20">
        <v>7289493</v>
      </c>
      <c r="H299" s="20">
        <v>419.41</v>
      </c>
      <c r="I299" s="20">
        <v>423.66</v>
      </c>
      <c r="J299" s="22">
        <v>417</v>
      </c>
      <c r="K299" s="2">
        <f t="shared" si="25"/>
        <v>32504.46447529591</v>
      </c>
      <c r="L299" s="2">
        <f>IF(B299&lt;&gt;B298,L298*(1+Dashboard!$G$5)+Dashboard!$G$6, L298)</f>
        <v>31920.367370552787</v>
      </c>
      <c r="M299">
        <f t="shared" si="29"/>
        <v>0</v>
      </c>
      <c r="N299">
        <f t="shared" si="26"/>
        <v>77.057665533393177</v>
      </c>
      <c r="O299">
        <f>IF(B299&lt;&gt;B298, Dashboard!$L$6,0)</f>
        <v>0</v>
      </c>
      <c r="P299">
        <f t="shared" si="27"/>
        <v>76.230145990045926</v>
      </c>
      <c r="Q299">
        <f>IF(B299&lt;&gt;B298,IF(F299&lt;=AVERAGE(F277:F298),Dashboard!$N$6-Dashboard!$G$7,Dashboard!$N$6+Dashboard!$G$7),0)</f>
        <v>0</v>
      </c>
      <c r="R299">
        <f t="shared" si="28"/>
        <v>76.094333098647567</v>
      </c>
    </row>
    <row r="300" spans="1:18" x14ac:dyDescent="0.3">
      <c r="A300" s="1">
        <v>44389</v>
      </c>
      <c r="B300">
        <v>12</v>
      </c>
      <c r="C300" s="19">
        <v>7</v>
      </c>
      <c r="D300" s="20">
        <v>2021</v>
      </c>
      <c r="E300" s="21">
        <f t="shared" si="24"/>
        <v>44537</v>
      </c>
      <c r="F300" s="20">
        <v>430.49</v>
      </c>
      <c r="G300" s="20">
        <v>4731920</v>
      </c>
      <c r="H300" s="20">
        <v>426.98</v>
      </c>
      <c r="I300" s="20">
        <v>431.1</v>
      </c>
      <c r="J300" s="22">
        <v>426.94</v>
      </c>
      <c r="K300" s="2">
        <f t="shared" si="25"/>
        <v>33172.554435470433</v>
      </c>
      <c r="L300" s="2">
        <f>IF(B300&lt;&gt;B299,L299*(1+Dashboard!$G$5)+Dashboard!$G$6, L299)</f>
        <v>31920.367370552787</v>
      </c>
      <c r="M300">
        <f t="shared" si="29"/>
        <v>0</v>
      </c>
      <c r="N300">
        <f t="shared" si="26"/>
        <v>77.057665533393177</v>
      </c>
      <c r="O300">
        <f>IF(B300&lt;&gt;B299, Dashboard!$L$6,0)</f>
        <v>0</v>
      </c>
      <c r="P300">
        <f t="shared" si="27"/>
        <v>76.230145990045926</v>
      </c>
      <c r="Q300">
        <f>IF(B300&lt;&gt;B299,IF(F300&lt;=AVERAGE(F278:F299),Dashboard!$N$6-Dashboard!$G$7,Dashboard!$N$6+Dashboard!$G$7),0)</f>
        <v>0</v>
      </c>
      <c r="R300">
        <f t="shared" si="28"/>
        <v>76.094333098647567</v>
      </c>
    </row>
    <row r="301" spans="1:18" x14ac:dyDescent="0.3">
      <c r="A301" s="1">
        <v>44420</v>
      </c>
      <c r="B301">
        <v>12</v>
      </c>
      <c r="C301" s="19">
        <v>8</v>
      </c>
      <c r="D301" s="20">
        <v>2021</v>
      </c>
      <c r="E301" s="21">
        <f t="shared" si="24"/>
        <v>44538</v>
      </c>
      <c r="F301" s="20">
        <v>431.7</v>
      </c>
      <c r="G301" s="20">
        <v>4476542</v>
      </c>
      <c r="H301" s="20">
        <v>430.95</v>
      </c>
      <c r="I301" s="20">
        <v>432.14</v>
      </c>
      <c r="J301" s="22">
        <v>429.24</v>
      </c>
      <c r="K301" s="2">
        <f t="shared" si="25"/>
        <v>33265.794210765831</v>
      </c>
      <c r="L301" s="2">
        <f>IF(B301&lt;&gt;B300,L300*(1+Dashboard!$G$5)+Dashboard!$G$6, L300)</f>
        <v>31920.367370552787</v>
      </c>
      <c r="M301">
        <f t="shared" si="29"/>
        <v>0</v>
      </c>
      <c r="N301">
        <f t="shared" si="26"/>
        <v>77.057665533393177</v>
      </c>
      <c r="O301">
        <f>IF(B301&lt;&gt;B300, Dashboard!$L$6,0)</f>
        <v>0</v>
      </c>
      <c r="P301">
        <f t="shared" si="27"/>
        <v>76.230145990045926</v>
      </c>
      <c r="Q301">
        <f>IF(B301&lt;&gt;B300,IF(F301&lt;=AVERAGE(F279:F300),Dashboard!$N$6-Dashboard!$G$7,Dashboard!$N$6+Dashboard!$G$7),0)</f>
        <v>0</v>
      </c>
      <c r="R301">
        <f t="shared" si="28"/>
        <v>76.094333098647567</v>
      </c>
    </row>
    <row r="302" spans="1:18" x14ac:dyDescent="0.3">
      <c r="A302" s="1">
        <v>44451</v>
      </c>
      <c r="B302">
        <v>12</v>
      </c>
      <c r="C302" s="19">
        <v>9</v>
      </c>
      <c r="D302" s="20">
        <v>2021</v>
      </c>
      <c r="E302" s="21">
        <f t="shared" si="24"/>
        <v>44539</v>
      </c>
      <c r="F302" s="20">
        <v>428.76</v>
      </c>
      <c r="G302" s="20">
        <v>5035427</v>
      </c>
      <c r="H302" s="20">
        <v>430.46</v>
      </c>
      <c r="I302" s="20">
        <v>431.32</v>
      </c>
      <c r="J302" s="22">
        <v>428.61</v>
      </c>
      <c r="K302" s="2">
        <f t="shared" si="25"/>
        <v>33039.244674097659</v>
      </c>
      <c r="L302" s="2">
        <f>IF(B302&lt;&gt;B301,L301*(1+Dashboard!$G$5)+Dashboard!$G$6, L301)</f>
        <v>31920.367370552787</v>
      </c>
      <c r="M302">
        <f t="shared" si="29"/>
        <v>0</v>
      </c>
      <c r="N302">
        <f t="shared" si="26"/>
        <v>77.057665533393177</v>
      </c>
      <c r="O302">
        <f>IF(B302&lt;&gt;B301, Dashboard!$L$6,0)</f>
        <v>0</v>
      </c>
      <c r="P302">
        <f t="shared" si="27"/>
        <v>76.230145990045926</v>
      </c>
      <c r="Q302">
        <f>IF(B302&lt;&gt;B301,IF(F302&lt;=AVERAGE(F280:F301),Dashboard!$N$6-Dashboard!$G$7,Dashboard!$N$6+Dashboard!$G$7),0)</f>
        <v>0</v>
      </c>
      <c r="R302">
        <f t="shared" si="28"/>
        <v>76.094333098647567</v>
      </c>
    </row>
    <row r="303" spans="1:18" x14ac:dyDescent="0.3">
      <c r="A303" s="1">
        <v>44481</v>
      </c>
      <c r="B303">
        <v>12</v>
      </c>
      <c r="C303" s="19">
        <v>10</v>
      </c>
      <c r="D303" s="20">
        <v>2021</v>
      </c>
      <c r="E303" s="21">
        <f t="shared" si="24"/>
        <v>44540</v>
      </c>
      <c r="F303" s="20">
        <v>432.85</v>
      </c>
      <c r="G303" s="20">
        <v>6238301</v>
      </c>
      <c r="H303" s="20">
        <v>431.44</v>
      </c>
      <c r="I303" s="20">
        <v>432.96</v>
      </c>
      <c r="J303" s="22">
        <v>428.95</v>
      </c>
      <c r="K303" s="2">
        <f t="shared" si="25"/>
        <v>33354.410526129235</v>
      </c>
      <c r="L303" s="2">
        <f>IF(B303&lt;&gt;B302,L302*(1+Dashboard!$G$5)+Dashboard!$G$6, L302)</f>
        <v>31920.367370552787</v>
      </c>
      <c r="M303">
        <f t="shared" si="29"/>
        <v>0</v>
      </c>
      <c r="N303">
        <f t="shared" si="26"/>
        <v>77.057665533393177</v>
      </c>
      <c r="O303">
        <f>IF(B303&lt;&gt;B302, Dashboard!$L$6,0)</f>
        <v>0</v>
      </c>
      <c r="P303">
        <f t="shared" si="27"/>
        <v>76.230145990045926</v>
      </c>
      <c r="Q303">
        <f>IF(B303&lt;&gt;B302,IF(F303&lt;=AVERAGE(F281:F302),Dashboard!$N$6-Dashboard!$G$7,Dashboard!$N$6+Dashboard!$G$7),0)</f>
        <v>0</v>
      </c>
      <c r="R303">
        <f t="shared" si="28"/>
        <v>76.094333098647567</v>
      </c>
    </row>
    <row r="304" spans="1:18" x14ac:dyDescent="0.3">
      <c r="A304" t="s">
        <v>578</v>
      </c>
      <c r="B304">
        <v>12</v>
      </c>
      <c r="C304" s="19">
        <v>13</v>
      </c>
      <c r="D304" s="20">
        <v>2021</v>
      </c>
      <c r="E304" s="21">
        <f t="shared" si="24"/>
        <v>44543</v>
      </c>
      <c r="F304" s="20">
        <v>429.01</v>
      </c>
      <c r="G304" s="20">
        <v>5923878</v>
      </c>
      <c r="H304" s="20">
        <v>432.36</v>
      </c>
      <c r="I304" s="20">
        <v>432.66</v>
      </c>
      <c r="J304" s="22">
        <v>428.75</v>
      </c>
      <c r="K304" s="2">
        <f t="shared" si="25"/>
        <v>33058.509090481006</v>
      </c>
      <c r="L304" s="2">
        <f>IF(B304&lt;&gt;B303,L303*(1+Dashboard!$G$5)+Dashboard!$G$6, L303)</f>
        <v>31920.367370552787</v>
      </c>
      <c r="M304">
        <f t="shared" si="29"/>
        <v>0</v>
      </c>
      <c r="N304">
        <f t="shared" si="26"/>
        <v>77.057665533393177</v>
      </c>
      <c r="O304">
        <f>IF(B304&lt;&gt;B303, Dashboard!$L$6,0)</f>
        <v>0</v>
      </c>
      <c r="P304">
        <f t="shared" si="27"/>
        <v>76.230145990045926</v>
      </c>
      <c r="Q304">
        <f>IF(B304&lt;&gt;B303,IF(F304&lt;=AVERAGE(F282:F303),Dashboard!$N$6-Dashboard!$G$7,Dashboard!$N$6+Dashboard!$G$7),0)</f>
        <v>0</v>
      </c>
      <c r="R304">
        <f t="shared" si="28"/>
        <v>76.094333098647567</v>
      </c>
    </row>
    <row r="305" spans="1:18" x14ac:dyDescent="0.3">
      <c r="A305" t="s">
        <v>577</v>
      </c>
      <c r="B305">
        <v>12</v>
      </c>
      <c r="C305" s="19">
        <v>14</v>
      </c>
      <c r="D305" s="20">
        <v>2021</v>
      </c>
      <c r="E305" s="21">
        <f t="shared" si="24"/>
        <v>44544</v>
      </c>
      <c r="F305" s="20">
        <v>426.09</v>
      </c>
      <c r="G305" s="20">
        <v>6522926</v>
      </c>
      <c r="H305" s="20">
        <v>425.8</v>
      </c>
      <c r="I305" s="20">
        <v>428.24</v>
      </c>
      <c r="J305" s="22">
        <v>423.2</v>
      </c>
      <c r="K305" s="2">
        <f t="shared" si="25"/>
        <v>32833.500707123494</v>
      </c>
      <c r="L305" s="2">
        <f>IF(B305&lt;&gt;B304,L304*(1+Dashboard!$G$5)+Dashboard!$G$6, L304)</f>
        <v>31920.367370552787</v>
      </c>
      <c r="M305">
        <f t="shared" si="29"/>
        <v>0</v>
      </c>
      <c r="N305">
        <f t="shared" si="26"/>
        <v>77.057665533393177</v>
      </c>
      <c r="O305">
        <f>IF(B305&lt;&gt;B304, Dashboard!$L$6,0)</f>
        <v>0</v>
      </c>
      <c r="P305">
        <f t="shared" si="27"/>
        <v>76.230145990045926</v>
      </c>
      <c r="Q305">
        <f>IF(B305&lt;&gt;B304,IF(F305&lt;=AVERAGE(F283:F304),Dashboard!$N$6-Dashboard!$G$7,Dashboard!$N$6+Dashboard!$G$7),0)</f>
        <v>0</v>
      </c>
      <c r="R305">
        <f t="shared" si="28"/>
        <v>76.094333098647567</v>
      </c>
    </row>
    <row r="306" spans="1:18" x14ac:dyDescent="0.3">
      <c r="A306" t="s">
        <v>576</v>
      </c>
      <c r="B306">
        <v>12</v>
      </c>
      <c r="C306" s="19">
        <v>15</v>
      </c>
      <c r="D306" s="20">
        <v>2021</v>
      </c>
      <c r="E306" s="21">
        <f t="shared" si="24"/>
        <v>44545</v>
      </c>
      <c r="F306" s="20">
        <v>432.75</v>
      </c>
      <c r="G306" s="20">
        <v>6871253</v>
      </c>
      <c r="H306" s="20">
        <v>426.11</v>
      </c>
      <c r="I306" s="20">
        <v>432.98</v>
      </c>
      <c r="J306" s="22">
        <v>423.67</v>
      </c>
      <c r="K306" s="2">
        <f t="shared" si="25"/>
        <v>33346.7047595759</v>
      </c>
      <c r="L306" s="2">
        <f>IF(B306&lt;&gt;B305,L305*(1+Dashboard!$G$5)+Dashboard!$G$6, L305)</f>
        <v>31920.367370552787</v>
      </c>
      <c r="M306">
        <f t="shared" si="29"/>
        <v>0</v>
      </c>
      <c r="N306">
        <f t="shared" si="26"/>
        <v>77.057665533393177</v>
      </c>
      <c r="O306">
        <f>IF(B306&lt;&gt;B305, Dashboard!$L$6,0)</f>
        <v>0</v>
      </c>
      <c r="P306">
        <f t="shared" si="27"/>
        <v>76.230145990045926</v>
      </c>
      <c r="Q306">
        <f>IF(B306&lt;&gt;B305,IF(F306&lt;=AVERAGE(F284:F305),Dashboard!$N$6-Dashboard!$G$7,Dashboard!$N$6+Dashboard!$G$7),0)</f>
        <v>0</v>
      </c>
      <c r="R306">
        <f t="shared" si="28"/>
        <v>76.094333098647567</v>
      </c>
    </row>
    <row r="307" spans="1:18" x14ac:dyDescent="0.3">
      <c r="A307" t="s">
        <v>575</v>
      </c>
      <c r="B307">
        <v>12</v>
      </c>
      <c r="C307" s="19">
        <v>16</v>
      </c>
      <c r="D307" s="20">
        <v>2021</v>
      </c>
      <c r="E307" s="21">
        <f t="shared" si="24"/>
        <v>44546</v>
      </c>
      <c r="F307" s="20">
        <v>428.84</v>
      </c>
      <c r="G307" s="20">
        <v>7159519</v>
      </c>
      <c r="H307" s="20">
        <v>434.56</v>
      </c>
      <c r="I307" s="20">
        <v>434.8</v>
      </c>
      <c r="J307" s="22">
        <v>427.35</v>
      </c>
      <c r="K307" s="2">
        <f t="shared" si="25"/>
        <v>33045.409287340328</v>
      </c>
      <c r="L307" s="2">
        <f>IF(B307&lt;&gt;B306,L306*(1+Dashboard!$G$5)+Dashboard!$G$6, L306)</f>
        <v>31920.367370552787</v>
      </c>
      <c r="M307">
        <f t="shared" si="29"/>
        <v>0</v>
      </c>
      <c r="N307">
        <f t="shared" si="26"/>
        <v>77.057665533393177</v>
      </c>
      <c r="O307">
        <f>IF(B307&lt;&gt;B306, Dashboard!$L$6,0)</f>
        <v>0</v>
      </c>
      <c r="P307">
        <f t="shared" si="27"/>
        <v>76.230145990045926</v>
      </c>
      <c r="Q307">
        <f>IF(B307&lt;&gt;B306,IF(F307&lt;=AVERAGE(F285:F306),Dashboard!$N$6-Dashboard!$G$7,Dashboard!$N$6+Dashboard!$G$7),0)</f>
        <v>0</v>
      </c>
      <c r="R307">
        <f t="shared" si="28"/>
        <v>76.094333098647567</v>
      </c>
    </row>
    <row r="308" spans="1:18" x14ac:dyDescent="0.3">
      <c r="A308" t="s">
        <v>574</v>
      </c>
      <c r="B308">
        <v>12</v>
      </c>
      <c r="C308" s="19">
        <v>17</v>
      </c>
      <c r="D308" s="20">
        <v>2021</v>
      </c>
      <c r="E308" s="21">
        <f t="shared" si="24"/>
        <v>44547</v>
      </c>
      <c r="F308" s="20">
        <v>424.39</v>
      </c>
      <c r="G308" s="20">
        <v>8883451</v>
      </c>
      <c r="H308" s="20">
        <v>425.85</v>
      </c>
      <c r="I308" s="20">
        <v>428.79</v>
      </c>
      <c r="J308" s="22">
        <v>422.67</v>
      </c>
      <c r="K308" s="2">
        <f t="shared" si="25"/>
        <v>32702.502675716729</v>
      </c>
      <c r="L308" s="2">
        <f>IF(B308&lt;&gt;B307,L307*(1+Dashboard!$G$5)+Dashboard!$G$6, L307)</f>
        <v>31920.367370552787</v>
      </c>
      <c r="M308">
        <f t="shared" si="29"/>
        <v>0</v>
      </c>
      <c r="N308">
        <f t="shared" si="26"/>
        <v>77.057665533393177</v>
      </c>
      <c r="O308">
        <f>IF(B308&lt;&gt;B307, Dashboard!$L$6,0)</f>
        <v>0</v>
      </c>
      <c r="P308">
        <f t="shared" si="27"/>
        <v>76.230145990045926</v>
      </c>
      <c r="Q308">
        <f>IF(B308&lt;&gt;B307,IF(F308&lt;=AVERAGE(F286:F307),Dashboard!$N$6-Dashboard!$G$7,Dashboard!$N$6+Dashboard!$G$7),0)</f>
        <v>0</v>
      </c>
      <c r="R308">
        <f t="shared" si="28"/>
        <v>76.094333098647567</v>
      </c>
    </row>
    <row r="309" spans="1:18" x14ac:dyDescent="0.3">
      <c r="A309" t="s">
        <v>573</v>
      </c>
      <c r="B309">
        <v>12</v>
      </c>
      <c r="C309" s="19">
        <v>20</v>
      </c>
      <c r="D309" s="20">
        <v>2021</v>
      </c>
      <c r="E309" s="21">
        <f t="shared" si="24"/>
        <v>44550</v>
      </c>
      <c r="F309" s="20">
        <v>419.8</v>
      </c>
      <c r="G309" s="20">
        <v>9903413</v>
      </c>
      <c r="H309" s="20">
        <v>419.39</v>
      </c>
      <c r="I309" s="20">
        <v>420.22</v>
      </c>
      <c r="J309" s="22">
        <v>416.3</v>
      </c>
      <c r="K309" s="2">
        <f t="shared" si="25"/>
        <v>32348.807990918456</v>
      </c>
      <c r="L309" s="2">
        <f>IF(B309&lt;&gt;B308,L308*(1+Dashboard!$G$5)+Dashboard!$G$6, L308)</f>
        <v>31920.367370552787</v>
      </c>
      <c r="M309">
        <f t="shared" si="29"/>
        <v>0</v>
      </c>
      <c r="N309">
        <f t="shared" si="26"/>
        <v>77.057665533393177</v>
      </c>
      <c r="O309">
        <f>IF(B309&lt;&gt;B308, Dashboard!$L$6,0)</f>
        <v>0</v>
      </c>
      <c r="P309">
        <f t="shared" si="27"/>
        <v>76.230145990045926</v>
      </c>
      <c r="Q309">
        <f>IF(B309&lt;&gt;B308,IF(F309&lt;=AVERAGE(F287:F308),Dashboard!$N$6-Dashboard!$G$7,Dashboard!$N$6+Dashboard!$G$7),0)</f>
        <v>0</v>
      </c>
      <c r="R309">
        <f t="shared" si="28"/>
        <v>76.094333098647567</v>
      </c>
    </row>
    <row r="310" spans="1:18" x14ac:dyDescent="0.3">
      <c r="A310" t="s">
        <v>572</v>
      </c>
      <c r="B310">
        <v>12</v>
      </c>
      <c r="C310" s="19">
        <v>21</v>
      </c>
      <c r="D310" s="20">
        <v>2021</v>
      </c>
      <c r="E310" s="21">
        <f t="shared" si="24"/>
        <v>44551</v>
      </c>
      <c r="F310" s="20">
        <v>425.69</v>
      </c>
      <c r="G310" s="20">
        <v>6916663</v>
      </c>
      <c r="H310" s="20">
        <v>421.65</v>
      </c>
      <c r="I310" s="20">
        <v>425.85</v>
      </c>
      <c r="J310" s="22">
        <v>419.52</v>
      </c>
      <c r="K310" s="2">
        <f t="shared" si="25"/>
        <v>32802.677640910144</v>
      </c>
      <c r="L310" s="2">
        <f>IF(B310&lt;&gt;B309,L309*(1+Dashboard!$G$5)+Dashboard!$G$6, L309)</f>
        <v>31920.367370552787</v>
      </c>
      <c r="M310">
        <f t="shared" si="29"/>
        <v>0</v>
      </c>
      <c r="N310">
        <f t="shared" si="26"/>
        <v>77.057665533393177</v>
      </c>
      <c r="O310">
        <f>IF(B310&lt;&gt;B309, Dashboard!$L$6,0)</f>
        <v>0</v>
      </c>
      <c r="P310">
        <f t="shared" si="27"/>
        <v>76.230145990045926</v>
      </c>
      <c r="Q310">
        <f>IF(B310&lt;&gt;B309,IF(F310&lt;=AVERAGE(F288:F309),Dashboard!$N$6-Dashboard!$G$7,Dashboard!$N$6+Dashboard!$G$7),0)</f>
        <v>0</v>
      </c>
      <c r="R310">
        <f t="shared" si="28"/>
        <v>76.094333098647567</v>
      </c>
    </row>
    <row r="311" spans="1:18" x14ac:dyDescent="0.3">
      <c r="A311" t="s">
        <v>571</v>
      </c>
      <c r="B311">
        <v>12</v>
      </c>
      <c r="C311" s="19">
        <v>22</v>
      </c>
      <c r="D311" s="20">
        <v>2021</v>
      </c>
      <c r="E311" s="21">
        <f t="shared" si="24"/>
        <v>44552</v>
      </c>
      <c r="F311" s="20">
        <v>429.99</v>
      </c>
      <c r="G311" s="20">
        <v>4992213</v>
      </c>
      <c r="H311" s="20">
        <v>425.45</v>
      </c>
      <c r="I311" s="20">
        <v>430.09</v>
      </c>
      <c r="J311" s="22">
        <v>425.32</v>
      </c>
      <c r="K311" s="2">
        <f t="shared" si="25"/>
        <v>33134.025602703732</v>
      </c>
      <c r="L311" s="2">
        <f>IF(B311&lt;&gt;B310,L310*(1+Dashboard!$G$5)+Dashboard!$G$6, L310)</f>
        <v>31920.367370552787</v>
      </c>
      <c r="M311">
        <f t="shared" si="29"/>
        <v>0</v>
      </c>
      <c r="N311">
        <f t="shared" si="26"/>
        <v>77.057665533393177</v>
      </c>
      <c r="O311">
        <f>IF(B311&lt;&gt;B310, Dashboard!$L$6,0)</f>
        <v>0</v>
      </c>
      <c r="P311">
        <f t="shared" si="27"/>
        <v>76.230145990045926</v>
      </c>
      <c r="Q311">
        <f>IF(B311&lt;&gt;B310,IF(F311&lt;=AVERAGE(F289:F310),Dashboard!$N$6-Dashboard!$G$7,Dashboard!$N$6+Dashboard!$G$7),0)</f>
        <v>0</v>
      </c>
      <c r="R311">
        <f t="shared" si="28"/>
        <v>76.094333098647567</v>
      </c>
    </row>
    <row r="312" spans="1:18" x14ac:dyDescent="0.3">
      <c r="A312" t="s">
        <v>570</v>
      </c>
      <c r="B312">
        <v>12</v>
      </c>
      <c r="C312" s="19">
        <v>23</v>
      </c>
      <c r="D312" s="20">
        <v>2021</v>
      </c>
      <c r="E312" s="21">
        <f t="shared" si="24"/>
        <v>44553</v>
      </c>
      <c r="F312" s="20">
        <v>432.64</v>
      </c>
      <c r="G312" s="20">
        <v>5032684</v>
      </c>
      <c r="H312" s="20">
        <v>430.91</v>
      </c>
      <c r="I312" s="20">
        <v>434.09629999999999</v>
      </c>
      <c r="J312" s="22">
        <v>430.87</v>
      </c>
      <c r="K312" s="2">
        <f t="shared" si="25"/>
        <v>33338.228416367223</v>
      </c>
      <c r="L312" s="2">
        <f>IF(B312&lt;&gt;B311,L311*(1+Dashboard!$G$5)+Dashboard!$G$6, L311)</f>
        <v>31920.367370552787</v>
      </c>
      <c r="M312">
        <f t="shared" si="29"/>
        <v>0</v>
      </c>
      <c r="N312">
        <f t="shared" si="26"/>
        <v>77.057665533393177</v>
      </c>
      <c r="O312">
        <f>IF(B312&lt;&gt;B311, Dashboard!$L$6,0)</f>
        <v>0</v>
      </c>
      <c r="P312">
        <f t="shared" si="27"/>
        <v>76.230145990045926</v>
      </c>
      <c r="Q312">
        <f>IF(B312&lt;&gt;B311,IF(F312&lt;=AVERAGE(F290:F311),Dashboard!$N$6-Dashboard!$G$7,Dashboard!$N$6+Dashboard!$G$7),0)</f>
        <v>0</v>
      </c>
      <c r="R312">
        <f t="shared" si="28"/>
        <v>76.094333098647567</v>
      </c>
    </row>
    <row r="313" spans="1:18" x14ac:dyDescent="0.3">
      <c r="A313" t="s">
        <v>569</v>
      </c>
      <c r="B313">
        <v>12</v>
      </c>
      <c r="C313" s="19">
        <v>27</v>
      </c>
      <c r="D313" s="20">
        <v>2021</v>
      </c>
      <c r="E313" s="21">
        <f t="shared" si="24"/>
        <v>44557</v>
      </c>
      <c r="F313" s="20">
        <v>438.81</v>
      </c>
      <c r="G313" s="20">
        <v>4986317</v>
      </c>
      <c r="H313" s="20">
        <v>433.98</v>
      </c>
      <c r="I313" s="20">
        <v>438.82</v>
      </c>
      <c r="J313" s="22">
        <v>433.95</v>
      </c>
      <c r="K313" s="2">
        <f t="shared" si="25"/>
        <v>33813.674212708262</v>
      </c>
      <c r="L313" s="2">
        <f>IF(B313&lt;&gt;B312,L312*(1+Dashboard!$G$5)+Dashboard!$G$6, L312)</f>
        <v>31920.367370552787</v>
      </c>
      <c r="M313">
        <f t="shared" si="29"/>
        <v>0</v>
      </c>
      <c r="N313">
        <f t="shared" si="26"/>
        <v>77.057665533393177</v>
      </c>
      <c r="O313">
        <f>IF(B313&lt;&gt;B312, Dashboard!$L$6,0)</f>
        <v>0</v>
      </c>
      <c r="P313">
        <f t="shared" si="27"/>
        <v>76.230145990045926</v>
      </c>
      <c r="Q313">
        <f>IF(B313&lt;&gt;B312,IF(F313&lt;=AVERAGE(F291:F312),Dashboard!$N$6-Dashboard!$G$7,Dashboard!$N$6+Dashboard!$G$7),0)</f>
        <v>0</v>
      </c>
      <c r="R313">
        <f t="shared" si="28"/>
        <v>76.094333098647567</v>
      </c>
    </row>
    <row r="314" spans="1:18" x14ac:dyDescent="0.3">
      <c r="A314" t="s">
        <v>568</v>
      </c>
      <c r="B314">
        <v>12</v>
      </c>
      <c r="C314" s="19">
        <v>28</v>
      </c>
      <c r="D314" s="20">
        <v>2021</v>
      </c>
      <c r="E314" s="21">
        <f t="shared" si="24"/>
        <v>44558</v>
      </c>
      <c r="F314" s="20">
        <v>438.48</v>
      </c>
      <c r="G314" s="20">
        <v>4865844</v>
      </c>
      <c r="H314" s="20">
        <v>439.28</v>
      </c>
      <c r="I314" s="20">
        <v>440.19</v>
      </c>
      <c r="J314" s="22">
        <v>437.65499999999997</v>
      </c>
      <c r="K314" s="2">
        <f t="shared" si="25"/>
        <v>33788.245183082239</v>
      </c>
      <c r="L314" s="2">
        <f>IF(B314&lt;&gt;B313,L313*(1+Dashboard!$G$5)+Dashboard!$G$6, L313)</f>
        <v>31920.367370552787</v>
      </c>
      <c r="M314">
        <f t="shared" si="29"/>
        <v>0</v>
      </c>
      <c r="N314">
        <f t="shared" si="26"/>
        <v>77.057665533393177</v>
      </c>
      <c r="O314">
        <f>IF(B314&lt;&gt;B313, Dashboard!$L$6,0)</f>
        <v>0</v>
      </c>
      <c r="P314">
        <f t="shared" si="27"/>
        <v>76.230145990045926</v>
      </c>
      <c r="Q314">
        <f>IF(B314&lt;&gt;B313,IF(F314&lt;=AVERAGE(F292:F313),Dashboard!$N$6-Dashboard!$G$7,Dashboard!$N$6+Dashboard!$G$7),0)</f>
        <v>0</v>
      </c>
      <c r="R314">
        <f t="shared" si="28"/>
        <v>76.094333098647567</v>
      </c>
    </row>
    <row r="315" spans="1:18" x14ac:dyDescent="0.3">
      <c r="A315" t="s">
        <v>567</v>
      </c>
      <c r="B315">
        <v>12</v>
      </c>
      <c r="C315" s="19">
        <v>29</v>
      </c>
      <c r="D315" s="20">
        <v>2021</v>
      </c>
      <c r="E315" s="21">
        <f t="shared" si="24"/>
        <v>44559</v>
      </c>
      <c r="F315" s="20">
        <v>439.01</v>
      </c>
      <c r="G315" s="20">
        <v>4596686</v>
      </c>
      <c r="H315" s="20">
        <v>438.5</v>
      </c>
      <c r="I315" s="20">
        <v>439.95</v>
      </c>
      <c r="J315" s="22">
        <v>437.54</v>
      </c>
      <c r="K315" s="2">
        <f t="shared" si="25"/>
        <v>33829.08574581494</v>
      </c>
      <c r="L315" s="2">
        <f>IF(B315&lt;&gt;B314,L314*(1+Dashboard!$G$5)+Dashboard!$G$6, L314)</f>
        <v>31920.367370552787</v>
      </c>
      <c r="M315">
        <f t="shared" si="29"/>
        <v>0</v>
      </c>
      <c r="N315">
        <f t="shared" si="26"/>
        <v>77.057665533393177</v>
      </c>
      <c r="O315">
        <f>IF(B315&lt;&gt;B314, Dashboard!$L$6,0)</f>
        <v>0</v>
      </c>
      <c r="P315">
        <f t="shared" si="27"/>
        <v>76.230145990045926</v>
      </c>
      <c r="Q315">
        <f>IF(B315&lt;&gt;B314,IF(F315&lt;=AVERAGE(F293:F314),Dashboard!$N$6-Dashboard!$G$7,Dashboard!$N$6+Dashboard!$G$7),0)</f>
        <v>0</v>
      </c>
      <c r="R315">
        <f t="shared" si="28"/>
        <v>76.094333098647567</v>
      </c>
    </row>
    <row r="316" spans="1:18" x14ac:dyDescent="0.3">
      <c r="A316" t="s">
        <v>566</v>
      </c>
      <c r="B316">
        <v>12</v>
      </c>
      <c r="C316" s="19">
        <v>30</v>
      </c>
      <c r="D316" s="20">
        <v>2021</v>
      </c>
      <c r="E316" s="21">
        <f t="shared" si="24"/>
        <v>44560</v>
      </c>
      <c r="F316" s="20">
        <v>437.77</v>
      </c>
      <c r="G316" s="20">
        <v>3751831</v>
      </c>
      <c r="H316" s="20">
        <v>439.39</v>
      </c>
      <c r="I316" s="20">
        <v>440.36</v>
      </c>
      <c r="J316" s="22">
        <v>437.32</v>
      </c>
      <c r="K316" s="2">
        <f t="shared" si="25"/>
        <v>33733.534240553527</v>
      </c>
      <c r="L316" s="2">
        <f>IF(B316&lt;&gt;B315,L315*(1+Dashboard!$G$5)+Dashboard!$G$6, L315)</f>
        <v>31920.367370552787</v>
      </c>
      <c r="M316">
        <f t="shared" si="29"/>
        <v>0</v>
      </c>
      <c r="N316">
        <f t="shared" si="26"/>
        <v>77.057665533393177</v>
      </c>
      <c r="O316">
        <f>IF(B316&lt;&gt;B315, Dashboard!$L$6,0)</f>
        <v>0</v>
      </c>
      <c r="P316">
        <f t="shared" si="27"/>
        <v>76.230145990045926</v>
      </c>
      <c r="Q316">
        <f>IF(B316&lt;&gt;B315,IF(F316&lt;=AVERAGE(F294:F315),Dashboard!$N$6-Dashboard!$G$7,Dashboard!$N$6+Dashboard!$G$7),0)</f>
        <v>0</v>
      </c>
      <c r="R316">
        <f t="shared" si="28"/>
        <v>76.094333098647567</v>
      </c>
    </row>
    <row r="317" spans="1:18" x14ac:dyDescent="0.3">
      <c r="A317" t="s">
        <v>565</v>
      </c>
      <c r="B317">
        <v>12</v>
      </c>
      <c r="C317" s="19">
        <v>31</v>
      </c>
      <c r="D317" s="20">
        <v>2021</v>
      </c>
      <c r="E317" s="21">
        <f t="shared" si="24"/>
        <v>44561</v>
      </c>
      <c r="F317" s="20">
        <v>436.57</v>
      </c>
      <c r="G317" s="20">
        <v>5185608</v>
      </c>
      <c r="H317" s="20">
        <v>437.23</v>
      </c>
      <c r="I317" s="20">
        <v>438.38</v>
      </c>
      <c r="J317" s="22">
        <v>436.39</v>
      </c>
      <c r="K317" s="2">
        <f t="shared" si="25"/>
        <v>33641.065041913462</v>
      </c>
      <c r="L317" s="2">
        <f>IF(B317&lt;&gt;B316,L316*(1+Dashboard!$G$5)+Dashboard!$G$6, L316)</f>
        <v>31920.367370552787</v>
      </c>
      <c r="M317">
        <f t="shared" si="29"/>
        <v>0</v>
      </c>
      <c r="N317">
        <f t="shared" si="26"/>
        <v>77.057665533393177</v>
      </c>
      <c r="O317">
        <f>IF(B317&lt;&gt;B316, Dashboard!$L$6,0)</f>
        <v>0</v>
      </c>
      <c r="P317">
        <f t="shared" si="27"/>
        <v>76.230145990045926</v>
      </c>
      <c r="Q317">
        <f>IF(B317&lt;&gt;B316,IF(F317&lt;=AVERAGE(F295:F316),Dashboard!$N$6-Dashboard!$G$7,Dashboard!$N$6+Dashboard!$G$7),0)</f>
        <v>0</v>
      </c>
      <c r="R317">
        <f t="shared" si="28"/>
        <v>76.094333098647567</v>
      </c>
    </row>
    <row r="318" spans="1:18" x14ac:dyDescent="0.3">
      <c r="A318" s="1">
        <v>44621</v>
      </c>
      <c r="B318">
        <v>1</v>
      </c>
      <c r="C318" s="19">
        <v>3</v>
      </c>
      <c r="D318" s="20">
        <v>2022</v>
      </c>
      <c r="E318" s="21">
        <f t="shared" si="24"/>
        <v>44564</v>
      </c>
      <c r="F318" s="20">
        <v>439.25</v>
      </c>
      <c r="G318" s="20">
        <v>6017303</v>
      </c>
      <c r="H318" s="20">
        <v>437.93</v>
      </c>
      <c r="I318" s="20">
        <v>439.27</v>
      </c>
      <c r="J318" s="22">
        <v>435.64</v>
      </c>
      <c r="K318" s="2">
        <f t="shared" si="25"/>
        <v>33847.579585542953</v>
      </c>
      <c r="L318" s="2">
        <f>IF(B318&lt;&gt;B317,L317*(1+Dashboard!$G$5)+Dashboard!$G$6, L317)</f>
        <v>34201.266603413649</v>
      </c>
      <c r="M318">
        <f t="shared" si="29"/>
        <v>353.68701787069585</v>
      </c>
      <c r="N318">
        <f t="shared" si="26"/>
        <v>77.057665533393177</v>
      </c>
      <c r="O318">
        <f>IF(B318&lt;&gt;B317, Dashboard!$L$6,0)</f>
        <v>1859.7282542371197</v>
      </c>
      <c r="P318">
        <f t="shared" si="27"/>
        <v>80.464017940500383</v>
      </c>
      <c r="Q318">
        <f>IF(B318&lt;&gt;B317,IF(F318&lt;=AVERAGE(F296:F317),Dashboard!$N$6-Dashboard!$G$7,Dashboard!$N$6+Dashboard!$G$7),0)</f>
        <v>2232.609610169322</v>
      </c>
      <c r="R318">
        <f t="shared" si="28"/>
        <v>81.192430078003454</v>
      </c>
    </row>
    <row r="319" spans="1:18" x14ac:dyDescent="0.3">
      <c r="A319" s="1">
        <v>44652</v>
      </c>
      <c r="B319">
        <v>1</v>
      </c>
      <c r="C319" s="19">
        <v>4</v>
      </c>
      <c r="D319" s="20">
        <v>2022</v>
      </c>
      <c r="E319" s="21">
        <f t="shared" si="24"/>
        <v>44565</v>
      </c>
      <c r="F319" s="20">
        <v>439.07</v>
      </c>
      <c r="G319" s="20">
        <v>6262237</v>
      </c>
      <c r="H319" s="20">
        <v>440.58</v>
      </c>
      <c r="I319" s="20">
        <v>441.26</v>
      </c>
      <c r="J319" s="22">
        <v>437.22</v>
      </c>
      <c r="K319" s="2">
        <f t="shared" si="25"/>
        <v>34187.251286421924</v>
      </c>
      <c r="L319" s="2">
        <f>IF(B319&lt;&gt;B318,L318*(1+Dashboard!$G$5)+Dashboard!$G$6, L318)</f>
        <v>34201.266603413649</v>
      </c>
      <c r="M319">
        <f t="shared" si="29"/>
        <v>0</v>
      </c>
      <c r="N319">
        <f t="shared" si="26"/>
        <v>77.862872176240515</v>
      </c>
      <c r="O319">
        <f>IF(B319&lt;&gt;B318, Dashboard!$L$6,0)</f>
        <v>0</v>
      </c>
      <c r="P319">
        <f t="shared" si="27"/>
        <v>80.464017940500383</v>
      </c>
      <c r="Q319">
        <f>IF(B319&lt;&gt;B318,IF(F319&lt;=AVERAGE(F297:F318),Dashboard!$N$6-Dashboard!$G$7,Dashboard!$N$6+Dashboard!$G$7),0)</f>
        <v>0</v>
      </c>
      <c r="R319">
        <f t="shared" si="28"/>
        <v>81.192430078003454</v>
      </c>
    </row>
    <row r="320" spans="1:18" x14ac:dyDescent="0.3">
      <c r="A320" s="1">
        <v>44682</v>
      </c>
      <c r="B320">
        <v>1</v>
      </c>
      <c r="C320" s="19">
        <v>5</v>
      </c>
      <c r="D320" s="20">
        <v>2022</v>
      </c>
      <c r="E320" s="21">
        <f t="shared" si="24"/>
        <v>44566</v>
      </c>
      <c r="F320" s="20">
        <v>430.66</v>
      </c>
      <c r="G320" s="20">
        <v>7539607</v>
      </c>
      <c r="H320" s="20">
        <v>438.78</v>
      </c>
      <c r="I320" s="20">
        <v>439.41</v>
      </c>
      <c r="J320" s="22">
        <v>430.52499999999998</v>
      </c>
      <c r="K320" s="2">
        <f t="shared" si="25"/>
        <v>33532.42453141974</v>
      </c>
      <c r="L320" s="2">
        <f>IF(B320&lt;&gt;B319,L319*(1+Dashboard!$G$5)+Dashboard!$G$6, L319)</f>
        <v>34201.266603413649</v>
      </c>
      <c r="M320">
        <f t="shared" si="29"/>
        <v>0</v>
      </c>
      <c r="N320">
        <f t="shared" si="26"/>
        <v>77.862872176240515</v>
      </c>
      <c r="O320">
        <f>IF(B320&lt;&gt;B319, Dashboard!$L$6,0)</f>
        <v>0</v>
      </c>
      <c r="P320">
        <f t="shared" si="27"/>
        <v>80.464017940500383</v>
      </c>
      <c r="Q320">
        <f>IF(B320&lt;&gt;B319,IF(F320&lt;=AVERAGE(F298:F319),Dashboard!$N$6-Dashboard!$G$7,Dashboard!$N$6+Dashboard!$G$7),0)</f>
        <v>0</v>
      </c>
      <c r="R320">
        <f t="shared" si="28"/>
        <v>81.192430078003454</v>
      </c>
    </row>
    <row r="321" spans="1:18" x14ac:dyDescent="0.3">
      <c r="A321" s="1">
        <v>44713</v>
      </c>
      <c r="B321">
        <v>1</v>
      </c>
      <c r="C321" s="19">
        <v>6</v>
      </c>
      <c r="D321" s="20">
        <v>2022</v>
      </c>
      <c r="E321" s="21">
        <f t="shared" si="24"/>
        <v>44567</v>
      </c>
      <c r="F321" s="20">
        <v>430.08</v>
      </c>
      <c r="G321" s="20">
        <v>7971547</v>
      </c>
      <c r="H321" s="20">
        <v>430.2</v>
      </c>
      <c r="I321" s="20">
        <v>432.83</v>
      </c>
      <c r="J321" s="22">
        <v>427.9</v>
      </c>
      <c r="K321" s="2">
        <f t="shared" si="25"/>
        <v>33487.264065557516</v>
      </c>
      <c r="L321" s="2">
        <f>IF(B321&lt;&gt;B320,L320*(1+Dashboard!$G$5)+Dashboard!$G$6, L320)</f>
        <v>34201.266603413649</v>
      </c>
      <c r="M321">
        <f t="shared" si="29"/>
        <v>0</v>
      </c>
      <c r="N321">
        <f t="shared" si="26"/>
        <v>77.862872176240515</v>
      </c>
      <c r="O321">
        <f>IF(B321&lt;&gt;B320, Dashboard!$L$6,0)</f>
        <v>0</v>
      </c>
      <c r="P321">
        <f t="shared" si="27"/>
        <v>80.464017940500383</v>
      </c>
      <c r="Q321">
        <f>IF(B321&lt;&gt;B320,IF(F321&lt;=AVERAGE(F299:F320),Dashboard!$N$6-Dashboard!$G$7,Dashboard!$N$6+Dashboard!$G$7),0)</f>
        <v>0</v>
      </c>
      <c r="R321">
        <f t="shared" si="28"/>
        <v>81.192430078003454</v>
      </c>
    </row>
    <row r="322" spans="1:18" x14ac:dyDescent="0.3">
      <c r="A322" s="1">
        <v>44743</v>
      </c>
      <c r="B322">
        <v>1</v>
      </c>
      <c r="C322" s="19">
        <v>7</v>
      </c>
      <c r="D322" s="20">
        <v>2022</v>
      </c>
      <c r="E322" s="21">
        <f t="shared" ref="E322:E385" si="30">DATE(D322,B322,C322)</f>
        <v>44568</v>
      </c>
      <c r="F322" s="20">
        <v>428.59</v>
      </c>
      <c r="G322" s="20">
        <v>6157536</v>
      </c>
      <c r="H322" s="20">
        <v>430.21</v>
      </c>
      <c r="I322" s="20">
        <v>431.36</v>
      </c>
      <c r="J322" s="22">
        <v>427.2</v>
      </c>
      <c r="K322" s="2">
        <f t="shared" si="25"/>
        <v>33371.248386014922</v>
      </c>
      <c r="L322" s="2">
        <f>IF(B322&lt;&gt;B321,L321*(1+Dashboard!$G$5)+Dashboard!$G$6, L321)</f>
        <v>34201.266603413649</v>
      </c>
      <c r="M322">
        <f t="shared" si="29"/>
        <v>0</v>
      </c>
      <c r="N322">
        <f t="shared" si="26"/>
        <v>77.862872176240515</v>
      </c>
      <c r="O322">
        <f>IF(B322&lt;&gt;B321, Dashboard!$L$6,0)</f>
        <v>0</v>
      </c>
      <c r="P322">
        <f t="shared" si="27"/>
        <v>80.464017940500383</v>
      </c>
      <c r="Q322">
        <f>IF(B322&lt;&gt;B321,IF(F322&lt;=AVERAGE(F300:F321),Dashboard!$N$6-Dashboard!$G$7,Dashboard!$N$6+Dashboard!$G$7),0)</f>
        <v>0</v>
      </c>
      <c r="R322">
        <f t="shared" si="28"/>
        <v>81.192430078003454</v>
      </c>
    </row>
    <row r="323" spans="1:18" x14ac:dyDescent="0.3">
      <c r="A323" s="1">
        <v>44835</v>
      </c>
      <c r="B323">
        <v>1</v>
      </c>
      <c r="C323" s="19">
        <v>10</v>
      </c>
      <c r="D323" s="20">
        <v>2022</v>
      </c>
      <c r="E323" s="21">
        <f t="shared" si="30"/>
        <v>44571</v>
      </c>
      <c r="F323" s="20">
        <v>428.03</v>
      </c>
      <c r="G323" s="20">
        <v>10481530</v>
      </c>
      <c r="H323" s="20">
        <v>425.38</v>
      </c>
      <c r="I323" s="20">
        <v>428.19</v>
      </c>
      <c r="J323" s="22">
        <v>419.77</v>
      </c>
      <c r="K323" s="2">
        <f t="shared" ref="K323:K386" si="31">N323*F323</f>
        <v>33327.645177596227</v>
      </c>
      <c r="L323" s="2">
        <f>IF(B323&lt;&gt;B322,L322*(1+Dashboard!$G$5)+Dashboard!$G$6, L322)</f>
        <v>34201.266603413649</v>
      </c>
      <c r="M323">
        <f t="shared" si="29"/>
        <v>0</v>
      </c>
      <c r="N323">
        <f t="shared" si="26"/>
        <v>77.862872176240515</v>
      </c>
      <c r="O323">
        <f>IF(B323&lt;&gt;B322, Dashboard!$L$6,0)</f>
        <v>0</v>
      </c>
      <c r="P323">
        <f t="shared" si="27"/>
        <v>80.464017940500383</v>
      </c>
      <c r="Q323">
        <f>IF(B323&lt;&gt;B322,IF(F323&lt;=AVERAGE(F301:F322),Dashboard!$N$6-Dashboard!$G$7,Dashboard!$N$6+Dashboard!$G$7),0)</f>
        <v>0</v>
      </c>
      <c r="R323">
        <f t="shared" si="28"/>
        <v>81.192430078003454</v>
      </c>
    </row>
    <row r="324" spans="1:18" x14ac:dyDescent="0.3">
      <c r="A324" s="1">
        <v>44866</v>
      </c>
      <c r="B324">
        <v>1</v>
      </c>
      <c r="C324" s="19">
        <v>11</v>
      </c>
      <c r="D324" s="20">
        <v>2022</v>
      </c>
      <c r="E324" s="21">
        <f t="shared" si="30"/>
        <v>44572</v>
      </c>
      <c r="F324" s="20">
        <v>431.78</v>
      </c>
      <c r="G324" s="20">
        <v>7282442</v>
      </c>
      <c r="H324" s="20">
        <v>427.68</v>
      </c>
      <c r="I324" s="20">
        <v>431.95</v>
      </c>
      <c r="J324" s="22">
        <v>424.78</v>
      </c>
      <c r="K324" s="2">
        <f t="shared" si="31"/>
        <v>33619.630948257131</v>
      </c>
      <c r="L324" s="2">
        <f>IF(B324&lt;&gt;B323,L323*(1+Dashboard!$G$5)+Dashboard!$G$6, L323)</f>
        <v>34201.266603413649</v>
      </c>
      <c r="M324">
        <f t="shared" si="29"/>
        <v>0</v>
      </c>
      <c r="N324">
        <f t="shared" ref="N324:N387" si="32">N323+M323/F323</f>
        <v>77.862872176240515</v>
      </c>
      <c r="O324">
        <f>IF(B324&lt;&gt;B323, Dashboard!$L$6,0)</f>
        <v>0</v>
      </c>
      <c r="P324">
        <f t="shared" ref="P324:P387" si="33">P323+O324/F324</f>
        <v>80.464017940500383</v>
      </c>
      <c r="Q324">
        <f>IF(B324&lt;&gt;B323,IF(F324&lt;=AVERAGE(F302:F323),Dashboard!$N$6-Dashboard!$G$7,Dashboard!$N$6+Dashboard!$G$7),0)</f>
        <v>0</v>
      </c>
      <c r="R324">
        <f t="shared" ref="R324:R387" si="34">R323+Q324/H324</f>
        <v>81.192430078003454</v>
      </c>
    </row>
    <row r="325" spans="1:18" x14ac:dyDescent="0.3">
      <c r="A325" s="1">
        <v>44896</v>
      </c>
      <c r="B325">
        <v>1</v>
      </c>
      <c r="C325" s="19">
        <v>12</v>
      </c>
      <c r="D325" s="20">
        <v>2022</v>
      </c>
      <c r="E325" s="21">
        <f t="shared" si="30"/>
        <v>44573</v>
      </c>
      <c r="F325" s="20">
        <v>433.07</v>
      </c>
      <c r="G325" s="20">
        <v>8270332</v>
      </c>
      <c r="H325" s="20">
        <v>433.56</v>
      </c>
      <c r="I325" s="20">
        <v>435.04</v>
      </c>
      <c r="J325" s="22">
        <v>431.14</v>
      </c>
      <c r="K325" s="2">
        <f t="shared" si="31"/>
        <v>33720.074053364478</v>
      </c>
      <c r="L325" s="2">
        <f>IF(B325&lt;&gt;B324,L324*(1+Dashboard!$G$5)+Dashboard!$G$6, L324)</f>
        <v>34201.266603413649</v>
      </c>
      <c r="M325">
        <f t="shared" si="29"/>
        <v>0</v>
      </c>
      <c r="N325">
        <f t="shared" si="32"/>
        <v>77.862872176240515</v>
      </c>
      <c r="O325">
        <f>IF(B325&lt;&gt;B324, Dashboard!$L$6,0)</f>
        <v>0</v>
      </c>
      <c r="P325">
        <f t="shared" si="33"/>
        <v>80.464017940500383</v>
      </c>
      <c r="Q325">
        <f>IF(B325&lt;&gt;B324,IF(F325&lt;=AVERAGE(F303:F324),Dashboard!$N$6-Dashboard!$G$7,Dashboard!$N$6+Dashboard!$G$7),0)</f>
        <v>0</v>
      </c>
      <c r="R325">
        <f t="shared" si="34"/>
        <v>81.192430078003454</v>
      </c>
    </row>
    <row r="326" spans="1:18" x14ac:dyDescent="0.3">
      <c r="A326" t="s">
        <v>564</v>
      </c>
      <c r="B326">
        <v>1</v>
      </c>
      <c r="C326" s="19">
        <v>13</v>
      </c>
      <c r="D326" s="20">
        <v>2022</v>
      </c>
      <c r="E326" s="21">
        <f t="shared" si="30"/>
        <v>44574</v>
      </c>
      <c r="F326" s="20">
        <v>427.1</v>
      </c>
      <c r="G326" s="20">
        <v>7521275</v>
      </c>
      <c r="H326" s="20">
        <v>434.09</v>
      </c>
      <c r="I326" s="20">
        <v>434.72</v>
      </c>
      <c r="J326" s="22">
        <v>426.09</v>
      </c>
      <c r="K326" s="2">
        <f t="shared" si="31"/>
        <v>33255.232706472329</v>
      </c>
      <c r="L326" s="2">
        <f>IF(B326&lt;&gt;B325,L325*(1+Dashboard!$G$5)+Dashboard!$G$6, L325)</f>
        <v>34201.266603413649</v>
      </c>
      <c r="M326">
        <f t="shared" si="29"/>
        <v>0</v>
      </c>
      <c r="N326">
        <f t="shared" si="32"/>
        <v>77.862872176240515</v>
      </c>
      <c r="O326">
        <f>IF(B326&lt;&gt;B325, Dashboard!$L$6,0)</f>
        <v>0</v>
      </c>
      <c r="P326">
        <f t="shared" si="33"/>
        <v>80.464017940500383</v>
      </c>
      <c r="Q326">
        <f>IF(B326&lt;&gt;B325,IF(F326&lt;=AVERAGE(F304:F325),Dashboard!$N$6-Dashboard!$G$7,Dashboard!$N$6+Dashboard!$G$7),0)</f>
        <v>0</v>
      </c>
      <c r="R326">
        <f t="shared" si="34"/>
        <v>81.192430078003454</v>
      </c>
    </row>
    <row r="327" spans="1:18" x14ac:dyDescent="0.3">
      <c r="A327" t="s">
        <v>563</v>
      </c>
      <c r="B327">
        <v>1</v>
      </c>
      <c r="C327" s="19">
        <v>14</v>
      </c>
      <c r="D327" s="20">
        <v>2022</v>
      </c>
      <c r="E327" s="21">
        <f t="shared" si="30"/>
        <v>44575</v>
      </c>
      <c r="F327" s="20">
        <v>427.23</v>
      </c>
      <c r="G327" s="20">
        <v>9960814</v>
      </c>
      <c r="H327" s="20">
        <v>423.94499999999999</v>
      </c>
      <c r="I327" s="20">
        <v>427.57990000000001</v>
      </c>
      <c r="J327" s="22">
        <v>422.81</v>
      </c>
      <c r="K327" s="2">
        <f t="shared" si="31"/>
        <v>33265.354879855237</v>
      </c>
      <c r="L327" s="2">
        <f>IF(B327&lt;&gt;B326,L326*(1+Dashboard!$G$5)+Dashboard!$G$6, L326)</f>
        <v>34201.266603413649</v>
      </c>
      <c r="M327">
        <f t="shared" si="29"/>
        <v>0</v>
      </c>
      <c r="N327">
        <f t="shared" si="32"/>
        <v>77.862872176240515</v>
      </c>
      <c r="O327">
        <f>IF(B327&lt;&gt;B326, Dashboard!$L$6,0)</f>
        <v>0</v>
      </c>
      <c r="P327">
        <f t="shared" si="33"/>
        <v>80.464017940500383</v>
      </c>
      <c r="Q327">
        <f>IF(B327&lt;&gt;B326,IF(F327&lt;=AVERAGE(F305:F326),Dashboard!$N$6-Dashboard!$G$7,Dashboard!$N$6+Dashboard!$G$7),0)</f>
        <v>0</v>
      </c>
      <c r="R327">
        <f t="shared" si="34"/>
        <v>81.192430078003454</v>
      </c>
    </row>
    <row r="328" spans="1:18" x14ac:dyDescent="0.3">
      <c r="A328" t="s">
        <v>562</v>
      </c>
      <c r="B328">
        <v>1</v>
      </c>
      <c r="C328" s="19">
        <v>18</v>
      </c>
      <c r="D328" s="20">
        <v>2022</v>
      </c>
      <c r="E328" s="21">
        <f t="shared" si="30"/>
        <v>44579</v>
      </c>
      <c r="F328" s="20">
        <v>419.74</v>
      </c>
      <c r="G328" s="20">
        <v>10697980</v>
      </c>
      <c r="H328" s="20">
        <v>422.62</v>
      </c>
      <c r="I328" s="20">
        <v>424.98</v>
      </c>
      <c r="J328" s="22">
        <v>417.33</v>
      </c>
      <c r="K328" s="2">
        <f t="shared" si="31"/>
        <v>32682.161967255193</v>
      </c>
      <c r="L328" s="2">
        <f>IF(B328&lt;&gt;B327,L327*(1+Dashboard!$G$5)+Dashboard!$G$6, L327)</f>
        <v>34201.266603413649</v>
      </c>
      <c r="M328">
        <f t="shared" si="29"/>
        <v>0</v>
      </c>
      <c r="N328">
        <f t="shared" si="32"/>
        <v>77.862872176240515</v>
      </c>
      <c r="O328">
        <f>IF(B328&lt;&gt;B327, Dashboard!$L$6,0)</f>
        <v>0</v>
      </c>
      <c r="P328">
        <f t="shared" si="33"/>
        <v>80.464017940500383</v>
      </c>
      <c r="Q328">
        <f>IF(B328&lt;&gt;B327,IF(F328&lt;=AVERAGE(F306:F327),Dashboard!$N$6-Dashboard!$G$7,Dashboard!$N$6+Dashboard!$G$7),0)</f>
        <v>0</v>
      </c>
      <c r="R328">
        <f t="shared" si="34"/>
        <v>81.192430078003454</v>
      </c>
    </row>
    <row r="329" spans="1:18" x14ac:dyDescent="0.3">
      <c r="A329" t="s">
        <v>561</v>
      </c>
      <c r="B329">
        <v>1</v>
      </c>
      <c r="C329" s="19">
        <v>19</v>
      </c>
      <c r="D329" s="20">
        <v>2022</v>
      </c>
      <c r="E329" s="21">
        <f t="shared" si="30"/>
        <v>44580</v>
      </c>
      <c r="F329" s="20">
        <v>415.33</v>
      </c>
      <c r="G329" s="20">
        <v>8184106</v>
      </c>
      <c r="H329" s="20">
        <v>421.17</v>
      </c>
      <c r="I329" s="20">
        <v>422.53500000000003</v>
      </c>
      <c r="J329" s="22">
        <v>415.07</v>
      </c>
      <c r="K329" s="2">
        <f t="shared" si="31"/>
        <v>32338.786700957971</v>
      </c>
      <c r="L329" s="2">
        <f>IF(B329&lt;&gt;B328,L328*(1+Dashboard!$G$5)+Dashboard!$G$6, L328)</f>
        <v>34201.266603413649</v>
      </c>
      <c r="M329">
        <f t="shared" si="29"/>
        <v>0</v>
      </c>
      <c r="N329">
        <f t="shared" si="32"/>
        <v>77.862872176240515</v>
      </c>
      <c r="O329">
        <f>IF(B329&lt;&gt;B328, Dashboard!$L$6,0)</f>
        <v>0</v>
      </c>
      <c r="P329">
        <f t="shared" si="33"/>
        <v>80.464017940500383</v>
      </c>
      <c r="Q329">
        <f>IF(B329&lt;&gt;B328,IF(F329&lt;=AVERAGE(F307:F328),Dashboard!$N$6-Dashboard!$G$7,Dashboard!$N$6+Dashboard!$G$7),0)</f>
        <v>0</v>
      </c>
      <c r="R329">
        <f t="shared" si="34"/>
        <v>81.192430078003454</v>
      </c>
    </row>
    <row r="330" spans="1:18" x14ac:dyDescent="0.3">
      <c r="A330" t="s">
        <v>560</v>
      </c>
      <c r="B330">
        <v>1</v>
      </c>
      <c r="C330" s="19">
        <v>20</v>
      </c>
      <c r="D330" s="20">
        <v>2022</v>
      </c>
      <c r="E330" s="21">
        <f t="shared" si="30"/>
        <v>44581</v>
      </c>
      <c r="F330" s="20">
        <v>410.76</v>
      </c>
      <c r="G330" s="20">
        <v>8907603</v>
      </c>
      <c r="H330" s="20">
        <v>417.17</v>
      </c>
      <c r="I330" s="20">
        <v>421.75</v>
      </c>
      <c r="J330" s="22">
        <v>410.29</v>
      </c>
      <c r="K330" s="2">
        <f t="shared" si="31"/>
        <v>31982.953375112553</v>
      </c>
      <c r="L330" s="2">
        <f>IF(B330&lt;&gt;B329,L329*(1+Dashboard!$G$5)+Dashboard!$G$6, L329)</f>
        <v>34201.266603413649</v>
      </c>
      <c r="M330">
        <f t="shared" si="29"/>
        <v>0</v>
      </c>
      <c r="N330">
        <f t="shared" si="32"/>
        <v>77.862872176240515</v>
      </c>
      <c r="O330">
        <f>IF(B330&lt;&gt;B329, Dashboard!$L$6,0)</f>
        <v>0</v>
      </c>
      <c r="P330">
        <f t="shared" si="33"/>
        <v>80.464017940500383</v>
      </c>
      <c r="Q330">
        <f>IF(B330&lt;&gt;B329,IF(F330&lt;=AVERAGE(F308:F329),Dashboard!$N$6-Dashboard!$G$7,Dashboard!$N$6+Dashboard!$G$7),0)</f>
        <v>0</v>
      </c>
      <c r="R330">
        <f t="shared" si="34"/>
        <v>81.192430078003454</v>
      </c>
    </row>
    <row r="331" spans="1:18" x14ac:dyDescent="0.3">
      <c r="A331" t="s">
        <v>559</v>
      </c>
      <c r="B331">
        <v>1</v>
      </c>
      <c r="C331" s="19">
        <v>21</v>
      </c>
      <c r="D331" s="20">
        <v>2022</v>
      </c>
      <c r="E331" s="21">
        <f t="shared" si="30"/>
        <v>44582</v>
      </c>
      <c r="F331" s="20">
        <v>402.69</v>
      </c>
      <c r="G331" s="20">
        <v>16225930</v>
      </c>
      <c r="H331" s="20">
        <v>409.71</v>
      </c>
      <c r="I331" s="20">
        <v>411.92649999999998</v>
      </c>
      <c r="J331" s="22">
        <v>402.66</v>
      </c>
      <c r="K331" s="2">
        <f t="shared" si="31"/>
        <v>31354.599996650293</v>
      </c>
      <c r="L331" s="2">
        <f>IF(B331&lt;&gt;B330,L330*(1+Dashboard!$G$5)+Dashboard!$G$6, L330)</f>
        <v>34201.266603413649</v>
      </c>
      <c r="M331">
        <f t="shared" si="29"/>
        <v>0</v>
      </c>
      <c r="N331">
        <f t="shared" si="32"/>
        <v>77.862872176240515</v>
      </c>
      <c r="O331">
        <f>IF(B331&lt;&gt;B330, Dashboard!$L$6,0)</f>
        <v>0</v>
      </c>
      <c r="P331">
        <f t="shared" si="33"/>
        <v>80.464017940500383</v>
      </c>
      <c r="Q331">
        <f>IF(B331&lt;&gt;B330,IF(F331&lt;=AVERAGE(F309:F330),Dashboard!$N$6-Dashboard!$G$7,Dashboard!$N$6+Dashboard!$G$7),0)</f>
        <v>0</v>
      </c>
      <c r="R331">
        <f t="shared" si="34"/>
        <v>81.192430078003454</v>
      </c>
    </row>
    <row r="332" spans="1:18" x14ac:dyDescent="0.3">
      <c r="A332" t="s">
        <v>558</v>
      </c>
      <c r="B332">
        <v>1</v>
      </c>
      <c r="C332" s="19">
        <v>24</v>
      </c>
      <c r="D332" s="20">
        <v>2022</v>
      </c>
      <c r="E332" s="21">
        <f t="shared" si="30"/>
        <v>44585</v>
      </c>
      <c r="F332" s="20">
        <v>404.37</v>
      </c>
      <c r="G332" s="20">
        <v>22997840</v>
      </c>
      <c r="H332" s="20">
        <v>397.26</v>
      </c>
      <c r="I332" s="20">
        <v>404.88</v>
      </c>
      <c r="J332" s="22">
        <v>386.84</v>
      </c>
      <c r="K332" s="2">
        <f t="shared" si="31"/>
        <v>31485.409621906376</v>
      </c>
      <c r="L332" s="2">
        <f>IF(B332&lt;&gt;B331,L331*(1+Dashboard!$G$5)+Dashboard!$G$6, L331)</f>
        <v>34201.266603413649</v>
      </c>
      <c r="M332">
        <f t="shared" si="29"/>
        <v>0</v>
      </c>
      <c r="N332">
        <f t="shared" si="32"/>
        <v>77.862872176240515</v>
      </c>
      <c r="O332">
        <f>IF(B332&lt;&gt;B331, Dashboard!$L$6,0)</f>
        <v>0</v>
      </c>
      <c r="P332">
        <f t="shared" si="33"/>
        <v>80.464017940500383</v>
      </c>
      <c r="Q332">
        <f>IF(B332&lt;&gt;B331,IF(F332&lt;=AVERAGE(F310:F331),Dashboard!$N$6-Dashboard!$G$7,Dashboard!$N$6+Dashboard!$G$7),0)</f>
        <v>0</v>
      </c>
      <c r="R332">
        <f t="shared" si="34"/>
        <v>81.192430078003454</v>
      </c>
    </row>
    <row r="333" spans="1:18" x14ac:dyDescent="0.3">
      <c r="A333" t="s">
        <v>557</v>
      </c>
      <c r="B333">
        <v>1</v>
      </c>
      <c r="C333" s="19">
        <v>25</v>
      </c>
      <c r="D333" s="20">
        <v>2022</v>
      </c>
      <c r="E333" s="21">
        <f t="shared" si="30"/>
        <v>44586</v>
      </c>
      <c r="F333" s="20">
        <v>399.46</v>
      </c>
      <c r="G333" s="20">
        <v>16836330</v>
      </c>
      <c r="H333" s="20">
        <v>398.17</v>
      </c>
      <c r="I333" s="20">
        <v>404.26</v>
      </c>
      <c r="J333" s="22">
        <v>392.73250000000002</v>
      </c>
      <c r="K333" s="2">
        <f t="shared" si="31"/>
        <v>31103.102919521036</v>
      </c>
      <c r="L333" s="2">
        <f>IF(B333&lt;&gt;B332,L332*(1+Dashboard!$G$5)+Dashboard!$G$6, L332)</f>
        <v>34201.266603413649</v>
      </c>
      <c r="M333">
        <f t="shared" si="29"/>
        <v>0</v>
      </c>
      <c r="N333">
        <f t="shared" si="32"/>
        <v>77.862872176240515</v>
      </c>
      <c r="O333">
        <f>IF(B333&lt;&gt;B332, Dashboard!$L$6,0)</f>
        <v>0</v>
      </c>
      <c r="P333">
        <f t="shared" si="33"/>
        <v>80.464017940500383</v>
      </c>
      <c r="Q333">
        <f>IF(B333&lt;&gt;B332,IF(F333&lt;=AVERAGE(F311:F332),Dashboard!$N$6-Dashboard!$G$7,Dashboard!$N$6+Dashboard!$G$7),0)</f>
        <v>0</v>
      </c>
      <c r="R333">
        <f t="shared" si="34"/>
        <v>81.192430078003454</v>
      </c>
    </row>
    <row r="334" spans="1:18" x14ac:dyDescent="0.3">
      <c r="A334" t="s">
        <v>556</v>
      </c>
      <c r="B334">
        <v>1</v>
      </c>
      <c r="C334" s="19">
        <v>26</v>
      </c>
      <c r="D334" s="20">
        <v>2022</v>
      </c>
      <c r="E334" s="21">
        <f t="shared" si="30"/>
        <v>44587</v>
      </c>
      <c r="F334" s="20">
        <v>398.56</v>
      </c>
      <c r="G334" s="20">
        <v>14377350</v>
      </c>
      <c r="H334" s="20">
        <v>405.66</v>
      </c>
      <c r="I334" s="20">
        <v>408.19540000000001</v>
      </c>
      <c r="J334" s="22">
        <v>394.34</v>
      </c>
      <c r="K334" s="2">
        <f t="shared" si="31"/>
        <v>31033.026334562419</v>
      </c>
      <c r="L334" s="2">
        <f>IF(B334&lt;&gt;B333,L333*(1+Dashboard!$G$5)+Dashboard!$G$6, L333)</f>
        <v>34201.266603413649</v>
      </c>
      <c r="M334">
        <f t="shared" si="29"/>
        <v>0</v>
      </c>
      <c r="N334">
        <f t="shared" si="32"/>
        <v>77.862872176240515</v>
      </c>
      <c r="O334">
        <f>IF(B334&lt;&gt;B333, Dashboard!$L$6,0)</f>
        <v>0</v>
      </c>
      <c r="P334">
        <f t="shared" si="33"/>
        <v>80.464017940500383</v>
      </c>
      <c r="Q334">
        <f>IF(B334&lt;&gt;B333,IF(F334&lt;=AVERAGE(F312:F333),Dashboard!$N$6-Dashboard!$G$7,Dashboard!$N$6+Dashboard!$G$7),0)</f>
        <v>0</v>
      </c>
      <c r="R334">
        <f t="shared" si="34"/>
        <v>81.192430078003454</v>
      </c>
    </row>
    <row r="335" spans="1:18" x14ac:dyDescent="0.3">
      <c r="A335" t="s">
        <v>555</v>
      </c>
      <c r="B335">
        <v>1</v>
      </c>
      <c r="C335" s="19">
        <v>27</v>
      </c>
      <c r="D335" s="20">
        <v>2022</v>
      </c>
      <c r="E335" s="21">
        <f t="shared" si="30"/>
        <v>44588</v>
      </c>
      <c r="F335" s="20">
        <v>396.54</v>
      </c>
      <c r="G335" s="20">
        <v>12455230</v>
      </c>
      <c r="H335" s="20">
        <v>402.93</v>
      </c>
      <c r="I335" s="20">
        <v>405.97</v>
      </c>
      <c r="J335" s="22">
        <v>394.82</v>
      </c>
      <c r="K335" s="2">
        <f t="shared" si="31"/>
        <v>30875.743332766415</v>
      </c>
      <c r="L335" s="2">
        <f>IF(B335&lt;&gt;B334,L334*(1+Dashboard!$G$5)+Dashboard!$G$6, L334)</f>
        <v>34201.266603413649</v>
      </c>
      <c r="M335">
        <f t="shared" si="29"/>
        <v>0</v>
      </c>
      <c r="N335">
        <f t="shared" si="32"/>
        <v>77.862872176240515</v>
      </c>
      <c r="O335">
        <f>IF(B335&lt;&gt;B334, Dashboard!$L$6,0)</f>
        <v>0</v>
      </c>
      <c r="P335">
        <f t="shared" si="33"/>
        <v>80.464017940500383</v>
      </c>
      <c r="Q335">
        <f>IF(B335&lt;&gt;B334,IF(F335&lt;=AVERAGE(F313:F334),Dashboard!$N$6-Dashboard!$G$7,Dashboard!$N$6+Dashboard!$G$7),0)</f>
        <v>0</v>
      </c>
      <c r="R335">
        <f t="shared" si="34"/>
        <v>81.192430078003454</v>
      </c>
    </row>
    <row r="336" spans="1:18" x14ac:dyDescent="0.3">
      <c r="A336" t="s">
        <v>554</v>
      </c>
      <c r="B336">
        <v>1</v>
      </c>
      <c r="C336" s="19">
        <v>28</v>
      </c>
      <c r="D336" s="20">
        <v>2022</v>
      </c>
      <c r="E336" s="21">
        <f t="shared" si="30"/>
        <v>44589</v>
      </c>
      <c r="F336" s="20">
        <v>406.26</v>
      </c>
      <c r="G336" s="20">
        <v>12096810</v>
      </c>
      <c r="H336" s="20">
        <v>397.82</v>
      </c>
      <c r="I336" s="20">
        <v>406.33</v>
      </c>
      <c r="J336" s="22">
        <v>393.3</v>
      </c>
      <c r="K336" s="2">
        <f t="shared" si="31"/>
        <v>31632.570450319472</v>
      </c>
      <c r="L336" s="2">
        <f>IF(B336&lt;&gt;B335,L335*(1+Dashboard!$G$5)+Dashboard!$G$6, L335)</f>
        <v>34201.266603413649</v>
      </c>
      <c r="M336">
        <f t="shared" si="29"/>
        <v>0</v>
      </c>
      <c r="N336">
        <f t="shared" si="32"/>
        <v>77.862872176240515</v>
      </c>
      <c r="O336">
        <f>IF(B336&lt;&gt;B335, Dashboard!$L$6,0)</f>
        <v>0</v>
      </c>
      <c r="P336">
        <f t="shared" si="33"/>
        <v>80.464017940500383</v>
      </c>
      <c r="Q336">
        <f>IF(B336&lt;&gt;B335,IF(F336&lt;=AVERAGE(F314:F335),Dashboard!$N$6-Dashboard!$G$7,Dashboard!$N$6+Dashboard!$G$7),0)</f>
        <v>0</v>
      </c>
      <c r="R336">
        <f t="shared" si="34"/>
        <v>81.192430078003454</v>
      </c>
    </row>
    <row r="337" spans="1:18" x14ac:dyDescent="0.3">
      <c r="A337" t="s">
        <v>553</v>
      </c>
      <c r="B337">
        <v>1</v>
      </c>
      <c r="C337" s="19">
        <v>31</v>
      </c>
      <c r="D337" s="20">
        <v>2022</v>
      </c>
      <c r="E337" s="21">
        <f t="shared" si="30"/>
        <v>44592</v>
      </c>
      <c r="F337" s="20">
        <v>413.69</v>
      </c>
      <c r="G337" s="20">
        <v>9200435</v>
      </c>
      <c r="H337" s="20">
        <v>405.67</v>
      </c>
      <c r="I337" s="20">
        <v>413.97</v>
      </c>
      <c r="J337" s="22">
        <v>404.35</v>
      </c>
      <c r="K337" s="2">
        <f t="shared" si="31"/>
        <v>32211.091590588938</v>
      </c>
      <c r="L337" s="2">
        <f>IF(B337&lt;&gt;B336,L336*(1+Dashboard!$G$5)+Dashboard!$G$6, L336)</f>
        <v>34201.266603413649</v>
      </c>
      <c r="M337">
        <f t="shared" si="29"/>
        <v>0</v>
      </c>
      <c r="N337">
        <f t="shared" si="32"/>
        <v>77.862872176240515</v>
      </c>
      <c r="O337">
        <f>IF(B337&lt;&gt;B336, Dashboard!$L$6,0)</f>
        <v>0</v>
      </c>
      <c r="P337">
        <f t="shared" si="33"/>
        <v>80.464017940500383</v>
      </c>
      <c r="Q337">
        <f>IF(B337&lt;&gt;B336,IF(F337&lt;=AVERAGE(F315:F336),Dashboard!$N$6-Dashboard!$G$7,Dashboard!$N$6+Dashboard!$G$7),0)</f>
        <v>0</v>
      </c>
      <c r="R337">
        <f t="shared" si="34"/>
        <v>81.192430078003454</v>
      </c>
    </row>
    <row r="338" spans="1:18" x14ac:dyDescent="0.3">
      <c r="A338" s="1">
        <v>44563</v>
      </c>
      <c r="B338">
        <v>2</v>
      </c>
      <c r="C338" s="19">
        <v>1</v>
      </c>
      <c r="D338" s="20">
        <v>2022</v>
      </c>
      <c r="E338" s="21">
        <f t="shared" si="30"/>
        <v>44593</v>
      </c>
      <c r="F338" s="20">
        <v>416.39</v>
      </c>
      <c r="G338" s="20">
        <v>8154891</v>
      </c>
      <c r="H338" s="20">
        <v>414.34</v>
      </c>
      <c r="I338" s="20">
        <v>417.04</v>
      </c>
      <c r="J338" s="22">
        <v>410.9</v>
      </c>
      <c r="K338" s="2">
        <f t="shared" si="31"/>
        <v>32421.321345464788</v>
      </c>
      <c r="L338" s="2">
        <f>IF(B338&lt;&gt;B337,L337*(1+Dashboard!$G$5)+Dashboard!$G$6, L337)</f>
        <v>36502.237749523687</v>
      </c>
      <c r="M338">
        <f t="shared" si="29"/>
        <v>4080.9164040588985</v>
      </c>
      <c r="N338">
        <f t="shared" si="32"/>
        <v>77.862872176240515</v>
      </c>
      <c r="O338">
        <f>IF(B338&lt;&gt;B337, Dashboard!$L$6,0)</f>
        <v>1859.7282542371197</v>
      </c>
      <c r="P338">
        <f t="shared" si="33"/>
        <v>84.93033138279516</v>
      </c>
      <c r="Q338">
        <f>IF(B338&lt;&gt;B337,IF(F338&lt;=AVERAGE(F316:F337),Dashboard!$N$6-Dashboard!$G$7,Dashboard!$N$6+Dashboard!$G$7),0)</f>
        <v>1232.609610169322</v>
      </c>
      <c r="R338">
        <f t="shared" si="34"/>
        <v>84.167304843098123</v>
      </c>
    </row>
    <row r="339" spans="1:18" x14ac:dyDescent="0.3">
      <c r="A339" s="1">
        <v>44594</v>
      </c>
      <c r="B339">
        <v>2</v>
      </c>
      <c r="C339" s="19">
        <v>2</v>
      </c>
      <c r="D339" s="20">
        <v>2022</v>
      </c>
      <c r="E339" s="21">
        <f t="shared" si="30"/>
        <v>44594</v>
      </c>
      <c r="F339" s="20">
        <v>420.36</v>
      </c>
      <c r="G339" s="20">
        <v>6726476</v>
      </c>
      <c r="H339" s="20">
        <v>418.98</v>
      </c>
      <c r="I339" s="20">
        <v>421.18</v>
      </c>
      <c r="J339" s="22">
        <v>416.54</v>
      </c>
      <c r="K339" s="2">
        <f t="shared" si="31"/>
        <v>36850.262159009049</v>
      </c>
      <c r="L339" s="2">
        <f>IF(B339&lt;&gt;B338,L338*(1+Dashboard!$G$5)+Dashboard!$G$6, L338)</f>
        <v>36502.237749523687</v>
      </c>
      <c r="M339">
        <f t="shared" si="29"/>
        <v>0</v>
      </c>
      <c r="N339">
        <f t="shared" si="32"/>
        <v>87.663579215455911</v>
      </c>
      <c r="O339">
        <f>IF(B339&lt;&gt;B338, Dashboard!$L$6,0)</f>
        <v>0</v>
      </c>
      <c r="P339">
        <f t="shared" si="33"/>
        <v>84.93033138279516</v>
      </c>
      <c r="Q339">
        <f>IF(B339&lt;&gt;B338,IF(F339&lt;=AVERAGE(F317:F338),Dashboard!$N$6-Dashboard!$G$7,Dashboard!$N$6+Dashboard!$G$7),0)</f>
        <v>0</v>
      </c>
      <c r="R339">
        <f t="shared" si="34"/>
        <v>84.167304843098123</v>
      </c>
    </row>
    <row r="340" spans="1:18" x14ac:dyDescent="0.3">
      <c r="A340" s="1">
        <v>44622</v>
      </c>
      <c r="B340">
        <v>2</v>
      </c>
      <c r="C340" s="19">
        <v>3</v>
      </c>
      <c r="D340" s="20">
        <v>2022</v>
      </c>
      <c r="E340" s="21">
        <f t="shared" si="30"/>
        <v>44595</v>
      </c>
      <c r="F340" s="20">
        <v>410.59</v>
      </c>
      <c r="G340" s="20">
        <v>7658271</v>
      </c>
      <c r="H340" s="20">
        <v>414.59</v>
      </c>
      <c r="I340" s="20">
        <v>416.43</v>
      </c>
      <c r="J340" s="22">
        <v>409.79</v>
      </c>
      <c r="K340" s="2">
        <f t="shared" si="31"/>
        <v>35993.788990074041</v>
      </c>
      <c r="L340" s="2">
        <f>IF(B340&lt;&gt;B339,L339*(1+Dashboard!$G$5)+Dashboard!$G$6, L339)</f>
        <v>36502.237749523687</v>
      </c>
      <c r="M340">
        <f t="shared" si="29"/>
        <v>0</v>
      </c>
      <c r="N340">
        <f t="shared" si="32"/>
        <v>87.663579215455911</v>
      </c>
      <c r="O340">
        <f>IF(B340&lt;&gt;B339, Dashboard!$L$6,0)</f>
        <v>0</v>
      </c>
      <c r="P340">
        <f t="shared" si="33"/>
        <v>84.93033138279516</v>
      </c>
      <c r="Q340">
        <f>IF(B340&lt;&gt;B339,IF(F340&lt;=AVERAGE(F318:F339),Dashboard!$N$6-Dashboard!$G$7,Dashboard!$N$6+Dashboard!$G$7),0)</f>
        <v>0</v>
      </c>
      <c r="R340">
        <f t="shared" si="34"/>
        <v>84.167304843098123</v>
      </c>
    </row>
    <row r="341" spans="1:18" x14ac:dyDescent="0.3">
      <c r="A341" s="1">
        <v>44653</v>
      </c>
      <c r="B341">
        <v>2</v>
      </c>
      <c r="C341" s="19">
        <v>4</v>
      </c>
      <c r="D341" s="20">
        <v>2022</v>
      </c>
      <c r="E341" s="21">
        <f t="shared" si="30"/>
        <v>44596</v>
      </c>
      <c r="F341" s="20">
        <v>412.52</v>
      </c>
      <c r="G341" s="20">
        <v>8210024</v>
      </c>
      <c r="H341" s="20">
        <v>410.34</v>
      </c>
      <c r="I341" s="20">
        <v>416.24</v>
      </c>
      <c r="J341" s="22">
        <v>408.06</v>
      </c>
      <c r="K341" s="2">
        <f t="shared" si="31"/>
        <v>36162.979697959869</v>
      </c>
      <c r="L341" s="2">
        <f>IF(B341&lt;&gt;B340,L340*(1+Dashboard!$G$5)+Dashboard!$G$6, L340)</f>
        <v>36502.237749523687</v>
      </c>
      <c r="M341">
        <f t="shared" si="29"/>
        <v>0</v>
      </c>
      <c r="N341">
        <f t="shared" si="32"/>
        <v>87.663579215455911</v>
      </c>
      <c r="O341">
        <f>IF(B341&lt;&gt;B340, Dashboard!$L$6,0)</f>
        <v>0</v>
      </c>
      <c r="P341">
        <f t="shared" si="33"/>
        <v>84.93033138279516</v>
      </c>
      <c r="Q341">
        <f>IF(B341&lt;&gt;B340,IF(F341&lt;=AVERAGE(F319:F340),Dashboard!$N$6-Dashboard!$G$7,Dashboard!$N$6+Dashboard!$G$7),0)</f>
        <v>0</v>
      </c>
      <c r="R341">
        <f t="shared" si="34"/>
        <v>84.167304843098123</v>
      </c>
    </row>
    <row r="342" spans="1:18" x14ac:dyDescent="0.3">
      <c r="A342" s="1">
        <v>44744</v>
      </c>
      <c r="B342">
        <v>2</v>
      </c>
      <c r="C342" s="19">
        <v>7</v>
      </c>
      <c r="D342" s="20">
        <v>2022</v>
      </c>
      <c r="E342" s="21">
        <f t="shared" si="30"/>
        <v>44599</v>
      </c>
      <c r="F342" s="20">
        <v>411.16</v>
      </c>
      <c r="G342" s="20">
        <v>5620912</v>
      </c>
      <c r="H342" s="20">
        <v>413.23</v>
      </c>
      <c r="I342" s="20">
        <v>414.62</v>
      </c>
      <c r="J342" s="22">
        <v>409.9</v>
      </c>
      <c r="K342" s="2">
        <f t="shared" si="31"/>
        <v>36043.757230226853</v>
      </c>
      <c r="L342" s="2">
        <f>IF(B342&lt;&gt;B341,L341*(1+Dashboard!$G$5)+Dashboard!$G$6, L341)</f>
        <v>36502.237749523687</v>
      </c>
      <c r="M342">
        <f t="shared" si="29"/>
        <v>0</v>
      </c>
      <c r="N342">
        <f t="shared" si="32"/>
        <v>87.663579215455911</v>
      </c>
      <c r="O342">
        <f>IF(B342&lt;&gt;B341, Dashboard!$L$6,0)</f>
        <v>0</v>
      </c>
      <c r="P342">
        <f t="shared" si="33"/>
        <v>84.93033138279516</v>
      </c>
      <c r="Q342">
        <f>IF(B342&lt;&gt;B341,IF(F342&lt;=AVERAGE(F320:F341),Dashboard!$N$6-Dashboard!$G$7,Dashboard!$N$6+Dashboard!$G$7),0)</f>
        <v>0</v>
      </c>
      <c r="R342">
        <f t="shared" si="34"/>
        <v>84.167304843098123</v>
      </c>
    </row>
    <row r="343" spans="1:18" x14ac:dyDescent="0.3">
      <c r="A343" s="1">
        <v>44775</v>
      </c>
      <c r="B343">
        <v>2</v>
      </c>
      <c r="C343" s="19">
        <v>8</v>
      </c>
      <c r="D343" s="20">
        <v>2022</v>
      </c>
      <c r="E343" s="21">
        <f t="shared" si="30"/>
        <v>44600</v>
      </c>
      <c r="F343" s="20">
        <v>414.49</v>
      </c>
      <c r="G343" s="20">
        <v>5565685</v>
      </c>
      <c r="H343" s="20">
        <v>410.72</v>
      </c>
      <c r="I343" s="20">
        <v>415.46</v>
      </c>
      <c r="J343" s="22">
        <v>409.35</v>
      </c>
      <c r="K343" s="2">
        <f t="shared" si="31"/>
        <v>36335.67694901432</v>
      </c>
      <c r="L343" s="2">
        <f>IF(B343&lt;&gt;B342,L342*(1+Dashboard!$G$5)+Dashboard!$G$6, L342)</f>
        <v>36502.237749523687</v>
      </c>
      <c r="M343">
        <f t="shared" si="29"/>
        <v>0</v>
      </c>
      <c r="N343">
        <f t="shared" si="32"/>
        <v>87.663579215455911</v>
      </c>
      <c r="O343">
        <f>IF(B343&lt;&gt;B342, Dashboard!$L$6,0)</f>
        <v>0</v>
      </c>
      <c r="P343">
        <f t="shared" si="33"/>
        <v>84.93033138279516</v>
      </c>
      <c r="Q343">
        <f>IF(B343&lt;&gt;B342,IF(F343&lt;=AVERAGE(F321:F342),Dashboard!$N$6-Dashboard!$G$7,Dashboard!$N$6+Dashboard!$G$7),0)</f>
        <v>0</v>
      </c>
      <c r="R343">
        <f t="shared" si="34"/>
        <v>84.167304843098123</v>
      </c>
    </row>
    <row r="344" spans="1:18" x14ac:dyDescent="0.3">
      <c r="A344" s="1">
        <v>44806</v>
      </c>
      <c r="B344">
        <v>2</v>
      </c>
      <c r="C344" s="19">
        <v>9</v>
      </c>
      <c r="D344" s="20">
        <v>2022</v>
      </c>
      <c r="E344" s="21">
        <f t="shared" si="30"/>
        <v>44601</v>
      </c>
      <c r="F344" s="20">
        <v>420.57</v>
      </c>
      <c r="G344" s="20">
        <v>6284459</v>
      </c>
      <c r="H344" s="20">
        <v>418.55</v>
      </c>
      <c r="I344" s="20">
        <v>420.87</v>
      </c>
      <c r="J344" s="22">
        <v>418.34500000000003</v>
      </c>
      <c r="K344" s="2">
        <f t="shared" si="31"/>
        <v>36868.671510644293</v>
      </c>
      <c r="L344" s="2">
        <f>IF(B344&lt;&gt;B343,L343*(1+Dashboard!$G$5)+Dashboard!$G$6, L343)</f>
        <v>36502.237749523687</v>
      </c>
      <c r="M344">
        <f t="shared" si="29"/>
        <v>0</v>
      </c>
      <c r="N344">
        <f t="shared" si="32"/>
        <v>87.663579215455911</v>
      </c>
      <c r="O344">
        <f>IF(B344&lt;&gt;B343, Dashboard!$L$6,0)</f>
        <v>0</v>
      </c>
      <c r="P344">
        <f t="shared" si="33"/>
        <v>84.93033138279516</v>
      </c>
      <c r="Q344">
        <f>IF(B344&lt;&gt;B343,IF(F344&lt;=AVERAGE(F322:F343),Dashboard!$N$6-Dashboard!$G$7,Dashboard!$N$6+Dashboard!$G$7),0)</f>
        <v>0</v>
      </c>
      <c r="R344">
        <f t="shared" si="34"/>
        <v>84.167304843098123</v>
      </c>
    </row>
    <row r="345" spans="1:18" x14ac:dyDescent="0.3">
      <c r="A345" s="1">
        <v>44836</v>
      </c>
      <c r="B345">
        <v>2</v>
      </c>
      <c r="C345" s="19">
        <v>10</v>
      </c>
      <c r="D345" s="20">
        <v>2022</v>
      </c>
      <c r="E345" s="21">
        <f t="shared" si="30"/>
        <v>44602</v>
      </c>
      <c r="F345" s="20">
        <v>413.18</v>
      </c>
      <c r="G345" s="20">
        <v>9260462</v>
      </c>
      <c r="H345" s="20">
        <v>414.93</v>
      </c>
      <c r="I345" s="20">
        <v>420.8</v>
      </c>
      <c r="J345" s="22">
        <v>411.14</v>
      </c>
      <c r="K345" s="2">
        <f t="shared" si="31"/>
        <v>36220.837660242076</v>
      </c>
      <c r="L345" s="2">
        <f>IF(B345&lt;&gt;B344,L344*(1+Dashboard!$G$5)+Dashboard!$G$6, L344)</f>
        <v>36502.237749523687</v>
      </c>
      <c r="M345">
        <f t="shared" ref="M345:M408" si="35">IF(B345&lt;&gt;B344,IF((L345-K345&gt;0),L345-K345,0),0)</f>
        <v>0</v>
      </c>
      <c r="N345">
        <f t="shared" si="32"/>
        <v>87.663579215455911</v>
      </c>
      <c r="O345">
        <f>IF(B345&lt;&gt;B344, Dashboard!$L$6,0)</f>
        <v>0</v>
      </c>
      <c r="P345">
        <f t="shared" si="33"/>
        <v>84.93033138279516</v>
      </c>
      <c r="Q345">
        <f>IF(B345&lt;&gt;B344,IF(F345&lt;=AVERAGE(F323:F344),Dashboard!$N$6-Dashboard!$G$7,Dashboard!$N$6+Dashboard!$G$7),0)</f>
        <v>0</v>
      </c>
      <c r="R345">
        <f t="shared" si="34"/>
        <v>84.167304843098123</v>
      </c>
    </row>
    <row r="346" spans="1:18" x14ac:dyDescent="0.3">
      <c r="A346" s="1">
        <v>44867</v>
      </c>
      <c r="B346">
        <v>2</v>
      </c>
      <c r="C346" s="19">
        <v>11</v>
      </c>
      <c r="D346" s="20">
        <v>2022</v>
      </c>
      <c r="E346" s="21">
        <f t="shared" si="30"/>
        <v>44603</v>
      </c>
      <c r="F346" s="20">
        <v>404.94</v>
      </c>
      <c r="G346" s="20">
        <v>10458590</v>
      </c>
      <c r="H346" s="20">
        <v>413.15</v>
      </c>
      <c r="I346" s="20">
        <v>415.2</v>
      </c>
      <c r="J346" s="22">
        <v>403.57</v>
      </c>
      <c r="K346" s="2">
        <f t="shared" si="31"/>
        <v>35498.489767506719</v>
      </c>
      <c r="L346" s="2">
        <f>IF(B346&lt;&gt;B345,L345*(1+Dashboard!$G$5)+Dashboard!$G$6, L345)</f>
        <v>36502.237749523687</v>
      </c>
      <c r="M346">
        <f t="shared" si="35"/>
        <v>0</v>
      </c>
      <c r="N346">
        <f t="shared" si="32"/>
        <v>87.663579215455911</v>
      </c>
      <c r="O346">
        <f>IF(B346&lt;&gt;B345, Dashboard!$L$6,0)</f>
        <v>0</v>
      </c>
      <c r="P346">
        <f t="shared" si="33"/>
        <v>84.93033138279516</v>
      </c>
      <c r="Q346">
        <f>IF(B346&lt;&gt;B345,IF(F346&lt;=AVERAGE(F324:F345),Dashboard!$N$6-Dashboard!$G$7,Dashboard!$N$6+Dashboard!$G$7),0)</f>
        <v>0</v>
      </c>
      <c r="R346">
        <f t="shared" si="34"/>
        <v>84.167304843098123</v>
      </c>
    </row>
    <row r="347" spans="1:18" x14ac:dyDescent="0.3">
      <c r="A347" t="s">
        <v>552</v>
      </c>
      <c r="B347">
        <v>2</v>
      </c>
      <c r="C347" s="19">
        <v>14</v>
      </c>
      <c r="D347" s="20">
        <v>2022</v>
      </c>
      <c r="E347" s="21">
        <f t="shared" si="30"/>
        <v>44606</v>
      </c>
      <c r="F347" s="20">
        <v>403.62</v>
      </c>
      <c r="G347" s="20">
        <v>10167580</v>
      </c>
      <c r="H347" s="20">
        <v>404.43</v>
      </c>
      <c r="I347" s="20">
        <v>405.99</v>
      </c>
      <c r="J347" s="22">
        <v>400.24</v>
      </c>
      <c r="K347" s="2">
        <f t="shared" si="31"/>
        <v>35382.773842942319</v>
      </c>
      <c r="L347" s="2">
        <f>IF(B347&lt;&gt;B346,L346*(1+Dashboard!$G$5)+Dashboard!$G$6, L346)</f>
        <v>36502.237749523687</v>
      </c>
      <c r="M347">
        <f t="shared" si="35"/>
        <v>0</v>
      </c>
      <c r="N347">
        <f t="shared" si="32"/>
        <v>87.663579215455911</v>
      </c>
      <c r="O347">
        <f>IF(B347&lt;&gt;B346, Dashboard!$L$6,0)</f>
        <v>0</v>
      </c>
      <c r="P347">
        <f t="shared" si="33"/>
        <v>84.93033138279516</v>
      </c>
      <c r="Q347">
        <f>IF(B347&lt;&gt;B346,IF(F347&lt;=AVERAGE(F325:F346),Dashboard!$N$6-Dashboard!$G$7,Dashboard!$N$6+Dashboard!$G$7),0)</f>
        <v>0</v>
      </c>
      <c r="R347">
        <f t="shared" si="34"/>
        <v>84.167304843098123</v>
      </c>
    </row>
    <row r="348" spans="1:18" x14ac:dyDescent="0.3">
      <c r="A348" t="s">
        <v>551</v>
      </c>
      <c r="B348">
        <v>2</v>
      </c>
      <c r="C348" s="19">
        <v>15</v>
      </c>
      <c r="D348" s="20">
        <v>2022</v>
      </c>
      <c r="E348" s="21">
        <f t="shared" si="30"/>
        <v>44607</v>
      </c>
      <c r="F348" s="20">
        <v>410.1</v>
      </c>
      <c r="G348" s="20">
        <v>6822294</v>
      </c>
      <c r="H348" s="20">
        <v>408.18</v>
      </c>
      <c r="I348" s="20">
        <v>410.29</v>
      </c>
      <c r="J348" s="22">
        <v>407.46</v>
      </c>
      <c r="K348" s="2">
        <f t="shared" si="31"/>
        <v>35950.833836258469</v>
      </c>
      <c r="L348" s="2">
        <f>IF(B348&lt;&gt;B347,L347*(1+Dashboard!$G$5)+Dashboard!$G$6, L347)</f>
        <v>36502.237749523687</v>
      </c>
      <c r="M348">
        <f t="shared" si="35"/>
        <v>0</v>
      </c>
      <c r="N348">
        <f t="shared" si="32"/>
        <v>87.663579215455911</v>
      </c>
      <c r="O348">
        <f>IF(B348&lt;&gt;B347, Dashboard!$L$6,0)</f>
        <v>0</v>
      </c>
      <c r="P348">
        <f t="shared" si="33"/>
        <v>84.93033138279516</v>
      </c>
      <c r="Q348">
        <f>IF(B348&lt;&gt;B347,IF(F348&lt;=AVERAGE(F326:F347),Dashboard!$N$6-Dashboard!$G$7,Dashboard!$N$6+Dashboard!$G$7),0)</f>
        <v>0</v>
      </c>
      <c r="R348">
        <f t="shared" si="34"/>
        <v>84.167304843098123</v>
      </c>
    </row>
    <row r="349" spans="1:18" x14ac:dyDescent="0.3">
      <c r="A349" t="s">
        <v>550</v>
      </c>
      <c r="B349">
        <v>2</v>
      </c>
      <c r="C349" s="19">
        <v>16</v>
      </c>
      <c r="D349" s="20">
        <v>2022</v>
      </c>
      <c r="E349" s="21">
        <f t="shared" si="30"/>
        <v>44608</v>
      </c>
      <c r="F349" s="20">
        <v>410.59</v>
      </c>
      <c r="G349" s="20">
        <v>7743764</v>
      </c>
      <c r="H349" s="20">
        <v>408.2</v>
      </c>
      <c r="I349" s="20">
        <v>411.89</v>
      </c>
      <c r="J349" s="22">
        <v>406.32</v>
      </c>
      <c r="K349" s="2">
        <f t="shared" si="31"/>
        <v>35993.788990074041</v>
      </c>
      <c r="L349" s="2">
        <f>IF(B349&lt;&gt;B348,L348*(1+Dashboard!$G$5)+Dashboard!$G$6, L348)</f>
        <v>36502.237749523687</v>
      </c>
      <c r="M349">
        <f t="shared" si="35"/>
        <v>0</v>
      </c>
      <c r="N349">
        <f t="shared" si="32"/>
        <v>87.663579215455911</v>
      </c>
      <c r="O349">
        <f>IF(B349&lt;&gt;B348, Dashboard!$L$6,0)</f>
        <v>0</v>
      </c>
      <c r="P349">
        <f t="shared" si="33"/>
        <v>84.93033138279516</v>
      </c>
      <c r="Q349">
        <f>IF(B349&lt;&gt;B348,IF(F349&lt;=AVERAGE(F327:F348),Dashboard!$N$6-Dashboard!$G$7,Dashboard!$N$6+Dashboard!$G$7),0)</f>
        <v>0</v>
      </c>
      <c r="R349">
        <f t="shared" si="34"/>
        <v>84.167304843098123</v>
      </c>
    </row>
    <row r="350" spans="1:18" x14ac:dyDescent="0.3">
      <c r="A350" t="s">
        <v>549</v>
      </c>
      <c r="B350">
        <v>2</v>
      </c>
      <c r="C350" s="19">
        <v>17</v>
      </c>
      <c r="D350" s="20">
        <v>2022</v>
      </c>
      <c r="E350" s="21">
        <f t="shared" si="30"/>
        <v>44609</v>
      </c>
      <c r="F350" s="20">
        <v>401.86</v>
      </c>
      <c r="G350" s="20">
        <v>7540991</v>
      </c>
      <c r="H350" s="20">
        <v>407.49</v>
      </c>
      <c r="I350" s="20">
        <v>407.98</v>
      </c>
      <c r="J350" s="22">
        <v>401.23</v>
      </c>
      <c r="K350" s="2">
        <f t="shared" si="31"/>
        <v>35228.485943523112</v>
      </c>
      <c r="L350" s="2">
        <f>IF(B350&lt;&gt;B349,L349*(1+Dashboard!$G$5)+Dashboard!$G$6, L349)</f>
        <v>36502.237749523687</v>
      </c>
      <c r="M350">
        <f t="shared" si="35"/>
        <v>0</v>
      </c>
      <c r="N350">
        <f t="shared" si="32"/>
        <v>87.663579215455911</v>
      </c>
      <c r="O350">
        <f>IF(B350&lt;&gt;B349, Dashboard!$L$6,0)</f>
        <v>0</v>
      </c>
      <c r="P350">
        <f t="shared" si="33"/>
        <v>84.93033138279516</v>
      </c>
      <c r="Q350">
        <f>IF(B350&lt;&gt;B349,IF(F350&lt;=AVERAGE(F328:F349),Dashboard!$N$6-Dashboard!$G$7,Dashboard!$N$6+Dashboard!$G$7),0)</f>
        <v>0</v>
      </c>
      <c r="R350">
        <f t="shared" si="34"/>
        <v>84.167304843098123</v>
      </c>
    </row>
    <row r="351" spans="1:18" x14ac:dyDescent="0.3">
      <c r="A351" t="s">
        <v>548</v>
      </c>
      <c r="B351">
        <v>2</v>
      </c>
      <c r="C351" s="19">
        <v>18</v>
      </c>
      <c r="D351" s="20">
        <v>2022</v>
      </c>
      <c r="E351" s="21">
        <f t="shared" si="30"/>
        <v>44610</v>
      </c>
      <c r="F351" s="20">
        <v>399.29</v>
      </c>
      <c r="G351" s="20">
        <v>10570830</v>
      </c>
      <c r="H351" s="20">
        <v>402.15</v>
      </c>
      <c r="I351" s="20">
        <v>403.31</v>
      </c>
      <c r="J351" s="22">
        <v>397</v>
      </c>
      <c r="K351" s="2">
        <f t="shared" si="31"/>
        <v>35003.190544939396</v>
      </c>
      <c r="L351" s="2">
        <f>IF(B351&lt;&gt;B350,L350*(1+Dashboard!$G$5)+Dashboard!$G$6, L350)</f>
        <v>36502.237749523687</v>
      </c>
      <c r="M351">
        <f t="shared" si="35"/>
        <v>0</v>
      </c>
      <c r="N351">
        <f t="shared" si="32"/>
        <v>87.663579215455911</v>
      </c>
      <c r="O351">
        <f>IF(B351&lt;&gt;B350, Dashboard!$L$6,0)</f>
        <v>0</v>
      </c>
      <c r="P351">
        <f t="shared" si="33"/>
        <v>84.93033138279516</v>
      </c>
      <c r="Q351">
        <f>IF(B351&lt;&gt;B350,IF(F351&lt;=AVERAGE(F329:F350),Dashboard!$N$6-Dashboard!$G$7,Dashboard!$N$6+Dashboard!$G$7),0)</f>
        <v>0</v>
      </c>
      <c r="R351">
        <f t="shared" si="34"/>
        <v>84.167304843098123</v>
      </c>
    </row>
    <row r="352" spans="1:18" x14ac:dyDescent="0.3">
      <c r="A352" t="s">
        <v>547</v>
      </c>
      <c r="B352">
        <v>2</v>
      </c>
      <c r="C352" s="19">
        <v>22</v>
      </c>
      <c r="D352" s="20">
        <v>2022</v>
      </c>
      <c r="E352" s="21">
        <f t="shared" si="30"/>
        <v>44614</v>
      </c>
      <c r="F352" s="20">
        <v>394.92</v>
      </c>
      <c r="G352" s="20">
        <v>10414740</v>
      </c>
      <c r="H352" s="20">
        <v>397.05</v>
      </c>
      <c r="I352" s="20">
        <v>400.37</v>
      </c>
      <c r="J352" s="22">
        <v>391.505</v>
      </c>
      <c r="K352" s="2">
        <f t="shared" si="31"/>
        <v>34620.10070376785</v>
      </c>
      <c r="L352" s="2">
        <f>IF(B352&lt;&gt;B351,L351*(1+Dashboard!$G$5)+Dashboard!$G$6, L351)</f>
        <v>36502.237749523687</v>
      </c>
      <c r="M352">
        <f t="shared" si="35"/>
        <v>0</v>
      </c>
      <c r="N352">
        <f t="shared" si="32"/>
        <v>87.663579215455911</v>
      </c>
      <c r="O352">
        <f>IF(B352&lt;&gt;B351, Dashboard!$L$6,0)</f>
        <v>0</v>
      </c>
      <c r="P352">
        <f t="shared" si="33"/>
        <v>84.93033138279516</v>
      </c>
      <c r="Q352">
        <f>IF(B352&lt;&gt;B351,IF(F352&lt;=AVERAGE(F330:F351),Dashboard!$N$6-Dashboard!$G$7,Dashboard!$N$6+Dashboard!$G$7),0)</f>
        <v>0</v>
      </c>
      <c r="R352">
        <f t="shared" si="34"/>
        <v>84.167304843098123</v>
      </c>
    </row>
    <row r="353" spans="1:18" x14ac:dyDescent="0.3">
      <c r="A353" t="s">
        <v>546</v>
      </c>
      <c r="B353">
        <v>2</v>
      </c>
      <c r="C353" s="19">
        <v>23</v>
      </c>
      <c r="D353" s="20">
        <v>2022</v>
      </c>
      <c r="E353" s="21">
        <f t="shared" si="30"/>
        <v>44615</v>
      </c>
      <c r="F353" s="20">
        <v>387.81</v>
      </c>
      <c r="G353" s="20">
        <v>12154860</v>
      </c>
      <c r="H353" s="20">
        <v>397.74</v>
      </c>
      <c r="I353" s="20">
        <v>398.32</v>
      </c>
      <c r="J353" s="22">
        <v>387.38</v>
      </c>
      <c r="K353" s="2">
        <f t="shared" si="31"/>
        <v>33996.81265554596</v>
      </c>
      <c r="L353" s="2">
        <f>IF(B353&lt;&gt;B352,L352*(1+Dashboard!$G$5)+Dashboard!$G$6, L352)</f>
        <v>36502.237749523687</v>
      </c>
      <c r="M353">
        <f t="shared" si="35"/>
        <v>0</v>
      </c>
      <c r="N353">
        <f t="shared" si="32"/>
        <v>87.663579215455911</v>
      </c>
      <c r="O353">
        <f>IF(B353&lt;&gt;B352, Dashboard!$L$6,0)</f>
        <v>0</v>
      </c>
      <c r="P353">
        <f t="shared" si="33"/>
        <v>84.93033138279516</v>
      </c>
      <c r="Q353">
        <f>IF(B353&lt;&gt;B352,IF(F353&lt;=AVERAGE(F331:F352),Dashboard!$N$6-Dashboard!$G$7,Dashboard!$N$6+Dashboard!$G$7),0)</f>
        <v>0</v>
      </c>
      <c r="R353">
        <f t="shared" si="34"/>
        <v>84.167304843098123</v>
      </c>
    </row>
    <row r="354" spans="1:18" x14ac:dyDescent="0.3">
      <c r="A354" t="s">
        <v>545</v>
      </c>
      <c r="B354">
        <v>2</v>
      </c>
      <c r="C354" s="19">
        <v>24</v>
      </c>
      <c r="D354" s="20">
        <v>2022</v>
      </c>
      <c r="E354" s="21">
        <f t="shared" si="30"/>
        <v>44616</v>
      </c>
      <c r="F354" s="20">
        <v>393.77</v>
      </c>
      <c r="G354" s="20">
        <v>21277220</v>
      </c>
      <c r="H354" s="20">
        <v>377.76</v>
      </c>
      <c r="I354" s="20">
        <v>394.17</v>
      </c>
      <c r="J354" s="22">
        <v>377.5</v>
      </c>
      <c r="K354" s="2">
        <f t="shared" si="31"/>
        <v>34519.287587670071</v>
      </c>
      <c r="L354" s="2">
        <f>IF(B354&lt;&gt;B353,L353*(1+Dashboard!$G$5)+Dashboard!$G$6, L353)</f>
        <v>36502.237749523687</v>
      </c>
      <c r="M354">
        <f t="shared" si="35"/>
        <v>0</v>
      </c>
      <c r="N354">
        <f t="shared" si="32"/>
        <v>87.663579215455911</v>
      </c>
      <c r="O354">
        <f>IF(B354&lt;&gt;B353, Dashboard!$L$6,0)</f>
        <v>0</v>
      </c>
      <c r="P354">
        <f t="shared" si="33"/>
        <v>84.93033138279516</v>
      </c>
      <c r="Q354">
        <f>IF(B354&lt;&gt;B353,IF(F354&lt;=AVERAGE(F332:F353),Dashboard!$N$6-Dashboard!$G$7,Dashboard!$N$6+Dashboard!$G$7),0)</f>
        <v>0</v>
      </c>
      <c r="R354">
        <f t="shared" si="34"/>
        <v>84.167304843098123</v>
      </c>
    </row>
    <row r="355" spans="1:18" x14ac:dyDescent="0.3">
      <c r="A355" t="s">
        <v>544</v>
      </c>
      <c r="B355">
        <v>2</v>
      </c>
      <c r="C355" s="19">
        <v>25</v>
      </c>
      <c r="D355" s="20">
        <v>2022</v>
      </c>
      <c r="E355" s="21">
        <f t="shared" si="30"/>
        <v>44617</v>
      </c>
      <c r="F355" s="20">
        <v>402.37</v>
      </c>
      <c r="G355" s="20">
        <v>11665230</v>
      </c>
      <c r="H355" s="20">
        <v>394.95</v>
      </c>
      <c r="I355" s="20">
        <v>402.52</v>
      </c>
      <c r="J355" s="22">
        <v>393.39550000000003</v>
      </c>
      <c r="K355" s="2">
        <f t="shared" si="31"/>
        <v>35273.194368922996</v>
      </c>
      <c r="L355" s="2">
        <f>IF(B355&lt;&gt;B354,L354*(1+Dashboard!$G$5)+Dashboard!$G$6, L354)</f>
        <v>36502.237749523687</v>
      </c>
      <c r="M355">
        <f t="shared" si="35"/>
        <v>0</v>
      </c>
      <c r="N355">
        <f t="shared" si="32"/>
        <v>87.663579215455911</v>
      </c>
      <c r="O355">
        <f>IF(B355&lt;&gt;B354, Dashboard!$L$6,0)</f>
        <v>0</v>
      </c>
      <c r="P355">
        <f t="shared" si="33"/>
        <v>84.93033138279516</v>
      </c>
      <c r="Q355">
        <f>IF(B355&lt;&gt;B354,IF(F355&lt;=AVERAGE(F333:F354),Dashboard!$N$6-Dashboard!$G$7,Dashboard!$N$6+Dashboard!$G$7),0)</f>
        <v>0</v>
      </c>
      <c r="R355">
        <f t="shared" si="34"/>
        <v>84.167304843098123</v>
      </c>
    </row>
    <row r="356" spans="1:18" x14ac:dyDescent="0.3">
      <c r="A356" t="s">
        <v>543</v>
      </c>
      <c r="B356">
        <v>2</v>
      </c>
      <c r="C356" s="19">
        <v>28</v>
      </c>
      <c r="D356" s="20">
        <v>2022</v>
      </c>
      <c r="E356" s="21">
        <f t="shared" si="30"/>
        <v>44620</v>
      </c>
      <c r="F356" s="20">
        <v>401.36</v>
      </c>
      <c r="G356" s="20">
        <v>11855940</v>
      </c>
      <c r="H356" s="20">
        <v>397.18</v>
      </c>
      <c r="I356" s="20">
        <v>402.85</v>
      </c>
      <c r="J356" s="22">
        <v>396</v>
      </c>
      <c r="K356" s="2">
        <f t="shared" si="31"/>
        <v>35184.654153915384</v>
      </c>
      <c r="L356" s="2">
        <f>IF(B356&lt;&gt;B355,L355*(1+Dashboard!$G$5)+Dashboard!$G$6, L355)</f>
        <v>36502.237749523687</v>
      </c>
      <c r="M356">
        <f t="shared" si="35"/>
        <v>0</v>
      </c>
      <c r="N356">
        <f t="shared" si="32"/>
        <v>87.663579215455911</v>
      </c>
      <c r="O356">
        <f>IF(B356&lt;&gt;B355, Dashboard!$L$6,0)</f>
        <v>0</v>
      </c>
      <c r="P356">
        <f t="shared" si="33"/>
        <v>84.93033138279516</v>
      </c>
      <c r="Q356">
        <f>IF(B356&lt;&gt;B355,IF(F356&lt;=AVERAGE(F334:F355),Dashboard!$N$6-Dashboard!$G$7,Dashboard!$N$6+Dashboard!$G$7),0)</f>
        <v>0</v>
      </c>
      <c r="R356">
        <f t="shared" si="34"/>
        <v>84.167304843098123</v>
      </c>
    </row>
    <row r="357" spans="1:18" x14ac:dyDescent="0.3">
      <c r="A357" s="1">
        <v>44564</v>
      </c>
      <c r="B357">
        <v>3</v>
      </c>
      <c r="C357" s="19">
        <v>1</v>
      </c>
      <c r="D357" s="20">
        <v>2022</v>
      </c>
      <c r="E357" s="21">
        <f t="shared" si="30"/>
        <v>44621</v>
      </c>
      <c r="F357" s="20">
        <v>395.34</v>
      </c>
      <c r="G357" s="20">
        <v>9124412</v>
      </c>
      <c r="H357" s="20">
        <v>400.01</v>
      </c>
      <c r="I357" s="20">
        <v>401.92</v>
      </c>
      <c r="J357" s="22">
        <v>392.79</v>
      </c>
      <c r="K357" s="2">
        <f t="shared" si="31"/>
        <v>34656.919407038338</v>
      </c>
      <c r="L357" s="2">
        <f>IF(B357&lt;&gt;B356,L356*(1+Dashboard!$G$5)+Dashboard!$G$6, L356)</f>
        <v>38823.457441719489</v>
      </c>
      <c r="M357">
        <f t="shared" si="35"/>
        <v>4166.5380346811507</v>
      </c>
      <c r="N357">
        <f t="shared" si="32"/>
        <v>87.663579215455911</v>
      </c>
      <c r="O357">
        <f>IF(B357&lt;&gt;B356, Dashboard!$L$6,0)</f>
        <v>1859.7282542371197</v>
      </c>
      <c r="P357">
        <f t="shared" si="33"/>
        <v>89.634455059218283</v>
      </c>
      <c r="Q357">
        <f>IF(B357&lt;&gt;B356,IF(F357&lt;=AVERAGE(F335:F356),Dashboard!$N$6-Dashboard!$G$7,Dashboard!$N$6+Dashboard!$G$7),0)</f>
        <v>1232.609610169322</v>
      </c>
      <c r="R357">
        <f t="shared" si="34"/>
        <v>87.248751832346699</v>
      </c>
    </row>
    <row r="358" spans="1:18" x14ac:dyDescent="0.3">
      <c r="A358" s="1">
        <v>44595</v>
      </c>
      <c r="B358">
        <v>3</v>
      </c>
      <c r="C358" s="19">
        <v>2</v>
      </c>
      <c r="D358" s="20">
        <v>2022</v>
      </c>
      <c r="E358" s="21">
        <f t="shared" si="30"/>
        <v>44622</v>
      </c>
      <c r="F358" s="20">
        <v>402.6</v>
      </c>
      <c r="G358" s="20">
        <v>8185168</v>
      </c>
      <c r="H358" s="20">
        <v>397.72</v>
      </c>
      <c r="I358" s="20">
        <v>404.1</v>
      </c>
      <c r="J358" s="22">
        <v>396.78</v>
      </c>
      <c r="K358" s="2">
        <f t="shared" si="31"/>
        <v>39536.409080882957</v>
      </c>
      <c r="L358" s="2">
        <f>IF(B358&lt;&gt;B357,L357*(1+Dashboard!$G$5)+Dashboard!$G$6, L357)</f>
        <v>38823.457441719489</v>
      </c>
      <c r="M358">
        <f t="shared" si="35"/>
        <v>0</v>
      </c>
      <c r="N358">
        <f t="shared" si="32"/>
        <v>98.202705118934318</v>
      </c>
      <c r="O358">
        <f>IF(B358&lt;&gt;B357, Dashboard!$L$6,0)</f>
        <v>0</v>
      </c>
      <c r="P358">
        <f t="shared" si="33"/>
        <v>89.634455059218283</v>
      </c>
      <c r="Q358">
        <f>IF(B358&lt;&gt;B357,IF(F358&lt;=AVERAGE(F336:F357),Dashboard!$N$6-Dashboard!$G$7,Dashboard!$N$6+Dashboard!$G$7),0)</f>
        <v>0</v>
      </c>
      <c r="R358">
        <f t="shared" si="34"/>
        <v>87.248751832346699</v>
      </c>
    </row>
    <row r="359" spans="1:18" x14ac:dyDescent="0.3">
      <c r="A359" s="1">
        <v>44623</v>
      </c>
      <c r="B359">
        <v>3</v>
      </c>
      <c r="C359" s="19">
        <v>3</v>
      </c>
      <c r="D359" s="20">
        <v>2022</v>
      </c>
      <c r="E359" s="21">
        <f t="shared" si="30"/>
        <v>44623</v>
      </c>
      <c r="F359" s="20">
        <v>400.58</v>
      </c>
      <c r="G359" s="20">
        <v>8745268</v>
      </c>
      <c r="H359" s="20">
        <v>405.02</v>
      </c>
      <c r="I359" s="20">
        <v>405.54</v>
      </c>
      <c r="J359" s="22">
        <v>398.88</v>
      </c>
      <c r="K359" s="2">
        <f t="shared" si="31"/>
        <v>39338.039616542708</v>
      </c>
      <c r="L359" s="2">
        <f>IF(B359&lt;&gt;B358,L358*(1+Dashboard!$G$5)+Dashboard!$G$6, L358)</f>
        <v>38823.457441719489</v>
      </c>
      <c r="M359">
        <f t="shared" si="35"/>
        <v>0</v>
      </c>
      <c r="N359">
        <f t="shared" si="32"/>
        <v>98.202705118934318</v>
      </c>
      <c r="O359">
        <f>IF(B359&lt;&gt;B358, Dashboard!$L$6,0)</f>
        <v>0</v>
      </c>
      <c r="P359">
        <f t="shared" si="33"/>
        <v>89.634455059218283</v>
      </c>
      <c r="Q359">
        <f>IF(B359&lt;&gt;B358,IF(F359&lt;=AVERAGE(F337:F358),Dashboard!$N$6-Dashboard!$G$7,Dashboard!$N$6+Dashboard!$G$7),0)</f>
        <v>0</v>
      </c>
      <c r="R359">
        <f t="shared" si="34"/>
        <v>87.248751832346699</v>
      </c>
    </row>
    <row r="360" spans="1:18" x14ac:dyDescent="0.3">
      <c r="A360" s="1">
        <v>44654</v>
      </c>
      <c r="B360">
        <v>3</v>
      </c>
      <c r="C360" s="19">
        <v>4</v>
      </c>
      <c r="D360" s="20">
        <v>2022</v>
      </c>
      <c r="E360" s="21">
        <f t="shared" si="30"/>
        <v>44624</v>
      </c>
      <c r="F360" s="20">
        <v>397.34</v>
      </c>
      <c r="G360" s="20">
        <v>6322478</v>
      </c>
      <c r="H360" s="20">
        <v>396.93</v>
      </c>
      <c r="I360" s="20">
        <v>398.4264</v>
      </c>
      <c r="J360" s="22">
        <v>393.37</v>
      </c>
      <c r="K360" s="2">
        <f t="shared" si="31"/>
        <v>39019.862851957361</v>
      </c>
      <c r="L360" s="2">
        <f>IF(B360&lt;&gt;B359,L359*(1+Dashboard!$G$5)+Dashboard!$G$6, L359)</f>
        <v>38823.457441719489</v>
      </c>
      <c r="M360">
        <f t="shared" si="35"/>
        <v>0</v>
      </c>
      <c r="N360">
        <f t="shared" si="32"/>
        <v>98.202705118934318</v>
      </c>
      <c r="O360">
        <f>IF(B360&lt;&gt;B359, Dashboard!$L$6,0)</f>
        <v>0</v>
      </c>
      <c r="P360">
        <f t="shared" si="33"/>
        <v>89.634455059218283</v>
      </c>
      <c r="Q360">
        <f>IF(B360&lt;&gt;B359,IF(F360&lt;=AVERAGE(F338:F359),Dashboard!$N$6-Dashboard!$G$7,Dashboard!$N$6+Dashboard!$G$7),0)</f>
        <v>0</v>
      </c>
      <c r="R360">
        <f t="shared" si="34"/>
        <v>87.248751832346699</v>
      </c>
    </row>
    <row r="361" spans="1:18" x14ac:dyDescent="0.3">
      <c r="A361" s="1">
        <v>44745</v>
      </c>
      <c r="B361">
        <v>3</v>
      </c>
      <c r="C361" s="19">
        <v>7</v>
      </c>
      <c r="D361" s="20">
        <v>2022</v>
      </c>
      <c r="E361" s="21">
        <f t="shared" si="30"/>
        <v>44627</v>
      </c>
      <c r="F361" s="20">
        <v>385.61</v>
      </c>
      <c r="G361" s="20">
        <v>8411483</v>
      </c>
      <c r="H361" s="20">
        <v>396.73</v>
      </c>
      <c r="I361" s="20">
        <v>397</v>
      </c>
      <c r="J361" s="22">
        <v>385.56</v>
      </c>
      <c r="K361" s="2">
        <f t="shared" si="31"/>
        <v>37867.945120912264</v>
      </c>
      <c r="L361" s="2">
        <f>IF(B361&lt;&gt;B360,L360*(1+Dashboard!$G$5)+Dashboard!$G$6, L360)</f>
        <v>38823.457441719489</v>
      </c>
      <c r="M361">
        <f t="shared" si="35"/>
        <v>0</v>
      </c>
      <c r="N361">
        <f t="shared" si="32"/>
        <v>98.202705118934318</v>
      </c>
      <c r="O361">
        <f>IF(B361&lt;&gt;B360, Dashboard!$L$6,0)</f>
        <v>0</v>
      </c>
      <c r="P361">
        <f t="shared" si="33"/>
        <v>89.634455059218283</v>
      </c>
      <c r="Q361">
        <f>IF(B361&lt;&gt;B360,IF(F361&lt;=AVERAGE(F339:F360),Dashboard!$N$6-Dashboard!$G$7,Dashboard!$N$6+Dashboard!$G$7),0)</f>
        <v>0</v>
      </c>
      <c r="R361">
        <f t="shared" si="34"/>
        <v>87.248751832346699</v>
      </c>
    </row>
    <row r="362" spans="1:18" x14ac:dyDescent="0.3">
      <c r="A362" s="1">
        <v>44776</v>
      </c>
      <c r="B362">
        <v>3</v>
      </c>
      <c r="C362" s="19">
        <v>8</v>
      </c>
      <c r="D362" s="20">
        <v>2022</v>
      </c>
      <c r="E362" s="21">
        <f t="shared" si="30"/>
        <v>44628</v>
      </c>
      <c r="F362" s="20">
        <v>382.7</v>
      </c>
      <c r="G362" s="20">
        <v>9356075</v>
      </c>
      <c r="H362" s="20">
        <v>385.76</v>
      </c>
      <c r="I362" s="20">
        <v>392.74</v>
      </c>
      <c r="J362" s="22">
        <v>381.64</v>
      </c>
      <c r="K362" s="2">
        <f t="shared" si="31"/>
        <v>37582.17524901616</v>
      </c>
      <c r="L362" s="2">
        <f>IF(B362&lt;&gt;B361,L361*(1+Dashboard!$G$5)+Dashboard!$G$6, L361)</f>
        <v>38823.457441719489</v>
      </c>
      <c r="M362">
        <f t="shared" si="35"/>
        <v>0</v>
      </c>
      <c r="N362">
        <f t="shared" si="32"/>
        <v>98.202705118934318</v>
      </c>
      <c r="O362">
        <f>IF(B362&lt;&gt;B361, Dashboard!$L$6,0)</f>
        <v>0</v>
      </c>
      <c r="P362">
        <f t="shared" si="33"/>
        <v>89.634455059218283</v>
      </c>
      <c r="Q362">
        <f>IF(B362&lt;&gt;B361,IF(F362&lt;=AVERAGE(F340:F361),Dashboard!$N$6-Dashboard!$G$7,Dashboard!$N$6+Dashboard!$G$7),0)</f>
        <v>0</v>
      </c>
      <c r="R362">
        <f t="shared" si="34"/>
        <v>87.248751832346699</v>
      </c>
    </row>
    <row r="363" spans="1:18" x14ac:dyDescent="0.3">
      <c r="A363" s="1">
        <v>44807</v>
      </c>
      <c r="B363">
        <v>3</v>
      </c>
      <c r="C363" s="19">
        <v>9</v>
      </c>
      <c r="D363" s="20">
        <v>2022</v>
      </c>
      <c r="E363" s="21">
        <f t="shared" si="30"/>
        <v>44629</v>
      </c>
      <c r="F363" s="20">
        <v>392.9</v>
      </c>
      <c r="G363" s="20">
        <v>5812598</v>
      </c>
      <c r="H363" s="20">
        <v>390.88</v>
      </c>
      <c r="I363" s="20">
        <v>394.85</v>
      </c>
      <c r="J363" s="22">
        <v>388.72</v>
      </c>
      <c r="K363" s="2">
        <f t="shared" si="31"/>
        <v>38583.842841229292</v>
      </c>
      <c r="L363" s="2">
        <f>IF(B363&lt;&gt;B362,L362*(1+Dashboard!$G$5)+Dashboard!$G$6, L362)</f>
        <v>38823.457441719489</v>
      </c>
      <c r="M363">
        <f t="shared" si="35"/>
        <v>0</v>
      </c>
      <c r="N363">
        <f t="shared" si="32"/>
        <v>98.202705118934318</v>
      </c>
      <c r="O363">
        <f>IF(B363&lt;&gt;B362, Dashboard!$L$6,0)</f>
        <v>0</v>
      </c>
      <c r="P363">
        <f t="shared" si="33"/>
        <v>89.634455059218283</v>
      </c>
      <c r="Q363">
        <f>IF(B363&lt;&gt;B362,IF(F363&lt;=AVERAGE(F341:F362),Dashboard!$N$6-Dashboard!$G$7,Dashboard!$N$6+Dashboard!$G$7),0)</f>
        <v>0</v>
      </c>
      <c r="R363">
        <f t="shared" si="34"/>
        <v>87.248751832346699</v>
      </c>
    </row>
    <row r="364" spans="1:18" x14ac:dyDescent="0.3">
      <c r="A364" s="1">
        <v>44837</v>
      </c>
      <c r="B364">
        <v>3</v>
      </c>
      <c r="C364" s="19">
        <v>10</v>
      </c>
      <c r="D364" s="20">
        <v>2022</v>
      </c>
      <c r="E364" s="21">
        <f t="shared" si="30"/>
        <v>44630</v>
      </c>
      <c r="F364" s="20">
        <v>391.15</v>
      </c>
      <c r="G364" s="20">
        <v>6394788</v>
      </c>
      <c r="H364" s="20">
        <v>388.44</v>
      </c>
      <c r="I364" s="20">
        <v>392.01</v>
      </c>
      <c r="J364" s="22">
        <v>386.53</v>
      </c>
      <c r="K364" s="2">
        <f t="shared" si="31"/>
        <v>38411.988107271158</v>
      </c>
      <c r="L364" s="2">
        <f>IF(B364&lt;&gt;B363,L363*(1+Dashboard!$G$5)+Dashboard!$G$6, L363)</f>
        <v>38823.457441719489</v>
      </c>
      <c r="M364">
        <f t="shared" si="35"/>
        <v>0</v>
      </c>
      <c r="N364">
        <f t="shared" si="32"/>
        <v>98.202705118934318</v>
      </c>
      <c r="O364">
        <f>IF(B364&lt;&gt;B363, Dashboard!$L$6,0)</f>
        <v>0</v>
      </c>
      <c r="P364">
        <f t="shared" si="33"/>
        <v>89.634455059218283</v>
      </c>
      <c r="Q364">
        <f>IF(B364&lt;&gt;B363,IF(F364&lt;=AVERAGE(F342:F363),Dashboard!$N$6-Dashboard!$G$7,Dashboard!$N$6+Dashboard!$G$7),0)</f>
        <v>0</v>
      </c>
      <c r="R364">
        <f t="shared" si="34"/>
        <v>87.248751832346699</v>
      </c>
    </row>
    <row r="365" spans="1:18" x14ac:dyDescent="0.3">
      <c r="A365" s="1">
        <v>44868</v>
      </c>
      <c r="B365">
        <v>3</v>
      </c>
      <c r="C365" s="19">
        <v>11</v>
      </c>
      <c r="D365" s="20">
        <v>2022</v>
      </c>
      <c r="E365" s="21">
        <f t="shared" si="30"/>
        <v>44631</v>
      </c>
      <c r="F365" s="20">
        <v>386.16</v>
      </c>
      <c r="G365" s="20">
        <v>5872799</v>
      </c>
      <c r="H365" s="20">
        <v>393.62</v>
      </c>
      <c r="I365" s="20">
        <v>394.18990000000002</v>
      </c>
      <c r="J365" s="22">
        <v>385.68</v>
      </c>
      <c r="K365" s="2">
        <f t="shared" si="31"/>
        <v>37921.956608727676</v>
      </c>
      <c r="L365" s="2">
        <f>IF(B365&lt;&gt;B364,L364*(1+Dashboard!$G$5)+Dashboard!$G$6, L364)</f>
        <v>38823.457441719489</v>
      </c>
      <c r="M365">
        <f t="shared" si="35"/>
        <v>0</v>
      </c>
      <c r="N365">
        <f t="shared" si="32"/>
        <v>98.202705118934318</v>
      </c>
      <c r="O365">
        <f>IF(B365&lt;&gt;B364, Dashboard!$L$6,0)</f>
        <v>0</v>
      </c>
      <c r="P365">
        <f t="shared" si="33"/>
        <v>89.634455059218283</v>
      </c>
      <c r="Q365">
        <f>IF(B365&lt;&gt;B364,IF(F365&lt;=AVERAGE(F343:F364),Dashboard!$N$6-Dashboard!$G$7,Dashboard!$N$6+Dashboard!$G$7),0)</f>
        <v>0</v>
      </c>
      <c r="R365">
        <f t="shared" si="34"/>
        <v>87.248751832346699</v>
      </c>
    </row>
    <row r="366" spans="1:18" x14ac:dyDescent="0.3">
      <c r="A366" t="s">
        <v>542</v>
      </c>
      <c r="B366">
        <v>3</v>
      </c>
      <c r="C366" s="19">
        <v>14</v>
      </c>
      <c r="D366" s="20">
        <v>2022</v>
      </c>
      <c r="E366" s="21">
        <f t="shared" si="30"/>
        <v>44634</v>
      </c>
      <c r="F366" s="20">
        <v>383.34</v>
      </c>
      <c r="G366" s="20">
        <v>6454976</v>
      </c>
      <c r="H366" s="20">
        <v>387.07</v>
      </c>
      <c r="I366" s="20">
        <v>390.26799999999997</v>
      </c>
      <c r="J366" s="22">
        <v>382.25</v>
      </c>
      <c r="K366" s="2">
        <f t="shared" si="31"/>
        <v>37645.024980292277</v>
      </c>
      <c r="L366" s="2">
        <f>IF(B366&lt;&gt;B365,L365*(1+Dashboard!$G$5)+Dashboard!$G$6, L365)</f>
        <v>38823.457441719489</v>
      </c>
      <c r="M366">
        <f t="shared" si="35"/>
        <v>0</v>
      </c>
      <c r="N366">
        <f t="shared" si="32"/>
        <v>98.202705118934318</v>
      </c>
      <c r="O366">
        <f>IF(B366&lt;&gt;B365, Dashboard!$L$6,0)</f>
        <v>0</v>
      </c>
      <c r="P366">
        <f t="shared" si="33"/>
        <v>89.634455059218283</v>
      </c>
      <c r="Q366">
        <f>IF(B366&lt;&gt;B365,IF(F366&lt;=AVERAGE(F344:F365),Dashboard!$N$6-Dashboard!$G$7,Dashboard!$N$6+Dashboard!$G$7),0)</f>
        <v>0</v>
      </c>
      <c r="R366">
        <f t="shared" si="34"/>
        <v>87.248751832346699</v>
      </c>
    </row>
    <row r="367" spans="1:18" x14ac:dyDescent="0.3">
      <c r="A367" t="s">
        <v>541</v>
      </c>
      <c r="B367">
        <v>3</v>
      </c>
      <c r="C367" s="19">
        <v>15</v>
      </c>
      <c r="D367" s="20">
        <v>2022</v>
      </c>
      <c r="E367" s="21">
        <f t="shared" si="30"/>
        <v>44635</v>
      </c>
      <c r="F367" s="20">
        <v>391.75</v>
      </c>
      <c r="G367" s="20">
        <v>5739361</v>
      </c>
      <c r="H367" s="20">
        <v>385.86</v>
      </c>
      <c r="I367" s="20">
        <v>392.37</v>
      </c>
      <c r="J367" s="22">
        <v>384.63</v>
      </c>
      <c r="K367" s="2">
        <f t="shared" si="31"/>
        <v>38470.909730342522</v>
      </c>
      <c r="L367" s="2">
        <f>IF(B367&lt;&gt;B366,L366*(1+Dashboard!$G$5)+Dashboard!$G$6, L366)</f>
        <v>38823.457441719489</v>
      </c>
      <c r="M367">
        <f t="shared" si="35"/>
        <v>0</v>
      </c>
      <c r="N367">
        <f t="shared" si="32"/>
        <v>98.202705118934318</v>
      </c>
      <c r="O367">
        <f>IF(B367&lt;&gt;B366, Dashboard!$L$6,0)</f>
        <v>0</v>
      </c>
      <c r="P367">
        <f t="shared" si="33"/>
        <v>89.634455059218283</v>
      </c>
      <c r="Q367">
        <f>IF(B367&lt;&gt;B366,IF(F367&lt;=AVERAGE(F345:F366),Dashboard!$N$6-Dashboard!$G$7,Dashboard!$N$6+Dashboard!$G$7),0)</f>
        <v>0</v>
      </c>
      <c r="R367">
        <f t="shared" si="34"/>
        <v>87.248751832346699</v>
      </c>
    </row>
    <row r="368" spans="1:18" x14ac:dyDescent="0.3">
      <c r="A368" t="s">
        <v>540</v>
      </c>
      <c r="B368">
        <v>3</v>
      </c>
      <c r="C368" s="19">
        <v>16</v>
      </c>
      <c r="D368" s="20">
        <v>2022</v>
      </c>
      <c r="E368" s="21">
        <f t="shared" si="30"/>
        <v>44636</v>
      </c>
      <c r="F368" s="20">
        <v>400.51</v>
      </c>
      <c r="G368" s="20">
        <v>7407331</v>
      </c>
      <c r="H368" s="20">
        <v>395.5</v>
      </c>
      <c r="I368" s="20">
        <v>400.55</v>
      </c>
      <c r="J368" s="22">
        <v>390.55</v>
      </c>
      <c r="K368" s="2">
        <f t="shared" si="31"/>
        <v>39331.16542718438</v>
      </c>
      <c r="L368" s="2">
        <f>IF(B368&lt;&gt;B367,L367*(1+Dashboard!$G$5)+Dashboard!$G$6, L367)</f>
        <v>38823.457441719489</v>
      </c>
      <c r="M368">
        <f t="shared" si="35"/>
        <v>0</v>
      </c>
      <c r="N368">
        <f t="shared" si="32"/>
        <v>98.202705118934318</v>
      </c>
      <c r="O368">
        <f>IF(B368&lt;&gt;B367, Dashboard!$L$6,0)</f>
        <v>0</v>
      </c>
      <c r="P368">
        <f t="shared" si="33"/>
        <v>89.634455059218283</v>
      </c>
      <c r="Q368">
        <f>IF(B368&lt;&gt;B367,IF(F368&lt;=AVERAGE(F346:F367),Dashboard!$N$6-Dashboard!$G$7,Dashboard!$N$6+Dashboard!$G$7),0)</f>
        <v>0</v>
      </c>
      <c r="R368">
        <f t="shared" si="34"/>
        <v>87.248751832346699</v>
      </c>
    </row>
    <row r="369" spans="1:18" x14ac:dyDescent="0.3">
      <c r="A369" t="s">
        <v>539</v>
      </c>
      <c r="B369">
        <v>3</v>
      </c>
      <c r="C369" s="19">
        <v>17</v>
      </c>
      <c r="D369" s="20">
        <v>2022</v>
      </c>
      <c r="E369" s="21">
        <f t="shared" si="30"/>
        <v>44637</v>
      </c>
      <c r="F369" s="20">
        <v>405.41</v>
      </c>
      <c r="G369" s="20">
        <v>5177527</v>
      </c>
      <c r="H369" s="20">
        <v>398.64</v>
      </c>
      <c r="I369" s="20">
        <v>405.56</v>
      </c>
      <c r="J369" s="22">
        <v>398.3</v>
      </c>
      <c r="K369" s="2">
        <f t="shared" si="31"/>
        <v>39812.358682267164</v>
      </c>
      <c r="L369" s="2">
        <f>IF(B369&lt;&gt;B368,L368*(1+Dashboard!$G$5)+Dashboard!$G$6, L368)</f>
        <v>38823.457441719489</v>
      </c>
      <c r="M369">
        <f t="shared" si="35"/>
        <v>0</v>
      </c>
      <c r="N369">
        <f t="shared" si="32"/>
        <v>98.202705118934318</v>
      </c>
      <c r="O369">
        <f>IF(B369&lt;&gt;B368, Dashboard!$L$6,0)</f>
        <v>0</v>
      </c>
      <c r="P369">
        <f t="shared" si="33"/>
        <v>89.634455059218283</v>
      </c>
      <c r="Q369">
        <f>IF(B369&lt;&gt;B368,IF(F369&lt;=AVERAGE(F347:F368),Dashboard!$N$6-Dashboard!$G$7,Dashboard!$N$6+Dashboard!$G$7),0)</f>
        <v>0</v>
      </c>
      <c r="R369">
        <f t="shared" si="34"/>
        <v>87.248751832346699</v>
      </c>
    </row>
    <row r="370" spans="1:18" x14ac:dyDescent="0.3">
      <c r="A370" t="s">
        <v>538</v>
      </c>
      <c r="B370">
        <v>3</v>
      </c>
      <c r="C370" s="19">
        <v>18</v>
      </c>
      <c r="D370" s="20">
        <v>2022</v>
      </c>
      <c r="E370" s="21">
        <f t="shared" si="30"/>
        <v>44638</v>
      </c>
      <c r="F370" s="20">
        <v>409.89</v>
      </c>
      <c r="G370" s="20">
        <v>5874983</v>
      </c>
      <c r="H370" s="20">
        <v>403.98</v>
      </c>
      <c r="I370" s="20">
        <v>410.28</v>
      </c>
      <c r="J370" s="22">
        <v>403.24</v>
      </c>
      <c r="K370" s="2">
        <f t="shared" si="31"/>
        <v>40252.306801199986</v>
      </c>
      <c r="L370" s="2">
        <f>IF(B370&lt;&gt;B369,L369*(1+Dashboard!$G$5)+Dashboard!$G$6, L369)</f>
        <v>38823.457441719489</v>
      </c>
      <c r="M370">
        <f t="shared" si="35"/>
        <v>0</v>
      </c>
      <c r="N370">
        <f t="shared" si="32"/>
        <v>98.202705118934318</v>
      </c>
      <c r="O370">
        <f>IF(B370&lt;&gt;B369, Dashboard!$L$6,0)</f>
        <v>0</v>
      </c>
      <c r="P370">
        <f t="shared" si="33"/>
        <v>89.634455059218283</v>
      </c>
      <c r="Q370">
        <f>IF(B370&lt;&gt;B369,IF(F370&lt;=AVERAGE(F348:F369),Dashboard!$N$6-Dashboard!$G$7,Dashboard!$N$6+Dashboard!$G$7),0)</f>
        <v>0</v>
      </c>
      <c r="R370">
        <f t="shared" si="34"/>
        <v>87.248751832346699</v>
      </c>
    </row>
    <row r="371" spans="1:18" x14ac:dyDescent="0.3">
      <c r="A371" t="s">
        <v>537</v>
      </c>
      <c r="B371">
        <v>3</v>
      </c>
      <c r="C371" s="19">
        <v>21</v>
      </c>
      <c r="D371" s="20">
        <v>2022</v>
      </c>
      <c r="E371" s="21">
        <f t="shared" si="30"/>
        <v>44641</v>
      </c>
      <c r="F371" s="20">
        <v>409.91</v>
      </c>
      <c r="G371" s="20">
        <v>4159492</v>
      </c>
      <c r="H371" s="20">
        <v>409.84</v>
      </c>
      <c r="I371" s="20">
        <v>411.75</v>
      </c>
      <c r="J371" s="22">
        <v>406.43</v>
      </c>
      <c r="K371" s="2">
        <f t="shared" si="31"/>
        <v>40254.270855302369</v>
      </c>
      <c r="L371" s="2">
        <f>IF(B371&lt;&gt;B370,L370*(1+Dashboard!$G$5)+Dashboard!$G$6, L370)</f>
        <v>38823.457441719489</v>
      </c>
      <c r="M371">
        <f t="shared" si="35"/>
        <v>0</v>
      </c>
      <c r="N371">
        <f t="shared" si="32"/>
        <v>98.202705118934318</v>
      </c>
      <c r="O371">
        <f>IF(B371&lt;&gt;B370, Dashboard!$L$6,0)</f>
        <v>0</v>
      </c>
      <c r="P371">
        <f t="shared" si="33"/>
        <v>89.634455059218283</v>
      </c>
      <c r="Q371">
        <f>IF(B371&lt;&gt;B370,IF(F371&lt;=AVERAGE(F349:F370),Dashboard!$N$6-Dashboard!$G$7,Dashboard!$N$6+Dashboard!$G$7),0)</f>
        <v>0</v>
      </c>
      <c r="R371">
        <f t="shared" si="34"/>
        <v>87.248751832346699</v>
      </c>
    </row>
    <row r="372" spans="1:18" x14ac:dyDescent="0.3">
      <c r="A372" t="s">
        <v>536</v>
      </c>
      <c r="B372">
        <v>3</v>
      </c>
      <c r="C372" s="19">
        <v>22</v>
      </c>
      <c r="D372" s="20">
        <v>2022</v>
      </c>
      <c r="E372" s="21">
        <f t="shared" si="30"/>
        <v>44642</v>
      </c>
      <c r="F372" s="20">
        <v>414.67</v>
      </c>
      <c r="G372" s="20">
        <v>4231715</v>
      </c>
      <c r="H372" s="20">
        <v>411.2</v>
      </c>
      <c r="I372" s="20">
        <v>415.52</v>
      </c>
      <c r="J372" s="22">
        <v>411.2</v>
      </c>
      <c r="K372" s="2">
        <f t="shared" si="31"/>
        <v>40721.715731668497</v>
      </c>
      <c r="L372" s="2">
        <f>IF(B372&lt;&gt;B371,L371*(1+Dashboard!$G$5)+Dashboard!$G$6, L371)</f>
        <v>38823.457441719489</v>
      </c>
      <c r="M372">
        <f t="shared" si="35"/>
        <v>0</v>
      </c>
      <c r="N372">
        <f t="shared" si="32"/>
        <v>98.202705118934318</v>
      </c>
      <c r="O372">
        <f>IF(B372&lt;&gt;B371, Dashboard!$L$6,0)</f>
        <v>0</v>
      </c>
      <c r="P372">
        <f t="shared" si="33"/>
        <v>89.634455059218283</v>
      </c>
      <c r="Q372">
        <f>IF(B372&lt;&gt;B371,IF(F372&lt;=AVERAGE(F350:F371),Dashboard!$N$6-Dashboard!$G$7,Dashboard!$N$6+Dashboard!$G$7),0)</f>
        <v>0</v>
      </c>
      <c r="R372">
        <f t="shared" si="34"/>
        <v>87.248751832346699</v>
      </c>
    </row>
    <row r="373" spans="1:18" x14ac:dyDescent="0.3">
      <c r="A373" t="s">
        <v>535</v>
      </c>
      <c r="B373">
        <v>3</v>
      </c>
      <c r="C373" s="19">
        <v>23</v>
      </c>
      <c r="D373" s="20">
        <v>2022</v>
      </c>
      <c r="E373" s="21">
        <f t="shared" si="30"/>
        <v>44643</v>
      </c>
      <c r="F373" s="20">
        <v>409.33</v>
      </c>
      <c r="G373" s="20">
        <v>3742563</v>
      </c>
      <c r="H373" s="20">
        <v>412.16</v>
      </c>
      <c r="I373" s="20">
        <v>413.62</v>
      </c>
      <c r="J373" s="22">
        <v>409.29</v>
      </c>
      <c r="K373" s="2">
        <f t="shared" si="31"/>
        <v>40197.313286333381</v>
      </c>
      <c r="L373" s="2">
        <f>IF(B373&lt;&gt;B372,L372*(1+Dashboard!$G$5)+Dashboard!$G$6, L372)</f>
        <v>38823.457441719489</v>
      </c>
      <c r="M373">
        <f t="shared" si="35"/>
        <v>0</v>
      </c>
      <c r="N373">
        <f t="shared" si="32"/>
        <v>98.202705118934318</v>
      </c>
      <c r="O373">
        <f>IF(B373&lt;&gt;B372, Dashboard!$L$6,0)</f>
        <v>0</v>
      </c>
      <c r="P373">
        <f t="shared" si="33"/>
        <v>89.634455059218283</v>
      </c>
      <c r="Q373">
        <f>IF(B373&lt;&gt;B372,IF(F373&lt;=AVERAGE(F351:F372),Dashboard!$N$6-Dashboard!$G$7,Dashboard!$N$6+Dashboard!$G$7),0)</f>
        <v>0</v>
      </c>
      <c r="R373">
        <f t="shared" si="34"/>
        <v>87.248751832346699</v>
      </c>
    </row>
    <row r="374" spans="1:18" x14ac:dyDescent="0.3">
      <c r="A374" t="s">
        <v>534</v>
      </c>
      <c r="B374">
        <v>3</v>
      </c>
      <c r="C374" s="19">
        <v>24</v>
      </c>
      <c r="D374" s="20">
        <v>2022</v>
      </c>
      <c r="E374" s="21">
        <f t="shared" si="30"/>
        <v>44644</v>
      </c>
      <c r="F374" s="20">
        <v>414.02</v>
      </c>
      <c r="G374" s="20">
        <v>2977317</v>
      </c>
      <c r="H374" s="20">
        <v>409.89</v>
      </c>
      <c r="I374" s="20">
        <v>414.1</v>
      </c>
      <c r="J374" s="22">
        <v>408.81</v>
      </c>
      <c r="K374" s="2">
        <f t="shared" si="31"/>
        <v>40657.883973341188</v>
      </c>
      <c r="L374" s="2">
        <f>IF(B374&lt;&gt;B373,L373*(1+Dashboard!$G$5)+Dashboard!$G$6, L373)</f>
        <v>38823.457441719489</v>
      </c>
      <c r="M374">
        <f t="shared" si="35"/>
        <v>0</v>
      </c>
      <c r="N374">
        <f t="shared" si="32"/>
        <v>98.202705118934318</v>
      </c>
      <c r="O374">
        <f>IF(B374&lt;&gt;B373, Dashboard!$L$6,0)</f>
        <v>0</v>
      </c>
      <c r="P374">
        <f t="shared" si="33"/>
        <v>89.634455059218283</v>
      </c>
      <c r="Q374">
        <f>IF(B374&lt;&gt;B373,IF(F374&lt;=AVERAGE(F352:F373),Dashboard!$N$6-Dashboard!$G$7,Dashboard!$N$6+Dashboard!$G$7),0)</f>
        <v>0</v>
      </c>
      <c r="R374">
        <f t="shared" si="34"/>
        <v>87.248751832346699</v>
      </c>
    </row>
    <row r="375" spans="1:18" x14ac:dyDescent="0.3">
      <c r="A375" t="s">
        <v>533</v>
      </c>
      <c r="B375">
        <v>3</v>
      </c>
      <c r="C375" s="19">
        <v>25</v>
      </c>
      <c r="D375" s="20">
        <v>2022</v>
      </c>
      <c r="E375" s="21">
        <f t="shared" si="30"/>
        <v>44645</v>
      </c>
      <c r="F375" s="20">
        <v>416.12</v>
      </c>
      <c r="G375" s="20">
        <v>3643255</v>
      </c>
      <c r="H375" s="20">
        <v>414.79</v>
      </c>
      <c r="I375" s="20">
        <v>416.35809999999998</v>
      </c>
      <c r="J375" s="22">
        <v>412.20499999999998</v>
      </c>
      <c r="K375" s="2">
        <f t="shared" si="31"/>
        <v>40864.109654090949</v>
      </c>
      <c r="L375" s="2">
        <f>IF(B375&lt;&gt;B374,L374*(1+Dashboard!$G$5)+Dashboard!$G$6, L374)</f>
        <v>38823.457441719489</v>
      </c>
      <c r="M375">
        <f t="shared" si="35"/>
        <v>0</v>
      </c>
      <c r="N375">
        <f t="shared" si="32"/>
        <v>98.202705118934318</v>
      </c>
      <c r="O375">
        <f>IF(B375&lt;&gt;B374, Dashboard!$L$6,0)</f>
        <v>0</v>
      </c>
      <c r="P375">
        <f t="shared" si="33"/>
        <v>89.634455059218283</v>
      </c>
      <c r="Q375">
        <f>IF(B375&lt;&gt;B374,IF(F375&lt;=AVERAGE(F353:F374),Dashboard!$N$6-Dashboard!$G$7,Dashboard!$N$6+Dashboard!$G$7),0)</f>
        <v>0</v>
      </c>
      <c r="R375">
        <f t="shared" si="34"/>
        <v>87.248751832346699</v>
      </c>
    </row>
    <row r="376" spans="1:18" x14ac:dyDescent="0.3">
      <c r="A376" t="s">
        <v>532</v>
      </c>
      <c r="B376">
        <v>3</v>
      </c>
      <c r="C376" s="19">
        <v>28</v>
      </c>
      <c r="D376" s="20">
        <v>2022</v>
      </c>
      <c r="E376" s="21">
        <f t="shared" si="30"/>
        <v>44648</v>
      </c>
      <c r="F376" s="20">
        <v>418.99</v>
      </c>
      <c r="G376" s="20">
        <v>3395334</v>
      </c>
      <c r="H376" s="20">
        <v>415.5</v>
      </c>
      <c r="I376" s="20">
        <v>419.05</v>
      </c>
      <c r="J376" s="22">
        <v>413.69</v>
      </c>
      <c r="K376" s="2">
        <f t="shared" si="31"/>
        <v>41145.951417782293</v>
      </c>
      <c r="L376" s="2">
        <f>IF(B376&lt;&gt;B375,L375*(1+Dashboard!$G$5)+Dashboard!$G$6, L375)</f>
        <v>38823.457441719489</v>
      </c>
      <c r="M376">
        <f t="shared" si="35"/>
        <v>0</v>
      </c>
      <c r="N376">
        <f t="shared" si="32"/>
        <v>98.202705118934318</v>
      </c>
      <c r="O376">
        <f>IF(B376&lt;&gt;B375, Dashboard!$L$6,0)</f>
        <v>0</v>
      </c>
      <c r="P376">
        <f t="shared" si="33"/>
        <v>89.634455059218283</v>
      </c>
      <c r="Q376">
        <f>IF(B376&lt;&gt;B375,IF(F376&lt;=AVERAGE(F354:F375),Dashboard!$N$6-Dashboard!$G$7,Dashboard!$N$6+Dashboard!$G$7),0)</f>
        <v>0</v>
      </c>
      <c r="R376">
        <f t="shared" si="34"/>
        <v>87.248751832346699</v>
      </c>
    </row>
    <row r="377" spans="1:18" x14ac:dyDescent="0.3">
      <c r="A377" t="s">
        <v>531</v>
      </c>
      <c r="B377">
        <v>3</v>
      </c>
      <c r="C377" s="19">
        <v>29</v>
      </c>
      <c r="D377" s="20">
        <v>2022</v>
      </c>
      <c r="E377" s="21">
        <f t="shared" si="30"/>
        <v>44649</v>
      </c>
      <c r="F377" s="20">
        <v>424.29</v>
      </c>
      <c r="G377" s="20">
        <v>5510554</v>
      </c>
      <c r="H377" s="20">
        <v>422.96</v>
      </c>
      <c r="I377" s="20">
        <v>424.72</v>
      </c>
      <c r="J377" s="22">
        <v>420.25</v>
      </c>
      <c r="K377" s="2">
        <f t="shared" si="31"/>
        <v>41666.425754912641</v>
      </c>
      <c r="L377" s="2">
        <f>IF(B377&lt;&gt;B376,L376*(1+Dashboard!$G$5)+Dashboard!$G$6, L376)</f>
        <v>38823.457441719489</v>
      </c>
      <c r="M377">
        <f t="shared" si="35"/>
        <v>0</v>
      </c>
      <c r="N377">
        <f t="shared" si="32"/>
        <v>98.202705118934318</v>
      </c>
      <c r="O377">
        <f>IF(B377&lt;&gt;B376, Dashboard!$L$6,0)</f>
        <v>0</v>
      </c>
      <c r="P377">
        <f t="shared" si="33"/>
        <v>89.634455059218283</v>
      </c>
      <c r="Q377">
        <f>IF(B377&lt;&gt;B376,IF(F377&lt;=AVERAGE(F355:F376),Dashboard!$N$6-Dashboard!$G$7,Dashboard!$N$6+Dashboard!$G$7),0)</f>
        <v>0</v>
      </c>
      <c r="R377">
        <f t="shared" si="34"/>
        <v>87.248751832346699</v>
      </c>
    </row>
    <row r="378" spans="1:18" x14ac:dyDescent="0.3">
      <c r="A378" t="s">
        <v>530</v>
      </c>
      <c r="B378">
        <v>3</v>
      </c>
      <c r="C378" s="19">
        <v>30</v>
      </c>
      <c r="D378" s="20">
        <v>2022</v>
      </c>
      <c r="E378" s="21">
        <f t="shared" si="30"/>
        <v>44650</v>
      </c>
      <c r="F378" s="20">
        <v>421.65</v>
      </c>
      <c r="G378" s="20">
        <v>4794334</v>
      </c>
      <c r="H378" s="20">
        <v>423.26</v>
      </c>
      <c r="I378" s="20">
        <v>424.01</v>
      </c>
      <c r="J378" s="22">
        <v>419.59</v>
      </c>
      <c r="K378" s="2">
        <f t="shared" si="31"/>
        <v>41407.170613398652</v>
      </c>
      <c r="L378" s="2">
        <f>IF(B378&lt;&gt;B377,L377*(1+Dashboard!$G$5)+Dashboard!$G$6, L377)</f>
        <v>38823.457441719489</v>
      </c>
      <c r="M378">
        <f t="shared" si="35"/>
        <v>0</v>
      </c>
      <c r="N378">
        <f t="shared" si="32"/>
        <v>98.202705118934318</v>
      </c>
      <c r="O378">
        <f>IF(B378&lt;&gt;B377, Dashboard!$L$6,0)</f>
        <v>0</v>
      </c>
      <c r="P378">
        <f t="shared" si="33"/>
        <v>89.634455059218283</v>
      </c>
      <c r="Q378">
        <f>IF(B378&lt;&gt;B377,IF(F378&lt;=AVERAGE(F356:F377),Dashboard!$N$6-Dashboard!$G$7,Dashboard!$N$6+Dashboard!$G$7),0)</f>
        <v>0</v>
      </c>
      <c r="R378">
        <f t="shared" si="34"/>
        <v>87.248751832346699</v>
      </c>
    </row>
    <row r="379" spans="1:18" x14ac:dyDescent="0.3">
      <c r="A379" t="s">
        <v>529</v>
      </c>
      <c r="B379">
        <v>3</v>
      </c>
      <c r="C379" s="19">
        <v>31</v>
      </c>
      <c r="D379" s="20">
        <v>2022</v>
      </c>
      <c r="E379" s="21">
        <f t="shared" si="30"/>
        <v>44651</v>
      </c>
      <c r="F379" s="20">
        <v>415.17</v>
      </c>
      <c r="G379" s="20">
        <v>5876639</v>
      </c>
      <c r="H379" s="20">
        <v>420.97</v>
      </c>
      <c r="I379" s="20">
        <v>421.67</v>
      </c>
      <c r="J379" s="22">
        <v>415.05</v>
      </c>
      <c r="K379" s="2">
        <f t="shared" si="31"/>
        <v>40770.817084227965</v>
      </c>
      <c r="L379" s="2">
        <f>IF(B379&lt;&gt;B378,L378*(1+Dashboard!$G$5)+Dashboard!$G$6, L378)</f>
        <v>38823.457441719489</v>
      </c>
      <c r="M379">
        <f t="shared" si="35"/>
        <v>0</v>
      </c>
      <c r="N379">
        <f t="shared" si="32"/>
        <v>98.202705118934318</v>
      </c>
      <c r="O379">
        <f>IF(B379&lt;&gt;B378, Dashboard!$L$6,0)</f>
        <v>0</v>
      </c>
      <c r="P379">
        <f t="shared" si="33"/>
        <v>89.634455059218283</v>
      </c>
      <c r="Q379">
        <f>IF(B379&lt;&gt;B378,IF(F379&lt;=AVERAGE(F357:F378),Dashboard!$N$6-Dashboard!$G$7,Dashboard!$N$6+Dashboard!$G$7),0)</f>
        <v>0</v>
      </c>
      <c r="R379">
        <f t="shared" si="34"/>
        <v>87.248751832346699</v>
      </c>
    </row>
    <row r="380" spans="1:18" x14ac:dyDescent="0.3">
      <c r="A380" s="1">
        <v>44565</v>
      </c>
      <c r="B380">
        <v>4</v>
      </c>
      <c r="C380" s="19">
        <v>1</v>
      </c>
      <c r="D380" s="20">
        <v>2022</v>
      </c>
      <c r="E380" s="21">
        <f t="shared" si="30"/>
        <v>44652</v>
      </c>
      <c r="F380" s="20">
        <v>416.32</v>
      </c>
      <c r="G380" s="20">
        <v>4663067</v>
      </c>
      <c r="H380" s="20">
        <v>416.68</v>
      </c>
      <c r="I380" s="20">
        <v>416.81799999999998</v>
      </c>
      <c r="J380" s="22">
        <v>412.87</v>
      </c>
      <c r="K380" s="2">
        <f t="shared" si="31"/>
        <v>40883.750195114735</v>
      </c>
      <c r="L380" s="2">
        <f>IF(B380&lt;&gt;B379,L379*(1+Dashboard!$G$5)+Dashboard!$G$6, L379)</f>
        <v>41165.103867206621</v>
      </c>
      <c r="M380">
        <f t="shared" si="35"/>
        <v>281.35367209188553</v>
      </c>
      <c r="N380">
        <f t="shared" si="32"/>
        <v>98.202705118934318</v>
      </c>
      <c r="O380">
        <f>IF(B380&lt;&gt;B379, Dashboard!$L$6,0)</f>
        <v>1859.7282542371197</v>
      </c>
      <c r="P380">
        <f t="shared" si="33"/>
        <v>94.101519466974622</v>
      </c>
      <c r="Q380">
        <f>IF(B380&lt;&gt;B379,IF(F380&lt;=AVERAGE(F358:F379),Dashboard!$N$6-Dashboard!$G$7,Dashboard!$N$6+Dashboard!$G$7),0)</f>
        <v>2232.609610169322</v>
      </c>
      <c r="R380">
        <f t="shared" si="34"/>
        <v>92.606843437821695</v>
      </c>
    </row>
    <row r="381" spans="1:18" x14ac:dyDescent="0.3">
      <c r="A381" s="1">
        <v>44655</v>
      </c>
      <c r="B381">
        <v>4</v>
      </c>
      <c r="C381" s="19">
        <v>4</v>
      </c>
      <c r="D381" s="20">
        <v>2022</v>
      </c>
      <c r="E381" s="21">
        <f t="shared" si="30"/>
        <v>44655</v>
      </c>
      <c r="F381" s="20">
        <v>419.85</v>
      </c>
      <c r="G381" s="20">
        <v>5117208</v>
      </c>
      <c r="H381" s="20">
        <v>416.45</v>
      </c>
      <c r="I381" s="20">
        <v>419.96</v>
      </c>
      <c r="J381" s="22">
        <v>415.72</v>
      </c>
      <c r="K381" s="2">
        <f t="shared" si="31"/>
        <v>41514.145029416555</v>
      </c>
      <c r="L381" s="2">
        <f>IF(B381&lt;&gt;B380,L380*(1+Dashboard!$G$5)+Dashboard!$G$6, L380)</f>
        <v>41165.103867206621</v>
      </c>
      <c r="M381">
        <f t="shared" si="35"/>
        <v>0</v>
      </c>
      <c r="N381">
        <f t="shared" si="32"/>
        <v>98.878516206779935</v>
      </c>
      <c r="O381">
        <f>IF(B381&lt;&gt;B380, Dashboard!$L$6,0)</f>
        <v>0</v>
      </c>
      <c r="P381">
        <f t="shared" si="33"/>
        <v>94.101519466974622</v>
      </c>
      <c r="Q381">
        <f>IF(B381&lt;&gt;B380,IF(F381&lt;=AVERAGE(F359:F380),Dashboard!$N$6-Dashboard!$G$7,Dashboard!$N$6+Dashboard!$G$7),0)</f>
        <v>0</v>
      </c>
      <c r="R381">
        <f t="shared" si="34"/>
        <v>92.606843437821695</v>
      </c>
    </row>
    <row r="382" spans="1:18" x14ac:dyDescent="0.3">
      <c r="A382" s="1">
        <v>44685</v>
      </c>
      <c r="B382">
        <v>4</v>
      </c>
      <c r="C382" s="19">
        <v>5</v>
      </c>
      <c r="D382" s="20">
        <v>2022</v>
      </c>
      <c r="E382" s="21">
        <f t="shared" si="30"/>
        <v>44656</v>
      </c>
      <c r="F382" s="20">
        <v>414.66</v>
      </c>
      <c r="G382" s="20">
        <v>4112033</v>
      </c>
      <c r="H382" s="20">
        <v>418.56</v>
      </c>
      <c r="I382" s="20">
        <v>420.82</v>
      </c>
      <c r="J382" s="22">
        <v>413.5</v>
      </c>
      <c r="K382" s="2">
        <f t="shared" si="31"/>
        <v>41000.965530303372</v>
      </c>
      <c r="L382" s="2">
        <f>IF(B382&lt;&gt;B381,L381*(1+Dashboard!$G$5)+Dashboard!$G$6, L381)</f>
        <v>41165.103867206621</v>
      </c>
      <c r="M382">
        <f t="shared" si="35"/>
        <v>0</v>
      </c>
      <c r="N382">
        <f t="shared" si="32"/>
        <v>98.878516206779935</v>
      </c>
      <c r="O382">
        <f>IF(B382&lt;&gt;B381, Dashboard!$L$6,0)</f>
        <v>0</v>
      </c>
      <c r="P382">
        <f t="shared" si="33"/>
        <v>94.101519466974622</v>
      </c>
      <c r="Q382">
        <f>IF(B382&lt;&gt;B381,IF(F382&lt;=AVERAGE(F360:F381),Dashboard!$N$6-Dashboard!$G$7,Dashboard!$N$6+Dashboard!$G$7),0)</f>
        <v>0</v>
      </c>
      <c r="R382">
        <f t="shared" si="34"/>
        <v>92.606843437821695</v>
      </c>
    </row>
    <row r="383" spans="1:18" x14ac:dyDescent="0.3">
      <c r="A383" s="1">
        <v>44716</v>
      </c>
      <c r="B383">
        <v>4</v>
      </c>
      <c r="C383" s="19">
        <v>6</v>
      </c>
      <c r="D383" s="20">
        <v>2022</v>
      </c>
      <c r="E383" s="21">
        <f t="shared" si="30"/>
        <v>44657</v>
      </c>
      <c r="F383" s="20">
        <v>410.46</v>
      </c>
      <c r="G383" s="20">
        <v>5540716</v>
      </c>
      <c r="H383" s="20">
        <v>410.76</v>
      </c>
      <c r="I383" s="20">
        <v>412.66</v>
      </c>
      <c r="J383" s="22">
        <v>407.64</v>
      </c>
      <c r="K383" s="2">
        <f t="shared" si="31"/>
        <v>40585.675762234889</v>
      </c>
      <c r="L383" s="2">
        <f>IF(B383&lt;&gt;B382,L382*(1+Dashboard!$G$5)+Dashboard!$G$6, L382)</f>
        <v>41165.103867206621</v>
      </c>
      <c r="M383">
        <f t="shared" si="35"/>
        <v>0</v>
      </c>
      <c r="N383">
        <f t="shared" si="32"/>
        <v>98.878516206779935</v>
      </c>
      <c r="O383">
        <f>IF(B383&lt;&gt;B382, Dashboard!$L$6,0)</f>
        <v>0</v>
      </c>
      <c r="P383">
        <f t="shared" si="33"/>
        <v>94.101519466974622</v>
      </c>
      <c r="Q383">
        <f>IF(B383&lt;&gt;B382,IF(F383&lt;=AVERAGE(F361:F382),Dashboard!$N$6-Dashboard!$G$7,Dashboard!$N$6+Dashboard!$G$7),0)</f>
        <v>0</v>
      </c>
      <c r="R383">
        <f t="shared" si="34"/>
        <v>92.606843437821695</v>
      </c>
    </row>
    <row r="384" spans="1:18" x14ac:dyDescent="0.3">
      <c r="A384" s="1">
        <v>44746</v>
      </c>
      <c r="B384">
        <v>4</v>
      </c>
      <c r="C384" s="19">
        <v>7</v>
      </c>
      <c r="D384" s="20">
        <v>2022</v>
      </c>
      <c r="E384" s="21">
        <f t="shared" si="30"/>
        <v>44658</v>
      </c>
      <c r="F384" s="20">
        <v>412.53</v>
      </c>
      <c r="G384" s="20">
        <v>4954053</v>
      </c>
      <c r="H384" s="20">
        <v>409.6</v>
      </c>
      <c r="I384" s="20">
        <v>414.3</v>
      </c>
      <c r="J384" s="22">
        <v>407.74</v>
      </c>
      <c r="K384" s="2">
        <f t="shared" si="31"/>
        <v>40790.354290782925</v>
      </c>
      <c r="L384" s="2">
        <f>IF(B384&lt;&gt;B383,L383*(1+Dashboard!$G$5)+Dashboard!$G$6, L383)</f>
        <v>41165.103867206621</v>
      </c>
      <c r="M384">
        <f t="shared" si="35"/>
        <v>0</v>
      </c>
      <c r="N384">
        <f t="shared" si="32"/>
        <v>98.878516206779935</v>
      </c>
      <c r="O384">
        <f>IF(B384&lt;&gt;B383, Dashboard!$L$6,0)</f>
        <v>0</v>
      </c>
      <c r="P384">
        <f t="shared" si="33"/>
        <v>94.101519466974622</v>
      </c>
      <c r="Q384">
        <f>IF(B384&lt;&gt;B383,IF(F384&lt;=AVERAGE(F362:F383),Dashboard!$N$6-Dashboard!$G$7,Dashboard!$N$6+Dashboard!$G$7),0)</f>
        <v>0</v>
      </c>
      <c r="R384">
        <f t="shared" si="34"/>
        <v>92.606843437821695</v>
      </c>
    </row>
    <row r="385" spans="1:18" x14ac:dyDescent="0.3">
      <c r="A385" s="1">
        <v>44777</v>
      </c>
      <c r="B385">
        <v>4</v>
      </c>
      <c r="C385" s="19">
        <v>8</v>
      </c>
      <c r="D385" s="20">
        <v>2022</v>
      </c>
      <c r="E385" s="21">
        <f t="shared" si="30"/>
        <v>44659</v>
      </c>
      <c r="F385" s="20">
        <v>411.53</v>
      </c>
      <c r="G385" s="20">
        <v>4752812</v>
      </c>
      <c r="H385" s="20">
        <v>411.85</v>
      </c>
      <c r="I385" s="20">
        <v>414.22</v>
      </c>
      <c r="J385" s="22">
        <v>409.98</v>
      </c>
      <c r="K385" s="2">
        <f t="shared" si="31"/>
        <v>40691.475774576145</v>
      </c>
      <c r="L385" s="2">
        <f>IF(B385&lt;&gt;B384,L384*(1+Dashboard!$G$5)+Dashboard!$G$6, L384)</f>
        <v>41165.103867206621</v>
      </c>
      <c r="M385">
        <f t="shared" si="35"/>
        <v>0</v>
      </c>
      <c r="N385">
        <f t="shared" si="32"/>
        <v>98.878516206779935</v>
      </c>
      <c r="O385">
        <f>IF(B385&lt;&gt;B384, Dashboard!$L$6,0)</f>
        <v>0</v>
      </c>
      <c r="P385">
        <f t="shared" si="33"/>
        <v>94.101519466974622</v>
      </c>
      <c r="Q385">
        <f>IF(B385&lt;&gt;B384,IF(F385&lt;=AVERAGE(F363:F384),Dashboard!$N$6-Dashboard!$G$7,Dashboard!$N$6+Dashboard!$G$7),0)</f>
        <v>0</v>
      </c>
      <c r="R385">
        <f t="shared" si="34"/>
        <v>92.606843437821695</v>
      </c>
    </row>
    <row r="386" spans="1:18" x14ac:dyDescent="0.3">
      <c r="A386" s="1">
        <v>44869</v>
      </c>
      <c r="B386">
        <v>4</v>
      </c>
      <c r="C386" s="19">
        <v>11</v>
      </c>
      <c r="D386" s="20">
        <v>2022</v>
      </c>
      <c r="E386" s="21">
        <f t="shared" ref="E386:E449" si="36">DATE(D386,B386,C386)</f>
        <v>44662</v>
      </c>
      <c r="F386" s="20">
        <v>404.4</v>
      </c>
      <c r="G386" s="20">
        <v>3342784</v>
      </c>
      <c r="H386" s="20">
        <v>408.5</v>
      </c>
      <c r="I386" s="20">
        <v>409.05919999999998</v>
      </c>
      <c r="J386" s="22">
        <v>403.92500000000001</v>
      </c>
      <c r="K386" s="2">
        <f t="shared" si="31"/>
        <v>39986.471954021807</v>
      </c>
      <c r="L386" s="2">
        <f>IF(B386&lt;&gt;B385,L385*(1+Dashboard!$G$5)+Dashboard!$G$6, L385)</f>
        <v>41165.103867206621</v>
      </c>
      <c r="M386">
        <f t="shared" si="35"/>
        <v>0</v>
      </c>
      <c r="N386">
        <f t="shared" si="32"/>
        <v>98.878516206779935</v>
      </c>
      <c r="O386">
        <f>IF(B386&lt;&gt;B385, Dashboard!$L$6,0)</f>
        <v>0</v>
      </c>
      <c r="P386">
        <f t="shared" si="33"/>
        <v>94.101519466974622</v>
      </c>
      <c r="Q386">
        <f>IF(B386&lt;&gt;B385,IF(F386&lt;=AVERAGE(F364:F385),Dashboard!$N$6-Dashboard!$G$7,Dashboard!$N$6+Dashboard!$G$7),0)</f>
        <v>0</v>
      </c>
      <c r="R386">
        <f t="shared" si="34"/>
        <v>92.606843437821695</v>
      </c>
    </row>
    <row r="387" spans="1:18" x14ac:dyDescent="0.3">
      <c r="A387" s="1">
        <v>44899</v>
      </c>
      <c r="B387">
        <v>4</v>
      </c>
      <c r="C387" s="19">
        <v>12</v>
      </c>
      <c r="D387" s="20">
        <v>2022</v>
      </c>
      <c r="E387" s="21">
        <f t="shared" si="36"/>
        <v>44663</v>
      </c>
      <c r="F387" s="20">
        <v>402.92</v>
      </c>
      <c r="G387" s="20">
        <v>6615813</v>
      </c>
      <c r="H387" s="20">
        <v>407.33</v>
      </c>
      <c r="I387" s="20">
        <v>409.71</v>
      </c>
      <c r="J387" s="22">
        <v>401.37</v>
      </c>
      <c r="K387" s="2">
        <f t="shared" ref="K387:K450" si="37">N387*F387</f>
        <v>39840.131750035776</v>
      </c>
      <c r="L387" s="2">
        <f>IF(B387&lt;&gt;B386,L386*(1+Dashboard!$G$5)+Dashboard!$G$6, L386)</f>
        <v>41165.103867206621</v>
      </c>
      <c r="M387">
        <f t="shared" si="35"/>
        <v>0</v>
      </c>
      <c r="N387">
        <f t="shared" si="32"/>
        <v>98.878516206779935</v>
      </c>
      <c r="O387">
        <f>IF(B387&lt;&gt;B386, Dashboard!$L$6,0)</f>
        <v>0</v>
      </c>
      <c r="P387">
        <f t="shared" si="33"/>
        <v>94.101519466974622</v>
      </c>
      <c r="Q387">
        <f>IF(B387&lt;&gt;B386,IF(F387&lt;=AVERAGE(F365:F386),Dashboard!$N$6-Dashboard!$G$7,Dashboard!$N$6+Dashboard!$G$7),0)</f>
        <v>0</v>
      </c>
      <c r="R387">
        <f t="shared" si="34"/>
        <v>92.606843437821695</v>
      </c>
    </row>
    <row r="388" spans="1:18" x14ac:dyDescent="0.3">
      <c r="A388" t="s">
        <v>528</v>
      </c>
      <c r="B388">
        <v>4</v>
      </c>
      <c r="C388" s="19">
        <v>13</v>
      </c>
      <c r="D388" s="20">
        <v>2022</v>
      </c>
      <c r="E388" s="21">
        <f t="shared" si="36"/>
        <v>44664</v>
      </c>
      <c r="F388" s="20">
        <v>407.47</v>
      </c>
      <c r="G388" s="20">
        <v>4358710</v>
      </c>
      <c r="H388" s="20">
        <v>402.57</v>
      </c>
      <c r="I388" s="20">
        <v>408.2</v>
      </c>
      <c r="J388" s="22">
        <v>402.48</v>
      </c>
      <c r="K388" s="2">
        <f t="shared" si="37"/>
        <v>40290.028998776623</v>
      </c>
      <c r="L388" s="2">
        <f>IF(B388&lt;&gt;B387,L387*(1+Dashboard!$G$5)+Dashboard!$G$6, L387)</f>
        <v>41165.103867206621</v>
      </c>
      <c r="M388">
        <f t="shared" si="35"/>
        <v>0</v>
      </c>
      <c r="N388">
        <f t="shared" ref="N388:N451" si="38">N387+M387/F387</f>
        <v>98.878516206779935</v>
      </c>
      <c r="O388">
        <f>IF(B388&lt;&gt;B387, Dashboard!$L$6,0)</f>
        <v>0</v>
      </c>
      <c r="P388">
        <f t="shared" ref="P388:P451" si="39">P387+O388/F388</f>
        <v>94.101519466974622</v>
      </c>
      <c r="Q388">
        <f>IF(B388&lt;&gt;B387,IF(F388&lt;=AVERAGE(F366:F387),Dashboard!$N$6-Dashboard!$G$7,Dashboard!$N$6+Dashboard!$G$7),0)</f>
        <v>0</v>
      </c>
      <c r="R388">
        <f t="shared" ref="R388:R451" si="40">R387+Q388/H388</f>
        <v>92.606843437821695</v>
      </c>
    </row>
    <row r="389" spans="1:18" x14ac:dyDescent="0.3">
      <c r="A389" t="s">
        <v>527</v>
      </c>
      <c r="B389">
        <v>4</v>
      </c>
      <c r="C389" s="19">
        <v>14</v>
      </c>
      <c r="D389" s="20">
        <v>2022</v>
      </c>
      <c r="E389" s="21">
        <f t="shared" si="36"/>
        <v>44665</v>
      </c>
      <c r="F389" s="20">
        <v>402.52</v>
      </c>
      <c r="G389" s="20">
        <v>3735679</v>
      </c>
      <c r="H389" s="20">
        <v>407.72</v>
      </c>
      <c r="I389" s="20">
        <v>408.78</v>
      </c>
      <c r="J389" s="22">
        <v>402.34</v>
      </c>
      <c r="K389" s="2">
        <f t="shared" si="37"/>
        <v>39800.580343553054</v>
      </c>
      <c r="L389" s="2">
        <f>IF(B389&lt;&gt;B388,L388*(1+Dashboard!$G$5)+Dashboard!$G$6, L388)</f>
        <v>41165.103867206621</v>
      </c>
      <c r="M389">
        <f t="shared" si="35"/>
        <v>0</v>
      </c>
      <c r="N389">
        <f t="shared" si="38"/>
        <v>98.878516206779935</v>
      </c>
      <c r="O389">
        <f>IF(B389&lt;&gt;B388, Dashboard!$L$6,0)</f>
        <v>0</v>
      </c>
      <c r="P389">
        <f t="shared" si="39"/>
        <v>94.101519466974622</v>
      </c>
      <c r="Q389">
        <f>IF(B389&lt;&gt;B388,IF(F389&lt;=AVERAGE(F367:F388),Dashboard!$N$6-Dashboard!$G$7,Dashboard!$N$6+Dashboard!$G$7),0)</f>
        <v>0</v>
      </c>
      <c r="R389">
        <f t="shared" si="40"/>
        <v>92.606843437821695</v>
      </c>
    </row>
    <row r="390" spans="1:18" x14ac:dyDescent="0.3">
      <c r="A390" t="s">
        <v>526</v>
      </c>
      <c r="B390">
        <v>4</v>
      </c>
      <c r="C390" s="19">
        <v>18</v>
      </c>
      <c r="D390" s="20">
        <v>2022</v>
      </c>
      <c r="E390" s="21">
        <f t="shared" si="36"/>
        <v>44669</v>
      </c>
      <c r="F390" s="20">
        <v>402.59</v>
      </c>
      <c r="G390" s="20">
        <v>4305868</v>
      </c>
      <c r="H390" s="20">
        <v>401.55</v>
      </c>
      <c r="I390" s="20">
        <v>404.22</v>
      </c>
      <c r="J390" s="22">
        <v>400.44</v>
      </c>
      <c r="K390" s="2">
        <f t="shared" si="37"/>
        <v>39807.501839687531</v>
      </c>
      <c r="L390" s="2">
        <f>IF(B390&lt;&gt;B389,L389*(1+Dashboard!$G$5)+Dashboard!$G$6, L389)</f>
        <v>41165.103867206621</v>
      </c>
      <c r="M390">
        <f t="shared" si="35"/>
        <v>0</v>
      </c>
      <c r="N390">
        <f t="shared" si="38"/>
        <v>98.878516206779935</v>
      </c>
      <c r="O390">
        <f>IF(B390&lt;&gt;B389, Dashboard!$L$6,0)</f>
        <v>0</v>
      </c>
      <c r="P390">
        <f t="shared" si="39"/>
        <v>94.101519466974622</v>
      </c>
      <c r="Q390">
        <f>IF(B390&lt;&gt;B389,IF(F390&lt;=AVERAGE(F368:F389),Dashboard!$N$6-Dashboard!$G$7,Dashboard!$N$6+Dashboard!$G$7),0)</f>
        <v>0</v>
      </c>
      <c r="R390">
        <f t="shared" si="40"/>
        <v>92.606843437821695</v>
      </c>
    </row>
    <row r="391" spans="1:18" x14ac:dyDescent="0.3">
      <c r="A391" t="s">
        <v>525</v>
      </c>
      <c r="B391">
        <v>4</v>
      </c>
      <c r="C391" s="19">
        <v>19</v>
      </c>
      <c r="D391" s="20">
        <v>2022</v>
      </c>
      <c r="E391" s="21">
        <f t="shared" si="36"/>
        <v>44670</v>
      </c>
      <c r="F391" s="20">
        <v>409.02</v>
      </c>
      <c r="G391" s="20">
        <v>3841510</v>
      </c>
      <c r="H391" s="20">
        <v>402.58</v>
      </c>
      <c r="I391" s="20">
        <v>409.77</v>
      </c>
      <c r="J391" s="22">
        <v>402.36</v>
      </c>
      <c r="K391" s="2">
        <f t="shared" si="37"/>
        <v>40443.29069889713</v>
      </c>
      <c r="L391" s="2">
        <f>IF(B391&lt;&gt;B390,L390*(1+Dashboard!$G$5)+Dashboard!$G$6, L390)</f>
        <v>41165.103867206621</v>
      </c>
      <c r="M391">
        <f t="shared" si="35"/>
        <v>0</v>
      </c>
      <c r="N391">
        <f t="shared" si="38"/>
        <v>98.878516206779935</v>
      </c>
      <c r="O391">
        <f>IF(B391&lt;&gt;B390, Dashboard!$L$6,0)</f>
        <v>0</v>
      </c>
      <c r="P391">
        <f t="shared" si="39"/>
        <v>94.101519466974622</v>
      </c>
      <c r="Q391">
        <f>IF(B391&lt;&gt;B390,IF(F391&lt;=AVERAGE(F369:F390),Dashboard!$N$6-Dashboard!$G$7,Dashboard!$N$6+Dashboard!$G$7),0)</f>
        <v>0</v>
      </c>
      <c r="R391">
        <f t="shared" si="40"/>
        <v>92.606843437821695</v>
      </c>
    </row>
    <row r="392" spans="1:18" x14ac:dyDescent="0.3">
      <c r="A392" t="s">
        <v>524</v>
      </c>
      <c r="B392">
        <v>4</v>
      </c>
      <c r="C392" s="19">
        <v>20</v>
      </c>
      <c r="D392" s="20">
        <v>2022</v>
      </c>
      <c r="E392" s="21">
        <f t="shared" si="36"/>
        <v>44671</v>
      </c>
      <c r="F392" s="20">
        <v>408.71</v>
      </c>
      <c r="G392" s="20">
        <v>5067144</v>
      </c>
      <c r="H392" s="20">
        <v>410.82</v>
      </c>
      <c r="I392" s="20">
        <v>411.39</v>
      </c>
      <c r="J392" s="22">
        <v>407.67</v>
      </c>
      <c r="K392" s="2">
        <f t="shared" si="37"/>
        <v>40412.638358873024</v>
      </c>
      <c r="L392" s="2">
        <f>IF(B392&lt;&gt;B391,L391*(1+Dashboard!$G$5)+Dashboard!$G$6, L391)</f>
        <v>41165.103867206621</v>
      </c>
      <c r="M392">
        <f t="shared" si="35"/>
        <v>0</v>
      </c>
      <c r="N392">
        <f t="shared" si="38"/>
        <v>98.878516206779935</v>
      </c>
      <c r="O392">
        <f>IF(B392&lt;&gt;B391, Dashboard!$L$6,0)</f>
        <v>0</v>
      </c>
      <c r="P392">
        <f t="shared" si="39"/>
        <v>94.101519466974622</v>
      </c>
      <c r="Q392">
        <f>IF(B392&lt;&gt;B391,IF(F392&lt;=AVERAGE(F370:F391),Dashboard!$N$6-Dashboard!$G$7,Dashboard!$N$6+Dashboard!$G$7),0)</f>
        <v>0</v>
      </c>
      <c r="R392">
        <f t="shared" si="40"/>
        <v>92.606843437821695</v>
      </c>
    </row>
    <row r="393" spans="1:18" x14ac:dyDescent="0.3">
      <c r="A393" t="s">
        <v>523</v>
      </c>
      <c r="B393">
        <v>4</v>
      </c>
      <c r="C393" s="19">
        <v>21</v>
      </c>
      <c r="D393" s="20">
        <v>2022</v>
      </c>
      <c r="E393" s="21">
        <f t="shared" si="36"/>
        <v>44672</v>
      </c>
      <c r="F393" s="20">
        <v>402.65</v>
      </c>
      <c r="G393" s="20">
        <v>4670153</v>
      </c>
      <c r="H393" s="20">
        <v>412.38</v>
      </c>
      <c r="I393" s="20">
        <v>413.68</v>
      </c>
      <c r="J393" s="22">
        <v>401.8</v>
      </c>
      <c r="K393" s="2">
        <f t="shared" si="37"/>
        <v>39813.434550659942</v>
      </c>
      <c r="L393" s="2">
        <f>IF(B393&lt;&gt;B392,L392*(1+Dashboard!$G$5)+Dashboard!$G$6, L392)</f>
        <v>41165.103867206621</v>
      </c>
      <c r="M393">
        <f t="shared" si="35"/>
        <v>0</v>
      </c>
      <c r="N393">
        <f t="shared" si="38"/>
        <v>98.878516206779935</v>
      </c>
      <c r="O393">
        <f>IF(B393&lt;&gt;B392, Dashboard!$L$6,0)</f>
        <v>0</v>
      </c>
      <c r="P393">
        <f t="shared" si="39"/>
        <v>94.101519466974622</v>
      </c>
      <c r="Q393">
        <f>IF(B393&lt;&gt;B392,IF(F393&lt;=AVERAGE(F371:F392),Dashboard!$N$6-Dashboard!$G$7,Dashboard!$N$6+Dashboard!$G$7),0)</f>
        <v>0</v>
      </c>
      <c r="R393">
        <f t="shared" si="40"/>
        <v>92.606843437821695</v>
      </c>
    </row>
    <row r="394" spans="1:18" x14ac:dyDescent="0.3">
      <c r="A394" t="s">
        <v>522</v>
      </c>
      <c r="B394">
        <v>4</v>
      </c>
      <c r="C394" s="19">
        <v>22</v>
      </c>
      <c r="D394" s="20">
        <v>2022</v>
      </c>
      <c r="E394" s="21">
        <f t="shared" si="36"/>
        <v>44673</v>
      </c>
      <c r="F394" s="20">
        <v>391.66</v>
      </c>
      <c r="G394" s="20">
        <v>6326437</v>
      </c>
      <c r="H394" s="20">
        <v>401.67</v>
      </c>
      <c r="I394" s="20">
        <v>401.88499999999999</v>
      </c>
      <c r="J394" s="22">
        <v>391.1</v>
      </c>
      <c r="K394" s="2">
        <f t="shared" si="37"/>
        <v>38726.759657547431</v>
      </c>
      <c r="L394" s="2">
        <f>IF(B394&lt;&gt;B393,L393*(1+Dashboard!$G$5)+Dashboard!$G$6, L393)</f>
        <v>41165.103867206621</v>
      </c>
      <c r="M394">
        <f t="shared" si="35"/>
        <v>0</v>
      </c>
      <c r="N394">
        <f t="shared" si="38"/>
        <v>98.878516206779935</v>
      </c>
      <c r="O394">
        <f>IF(B394&lt;&gt;B393, Dashboard!$L$6,0)</f>
        <v>0</v>
      </c>
      <c r="P394">
        <f t="shared" si="39"/>
        <v>94.101519466974622</v>
      </c>
      <c r="Q394">
        <f>IF(B394&lt;&gt;B393,IF(F394&lt;=AVERAGE(F372:F393),Dashboard!$N$6-Dashboard!$G$7,Dashboard!$N$6+Dashboard!$G$7),0)</f>
        <v>0</v>
      </c>
      <c r="R394">
        <f t="shared" si="40"/>
        <v>92.606843437821695</v>
      </c>
    </row>
    <row r="395" spans="1:18" x14ac:dyDescent="0.3">
      <c r="A395" t="s">
        <v>521</v>
      </c>
      <c r="B395">
        <v>4</v>
      </c>
      <c r="C395" s="19">
        <v>25</v>
      </c>
      <c r="D395" s="20">
        <v>2022</v>
      </c>
      <c r="E395" s="21">
        <f t="shared" si="36"/>
        <v>44676</v>
      </c>
      <c r="F395" s="20">
        <v>393.8</v>
      </c>
      <c r="G395" s="20">
        <v>8141182</v>
      </c>
      <c r="H395" s="20">
        <v>389.42</v>
      </c>
      <c r="I395" s="20">
        <v>394.05840000000001</v>
      </c>
      <c r="J395" s="22">
        <v>385</v>
      </c>
      <c r="K395" s="2">
        <f t="shared" si="37"/>
        <v>38938.359682229937</v>
      </c>
      <c r="L395" s="2">
        <f>IF(B395&lt;&gt;B394,L394*(1+Dashboard!$G$5)+Dashboard!$G$6, L394)</f>
        <v>41165.103867206621</v>
      </c>
      <c r="M395">
        <f t="shared" si="35"/>
        <v>0</v>
      </c>
      <c r="N395">
        <f t="shared" si="38"/>
        <v>98.878516206779935</v>
      </c>
      <c r="O395">
        <f>IF(B395&lt;&gt;B394, Dashboard!$L$6,0)</f>
        <v>0</v>
      </c>
      <c r="P395">
        <f t="shared" si="39"/>
        <v>94.101519466974622</v>
      </c>
      <c r="Q395">
        <f>IF(B395&lt;&gt;B394,IF(F395&lt;=AVERAGE(F373:F394),Dashboard!$N$6-Dashboard!$G$7,Dashboard!$N$6+Dashboard!$G$7),0)</f>
        <v>0</v>
      </c>
      <c r="R395">
        <f t="shared" si="40"/>
        <v>92.606843437821695</v>
      </c>
    </row>
    <row r="396" spans="1:18" x14ac:dyDescent="0.3">
      <c r="A396" t="s">
        <v>520</v>
      </c>
      <c r="B396">
        <v>4</v>
      </c>
      <c r="C396" s="19">
        <v>26</v>
      </c>
      <c r="D396" s="20">
        <v>2022</v>
      </c>
      <c r="E396" s="21">
        <f t="shared" si="36"/>
        <v>44677</v>
      </c>
      <c r="F396" s="20">
        <v>382.54</v>
      </c>
      <c r="G396" s="20">
        <v>8492984</v>
      </c>
      <c r="H396" s="20">
        <v>391.4</v>
      </c>
      <c r="I396" s="20">
        <v>391.59</v>
      </c>
      <c r="J396" s="22">
        <v>382.44</v>
      </c>
      <c r="K396" s="2">
        <f t="shared" si="37"/>
        <v>37824.987589741599</v>
      </c>
      <c r="L396" s="2">
        <f>IF(B396&lt;&gt;B395,L395*(1+Dashboard!$G$5)+Dashboard!$G$6, L395)</f>
        <v>41165.103867206621</v>
      </c>
      <c r="M396">
        <f t="shared" si="35"/>
        <v>0</v>
      </c>
      <c r="N396">
        <f t="shared" si="38"/>
        <v>98.878516206779935</v>
      </c>
      <c r="O396">
        <f>IF(B396&lt;&gt;B395, Dashboard!$L$6,0)</f>
        <v>0</v>
      </c>
      <c r="P396">
        <f t="shared" si="39"/>
        <v>94.101519466974622</v>
      </c>
      <c r="Q396">
        <f>IF(B396&lt;&gt;B395,IF(F396&lt;=AVERAGE(F374:F395),Dashboard!$N$6-Dashboard!$G$7,Dashboard!$N$6+Dashboard!$G$7),0)</f>
        <v>0</v>
      </c>
      <c r="R396">
        <f t="shared" si="40"/>
        <v>92.606843437821695</v>
      </c>
    </row>
    <row r="397" spans="1:18" x14ac:dyDescent="0.3">
      <c r="A397" t="s">
        <v>519</v>
      </c>
      <c r="B397">
        <v>4</v>
      </c>
      <c r="C397" s="19">
        <v>27</v>
      </c>
      <c r="D397" s="20">
        <v>2022</v>
      </c>
      <c r="E397" s="21">
        <f t="shared" si="36"/>
        <v>44678</v>
      </c>
      <c r="F397" s="20">
        <v>383.53</v>
      </c>
      <c r="G397" s="20">
        <v>6415702</v>
      </c>
      <c r="H397" s="20">
        <v>383.5</v>
      </c>
      <c r="I397" s="20">
        <v>388.75</v>
      </c>
      <c r="J397" s="22">
        <v>381.5</v>
      </c>
      <c r="K397" s="2">
        <f t="shared" si="37"/>
        <v>37922.877320786305</v>
      </c>
      <c r="L397" s="2">
        <f>IF(B397&lt;&gt;B396,L396*(1+Dashboard!$G$5)+Dashboard!$G$6, L396)</f>
        <v>41165.103867206621</v>
      </c>
      <c r="M397">
        <f t="shared" si="35"/>
        <v>0</v>
      </c>
      <c r="N397">
        <f t="shared" si="38"/>
        <v>98.878516206779935</v>
      </c>
      <c r="O397">
        <f>IF(B397&lt;&gt;B396, Dashboard!$L$6,0)</f>
        <v>0</v>
      </c>
      <c r="P397">
        <f t="shared" si="39"/>
        <v>94.101519466974622</v>
      </c>
      <c r="Q397">
        <f>IF(B397&lt;&gt;B396,IF(F397&lt;=AVERAGE(F375:F396),Dashboard!$N$6-Dashboard!$G$7,Dashboard!$N$6+Dashboard!$G$7),0)</f>
        <v>0</v>
      </c>
      <c r="R397">
        <f t="shared" si="40"/>
        <v>92.606843437821695</v>
      </c>
    </row>
    <row r="398" spans="1:18" x14ac:dyDescent="0.3">
      <c r="A398" t="s">
        <v>518</v>
      </c>
      <c r="B398">
        <v>4</v>
      </c>
      <c r="C398" s="19">
        <v>28</v>
      </c>
      <c r="D398" s="20">
        <v>2022</v>
      </c>
      <c r="E398" s="21">
        <f t="shared" si="36"/>
        <v>44679</v>
      </c>
      <c r="F398" s="20">
        <v>393.14</v>
      </c>
      <c r="G398" s="20">
        <v>7036192</v>
      </c>
      <c r="H398" s="20">
        <v>388.23</v>
      </c>
      <c r="I398" s="20">
        <v>394.9</v>
      </c>
      <c r="J398" s="22">
        <v>383.87</v>
      </c>
      <c r="K398" s="2">
        <f t="shared" si="37"/>
        <v>38873.099861533461</v>
      </c>
      <c r="L398" s="2">
        <f>IF(B398&lt;&gt;B397,L397*(1+Dashboard!$G$5)+Dashboard!$G$6, L397)</f>
        <v>41165.103867206621</v>
      </c>
      <c r="M398">
        <f t="shared" si="35"/>
        <v>0</v>
      </c>
      <c r="N398">
        <f t="shared" si="38"/>
        <v>98.878516206779935</v>
      </c>
      <c r="O398">
        <f>IF(B398&lt;&gt;B397, Dashboard!$L$6,0)</f>
        <v>0</v>
      </c>
      <c r="P398">
        <f t="shared" si="39"/>
        <v>94.101519466974622</v>
      </c>
      <c r="Q398">
        <f>IF(B398&lt;&gt;B397,IF(F398&lt;=AVERAGE(F376:F397),Dashboard!$N$6-Dashboard!$G$7,Dashboard!$N$6+Dashboard!$G$7),0)</f>
        <v>0</v>
      </c>
      <c r="R398">
        <f t="shared" si="40"/>
        <v>92.606843437821695</v>
      </c>
    </row>
    <row r="399" spans="1:18" x14ac:dyDescent="0.3">
      <c r="A399" t="s">
        <v>517</v>
      </c>
      <c r="B399">
        <v>4</v>
      </c>
      <c r="C399" s="19">
        <v>29</v>
      </c>
      <c r="D399" s="20">
        <v>2022</v>
      </c>
      <c r="E399" s="21">
        <f t="shared" si="36"/>
        <v>44680</v>
      </c>
      <c r="F399" s="20">
        <v>378.7</v>
      </c>
      <c r="G399" s="20">
        <v>8221944</v>
      </c>
      <c r="H399" s="20">
        <v>389.42</v>
      </c>
      <c r="I399" s="20">
        <v>391.45</v>
      </c>
      <c r="J399" s="22">
        <v>378</v>
      </c>
      <c r="K399" s="2">
        <f t="shared" si="37"/>
        <v>37445.294087507558</v>
      </c>
      <c r="L399" s="2">
        <f>IF(B399&lt;&gt;B398,L398*(1+Dashboard!$G$5)+Dashboard!$G$6, L398)</f>
        <v>41165.103867206621</v>
      </c>
      <c r="M399">
        <f t="shared" si="35"/>
        <v>0</v>
      </c>
      <c r="N399">
        <f t="shared" si="38"/>
        <v>98.878516206779935</v>
      </c>
      <c r="O399">
        <f>IF(B399&lt;&gt;B398, Dashboard!$L$6,0)</f>
        <v>0</v>
      </c>
      <c r="P399">
        <f t="shared" si="39"/>
        <v>94.101519466974622</v>
      </c>
      <c r="Q399">
        <f>IF(B399&lt;&gt;B398,IF(F399&lt;=AVERAGE(F377:F398),Dashboard!$N$6-Dashboard!$G$7,Dashboard!$N$6+Dashboard!$G$7),0)</f>
        <v>0</v>
      </c>
      <c r="R399">
        <f t="shared" si="40"/>
        <v>92.606843437821695</v>
      </c>
    </row>
    <row r="400" spans="1:18" x14ac:dyDescent="0.3">
      <c r="A400" s="1">
        <v>44597</v>
      </c>
      <c r="B400">
        <v>5</v>
      </c>
      <c r="C400" s="19">
        <v>2</v>
      </c>
      <c r="D400" s="20">
        <v>2022</v>
      </c>
      <c r="E400" s="21">
        <f t="shared" si="36"/>
        <v>44683</v>
      </c>
      <c r="F400" s="20">
        <v>381.08</v>
      </c>
      <c r="G400" s="20">
        <v>10737020</v>
      </c>
      <c r="H400" s="20">
        <v>378.79</v>
      </c>
      <c r="I400" s="20">
        <v>382.27</v>
      </c>
      <c r="J400" s="22">
        <v>372.33</v>
      </c>
      <c r="K400" s="2">
        <f t="shared" si="37"/>
        <v>37680.624956079693</v>
      </c>
      <c r="L400" s="2">
        <f>IF(B400&lt;&gt;B399,L399*(1+Dashboard!$G$5)+Dashboard!$G$6, L399)</f>
        <v>43527.356781238035</v>
      </c>
      <c r="M400">
        <f t="shared" si="35"/>
        <v>5846.731825158342</v>
      </c>
      <c r="N400">
        <f t="shared" si="38"/>
        <v>98.878516206779935</v>
      </c>
      <c r="O400">
        <f>IF(B400&lt;&gt;B399, Dashboard!$L$6,0)</f>
        <v>1859.7282542371197</v>
      </c>
      <c r="P400">
        <f t="shared" si="39"/>
        <v>98.981671283488524</v>
      </c>
      <c r="Q400">
        <f>IF(B400&lt;&gt;B399,IF(F400&lt;=AVERAGE(F378:F399),Dashboard!$N$6-Dashboard!$G$7,Dashboard!$N$6+Dashboard!$G$7),0)</f>
        <v>1232.609610169322</v>
      </c>
      <c r="R400">
        <f t="shared" si="40"/>
        <v>95.860914585870276</v>
      </c>
    </row>
    <row r="401" spans="1:18" x14ac:dyDescent="0.3">
      <c r="A401" s="1">
        <v>44625</v>
      </c>
      <c r="B401">
        <v>5</v>
      </c>
      <c r="C401" s="19">
        <v>3</v>
      </c>
      <c r="D401" s="20">
        <v>2022</v>
      </c>
      <c r="E401" s="21">
        <f t="shared" si="36"/>
        <v>44684</v>
      </c>
      <c r="F401" s="20">
        <v>382.73</v>
      </c>
      <c r="G401" s="20">
        <v>5607696</v>
      </c>
      <c r="H401" s="20">
        <v>381.62</v>
      </c>
      <c r="I401" s="20">
        <v>385.05560000000003</v>
      </c>
      <c r="J401" s="22">
        <v>380</v>
      </c>
      <c r="K401" s="2">
        <f t="shared" si="37"/>
        <v>43715.821509612775</v>
      </c>
      <c r="L401" s="2">
        <f>IF(B401&lt;&gt;B400,L400*(1+Dashboard!$G$5)+Dashboard!$G$6, L400)</f>
        <v>43527.356781238035</v>
      </c>
      <c r="M401">
        <f t="shared" si="35"/>
        <v>0</v>
      </c>
      <c r="N401">
        <f t="shared" si="38"/>
        <v>114.22104749983741</v>
      </c>
      <c r="O401">
        <f>IF(B401&lt;&gt;B400, Dashboard!$L$6,0)</f>
        <v>0</v>
      </c>
      <c r="P401">
        <f t="shared" si="39"/>
        <v>98.981671283488524</v>
      </c>
      <c r="Q401">
        <f>IF(B401&lt;&gt;B400,IF(F401&lt;=AVERAGE(F379:F400),Dashboard!$N$6-Dashboard!$G$7,Dashboard!$N$6+Dashboard!$G$7),0)</f>
        <v>0</v>
      </c>
      <c r="R401">
        <f t="shared" si="40"/>
        <v>95.860914585870276</v>
      </c>
    </row>
    <row r="402" spans="1:18" x14ac:dyDescent="0.3">
      <c r="A402" s="1">
        <v>44656</v>
      </c>
      <c r="B402">
        <v>5</v>
      </c>
      <c r="C402" s="19">
        <v>4</v>
      </c>
      <c r="D402" s="20">
        <v>2022</v>
      </c>
      <c r="E402" s="21">
        <f t="shared" si="36"/>
        <v>44685</v>
      </c>
      <c r="F402" s="20">
        <v>394.34</v>
      </c>
      <c r="G402" s="20">
        <v>7367547</v>
      </c>
      <c r="H402" s="20">
        <v>383.35</v>
      </c>
      <c r="I402" s="20">
        <v>394.92500000000001</v>
      </c>
      <c r="J402" s="22">
        <v>380.28</v>
      </c>
      <c r="K402" s="2">
        <f t="shared" si="37"/>
        <v>45041.927871085885</v>
      </c>
      <c r="L402" s="2">
        <f>IF(B402&lt;&gt;B401,L401*(1+Dashboard!$G$5)+Dashboard!$G$6, L401)</f>
        <v>43527.356781238035</v>
      </c>
      <c r="M402">
        <f t="shared" si="35"/>
        <v>0</v>
      </c>
      <c r="N402">
        <f t="shared" si="38"/>
        <v>114.22104749983741</v>
      </c>
      <c r="O402">
        <f>IF(B402&lt;&gt;B401, Dashboard!$L$6,0)</f>
        <v>0</v>
      </c>
      <c r="P402">
        <f t="shared" si="39"/>
        <v>98.981671283488524</v>
      </c>
      <c r="Q402">
        <f>IF(B402&lt;&gt;B401,IF(F402&lt;=AVERAGE(F380:F401),Dashboard!$N$6-Dashboard!$G$7,Dashboard!$N$6+Dashboard!$G$7),0)</f>
        <v>0</v>
      </c>
      <c r="R402">
        <f t="shared" si="40"/>
        <v>95.860914585870276</v>
      </c>
    </row>
    <row r="403" spans="1:18" x14ac:dyDescent="0.3">
      <c r="A403" s="1">
        <v>44686</v>
      </c>
      <c r="B403">
        <v>5</v>
      </c>
      <c r="C403" s="19">
        <v>5</v>
      </c>
      <c r="D403" s="20">
        <v>2022</v>
      </c>
      <c r="E403" s="21">
        <f t="shared" si="36"/>
        <v>44686</v>
      </c>
      <c r="F403" s="20">
        <v>380.49</v>
      </c>
      <c r="G403" s="20">
        <v>10477250</v>
      </c>
      <c r="H403" s="20">
        <v>390.22</v>
      </c>
      <c r="I403" s="20">
        <v>390.31</v>
      </c>
      <c r="J403" s="22">
        <v>376.35</v>
      </c>
      <c r="K403" s="2">
        <f t="shared" si="37"/>
        <v>43459.966363213134</v>
      </c>
      <c r="L403" s="2">
        <f>IF(B403&lt;&gt;B402,L402*(1+Dashboard!$G$5)+Dashboard!$G$6, L402)</f>
        <v>43527.356781238035</v>
      </c>
      <c r="M403">
        <f t="shared" si="35"/>
        <v>0</v>
      </c>
      <c r="N403">
        <f t="shared" si="38"/>
        <v>114.22104749983741</v>
      </c>
      <c r="O403">
        <f>IF(B403&lt;&gt;B402, Dashboard!$L$6,0)</f>
        <v>0</v>
      </c>
      <c r="P403">
        <f t="shared" si="39"/>
        <v>98.981671283488524</v>
      </c>
      <c r="Q403">
        <f>IF(B403&lt;&gt;B402,IF(F403&lt;=AVERAGE(F381:F402),Dashboard!$N$6-Dashboard!$G$7,Dashboard!$N$6+Dashboard!$G$7),0)</f>
        <v>0</v>
      </c>
      <c r="R403">
        <f t="shared" si="40"/>
        <v>95.860914585870276</v>
      </c>
    </row>
    <row r="404" spans="1:18" x14ac:dyDescent="0.3">
      <c r="A404" s="1">
        <v>44717</v>
      </c>
      <c r="B404">
        <v>5</v>
      </c>
      <c r="C404" s="19">
        <v>6</v>
      </c>
      <c r="D404" s="20">
        <v>2022</v>
      </c>
      <c r="E404" s="21">
        <f t="shared" si="36"/>
        <v>44687</v>
      </c>
      <c r="F404" s="20">
        <v>378.1</v>
      </c>
      <c r="G404" s="20">
        <v>7959647</v>
      </c>
      <c r="H404" s="20">
        <v>378.01</v>
      </c>
      <c r="I404" s="20">
        <v>381.28</v>
      </c>
      <c r="J404" s="22">
        <v>372.95</v>
      </c>
      <c r="K404" s="2">
        <f t="shared" si="37"/>
        <v>43186.978059688525</v>
      </c>
      <c r="L404" s="2">
        <f>IF(B404&lt;&gt;B403,L403*(1+Dashboard!$G$5)+Dashboard!$G$6, L403)</f>
        <v>43527.356781238035</v>
      </c>
      <c r="M404">
        <f t="shared" si="35"/>
        <v>0</v>
      </c>
      <c r="N404">
        <f t="shared" si="38"/>
        <v>114.22104749983741</v>
      </c>
      <c r="O404">
        <f>IF(B404&lt;&gt;B403, Dashboard!$L$6,0)</f>
        <v>0</v>
      </c>
      <c r="P404">
        <f t="shared" si="39"/>
        <v>98.981671283488524</v>
      </c>
      <c r="Q404">
        <f>IF(B404&lt;&gt;B403,IF(F404&lt;=AVERAGE(F382:F403),Dashboard!$N$6-Dashboard!$G$7,Dashboard!$N$6+Dashboard!$G$7),0)</f>
        <v>0</v>
      </c>
      <c r="R404">
        <f t="shared" si="40"/>
        <v>95.860914585870276</v>
      </c>
    </row>
    <row r="405" spans="1:18" x14ac:dyDescent="0.3">
      <c r="A405" s="1">
        <v>44809</v>
      </c>
      <c r="B405">
        <v>5</v>
      </c>
      <c r="C405" s="19">
        <v>9</v>
      </c>
      <c r="D405" s="20">
        <v>2022</v>
      </c>
      <c r="E405" s="21">
        <f t="shared" si="36"/>
        <v>44690</v>
      </c>
      <c r="F405" s="20">
        <v>365.9</v>
      </c>
      <c r="G405" s="20">
        <v>10793230</v>
      </c>
      <c r="H405" s="20">
        <v>372.36</v>
      </c>
      <c r="I405" s="20">
        <v>373.56</v>
      </c>
      <c r="J405" s="22">
        <v>364.5</v>
      </c>
      <c r="K405" s="2">
        <f t="shared" si="37"/>
        <v>41793.481280190506</v>
      </c>
      <c r="L405" s="2">
        <f>IF(B405&lt;&gt;B404,L404*(1+Dashboard!$G$5)+Dashboard!$G$6, L404)</f>
        <v>43527.356781238035</v>
      </c>
      <c r="M405">
        <f t="shared" si="35"/>
        <v>0</v>
      </c>
      <c r="N405">
        <f t="shared" si="38"/>
        <v>114.22104749983741</v>
      </c>
      <c r="O405">
        <f>IF(B405&lt;&gt;B404, Dashboard!$L$6,0)</f>
        <v>0</v>
      </c>
      <c r="P405">
        <f t="shared" si="39"/>
        <v>98.981671283488524</v>
      </c>
      <c r="Q405">
        <f>IF(B405&lt;&gt;B404,IF(F405&lt;=AVERAGE(F383:F404),Dashboard!$N$6-Dashboard!$G$7,Dashboard!$N$6+Dashboard!$G$7),0)</f>
        <v>0</v>
      </c>
      <c r="R405">
        <f t="shared" si="40"/>
        <v>95.860914585870276</v>
      </c>
    </row>
    <row r="406" spans="1:18" x14ac:dyDescent="0.3">
      <c r="A406" s="1">
        <v>44839</v>
      </c>
      <c r="B406">
        <v>5</v>
      </c>
      <c r="C406" s="19">
        <v>10</v>
      </c>
      <c r="D406" s="20">
        <v>2022</v>
      </c>
      <c r="E406" s="21">
        <f t="shared" si="36"/>
        <v>44691</v>
      </c>
      <c r="F406" s="20">
        <v>366.84</v>
      </c>
      <c r="G406" s="20">
        <v>7870750</v>
      </c>
      <c r="H406" s="20">
        <v>371.9</v>
      </c>
      <c r="I406" s="20">
        <v>373.22</v>
      </c>
      <c r="J406" s="22">
        <v>362.91</v>
      </c>
      <c r="K406" s="2">
        <f t="shared" si="37"/>
        <v>41900.849064840353</v>
      </c>
      <c r="L406" s="2">
        <f>IF(B406&lt;&gt;B405,L405*(1+Dashboard!$G$5)+Dashboard!$G$6, L405)</f>
        <v>43527.356781238035</v>
      </c>
      <c r="M406">
        <f t="shared" si="35"/>
        <v>0</v>
      </c>
      <c r="N406">
        <f t="shared" si="38"/>
        <v>114.22104749983741</v>
      </c>
      <c r="O406">
        <f>IF(B406&lt;&gt;B405, Dashboard!$L$6,0)</f>
        <v>0</v>
      </c>
      <c r="P406">
        <f t="shared" si="39"/>
        <v>98.981671283488524</v>
      </c>
      <c r="Q406">
        <f>IF(B406&lt;&gt;B405,IF(F406&lt;=AVERAGE(F384:F405),Dashboard!$N$6-Dashboard!$G$7,Dashboard!$N$6+Dashboard!$G$7),0)</f>
        <v>0</v>
      </c>
      <c r="R406">
        <f t="shared" si="40"/>
        <v>95.860914585870276</v>
      </c>
    </row>
    <row r="407" spans="1:18" x14ac:dyDescent="0.3">
      <c r="A407" s="1">
        <v>44870</v>
      </c>
      <c r="B407">
        <v>5</v>
      </c>
      <c r="C407" s="19">
        <v>11</v>
      </c>
      <c r="D407" s="20">
        <v>2022</v>
      </c>
      <c r="E407" s="21">
        <f t="shared" si="36"/>
        <v>44692</v>
      </c>
      <c r="F407" s="20">
        <v>360.93</v>
      </c>
      <c r="G407" s="20">
        <v>8026944</v>
      </c>
      <c r="H407" s="20">
        <v>365.97</v>
      </c>
      <c r="I407" s="20">
        <v>371.36</v>
      </c>
      <c r="J407" s="22">
        <v>360.27</v>
      </c>
      <c r="K407" s="2">
        <f t="shared" si="37"/>
        <v>41225.802674116319</v>
      </c>
      <c r="L407" s="2">
        <f>IF(B407&lt;&gt;B406,L406*(1+Dashboard!$G$5)+Dashboard!$G$6, L406)</f>
        <v>43527.356781238035</v>
      </c>
      <c r="M407">
        <f t="shared" si="35"/>
        <v>0</v>
      </c>
      <c r="N407">
        <f t="shared" si="38"/>
        <v>114.22104749983741</v>
      </c>
      <c r="O407">
        <f>IF(B407&lt;&gt;B406, Dashboard!$L$6,0)</f>
        <v>0</v>
      </c>
      <c r="P407">
        <f t="shared" si="39"/>
        <v>98.981671283488524</v>
      </c>
      <c r="Q407">
        <f>IF(B407&lt;&gt;B406,IF(F407&lt;=AVERAGE(F385:F406),Dashboard!$N$6-Dashboard!$G$7,Dashboard!$N$6+Dashboard!$G$7),0)</f>
        <v>0</v>
      </c>
      <c r="R407">
        <f t="shared" si="40"/>
        <v>95.860914585870276</v>
      </c>
    </row>
    <row r="408" spans="1:18" x14ac:dyDescent="0.3">
      <c r="A408" s="1">
        <v>44900</v>
      </c>
      <c r="B408">
        <v>5</v>
      </c>
      <c r="C408" s="19">
        <v>12</v>
      </c>
      <c r="D408" s="20">
        <v>2022</v>
      </c>
      <c r="E408" s="21">
        <f t="shared" si="36"/>
        <v>44693</v>
      </c>
      <c r="F408" s="20">
        <v>360.65</v>
      </c>
      <c r="G408" s="20">
        <v>7679237</v>
      </c>
      <c r="H408" s="20">
        <v>357.83499999999998</v>
      </c>
      <c r="I408" s="20">
        <v>363.75</v>
      </c>
      <c r="J408" s="22">
        <v>354.02</v>
      </c>
      <c r="K408" s="2">
        <f t="shared" si="37"/>
        <v>41193.820780816357</v>
      </c>
      <c r="L408" s="2">
        <f>IF(B408&lt;&gt;B407,L407*(1+Dashboard!$G$5)+Dashboard!$G$6, L407)</f>
        <v>43527.356781238035</v>
      </c>
      <c r="M408">
        <f t="shared" si="35"/>
        <v>0</v>
      </c>
      <c r="N408">
        <f t="shared" si="38"/>
        <v>114.22104749983741</v>
      </c>
      <c r="O408">
        <f>IF(B408&lt;&gt;B407, Dashboard!$L$6,0)</f>
        <v>0</v>
      </c>
      <c r="P408">
        <f t="shared" si="39"/>
        <v>98.981671283488524</v>
      </c>
      <c r="Q408">
        <f>IF(B408&lt;&gt;B407,IF(F408&lt;=AVERAGE(F386:F407),Dashboard!$N$6-Dashboard!$G$7,Dashboard!$N$6+Dashboard!$G$7),0)</f>
        <v>0</v>
      </c>
      <c r="R408">
        <f t="shared" si="40"/>
        <v>95.860914585870276</v>
      </c>
    </row>
    <row r="409" spans="1:18" x14ac:dyDescent="0.3">
      <c r="A409" t="s">
        <v>516</v>
      </c>
      <c r="B409">
        <v>5</v>
      </c>
      <c r="C409" s="19">
        <v>13</v>
      </c>
      <c r="D409" s="20">
        <v>2022</v>
      </c>
      <c r="E409" s="21">
        <f t="shared" si="36"/>
        <v>44694</v>
      </c>
      <c r="F409" s="20">
        <v>369.16</v>
      </c>
      <c r="G409" s="20">
        <v>5377437</v>
      </c>
      <c r="H409" s="20">
        <v>364.73</v>
      </c>
      <c r="I409" s="20">
        <v>370.58</v>
      </c>
      <c r="J409" s="22">
        <v>363.64159999999998</v>
      </c>
      <c r="K409" s="2">
        <f t="shared" si="37"/>
        <v>42165.841895039979</v>
      </c>
      <c r="L409" s="2">
        <f>IF(B409&lt;&gt;B408,L408*(1+Dashboard!$G$5)+Dashboard!$G$6, L408)</f>
        <v>43527.356781238035</v>
      </c>
      <c r="M409">
        <f t="shared" ref="M409:M472" si="41">IF(B409&lt;&gt;B408,IF((L409-K409&gt;0),L409-K409,0),0)</f>
        <v>0</v>
      </c>
      <c r="N409">
        <f t="shared" si="38"/>
        <v>114.22104749983741</v>
      </c>
      <c r="O409">
        <f>IF(B409&lt;&gt;B408, Dashboard!$L$6,0)</f>
        <v>0</v>
      </c>
      <c r="P409">
        <f t="shared" si="39"/>
        <v>98.981671283488524</v>
      </c>
      <c r="Q409">
        <f>IF(B409&lt;&gt;B408,IF(F409&lt;=AVERAGE(F387:F408),Dashboard!$N$6-Dashboard!$G$7,Dashboard!$N$6+Dashboard!$G$7),0)</f>
        <v>0</v>
      </c>
      <c r="R409">
        <f t="shared" si="40"/>
        <v>95.860914585870276</v>
      </c>
    </row>
    <row r="410" spans="1:18" x14ac:dyDescent="0.3">
      <c r="A410" t="s">
        <v>515</v>
      </c>
      <c r="B410">
        <v>5</v>
      </c>
      <c r="C410" s="19">
        <v>16</v>
      </c>
      <c r="D410" s="20">
        <v>2022</v>
      </c>
      <c r="E410" s="21">
        <f t="shared" si="36"/>
        <v>44697</v>
      </c>
      <c r="F410" s="20">
        <v>367.84</v>
      </c>
      <c r="G410" s="20">
        <v>4719840</v>
      </c>
      <c r="H410" s="20">
        <v>367.71</v>
      </c>
      <c r="I410" s="20">
        <v>371.35</v>
      </c>
      <c r="J410" s="22">
        <v>365.45</v>
      </c>
      <c r="K410" s="2">
        <f t="shared" si="37"/>
        <v>42015.070112340189</v>
      </c>
      <c r="L410" s="2">
        <f>IF(B410&lt;&gt;B409,L409*(1+Dashboard!$G$5)+Dashboard!$G$6, L409)</f>
        <v>43527.356781238035</v>
      </c>
      <c r="M410">
        <f t="shared" si="41"/>
        <v>0</v>
      </c>
      <c r="N410">
        <f t="shared" si="38"/>
        <v>114.22104749983741</v>
      </c>
      <c r="O410">
        <f>IF(B410&lt;&gt;B409, Dashboard!$L$6,0)</f>
        <v>0</v>
      </c>
      <c r="P410">
        <f t="shared" si="39"/>
        <v>98.981671283488524</v>
      </c>
      <c r="Q410">
        <f>IF(B410&lt;&gt;B409,IF(F410&lt;=AVERAGE(F388:F409),Dashboard!$N$6-Dashboard!$G$7,Dashboard!$N$6+Dashboard!$G$7),0)</f>
        <v>0</v>
      </c>
      <c r="R410">
        <f t="shared" si="40"/>
        <v>95.860914585870276</v>
      </c>
    </row>
    <row r="411" spans="1:18" x14ac:dyDescent="0.3">
      <c r="A411" t="s">
        <v>514</v>
      </c>
      <c r="B411">
        <v>5</v>
      </c>
      <c r="C411" s="19">
        <v>17</v>
      </c>
      <c r="D411" s="20">
        <v>2022</v>
      </c>
      <c r="E411" s="21">
        <f t="shared" si="36"/>
        <v>44698</v>
      </c>
      <c r="F411" s="20">
        <v>375.2</v>
      </c>
      <c r="G411" s="20">
        <v>4513309</v>
      </c>
      <c r="H411" s="20">
        <v>373.66</v>
      </c>
      <c r="I411" s="20">
        <v>375.56</v>
      </c>
      <c r="J411" s="22">
        <v>370.08</v>
      </c>
      <c r="K411" s="2">
        <f t="shared" si="37"/>
        <v>42855.737021938992</v>
      </c>
      <c r="L411" s="2">
        <f>IF(B411&lt;&gt;B410,L410*(1+Dashboard!$G$5)+Dashboard!$G$6, L410)</f>
        <v>43527.356781238035</v>
      </c>
      <c r="M411">
        <f t="shared" si="41"/>
        <v>0</v>
      </c>
      <c r="N411">
        <f t="shared" si="38"/>
        <v>114.22104749983741</v>
      </c>
      <c r="O411">
        <f>IF(B411&lt;&gt;B410, Dashboard!$L$6,0)</f>
        <v>0</v>
      </c>
      <c r="P411">
        <f t="shared" si="39"/>
        <v>98.981671283488524</v>
      </c>
      <c r="Q411">
        <f>IF(B411&lt;&gt;B410,IF(F411&lt;=AVERAGE(F389:F410),Dashboard!$N$6-Dashboard!$G$7,Dashboard!$N$6+Dashboard!$G$7),0)</f>
        <v>0</v>
      </c>
      <c r="R411">
        <f t="shared" si="40"/>
        <v>95.860914585870276</v>
      </c>
    </row>
    <row r="412" spans="1:18" x14ac:dyDescent="0.3">
      <c r="A412" t="s">
        <v>513</v>
      </c>
      <c r="B412">
        <v>5</v>
      </c>
      <c r="C412" s="19">
        <v>18</v>
      </c>
      <c r="D412" s="20">
        <v>2022</v>
      </c>
      <c r="E412" s="21">
        <f t="shared" si="36"/>
        <v>44699</v>
      </c>
      <c r="F412" s="20">
        <v>360.34</v>
      </c>
      <c r="G412" s="20">
        <v>6883570</v>
      </c>
      <c r="H412" s="20">
        <v>370.98</v>
      </c>
      <c r="I412" s="20">
        <v>371.16</v>
      </c>
      <c r="J412" s="22">
        <v>359</v>
      </c>
      <c r="K412" s="2">
        <f t="shared" si="37"/>
        <v>41158.412256091411</v>
      </c>
      <c r="L412" s="2">
        <f>IF(B412&lt;&gt;B411,L411*(1+Dashboard!$G$5)+Dashboard!$G$6, L411)</f>
        <v>43527.356781238035</v>
      </c>
      <c r="M412">
        <f t="shared" si="41"/>
        <v>0</v>
      </c>
      <c r="N412">
        <f t="shared" si="38"/>
        <v>114.22104749983741</v>
      </c>
      <c r="O412">
        <f>IF(B412&lt;&gt;B411, Dashboard!$L$6,0)</f>
        <v>0</v>
      </c>
      <c r="P412">
        <f t="shared" si="39"/>
        <v>98.981671283488524</v>
      </c>
      <c r="Q412">
        <f>IF(B412&lt;&gt;B411,IF(F412&lt;=AVERAGE(F390:F411),Dashboard!$N$6-Dashboard!$G$7,Dashboard!$N$6+Dashboard!$G$7),0)</f>
        <v>0</v>
      </c>
      <c r="R412">
        <f t="shared" si="40"/>
        <v>95.860914585870276</v>
      </c>
    </row>
    <row r="413" spans="1:18" x14ac:dyDescent="0.3">
      <c r="A413" t="s">
        <v>512</v>
      </c>
      <c r="B413">
        <v>5</v>
      </c>
      <c r="C413" s="19">
        <v>19</v>
      </c>
      <c r="D413" s="20">
        <v>2022</v>
      </c>
      <c r="E413" s="21">
        <f t="shared" si="36"/>
        <v>44700</v>
      </c>
      <c r="F413" s="20">
        <v>357.93</v>
      </c>
      <c r="G413" s="20">
        <v>6359477</v>
      </c>
      <c r="H413" s="20">
        <v>357.17</v>
      </c>
      <c r="I413" s="20">
        <v>362.23</v>
      </c>
      <c r="J413" s="22">
        <v>355.85</v>
      </c>
      <c r="K413" s="2">
        <f t="shared" si="37"/>
        <v>40883.139531616805</v>
      </c>
      <c r="L413" s="2">
        <f>IF(B413&lt;&gt;B412,L412*(1+Dashboard!$G$5)+Dashboard!$G$6, L412)</f>
        <v>43527.356781238035</v>
      </c>
      <c r="M413">
        <f t="shared" si="41"/>
        <v>0</v>
      </c>
      <c r="N413">
        <f t="shared" si="38"/>
        <v>114.22104749983741</v>
      </c>
      <c r="O413">
        <f>IF(B413&lt;&gt;B412, Dashboard!$L$6,0)</f>
        <v>0</v>
      </c>
      <c r="P413">
        <f t="shared" si="39"/>
        <v>98.981671283488524</v>
      </c>
      <c r="Q413">
        <f>IF(B413&lt;&gt;B412,IF(F413&lt;=AVERAGE(F391:F412),Dashboard!$N$6-Dashboard!$G$7,Dashboard!$N$6+Dashboard!$G$7),0)</f>
        <v>0</v>
      </c>
      <c r="R413">
        <f t="shared" si="40"/>
        <v>95.860914585870276</v>
      </c>
    </row>
    <row r="414" spans="1:18" x14ac:dyDescent="0.3">
      <c r="A414" t="s">
        <v>511</v>
      </c>
      <c r="B414">
        <v>5</v>
      </c>
      <c r="C414" s="19">
        <v>20</v>
      </c>
      <c r="D414" s="20">
        <v>2022</v>
      </c>
      <c r="E414" s="21">
        <f t="shared" si="36"/>
        <v>44701</v>
      </c>
      <c r="F414" s="20">
        <v>358.02</v>
      </c>
      <c r="G414" s="20">
        <v>8755856</v>
      </c>
      <c r="H414" s="20">
        <v>361.41</v>
      </c>
      <c r="I414" s="20">
        <v>361.95</v>
      </c>
      <c r="J414" s="22">
        <v>349.76</v>
      </c>
      <c r="K414" s="2">
        <f t="shared" si="37"/>
        <v>40893.419425891785</v>
      </c>
      <c r="L414" s="2">
        <f>IF(B414&lt;&gt;B413,L413*(1+Dashboard!$G$5)+Dashboard!$G$6, L413)</f>
        <v>43527.356781238035</v>
      </c>
      <c r="M414">
        <f t="shared" si="41"/>
        <v>0</v>
      </c>
      <c r="N414">
        <f t="shared" si="38"/>
        <v>114.22104749983741</v>
      </c>
      <c r="O414">
        <f>IF(B414&lt;&gt;B413, Dashboard!$L$6,0)</f>
        <v>0</v>
      </c>
      <c r="P414">
        <f t="shared" si="39"/>
        <v>98.981671283488524</v>
      </c>
      <c r="Q414">
        <f>IF(B414&lt;&gt;B413,IF(F414&lt;=AVERAGE(F392:F413),Dashboard!$N$6-Dashboard!$G$7,Dashboard!$N$6+Dashboard!$G$7),0)</f>
        <v>0</v>
      </c>
      <c r="R414">
        <f t="shared" si="40"/>
        <v>95.860914585870276</v>
      </c>
    </row>
    <row r="415" spans="1:18" x14ac:dyDescent="0.3">
      <c r="A415" t="s">
        <v>510</v>
      </c>
      <c r="B415">
        <v>5</v>
      </c>
      <c r="C415" s="19">
        <v>23</v>
      </c>
      <c r="D415" s="20">
        <v>2022</v>
      </c>
      <c r="E415" s="21">
        <f t="shared" si="36"/>
        <v>44704</v>
      </c>
      <c r="F415" s="20">
        <v>364.81</v>
      </c>
      <c r="G415" s="20">
        <v>5254915</v>
      </c>
      <c r="H415" s="20">
        <v>361.09</v>
      </c>
      <c r="I415" s="20">
        <v>365.57</v>
      </c>
      <c r="J415" s="22">
        <v>358.85</v>
      </c>
      <c r="K415" s="2">
        <f t="shared" si="37"/>
        <v>41668.980338415684</v>
      </c>
      <c r="L415" s="2">
        <f>IF(B415&lt;&gt;B414,L414*(1+Dashboard!$G$5)+Dashboard!$G$6, L414)</f>
        <v>43527.356781238035</v>
      </c>
      <c r="M415">
        <f t="shared" si="41"/>
        <v>0</v>
      </c>
      <c r="N415">
        <f t="shared" si="38"/>
        <v>114.22104749983741</v>
      </c>
      <c r="O415">
        <f>IF(B415&lt;&gt;B414, Dashboard!$L$6,0)</f>
        <v>0</v>
      </c>
      <c r="P415">
        <f t="shared" si="39"/>
        <v>98.981671283488524</v>
      </c>
      <c r="Q415">
        <f>IF(B415&lt;&gt;B414,IF(F415&lt;=AVERAGE(F393:F414),Dashboard!$N$6-Dashboard!$G$7,Dashboard!$N$6+Dashboard!$G$7),0)</f>
        <v>0</v>
      </c>
      <c r="R415">
        <f t="shared" si="40"/>
        <v>95.860914585870276</v>
      </c>
    </row>
    <row r="416" spans="1:18" x14ac:dyDescent="0.3">
      <c r="A416" t="s">
        <v>509</v>
      </c>
      <c r="B416">
        <v>5</v>
      </c>
      <c r="C416" s="19">
        <v>24</v>
      </c>
      <c r="D416" s="20">
        <v>2022</v>
      </c>
      <c r="E416" s="21">
        <f t="shared" si="36"/>
        <v>44705</v>
      </c>
      <c r="F416" s="20">
        <v>362.18</v>
      </c>
      <c r="G416" s="20">
        <v>5567301</v>
      </c>
      <c r="H416" s="20">
        <v>360.85</v>
      </c>
      <c r="I416" s="20">
        <v>363.21</v>
      </c>
      <c r="J416" s="22">
        <v>355.7</v>
      </c>
      <c r="K416" s="2">
        <f t="shared" si="37"/>
        <v>41368.578983491112</v>
      </c>
      <c r="L416" s="2">
        <f>IF(B416&lt;&gt;B415,L415*(1+Dashboard!$G$5)+Dashboard!$G$6, L415)</f>
        <v>43527.356781238035</v>
      </c>
      <c r="M416">
        <f t="shared" si="41"/>
        <v>0</v>
      </c>
      <c r="N416">
        <f t="shared" si="38"/>
        <v>114.22104749983741</v>
      </c>
      <c r="O416">
        <f>IF(B416&lt;&gt;B415, Dashboard!$L$6,0)</f>
        <v>0</v>
      </c>
      <c r="P416">
        <f t="shared" si="39"/>
        <v>98.981671283488524</v>
      </c>
      <c r="Q416">
        <f>IF(B416&lt;&gt;B415,IF(F416&lt;=AVERAGE(F394:F415),Dashboard!$N$6-Dashboard!$G$7,Dashboard!$N$6+Dashboard!$G$7),0)</f>
        <v>0</v>
      </c>
      <c r="R416">
        <f t="shared" si="40"/>
        <v>95.860914585870276</v>
      </c>
    </row>
    <row r="417" spans="1:18" x14ac:dyDescent="0.3">
      <c r="A417" t="s">
        <v>508</v>
      </c>
      <c r="B417">
        <v>5</v>
      </c>
      <c r="C417" s="19">
        <v>25</v>
      </c>
      <c r="D417" s="20">
        <v>2022</v>
      </c>
      <c r="E417" s="21">
        <f t="shared" si="36"/>
        <v>44706</v>
      </c>
      <c r="F417" s="20">
        <v>365.2</v>
      </c>
      <c r="G417" s="20">
        <v>5704600</v>
      </c>
      <c r="H417" s="20">
        <v>360.54</v>
      </c>
      <c r="I417" s="20">
        <v>367.16</v>
      </c>
      <c r="J417" s="22">
        <v>360.27</v>
      </c>
      <c r="K417" s="2">
        <f t="shared" si="37"/>
        <v>41713.526546940622</v>
      </c>
      <c r="L417" s="2">
        <f>IF(B417&lt;&gt;B416,L416*(1+Dashboard!$G$5)+Dashboard!$G$6, L416)</f>
        <v>43527.356781238035</v>
      </c>
      <c r="M417">
        <f t="shared" si="41"/>
        <v>0</v>
      </c>
      <c r="N417">
        <f t="shared" si="38"/>
        <v>114.22104749983741</v>
      </c>
      <c r="O417">
        <f>IF(B417&lt;&gt;B416, Dashboard!$L$6,0)</f>
        <v>0</v>
      </c>
      <c r="P417">
        <f t="shared" si="39"/>
        <v>98.981671283488524</v>
      </c>
      <c r="Q417">
        <f>IF(B417&lt;&gt;B416,IF(F417&lt;=AVERAGE(F395:F416),Dashboard!$N$6-Dashboard!$G$7,Dashboard!$N$6+Dashboard!$G$7),0)</f>
        <v>0</v>
      </c>
      <c r="R417">
        <f t="shared" si="40"/>
        <v>95.860914585870276</v>
      </c>
    </row>
    <row r="418" spans="1:18" x14ac:dyDescent="0.3">
      <c r="A418" t="s">
        <v>507</v>
      </c>
      <c r="B418">
        <v>5</v>
      </c>
      <c r="C418" s="19">
        <v>26</v>
      </c>
      <c r="D418" s="20">
        <v>2022</v>
      </c>
      <c r="E418" s="21">
        <f t="shared" si="36"/>
        <v>44707</v>
      </c>
      <c r="F418" s="20">
        <v>372.46</v>
      </c>
      <c r="G418" s="20">
        <v>4248253</v>
      </c>
      <c r="H418" s="20">
        <v>366.44499999999999</v>
      </c>
      <c r="I418" s="20">
        <v>374.13</v>
      </c>
      <c r="J418" s="22">
        <v>366.27</v>
      </c>
      <c r="K418" s="2">
        <f t="shared" si="37"/>
        <v>42542.771351789437</v>
      </c>
      <c r="L418" s="2">
        <f>IF(B418&lt;&gt;B417,L417*(1+Dashboard!$G$5)+Dashboard!$G$6, L417)</f>
        <v>43527.356781238035</v>
      </c>
      <c r="M418">
        <f t="shared" si="41"/>
        <v>0</v>
      </c>
      <c r="N418">
        <f t="shared" si="38"/>
        <v>114.22104749983741</v>
      </c>
      <c r="O418">
        <f>IF(B418&lt;&gt;B417, Dashboard!$L$6,0)</f>
        <v>0</v>
      </c>
      <c r="P418">
        <f t="shared" si="39"/>
        <v>98.981671283488524</v>
      </c>
      <c r="Q418">
        <f>IF(B418&lt;&gt;B417,IF(F418&lt;=AVERAGE(F396:F417),Dashboard!$N$6-Dashboard!$G$7,Dashboard!$N$6+Dashboard!$G$7),0)</f>
        <v>0</v>
      </c>
      <c r="R418">
        <f t="shared" si="40"/>
        <v>95.860914585870276</v>
      </c>
    </row>
    <row r="419" spans="1:18" x14ac:dyDescent="0.3">
      <c r="A419" t="s">
        <v>506</v>
      </c>
      <c r="B419">
        <v>5</v>
      </c>
      <c r="C419" s="19">
        <v>27</v>
      </c>
      <c r="D419" s="20">
        <v>2022</v>
      </c>
      <c r="E419" s="21">
        <f t="shared" si="36"/>
        <v>44708</v>
      </c>
      <c r="F419" s="20">
        <v>381.8</v>
      </c>
      <c r="G419" s="20">
        <v>3911790</v>
      </c>
      <c r="H419" s="20">
        <v>374.94</v>
      </c>
      <c r="I419" s="20">
        <v>381.86</v>
      </c>
      <c r="J419" s="22">
        <v>374.8</v>
      </c>
      <c r="K419" s="2">
        <f t="shared" si="37"/>
        <v>43609.595935437923</v>
      </c>
      <c r="L419" s="2">
        <f>IF(B419&lt;&gt;B418,L418*(1+Dashboard!$G$5)+Dashboard!$G$6, L418)</f>
        <v>43527.356781238035</v>
      </c>
      <c r="M419">
        <f t="shared" si="41"/>
        <v>0</v>
      </c>
      <c r="N419">
        <f t="shared" si="38"/>
        <v>114.22104749983741</v>
      </c>
      <c r="O419">
        <f>IF(B419&lt;&gt;B418, Dashboard!$L$6,0)</f>
        <v>0</v>
      </c>
      <c r="P419">
        <f t="shared" si="39"/>
        <v>98.981671283488524</v>
      </c>
      <c r="Q419">
        <f>IF(B419&lt;&gt;B418,IF(F419&lt;=AVERAGE(F397:F418),Dashboard!$N$6-Dashboard!$G$7,Dashboard!$N$6+Dashboard!$G$7),0)</f>
        <v>0</v>
      </c>
      <c r="R419">
        <f t="shared" si="40"/>
        <v>95.860914585870276</v>
      </c>
    </row>
    <row r="420" spans="1:18" x14ac:dyDescent="0.3">
      <c r="A420" t="s">
        <v>505</v>
      </c>
      <c r="B420">
        <v>5</v>
      </c>
      <c r="C420" s="19">
        <v>31</v>
      </c>
      <c r="D420" s="20">
        <v>2022</v>
      </c>
      <c r="E420" s="21">
        <f t="shared" si="36"/>
        <v>44712</v>
      </c>
      <c r="F420" s="20">
        <v>379.68</v>
      </c>
      <c r="G420" s="20">
        <v>5016514</v>
      </c>
      <c r="H420" s="20">
        <v>380.23</v>
      </c>
      <c r="I420" s="20">
        <v>382.85</v>
      </c>
      <c r="J420" s="22">
        <v>376.92</v>
      </c>
      <c r="K420" s="2">
        <f t="shared" si="37"/>
        <v>43367.447314738267</v>
      </c>
      <c r="L420" s="2">
        <f>IF(B420&lt;&gt;B419,L419*(1+Dashboard!$G$5)+Dashboard!$G$6, L419)</f>
        <v>43527.356781238035</v>
      </c>
      <c r="M420">
        <f t="shared" si="41"/>
        <v>0</v>
      </c>
      <c r="N420">
        <f t="shared" si="38"/>
        <v>114.22104749983741</v>
      </c>
      <c r="O420">
        <f>IF(B420&lt;&gt;B419, Dashboard!$L$6,0)</f>
        <v>0</v>
      </c>
      <c r="P420">
        <f t="shared" si="39"/>
        <v>98.981671283488524</v>
      </c>
      <c r="Q420">
        <f>IF(B420&lt;&gt;B419,IF(F420&lt;=AVERAGE(F398:F419),Dashboard!$N$6-Dashboard!$G$7,Dashboard!$N$6+Dashboard!$G$7),0)</f>
        <v>0</v>
      </c>
      <c r="R420">
        <f t="shared" si="40"/>
        <v>95.860914585870276</v>
      </c>
    </row>
    <row r="421" spans="1:18" x14ac:dyDescent="0.3">
      <c r="A421" s="1">
        <v>44567</v>
      </c>
      <c r="B421">
        <v>6</v>
      </c>
      <c r="C421" s="19">
        <v>1</v>
      </c>
      <c r="D421" s="20">
        <v>2022</v>
      </c>
      <c r="E421" s="21">
        <f t="shared" si="36"/>
        <v>44713</v>
      </c>
      <c r="F421" s="20">
        <v>376.5</v>
      </c>
      <c r="G421" s="20">
        <v>4245818</v>
      </c>
      <c r="H421" s="20">
        <v>381.61</v>
      </c>
      <c r="I421" s="20">
        <v>382.64</v>
      </c>
      <c r="J421" s="22">
        <v>374.1</v>
      </c>
      <c r="K421" s="2">
        <f t="shared" si="37"/>
        <v>43004.224383688786</v>
      </c>
      <c r="L421" s="2">
        <f>IF(B421&lt;&gt;B420,L420*(1+Dashboard!$G$5)+Dashboard!$G$6, L420)</f>
        <v>45910.397520912928</v>
      </c>
      <c r="M421">
        <f t="shared" si="41"/>
        <v>2906.1731372241411</v>
      </c>
      <c r="N421">
        <f t="shared" si="38"/>
        <v>114.22104749983741</v>
      </c>
      <c r="O421">
        <f>IF(B421&lt;&gt;B420, Dashboard!$L$6,0)</f>
        <v>1859.7282542371197</v>
      </c>
      <c r="P421">
        <f t="shared" si="39"/>
        <v>103.92118855901872</v>
      </c>
      <c r="Q421">
        <f>IF(B421&lt;&gt;B420,IF(F421&lt;=AVERAGE(F399:F420),Dashboard!$N$6-Dashboard!$G$7,Dashboard!$N$6+Dashboard!$G$7),0)</f>
        <v>2232.609610169322</v>
      </c>
      <c r="R421">
        <f t="shared" si="40"/>
        <v>101.71141538555928</v>
      </c>
    </row>
    <row r="422" spans="1:18" x14ac:dyDescent="0.3">
      <c r="A422" s="1">
        <v>44598</v>
      </c>
      <c r="B422">
        <v>6</v>
      </c>
      <c r="C422" s="19">
        <v>2</v>
      </c>
      <c r="D422" s="20">
        <v>2022</v>
      </c>
      <c r="E422" s="21">
        <f t="shared" si="36"/>
        <v>44714</v>
      </c>
      <c r="F422" s="20">
        <v>383.65</v>
      </c>
      <c r="G422" s="20">
        <v>3273721</v>
      </c>
      <c r="H422" s="20">
        <v>376.41</v>
      </c>
      <c r="I422" s="20">
        <v>383.74</v>
      </c>
      <c r="J422" s="22">
        <v>374.2</v>
      </c>
      <c r="K422" s="2">
        <f t="shared" si="37"/>
        <v>46782.268283926278</v>
      </c>
      <c r="L422" s="2">
        <f>IF(B422&lt;&gt;B421,L421*(1+Dashboard!$G$5)+Dashboard!$G$6, L421)</f>
        <v>45910.397520912928</v>
      </c>
      <c r="M422">
        <f t="shared" si="41"/>
        <v>0</v>
      </c>
      <c r="N422">
        <f t="shared" si="38"/>
        <v>121.93996685501442</v>
      </c>
      <c r="O422">
        <f>IF(B422&lt;&gt;B421, Dashboard!$L$6,0)</f>
        <v>0</v>
      </c>
      <c r="P422">
        <f t="shared" si="39"/>
        <v>103.92118855901872</v>
      </c>
      <c r="Q422">
        <f>IF(B422&lt;&gt;B421,IF(F422&lt;=AVERAGE(F400:F421),Dashboard!$N$6-Dashboard!$G$7,Dashboard!$N$6+Dashboard!$G$7),0)</f>
        <v>0</v>
      </c>
      <c r="R422">
        <f t="shared" si="40"/>
        <v>101.71141538555928</v>
      </c>
    </row>
    <row r="423" spans="1:18" x14ac:dyDescent="0.3">
      <c r="A423" s="1">
        <v>44626</v>
      </c>
      <c r="B423">
        <v>6</v>
      </c>
      <c r="C423" s="19">
        <v>3</v>
      </c>
      <c r="D423" s="20">
        <v>2022</v>
      </c>
      <c r="E423" s="21">
        <f t="shared" si="36"/>
        <v>44715</v>
      </c>
      <c r="F423" s="20">
        <v>377.44</v>
      </c>
      <c r="G423" s="20">
        <v>2749538</v>
      </c>
      <c r="H423" s="20">
        <v>379.11</v>
      </c>
      <c r="I423" s="20">
        <v>380.6</v>
      </c>
      <c r="J423" s="22">
        <v>376.48</v>
      </c>
      <c r="K423" s="2">
        <f t="shared" si="37"/>
        <v>46025.021089756643</v>
      </c>
      <c r="L423" s="2">
        <f>IF(B423&lt;&gt;B422,L422*(1+Dashboard!$G$5)+Dashboard!$G$6, L422)</f>
        <v>45910.397520912928</v>
      </c>
      <c r="M423">
        <f t="shared" si="41"/>
        <v>0</v>
      </c>
      <c r="N423">
        <f t="shared" si="38"/>
        <v>121.93996685501442</v>
      </c>
      <c r="O423">
        <f>IF(B423&lt;&gt;B422, Dashboard!$L$6,0)</f>
        <v>0</v>
      </c>
      <c r="P423">
        <f t="shared" si="39"/>
        <v>103.92118855901872</v>
      </c>
      <c r="Q423">
        <f>IF(B423&lt;&gt;B422,IF(F423&lt;=AVERAGE(F401:F422),Dashboard!$N$6-Dashboard!$G$7,Dashboard!$N$6+Dashboard!$G$7),0)</f>
        <v>0</v>
      </c>
      <c r="R423">
        <f t="shared" si="40"/>
        <v>101.71141538555928</v>
      </c>
    </row>
    <row r="424" spans="1:18" x14ac:dyDescent="0.3">
      <c r="A424" s="1">
        <v>44718</v>
      </c>
      <c r="B424">
        <v>6</v>
      </c>
      <c r="C424" s="19">
        <v>6</v>
      </c>
      <c r="D424" s="20">
        <v>2022</v>
      </c>
      <c r="E424" s="21">
        <f t="shared" si="36"/>
        <v>44718</v>
      </c>
      <c r="F424" s="20">
        <v>378.47</v>
      </c>
      <c r="G424" s="20">
        <v>2659482</v>
      </c>
      <c r="H424" s="20">
        <v>381.33</v>
      </c>
      <c r="I424" s="20">
        <v>382.96</v>
      </c>
      <c r="J424" s="22">
        <v>377.41</v>
      </c>
      <c r="K424" s="2">
        <f t="shared" si="37"/>
        <v>46150.619255617312</v>
      </c>
      <c r="L424" s="2">
        <f>IF(B424&lt;&gt;B423,L423*(1+Dashboard!$G$5)+Dashboard!$G$6, L423)</f>
        <v>45910.397520912928</v>
      </c>
      <c r="M424">
        <f t="shared" si="41"/>
        <v>0</v>
      </c>
      <c r="N424">
        <f t="shared" si="38"/>
        <v>121.93996685501442</v>
      </c>
      <c r="O424">
        <f>IF(B424&lt;&gt;B423, Dashboard!$L$6,0)</f>
        <v>0</v>
      </c>
      <c r="P424">
        <f t="shared" si="39"/>
        <v>103.92118855901872</v>
      </c>
      <c r="Q424">
        <f>IF(B424&lt;&gt;B423,IF(F424&lt;=AVERAGE(F402:F423),Dashboard!$N$6-Dashboard!$G$7,Dashboard!$N$6+Dashboard!$G$7),0)</f>
        <v>0</v>
      </c>
      <c r="R424">
        <f t="shared" si="40"/>
        <v>101.71141538555928</v>
      </c>
    </row>
    <row r="425" spans="1:18" x14ac:dyDescent="0.3">
      <c r="A425" s="1">
        <v>44748</v>
      </c>
      <c r="B425">
        <v>6</v>
      </c>
      <c r="C425" s="19">
        <v>7</v>
      </c>
      <c r="D425" s="20">
        <v>2022</v>
      </c>
      <c r="E425" s="21">
        <f t="shared" si="36"/>
        <v>44719</v>
      </c>
      <c r="F425" s="20">
        <v>382.17</v>
      </c>
      <c r="G425" s="20">
        <v>2649857</v>
      </c>
      <c r="H425" s="20">
        <v>375.16</v>
      </c>
      <c r="I425" s="20">
        <v>382.61</v>
      </c>
      <c r="J425" s="22">
        <v>374.71</v>
      </c>
      <c r="K425" s="2">
        <f t="shared" si="37"/>
        <v>46601.797132980864</v>
      </c>
      <c r="L425" s="2">
        <f>IF(B425&lt;&gt;B424,L424*(1+Dashboard!$G$5)+Dashboard!$G$6, L424)</f>
        <v>45910.397520912928</v>
      </c>
      <c r="M425">
        <f t="shared" si="41"/>
        <v>0</v>
      </c>
      <c r="N425">
        <f t="shared" si="38"/>
        <v>121.93996685501442</v>
      </c>
      <c r="O425">
        <f>IF(B425&lt;&gt;B424, Dashboard!$L$6,0)</f>
        <v>0</v>
      </c>
      <c r="P425">
        <f t="shared" si="39"/>
        <v>103.92118855901872</v>
      </c>
      <c r="Q425">
        <f>IF(B425&lt;&gt;B424,IF(F425&lt;=AVERAGE(F403:F424),Dashboard!$N$6-Dashboard!$G$7,Dashboard!$N$6+Dashboard!$G$7),0)</f>
        <v>0</v>
      </c>
      <c r="R425">
        <f t="shared" si="40"/>
        <v>101.71141538555928</v>
      </c>
    </row>
    <row r="426" spans="1:18" x14ac:dyDescent="0.3">
      <c r="A426" s="1">
        <v>44779</v>
      </c>
      <c r="B426">
        <v>6</v>
      </c>
      <c r="C426" s="19">
        <v>8</v>
      </c>
      <c r="D426" s="20">
        <v>2022</v>
      </c>
      <c r="E426" s="21">
        <f t="shared" si="36"/>
        <v>44720</v>
      </c>
      <c r="F426" s="20">
        <v>377.99</v>
      </c>
      <c r="G426" s="20">
        <v>3436443</v>
      </c>
      <c r="H426" s="20">
        <v>380.5</v>
      </c>
      <c r="I426" s="20">
        <v>382.23</v>
      </c>
      <c r="J426" s="22">
        <v>377.26</v>
      </c>
      <c r="K426" s="2">
        <f t="shared" si="37"/>
        <v>46092.088071526901</v>
      </c>
      <c r="L426" s="2">
        <f>IF(B426&lt;&gt;B425,L425*(1+Dashboard!$G$5)+Dashboard!$G$6, L425)</f>
        <v>45910.397520912928</v>
      </c>
      <c r="M426">
        <f t="shared" si="41"/>
        <v>0</v>
      </c>
      <c r="N426">
        <f t="shared" si="38"/>
        <v>121.93996685501442</v>
      </c>
      <c r="O426">
        <f>IF(B426&lt;&gt;B425, Dashboard!$L$6,0)</f>
        <v>0</v>
      </c>
      <c r="P426">
        <f t="shared" si="39"/>
        <v>103.92118855901872</v>
      </c>
      <c r="Q426">
        <f>IF(B426&lt;&gt;B425,IF(F426&lt;=AVERAGE(F404:F425),Dashboard!$N$6-Dashboard!$G$7,Dashboard!$N$6+Dashboard!$G$7),0)</f>
        <v>0</v>
      </c>
      <c r="R426">
        <f t="shared" si="40"/>
        <v>101.71141538555928</v>
      </c>
    </row>
    <row r="427" spans="1:18" x14ac:dyDescent="0.3">
      <c r="A427" s="1">
        <v>44810</v>
      </c>
      <c r="B427">
        <v>6</v>
      </c>
      <c r="C427" s="19">
        <v>9</v>
      </c>
      <c r="D427" s="20">
        <v>2022</v>
      </c>
      <c r="E427" s="21">
        <f t="shared" si="36"/>
        <v>44721</v>
      </c>
      <c r="F427" s="20">
        <v>369.1</v>
      </c>
      <c r="G427" s="20">
        <v>3021979</v>
      </c>
      <c r="H427" s="20">
        <v>376.24</v>
      </c>
      <c r="I427" s="20">
        <v>378.44</v>
      </c>
      <c r="J427" s="22">
        <v>369.02</v>
      </c>
      <c r="K427" s="2">
        <f t="shared" si="37"/>
        <v>45008.041766185823</v>
      </c>
      <c r="L427" s="2">
        <f>IF(B427&lt;&gt;B426,L426*(1+Dashboard!$G$5)+Dashboard!$G$6, L426)</f>
        <v>45910.397520912928</v>
      </c>
      <c r="M427">
        <f t="shared" si="41"/>
        <v>0</v>
      </c>
      <c r="N427">
        <f t="shared" si="38"/>
        <v>121.93996685501442</v>
      </c>
      <c r="O427">
        <f>IF(B427&lt;&gt;B426, Dashboard!$L$6,0)</f>
        <v>0</v>
      </c>
      <c r="P427">
        <f t="shared" si="39"/>
        <v>103.92118855901872</v>
      </c>
      <c r="Q427">
        <f>IF(B427&lt;&gt;B426,IF(F427&lt;=AVERAGE(F405:F426),Dashboard!$N$6-Dashboard!$G$7,Dashboard!$N$6+Dashboard!$G$7),0)</f>
        <v>0</v>
      </c>
      <c r="R427">
        <f t="shared" si="40"/>
        <v>101.71141538555928</v>
      </c>
    </row>
    <row r="428" spans="1:18" x14ac:dyDescent="0.3">
      <c r="A428" s="1">
        <v>44840</v>
      </c>
      <c r="B428">
        <v>6</v>
      </c>
      <c r="C428" s="19">
        <v>10</v>
      </c>
      <c r="D428" s="20">
        <v>2022</v>
      </c>
      <c r="E428" s="21">
        <f t="shared" si="36"/>
        <v>44722</v>
      </c>
      <c r="F428" s="20">
        <v>358.27</v>
      </c>
      <c r="G428" s="20">
        <v>7629693</v>
      </c>
      <c r="H428" s="20">
        <v>362.93</v>
      </c>
      <c r="I428" s="20">
        <v>363.69</v>
      </c>
      <c r="J428" s="22">
        <v>358.23</v>
      </c>
      <c r="K428" s="2">
        <f t="shared" si="37"/>
        <v>43687.431925146011</v>
      </c>
      <c r="L428" s="2">
        <f>IF(B428&lt;&gt;B427,L427*(1+Dashboard!$G$5)+Dashboard!$G$6, L427)</f>
        <v>45910.397520912928</v>
      </c>
      <c r="M428">
        <f t="shared" si="41"/>
        <v>0</v>
      </c>
      <c r="N428">
        <f t="shared" si="38"/>
        <v>121.93996685501442</v>
      </c>
      <c r="O428">
        <f>IF(B428&lt;&gt;B427, Dashboard!$L$6,0)</f>
        <v>0</v>
      </c>
      <c r="P428">
        <f t="shared" si="39"/>
        <v>103.92118855901872</v>
      </c>
      <c r="Q428">
        <f>IF(B428&lt;&gt;B427,IF(F428&lt;=AVERAGE(F406:F427),Dashboard!$N$6-Dashboard!$G$7,Dashboard!$N$6+Dashboard!$G$7),0)</f>
        <v>0</v>
      </c>
      <c r="R428">
        <f t="shared" si="40"/>
        <v>101.71141538555928</v>
      </c>
    </row>
    <row r="429" spans="1:18" x14ac:dyDescent="0.3">
      <c r="A429" t="s">
        <v>504</v>
      </c>
      <c r="B429">
        <v>6</v>
      </c>
      <c r="C429" s="19">
        <v>13</v>
      </c>
      <c r="D429" s="20">
        <v>2022</v>
      </c>
      <c r="E429" s="21">
        <f t="shared" si="36"/>
        <v>44725</v>
      </c>
      <c r="F429" s="20">
        <v>344.46</v>
      </c>
      <c r="G429" s="20">
        <v>10399710</v>
      </c>
      <c r="H429" s="20">
        <v>349.11</v>
      </c>
      <c r="I429" s="20">
        <v>350.83530000000002</v>
      </c>
      <c r="J429" s="22">
        <v>343.06</v>
      </c>
      <c r="K429" s="2">
        <f t="shared" si="37"/>
        <v>42003.440982878266</v>
      </c>
      <c r="L429" s="2">
        <f>IF(B429&lt;&gt;B428,L428*(1+Dashboard!$G$5)+Dashboard!$G$6, L428)</f>
        <v>45910.397520912928</v>
      </c>
      <c r="M429">
        <f t="shared" si="41"/>
        <v>0</v>
      </c>
      <c r="N429">
        <f t="shared" si="38"/>
        <v>121.93996685501442</v>
      </c>
      <c r="O429">
        <f>IF(B429&lt;&gt;B428, Dashboard!$L$6,0)</f>
        <v>0</v>
      </c>
      <c r="P429">
        <f t="shared" si="39"/>
        <v>103.92118855901872</v>
      </c>
      <c r="Q429">
        <f>IF(B429&lt;&gt;B428,IF(F429&lt;=AVERAGE(F407:F428),Dashboard!$N$6-Dashboard!$G$7,Dashboard!$N$6+Dashboard!$G$7),0)</f>
        <v>0</v>
      </c>
      <c r="R429">
        <f t="shared" si="40"/>
        <v>101.71141538555928</v>
      </c>
    </row>
    <row r="430" spans="1:18" x14ac:dyDescent="0.3">
      <c r="A430" t="s">
        <v>503</v>
      </c>
      <c r="B430">
        <v>6</v>
      </c>
      <c r="C430" s="19">
        <v>14</v>
      </c>
      <c r="D430" s="20">
        <v>2022</v>
      </c>
      <c r="E430" s="21">
        <f t="shared" si="36"/>
        <v>44726</v>
      </c>
      <c r="F430" s="20">
        <v>343.6</v>
      </c>
      <c r="G430" s="20">
        <v>7584190</v>
      </c>
      <c r="H430" s="20">
        <v>346.37</v>
      </c>
      <c r="I430" s="20">
        <v>347.32</v>
      </c>
      <c r="J430" s="22">
        <v>340.57</v>
      </c>
      <c r="K430" s="2">
        <f t="shared" si="37"/>
        <v>41898.572611382959</v>
      </c>
      <c r="L430" s="2">
        <f>IF(B430&lt;&gt;B429,L429*(1+Dashboard!$G$5)+Dashboard!$G$6, L429)</f>
        <v>45910.397520912928</v>
      </c>
      <c r="M430">
        <f t="shared" si="41"/>
        <v>0</v>
      </c>
      <c r="N430">
        <f t="shared" si="38"/>
        <v>121.93996685501442</v>
      </c>
      <c r="O430">
        <f>IF(B430&lt;&gt;B429, Dashboard!$L$6,0)</f>
        <v>0</v>
      </c>
      <c r="P430">
        <f t="shared" si="39"/>
        <v>103.92118855901872</v>
      </c>
      <c r="Q430">
        <f>IF(B430&lt;&gt;B429,IF(F430&lt;=AVERAGE(F408:F429),Dashboard!$N$6-Dashboard!$G$7,Dashboard!$N$6+Dashboard!$G$7),0)</f>
        <v>0</v>
      </c>
      <c r="R430">
        <f t="shared" si="40"/>
        <v>101.71141538555928</v>
      </c>
    </row>
    <row r="431" spans="1:18" x14ac:dyDescent="0.3">
      <c r="A431" t="s">
        <v>502</v>
      </c>
      <c r="B431">
        <v>6</v>
      </c>
      <c r="C431" s="19">
        <v>15</v>
      </c>
      <c r="D431" s="20">
        <v>2022</v>
      </c>
      <c r="E431" s="21">
        <f t="shared" si="36"/>
        <v>44727</v>
      </c>
      <c r="F431" s="20">
        <v>348.52</v>
      </c>
      <c r="G431" s="20">
        <v>7887624</v>
      </c>
      <c r="H431" s="20">
        <v>346.82</v>
      </c>
      <c r="I431" s="20">
        <v>352.84</v>
      </c>
      <c r="J431" s="22">
        <v>341.97</v>
      </c>
      <c r="K431" s="2">
        <f t="shared" si="37"/>
        <v>42498.517248309625</v>
      </c>
      <c r="L431" s="2">
        <f>IF(B431&lt;&gt;B430,L430*(1+Dashboard!$G$5)+Dashboard!$G$6, L430)</f>
        <v>45910.397520912928</v>
      </c>
      <c r="M431">
        <f t="shared" si="41"/>
        <v>0</v>
      </c>
      <c r="N431">
        <f t="shared" si="38"/>
        <v>121.93996685501442</v>
      </c>
      <c r="O431">
        <f>IF(B431&lt;&gt;B430, Dashboard!$L$6,0)</f>
        <v>0</v>
      </c>
      <c r="P431">
        <f t="shared" si="39"/>
        <v>103.92118855901872</v>
      </c>
      <c r="Q431">
        <f>IF(B431&lt;&gt;B430,IF(F431&lt;=AVERAGE(F409:F430),Dashboard!$N$6-Dashboard!$G$7,Dashboard!$N$6+Dashboard!$G$7),0)</f>
        <v>0</v>
      </c>
      <c r="R431">
        <f t="shared" si="40"/>
        <v>101.71141538555928</v>
      </c>
    </row>
    <row r="432" spans="1:18" x14ac:dyDescent="0.3">
      <c r="A432" t="s">
        <v>501</v>
      </c>
      <c r="B432">
        <v>6</v>
      </c>
      <c r="C432" s="19">
        <v>16</v>
      </c>
      <c r="D432" s="20">
        <v>2022</v>
      </c>
      <c r="E432" s="21">
        <f t="shared" si="36"/>
        <v>44728</v>
      </c>
      <c r="F432" s="20">
        <v>337.07</v>
      </c>
      <c r="G432" s="20">
        <v>8821869</v>
      </c>
      <c r="H432" s="20">
        <v>340.48</v>
      </c>
      <c r="I432" s="20">
        <v>340.84</v>
      </c>
      <c r="J432" s="22">
        <v>334.57</v>
      </c>
      <c r="K432" s="2">
        <f t="shared" si="37"/>
        <v>41102.304627819707</v>
      </c>
      <c r="L432" s="2">
        <f>IF(B432&lt;&gt;B431,L431*(1+Dashboard!$G$5)+Dashboard!$G$6, L431)</f>
        <v>45910.397520912928</v>
      </c>
      <c r="M432">
        <f t="shared" si="41"/>
        <v>0</v>
      </c>
      <c r="N432">
        <f t="shared" si="38"/>
        <v>121.93996685501442</v>
      </c>
      <c r="O432">
        <f>IF(B432&lt;&gt;B431, Dashboard!$L$6,0)</f>
        <v>0</v>
      </c>
      <c r="P432">
        <f t="shared" si="39"/>
        <v>103.92118855901872</v>
      </c>
      <c r="Q432">
        <f>IF(B432&lt;&gt;B431,IF(F432&lt;=AVERAGE(F410:F431),Dashboard!$N$6-Dashboard!$G$7,Dashboard!$N$6+Dashboard!$G$7),0)</f>
        <v>0</v>
      </c>
      <c r="R432">
        <f t="shared" si="40"/>
        <v>101.71141538555928</v>
      </c>
    </row>
    <row r="433" spans="1:18" x14ac:dyDescent="0.3">
      <c r="A433" t="s">
        <v>500</v>
      </c>
      <c r="B433">
        <v>6</v>
      </c>
      <c r="C433" s="19">
        <v>17</v>
      </c>
      <c r="D433" s="20">
        <v>2022</v>
      </c>
      <c r="E433" s="21">
        <f t="shared" si="36"/>
        <v>44729</v>
      </c>
      <c r="F433" s="20">
        <v>337.95</v>
      </c>
      <c r="G433" s="20">
        <v>7083981</v>
      </c>
      <c r="H433" s="20">
        <v>337.31</v>
      </c>
      <c r="I433" s="20">
        <v>340.87</v>
      </c>
      <c r="J433" s="22">
        <v>334.24</v>
      </c>
      <c r="K433" s="2">
        <f t="shared" si="37"/>
        <v>41209.61179865212</v>
      </c>
      <c r="L433" s="2">
        <f>IF(B433&lt;&gt;B432,L432*(1+Dashboard!$G$5)+Dashboard!$G$6, L432)</f>
        <v>45910.397520912928</v>
      </c>
      <c r="M433">
        <f t="shared" si="41"/>
        <v>0</v>
      </c>
      <c r="N433">
        <f t="shared" si="38"/>
        <v>121.93996685501442</v>
      </c>
      <c r="O433">
        <f>IF(B433&lt;&gt;B432, Dashboard!$L$6,0)</f>
        <v>0</v>
      </c>
      <c r="P433">
        <f t="shared" si="39"/>
        <v>103.92118855901872</v>
      </c>
      <c r="Q433">
        <f>IF(B433&lt;&gt;B432,IF(F433&lt;=AVERAGE(F411:F432),Dashboard!$N$6-Dashboard!$G$7,Dashboard!$N$6+Dashboard!$G$7),0)</f>
        <v>0</v>
      </c>
      <c r="R433">
        <f t="shared" si="40"/>
        <v>101.71141538555928</v>
      </c>
    </row>
    <row r="434" spans="1:18" x14ac:dyDescent="0.3">
      <c r="A434" t="s">
        <v>499</v>
      </c>
      <c r="B434">
        <v>6</v>
      </c>
      <c r="C434" s="19">
        <v>21</v>
      </c>
      <c r="D434" s="20">
        <v>2022</v>
      </c>
      <c r="E434" s="21">
        <f t="shared" si="36"/>
        <v>44733</v>
      </c>
      <c r="F434" s="20">
        <v>346.23</v>
      </c>
      <c r="G434" s="20">
        <v>5628348</v>
      </c>
      <c r="H434" s="20">
        <v>343.19</v>
      </c>
      <c r="I434" s="20">
        <v>347.5</v>
      </c>
      <c r="J434" s="22">
        <v>343.11</v>
      </c>
      <c r="K434" s="2">
        <f t="shared" si="37"/>
        <v>42219.274724211646</v>
      </c>
      <c r="L434" s="2">
        <f>IF(B434&lt;&gt;B433,L433*(1+Dashboard!$G$5)+Dashboard!$G$6, L433)</f>
        <v>45910.397520912928</v>
      </c>
      <c r="M434">
        <f t="shared" si="41"/>
        <v>0</v>
      </c>
      <c r="N434">
        <f t="shared" si="38"/>
        <v>121.93996685501442</v>
      </c>
      <c r="O434">
        <f>IF(B434&lt;&gt;B433, Dashboard!$L$6,0)</f>
        <v>0</v>
      </c>
      <c r="P434">
        <f t="shared" si="39"/>
        <v>103.92118855901872</v>
      </c>
      <c r="Q434">
        <f>IF(B434&lt;&gt;B433,IF(F434&lt;=AVERAGE(F412:F433),Dashboard!$N$6-Dashboard!$G$7,Dashboard!$N$6+Dashboard!$G$7),0)</f>
        <v>0</v>
      </c>
      <c r="R434">
        <f t="shared" si="40"/>
        <v>101.71141538555928</v>
      </c>
    </row>
    <row r="435" spans="1:18" x14ac:dyDescent="0.3">
      <c r="A435" t="s">
        <v>498</v>
      </c>
      <c r="B435">
        <v>6</v>
      </c>
      <c r="C435" s="19">
        <v>22</v>
      </c>
      <c r="D435" s="20">
        <v>2022</v>
      </c>
      <c r="E435" s="21">
        <f t="shared" si="36"/>
        <v>44734</v>
      </c>
      <c r="F435" s="20">
        <v>345.5</v>
      </c>
      <c r="G435" s="20">
        <v>4876060</v>
      </c>
      <c r="H435" s="20">
        <v>342.08</v>
      </c>
      <c r="I435" s="20">
        <v>349.51</v>
      </c>
      <c r="J435" s="22">
        <v>341.63479999999998</v>
      </c>
      <c r="K435" s="2">
        <f t="shared" si="37"/>
        <v>42130.258548407481</v>
      </c>
      <c r="L435" s="2">
        <f>IF(B435&lt;&gt;B434,L434*(1+Dashboard!$G$5)+Dashboard!$G$6, L434)</f>
        <v>45910.397520912928</v>
      </c>
      <c r="M435">
        <f t="shared" si="41"/>
        <v>0</v>
      </c>
      <c r="N435">
        <f t="shared" si="38"/>
        <v>121.93996685501442</v>
      </c>
      <c r="O435">
        <f>IF(B435&lt;&gt;B434, Dashboard!$L$6,0)</f>
        <v>0</v>
      </c>
      <c r="P435">
        <f t="shared" si="39"/>
        <v>103.92118855901872</v>
      </c>
      <c r="Q435">
        <f>IF(B435&lt;&gt;B434,IF(F435&lt;=AVERAGE(F413:F434),Dashboard!$N$6-Dashboard!$G$7,Dashboard!$N$6+Dashboard!$G$7),0)</f>
        <v>0</v>
      </c>
      <c r="R435">
        <f t="shared" si="40"/>
        <v>101.71141538555928</v>
      </c>
    </row>
    <row r="436" spans="1:18" x14ac:dyDescent="0.3">
      <c r="A436" t="s">
        <v>497</v>
      </c>
      <c r="B436">
        <v>6</v>
      </c>
      <c r="C436" s="19">
        <v>23</v>
      </c>
      <c r="D436" s="20">
        <v>2022</v>
      </c>
      <c r="E436" s="21">
        <f t="shared" si="36"/>
        <v>44735</v>
      </c>
      <c r="F436" s="20">
        <v>349.13</v>
      </c>
      <c r="G436" s="20">
        <v>6708774</v>
      </c>
      <c r="H436" s="20">
        <v>347.63</v>
      </c>
      <c r="I436" s="20">
        <v>349.61</v>
      </c>
      <c r="J436" s="22">
        <v>344.14</v>
      </c>
      <c r="K436" s="2">
        <f t="shared" si="37"/>
        <v>42572.900628091185</v>
      </c>
      <c r="L436" s="2">
        <f>IF(B436&lt;&gt;B435,L435*(1+Dashboard!$G$5)+Dashboard!$G$6, L435)</f>
        <v>45910.397520912928</v>
      </c>
      <c r="M436">
        <f t="shared" si="41"/>
        <v>0</v>
      </c>
      <c r="N436">
        <f t="shared" si="38"/>
        <v>121.93996685501442</v>
      </c>
      <c r="O436">
        <f>IF(B436&lt;&gt;B435, Dashboard!$L$6,0)</f>
        <v>0</v>
      </c>
      <c r="P436">
        <f t="shared" si="39"/>
        <v>103.92118855901872</v>
      </c>
      <c r="Q436">
        <f>IF(B436&lt;&gt;B435,IF(F436&lt;=AVERAGE(F414:F435),Dashboard!$N$6-Dashboard!$G$7,Dashboard!$N$6+Dashboard!$G$7),0)</f>
        <v>0</v>
      </c>
      <c r="R436">
        <f t="shared" si="40"/>
        <v>101.71141538555928</v>
      </c>
    </row>
    <row r="437" spans="1:18" x14ac:dyDescent="0.3">
      <c r="A437" t="s">
        <v>496</v>
      </c>
      <c r="B437">
        <v>6</v>
      </c>
      <c r="C437" s="19">
        <v>24</v>
      </c>
      <c r="D437" s="20">
        <v>2022</v>
      </c>
      <c r="E437" s="21">
        <f t="shared" si="36"/>
        <v>44736</v>
      </c>
      <c r="F437" s="20">
        <v>360</v>
      </c>
      <c r="G437" s="20">
        <v>5458559</v>
      </c>
      <c r="H437" s="20">
        <v>352.03</v>
      </c>
      <c r="I437" s="20">
        <v>360.02</v>
      </c>
      <c r="J437" s="22">
        <v>351.97</v>
      </c>
      <c r="K437" s="2">
        <f t="shared" si="37"/>
        <v>43898.388067805194</v>
      </c>
      <c r="L437" s="2">
        <f>IF(B437&lt;&gt;B436,L436*(1+Dashboard!$G$5)+Dashboard!$G$6, L436)</f>
        <v>45910.397520912928</v>
      </c>
      <c r="M437">
        <f t="shared" si="41"/>
        <v>0</v>
      </c>
      <c r="N437">
        <f t="shared" si="38"/>
        <v>121.93996685501442</v>
      </c>
      <c r="O437">
        <f>IF(B437&lt;&gt;B436, Dashboard!$L$6,0)</f>
        <v>0</v>
      </c>
      <c r="P437">
        <f t="shared" si="39"/>
        <v>103.92118855901872</v>
      </c>
      <c r="Q437">
        <f>IF(B437&lt;&gt;B436,IF(F437&lt;=AVERAGE(F415:F436),Dashboard!$N$6-Dashboard!$G$7,Dashboard!$N$6+Dashboard!$G$7),0)</f>
        <v>0</v>
      </c>
      <c r="R437">
        <f t="shared" si="40"/>
        <v>101.71141538555928</v>
      </c>
    </row>
    <row r="438" spans="1:18" x14ac:dyDescent="0.3">
      <c r="A438" t="s">
        <v>495</v>
      </c>
      <c r="B438">
        <v>6</v>
      </c>
      <c r="C438" s="19">
        <v>27</v>
      </c>
      <c r="D438" s="20">
        <v>2022</v>
      </c>
      <c r="E438" s="21">
        <f t="shared" si="36"/>
        <v>44739</v>
      </c>
      <c r="F438" s="20">
        <v>358.65</v>
      </c>
      <c r="G438" s="20">
        <v>4608590</v>
      </c>
      <c r="H438" s="20">
        <v>361</v>
      </c>
      <c r="I438" s="20">
        <v>361.15</v>
      </c>
      <c r="J438" s="22">
        <v>357.57</v>
      </c>
      <c r="K438" s="2">
        <f t="shared" si="37"/>
        <v>43733.769112550915</v>
      </c>
      <c r="L438" s="2">
        <f>IF(B438&lt;&gt;B437,L437*(1+Dashboard!$G$5)+Dashboard!$G$6, L437)</f>
        <v>45910.397520912928</v>
      </c>
      <c r="M438">
        <f t="shared" si="41"/>
        <v>0</v>
      </c>
      <c r="N438">
        <f t="shared" si="38"/>
        <v>121.93996685501442</v>
      </c>
      <c r="O438">
        <f>IF(B438&lt;&gt;B437, Dashboard!$L$6,0)</f>
        <v>0</v>
      </c>
      <c r="P438">
        <f t="shared" si="39"/>
        <v>103.92118855901872</v>
      </c>
      <c r="Q438">
        <f>IF(B438&lt;&gt;B437,IF(F438&lt;=AVERAGE(F416:F437),Dashboard!$N$6-Dashboard!$G$7,Dashboard!$N$6+Dashboard!$G$7),0)</f>
        <v>0</v>
      </c>
      <c r="R438">
        <f t="shared" si="40"/>
        <v>101.71141538555928</v>
      </c>
    </row>
    <row r="439" spans="1:18" x14ac:dyDescent="0.3">
      <c r="A439" t="s">
        <v>494</v>
      </c>
      <c r="B439">
        <v>6</v>
      </c>
      <c r="C439" s="19">
        <v>28</v>
      </c>
      <c r="D439" s="20">
        <v>2022</v>
      </c>
      <c r="E439" s="21">
        <f t="shared" si="36"/>
        <v>44740</v>
      </c>
      <c r="F439" s="20">
        <v>350.9</v>
      </c>
      <c r="G439" s="20">
        <v>8801780</v>
      </c>
      <c r="H439" s="20">
        <v>360.08</v>
      </c>
      <c r="I439" s="20">
        <v>362.83499999999998</v>
      </c>
      <c r="J439" s="22">
        <v>350.9</v>
      </c>
      <c r="K439" s="2">
        <f t="shared" si="37"/>
        <v>42788.734369424557</v>
      </c>
      <c r="L439" s="2">
        <f>IF(B439&lt;&gt;B438,L438*(1+Dashboard!$G$5)+Dashboard!$G$6, L438)</f>
        <v>45910.397520912928</v>
      </c>
      <c r="M439">
        <f t="shared" si="41"/>
        <v>0</v>
      </c>
      <c r="N439">
        <f t="shared" si="38"/>
        <v>121.93996685501442</v>
      </c>
      <c r="O439">
        <f>IF(B439&lt;&gt;B438, Dashboard!$L$6,0)</f>
        <v>0</v>
      </c>
      <c r="P439">
        <f t="shared" si="39"/>
        <v>103.92118855901872</v>
      </c>
      <c r="Q439">
        <f>IF(B439&lt;&gt;B438,IF(F439&lt;=AVERAGE(F417:F438),Dashboard!$N$6-Dashboard!$G$7,Dashboard!$N$6+Dashboard!$G$7),0)</f>
        <v>0</v>
      </c>
      <c r="R439">
        <f t="shared" si="40"/>
        <v>101.71141538555928</v>
      </c>
    </row>
    <row r="440" spans="1:18" x14ac:dyDescent="0.3">
      <c r="A440" t="s">
        <v>493</v>
      </c>
      <c r="B440">
        <v>6</v>
      </c>
      <c r="C440" s="19">
        <v>29</v>
      </c>
      <c r="D440" s="20">
        <v>2022</v>
      </c>
      <c r="E440" s="21">
        <f t="shared" si="36"/>
        <v>44741</v>
      </c>
      <c r="F440" s="20">
        <v>349.64</v>
      </c>
      <c r="G440" s="20">
        <v>3775861</v>
      </c>
      <c r="H440" s="20">
        <v>350.43</v>
      </c>
      <c r="I440" s="20">
        <v>351.36</v>
      </c>
      <c r="J440" s="22">
        <v>347.81</v>
      </c>
      <c r="K440" s="2">
        <f t="shared" si="37"/>
        <v>42635.09001118724</v>
      </c>
      <c r="L440" s="2">
        <f>IF(B440&lt;&gt;B439,L439*(1+Dashboard!$G$5)+Dashboard!$G$6, L439)</f>
        <v>45910.397520912928</v>
      </c>
      <c r="M440">
        <f t="shared" si="41"/>
        <v>0</v>
      </c>
      <c r="N440">
        <f t="shared" si="38"/>
        <v>121.93996685501442</v>
      </c>
      <c r="O440">
        <f>IF(B440&lt;&gt;B439, Dashboard!$L$6,0)</f>
        <v>0</v>
      </c>
      <c r="P440">
        <f t="shared" si="39"/>
        <v>103.92118855901872</v>
      </c>
      <c r="Q440">
        <f>IF(B440&lt;&gt;B439,IF(F440&lt;=AVERAGE(F418:F439),Dashboard!$N$6-Dashboard!$G$7,Dashboard!$N$6+Dashboard!$G$7),0)</f>
        <v>0</v>
      </c>
      <c r="R440">
        <f t="shared" si="40"/>
        <v>101.71141538555928</v>
      </c>
    </row>
    <row r="441" spans="1:18" x14ac:dyDescent="0.3">
      <c r="A441" t="s">
        <v>492</v>
      </c>
      <c r="B441">
        <v>6</v>
      </c>
      <c r="C441" s="19">
        <v>30</v>
      </c>
      <c r="D441" s="20">
        <v>2022</v>
      </c>
      <c r="E441" s="21">
        <f t="shared" si="36"/>
        <v>44742</v>
      </c>
      <c r="F441" s="20">
        <v>346.88</v>
      </c>
      <c r="G441" s="20">
        <v>7159599</v>
      </c>
      <c r="H441" s="20">
        <v>345.88</v>
      </c>
      <c r="I441" s="20">
        <v>349.84</v>
      </c>
      <c r="J441" s="22">
        <v>342.45</v>
      </c>
      <c r="K441" s="2">
        <f t="shared" si="37"/>
        <v>42298.535702667403</v>
      </c>
      <c r="L441" s="2">
        <f>IF(B441&lt;&gt;B440,L440*(1+Dashboard!$G$5)+Dashboard!$G$6, L440)</f>
        <v>45910.397520912928</v>
      </c>
      <c r="M441">
        <f t="shared" si="41"/>
        <v>0</v>
      </c>
      <c r="N441">
        <f t="shared" si="38"/>
        <v>121.93996685501442</v>
      </c>
      <c r="O441">
        <f>IF(B441&lt;&gt;B440, Dashboard!$L$6,0)</f>
        <v>0</v>
      </c>
      <c r="P441">
        <f t="shared" si="39"/>
        <v>103.92118855901872</v>
      </c>
      <c r="Q441">
        <f>IF(B441&lt;&gt;B440,IF(F441&lt;=AVERAGE(F419:F440),Dashboard!$N$6-Dashboard!$G$7,Dashboard!$N$6+Dashboard!$G$7),0)</f>
        <v>0</v>
      </c>
      <c r="R441">
        <f t="shared" si="40"/>
        <v>101.71141538555928</v>
      </c>
    </row>
    <row r="442" spans="1:18" x14ac:dyDescent="0.3">
      <c r="A442" s="1">
        <v>44568</v>
      </c>
      <c r="B442">
        <v>7</v>
      </c>
      <c r="C442" s="19">
        <v>1</v>
      </c>
      <c r="D442" s="20">
        <v>2022</v>
      </c>
      <c r="E442" s="21">
        <f t="shared" si="36"/>
        <v>44743</v>
      </c>
      <c r="F442" s="20">
        <v>350.44</v>
      </c>
      <c r="G442" s="20">
        <v>7481480</v>
      </c>
      <c r="H442" s="20">
        <v>346.16</v>
      </c>
      <c r="I442" s="20">
        <v>350.83</v>
      </c>
      <c r="J442" s="22">
        <v>343.59</v>
      </c>
      <c r="K442" s="2">
        <f t="shared" si="37"/>
        <v>42732.641984671252</v>
      </c>
      <c r="L442" s="2">
        <f>IF(B442&lt;&gt;B441,L441*(1+Dashboard!$G$5)+Dashboard!$G$6, L441)</f>
        <v>48314.409019096958</v>
      </c>
      <c r="M442">
        <f t="shared" si="41"/>
        <v>5581.7670344257058</v>
      </c>
      <c r="N442">
        <f t="shared" si="38"/>
        <v>121.93996685501442</v>
      </c>
      <c r="O442">
        <f>IF(B442&lt;&gt;B441, Dashboard!$L$6,0)</f>
        <v>1859.7282542371197</v>
      </c>
      <c r="P442">
        <f t="shared" si="39"/>
        <v>109.2280264035488</v>
      </c>
      <c r="Q442">
        <f>IF(B442&lt;&gt;B441,IF(F442&lt;=AVERAGE(F420:F441),Dashboard!$N$6-Dashboard!$G$7,Dashboard!$N$6+Dashboard!$G$7),0)</f>
        <v>1232.609610169322</v>
      </c>
      <c r="R442">
        <f t="shared" si="40"/>
        <v>105.27222428944569</v>
      </c>
    </row>
    <row r="443" spans="1:18" x14ac:dyDescent="0.3">
      <c r="A443" s="1">
        <v>44688</v>
      </c>
      <c r="B443">
        <v>7</v>
      </c>
      <c r="C443" s="19">
        <v>5</v>
      </c>
      <c r="D443" s="20">
        <v>2022</v>
      </c>
      <c r="E443" s="21">
        <f t="shared" si="36"/>
        <v>44747</v>
      </c>
      <c r="F443" s="20">
        <v>351.06</v>
      </c>
      <c r="G443" s="20">
        <v>6180564</v>
      </c>
      <c r="H443" s="20">
        <v>345.48</v>
      </c>
      <c r="I443" s="20">
        <v>351.1</v>
      </c>
      <c r="J443" s="22">
        <v>342.78</v>
      </c>
      <c r="K443" s="2">
        <f t="shared" si="37"/>
        <v>48399.887085504444</v>
      </c>
      <c r="L443" s="2">
        <f>IF(B443&lt;&gt;B442,L442*(1+Dashboard!$G$5)+Dashboard!$G$6, L442)</f>
        <v>48314.409019096958</v>
      </c>
      <c r="M443">
        <f t="shared" si="41"/>
        <v>0</v>
      </c>
      <c r="N443">
        <f t="shared" si="38"/>
        <v>137.86784904433557</v>
      </c>
      <c r="O443">
        <f>IF(B443&lt;&gt;B442, Dashboard!$L$6,0)</f>
        <v>0</v>
      </c>
      <c r="P443">
        <f t="shared" si="39"/>
        <v>109.2280264035488</v>
      </c>
      <c r="Q443">
        <f>IF(B443&lt;&gt;B442,IF(F443&lt;=AVERAGE(F421:F442),Dashboard!$N$6-Dashboard!$G$7,Dashboard!$N$6+Dashboard!$G$7),0)</f>
        <v>0</v>
      </c>
      <c r="R443">
        <f t="shared" si="40"/>
        <v>105.27222428944569</v>
      </c>
    </row>
    <row r="444" spans="1:18" x14ac:dyDescent="0.3">
      <c r="A444" s="1">
        <v>44719</v>
      </c>
      <c r="B444">
        <v>7</v>
      </c>
      <c r="C444" s="19">
        <v>6</v>
      </c>
      <c r="D444" s="20">
        <v>2022</v>
      </c>
      <c r="E444" s="21">
        <f t="shared" si="36"/>
        <v>44748</v>
      </c>
      <c r="F444" s="20">
        <v>352.33</v>
      </c>
      <c r="G444" s="20">
        <v>5450928</v>
      </c>
      <c r="H444" s="20">
        <v>351.23</v>
      </c>
      <c r="I444" s="20">
        <v>354.68</v>
      </c>
      <c r="J444" s="22">
        <v>348.93</v>
      </c>
      <c r="K444" s="2">
        <f t="shared" si="37"/>
        <v>48574.979253790749</v>
      </c>
      <c r="L444" s="2">
        <f>IF(B444&lt;&gt;B443,L443*(1+Dashboard!$G$5)+Dashboard!$G$6, L443)</f>
        <v>48314.409019096958</v>
      </c>
      <c r="M444">
        <f t="shared" si="41"/>
        <v>0</v>
      </c>
      <c r="N444">
        <f t="shared" si="38"/>
        <v>137.86784904433557</v>
      </c>
      <c r="O444">
        <f>IF(B444&lt;&gt;B443, Dashboard!$L$6,0)</f>
        <v>0</v>
      </c>
      <c r="P444">
        <f t="shared" si="39"/>
        <v>109.2280264035488</v>
      </c>
      <c r="Q444">
        <f>IF(B444&lt;&gt;B443,IF(F444&lt;=AVERAGE(F422:F443),Dashboard!$N$6-Dashboard!$G$7,Dashboard!$N$6+Dashboard!$G$7),0)</f>
        <v>0</v>
      </c>
      <c r="R444">
        <f t="shared" si="40"/>
        <v>105.27222428944569</v>
      </c>
    </row>
    <row r="445" spans="1:18" x14ac:dyDescent="0.3">
      <c r="A445" s="1">
        <v>44749</v>
      </c>
      <c r="B445">
        <v>7</v>
      </c>
      <c r="C445" s="19">
        <v>7</v>
      </c>
      <c r="D445" s="20">
        <v>2022</v>
      </c>
      <c r="E445" s="21">
        <f t="shared" si="36"/>
        <v>44749</v>
      </c>
      <c r="F445" s="20">
        <v>357.5</v>
      </c>
      <c r="G445" s="20">
        <v>3737478</v>
      </c>
      <c r="H445" s="20">
        <v>354.01</v>
      </c>
      <c r="I445" s="20">
        <v>358.3</v>
      </c>
      <c r="J445" s="22">
        <v>354</v>
      </c>
      <c r="K445" s="2">
        <f t="shared" si="37"/>
        <v>49287.756033349964</v>
      </c>
      <c r="L445" s="2">
        <f>IF(B445&lt;&gt;B444,L444*(1+Dashboard!$G$5)+Dashboard!$G$6, L444)</f>
        <v>48314.409019096958</v>
      </c>
      <c r="M445">
        <f t="shared" si="41"/>
        <v>0</v>
      </c>
      <c r="N445">
        <f t="shared" si="38"/>
        <v>137.86784904433557</v>
      </c>
      <c r="O445">
        <f>IF(B445&lt;&gt;B444, Dashboard!$L$6,0)</f>
        <v>0</v>
      </c>
      <c r="P445">
        <f t="shared" si="39"/>
        <v>109.2280264035488</v>
      </c>
      <c r="Q445">
        <f>IF(B445&lt;&gt;B444,IF(F445&lt;=AVERAGE(F423:F444),Dashboard!$N$6-Dashboard!$G$7,Dashboard!$N$6+Dashboard!$G$7),0)</f>
        <v>0</v>
      </c>
      <c r="R445">
        <f t="shared" si="40"/>
        <v>105.27222428944569</v>
      </c>
    </row>
    <row r="446" spans="1:18" x14ac:dyDescent="0.3">
      <c r="A446" s="1">
        <v>44780</v>
      </c>
      <c r="B446">
        <v>7</v>
      </c>
      <c r="C446" s="19">
        <v>8</v>
      </c>
      <c r="D446" s="20">
        <v>2022</v>
      </c>
      <c r="E446" s="21">
        <f t="shared" si="36"/>
        <v>44750</v>
      </c>
      <c r="F446" s="20">
        <v>357.29</v>
      </c>
      <c r="G446" s="20">
        <v>4791341</v>
      </c>
      <c r="H446" s="20">
        <v>355.90600000000001</v>
      </c>
      <c r="I446" s="20">
        <v>359.05</v>
      </c>
      <c r="J446" s="22">
        <v>354.471</v>
      </c>
      <c r="K446" s="2">
        <f t="shared" si="37"/>
        <v>49258.803785050659</v>
      </c>
      <c r="L446" s="2">
        <f>IF(B446&lt;&gt;B445,L445*(1+Dashboard!$G$5)+Dashboard!$G$6, L445)</f>
        <v>48314.409019096958</v>
      </c>
      <c r="M446">
        <f t="shared" si="41"/>
        <v>0</v>
      </c>
      <c r="N446">
        <f t="shared" si="38"/>
        <v>137.86784904433557</v>
      </c>
      <c r="O446">
        <f>IF(B446&lt;&gt;B445, Dashboard!$L$6,0)</f>
        <v>0</v>
      </c>
      <c r="P446">
        <f t="shared" si="39"/>
        <v>109.2280264035488</v>
      </c>
      <c r="Q446">
        <f>IF(B446&lt;&gt;B445,IF(F446&lt;=AVERAGE(F424:F445),Dashboard!$N$6-Dashboard!$G$7,Dashboard!$N$6+Dashboard!$G$7),0)</f>
        <v>0</v>
      </c>
      <c r="R446">
        <f t="shared" si="40"/>
        <v>105.27222428944569</v>
      </c>
    </row>
    <row r="447" spans="1:18" x14ac:dyDescent="0.3">
      <c r="A447" s="1">
        <v>44872</v>
      </c>
      <c r="B447">
        <v>7</v>
      </c>
      <c r="C447" s="19">
        <v>11</v>
      </c>
      <c r="D447" s="20">
        <v>2022</v>
      </c>
      <c r="E447" s="21">
        <f t="shared" si="36"/>
        <v>44753</v>
      </c>
      <c r="F447" s="20">
        <v>353.25</v>
      </c>
      <c r="G447" s="20">
        <v>3491695</v>
      </c>
      <c r="H447" s="20">
        <v>354.84</v>
      </c>
      <c r="I447" s="20">
        <v>355.57</v>
      </c>
      <c r="J447" s="22">
        <v>352.51</v>
      </c>
      <c r="K447" s="2">
        <f t="shared" si="37"/>
        <v>48701.817674911537</v>
      </c>
      <c r="L447" s="2">
        <f>IF(B447&lt;&gt;B446,L446*(1+Dashboard!$G$5)+Dashboard!$G$6, L446)</f>
        <v>48314.409019096958</v>
      </c>
      <c r="M447">
        <f t="shared" si="41"/>
        <v>0</v>
      </c>
      <c r="N447">
        <f t="shared" si="38"/>
        <v>137.86784904433557</v>
      </c>
      <c r="O447">
        <f>IF(B447&lt;&gt;B446, Dashboard!$L$6,0)</f>
        <v>0</v>
      </c>
      <c r="P447">
        <f t="shared" si="39"/>
        <v>109.2280264035488</v>
      </c>
      <c r="Q447">
        <f>IF(B447&lt;&gt;B446,IF(F447&lt;=AVERAGE(F425:F446),Dashboard!$N$6-Dashboard!$G$7,Dashboard!$N$6+Dashboard!$G$7),0)</f>
        <v>0</v>
      </c>
      <c r="R447">
        <f t="shared" si="40"/>
        <v>105.27222428944569</v>
      </c>
    </row>
    <row r="448" spans="1:18" x14ac:dyDescent="0.3">
      <c r="A448" s="1">
        <v>44902</v>
      </c>
      <c r="B448">
        <v>7</v>
      </c>
      <c r="C448" s="19">
        <v>12</v>
      </c>
      <c r="D448" s="20">
        <v>2022</v>
      </c>
      <c r="E448" s="21">
        <f t="shared" si="36"/>
        <v>44754</v>
      </c>
      <c r="F448" s="20">
        <v>349.99</v>
      </c>
      <c r="G448" s="20">
        <v>4080271</v>
      </c>
      <c r="H448" s="20">
        <v>352.6</v>
      </c>
      <c r="I448" s="20">
        <v>354.9</v>
      </c>
      <c r="J448" s="22">
        <v>348.38</v>
      </c>
      <c r="K448" s="2">
        <f t="shared" si="37"/>
        <v>48252.368487027008</v>
      </c>
      <c r="L448" s="2">
        <f>IF(B448&lt;&gt;B447,L447*(1+Dashboard!$G$5)+Dashboard!$G$6, L447)</f>
        <v>48314.409019096958</v>
      </c>
      <c r="M448">
        <f t="shared" si="41"/>
        <v>0</v>
      </c>
      <c r="N448">
        <f t="shared" si="38"/>
        <v>137.86784904433557</v>
      </c>
      <c r="O448">
        <f>IF(B448&lt;&gt;B447, Dashboard!$L$6,0)</f>
        <v>0</v>
      </c>
      <c r="P448">
        <f t="shared" si="39"/>
        <v>109.2280264035488</v>
      </c>
      <c r="Q448">
        <f>IF(B448&lt;&gt;B447,IF(F448&lt;=AVERAGE(F426:F447),Dashboard!$N$6-Dashboard!$G$7,Dashboard!$N$6+Dashboard!$G$7),0)</f>
        <v>0</v>
      </c>
      <c r="R448">
        <f t="shared" si="40"/>
        <v>105.27222428944569</v>
      </c>
    </row>
    <row r="449" spans="1:18" x14ac:dyDescent="0.3">
      <c r="A449" t="s">
        <v>491</v>
      </c>
      <c r="B449">
        <v>7</v>
      </c>
      <c r="C449" s="19">
        <v>13</v>
      </c>
      <c r="D449" s="20">
        <v>2022</v>
      </c>
      <c r="E449" s="21">
        <f t="shared" si="36"/>
        <v>44755</v>
      </c>
      <c r="F449" s="20">
        <v>348.36</v>
      </c>
      <c r="G449" s="20">
        <v>5603536</v>
      </c>
      <c r="H449" s="20">
        <v>344.74</v>
      </c>
      <c r="I449" s="20">
        <v>351</v>
      </c>
      <c r="J449" s="22">
        <v>344.37</v>
      </c>
      <c r="K449" s="2">
        <f t="shared" si="37"/>
        <v>48027.643893084743</v>
      </c>
      <c r="L449" s="2">
        <f>IF(B449&lt;&gt;B448,L448*(1+Dashboard!$G$5)+Dashboard!$G$6, L448)</f>
        <v>48314.409019096958</v>
      </c>
      <c r="M449">
        <f t="shared" si="41"/>
        <v>0</v>
      </c>
      <c r="N449">
        <f t="shared" si="38"/>
        <v>137.86784904433557</v>
      </c>
      <c r="O449">
        <f>IF(B449&lt;&gt;B448, Dashboard!$L$6,0)</f>
        <v>0</v>
      </c>
      <c r="P449">
        <f t="shared" si="39"/>
        <v>109.2280264035488</v>
      </c>
      <c r="Q449">
        <f>IF(B449&lt;&gt;B448,IF(F449&lt;=AVERAGE(F427:F448),Dashboard!$N$6-Dashboard!$G$7,Dashboard!$N$6+Dashboard!$G$7),0)</f>
        <v>0</v>
      </c>
      <c r="R449">
        <f t="shared" si="40"/>
        <v>105.27222428944569</v>
      </c>
    </row>
    <row r="450" spans="1:18" x14ac:dyDescent="0.3">
      <c r="A450" t="s">
        <v>490</v>
      </c>
      <c r="B450">
        <v>7</v>
      </c>
      <c r="C450" s="19">
        <v>14</v>
      </c>
      <c r="D450" s="20">
        <v>2022</v>
      </c>
      <c r="E450" s="21">
        <f t="shared" ref="E450:E513" si="42">DATE(D450,B450,C450)</f>
        <v>44756</v>
      </c>
      <c r="F450" s="20">
        <v>347.44</v>
      </c>
      <c r="G450" s="20">
        <v>4624840</v>
      </c>
      <c r="H450" s="20">
        <v>343.41</v>
      </c>
      <c r="I450" s="20">
        <v>347.95</v>
      </c>
      <c r="J450" s="22">
        <v>341.04500000000002</v>
      </c>
      <c r="K450" s="2">
        <f t="shared" si="37"/>
        <v>47900.805471963948</v>
      </c>
      <c r="L450" s="2">
        <f>IF(B450&lt;&gt;B449,L449*(1+Dashboard!$G$5)+Dashboard!$G$6, L449)</f>
        <v>48314.409019096958</v>
      </c>
      <c r="M450">
        <f t="shared" si="41"/>
        <v>0</v>
      </c>
      <c r="N450">
        <f t="shared" si="38"/>
        <v>137.86784904433557</v>
      </c>
      <c r="O450">
        <f>IF(B450&lt;&gt;B449, Dashboard!$L$6,0)</f>
        <v>0</v>
      </c>
      <c r="P450">
        <f t="shared" si="39"/>
        <v>109.2280264035488</v>
      </c>
      <c r="Q450">
        <f>IF(B450&lt;&gt;B449,IF(F450&lt;=AVERAGE(F428:F449),Dashboard!$N$6-Dashboard!$G$7,Dashboard!$N$6+Dashboard!$G$7),0)</f>
        <v>0</v>
      </c>
      <c r="R450">
        <f t="shared" si="40"/>
        <v>105.27222428944569</v>
      </c>
    </row>
    <row r="451" spans="1:18" x14ac:dyDescent="0.3">
      <c r="A451" t="s">
        <v>489</v>
      </c>
      <c r="B451">
        <v>7</v>
      </c>
      <c r="C451" s="19">
        <v>15</v>
      </c>
      <c r="D451" s="20">
        <v>2022</v>
      </c>
      <c r="E451" s="21">
        <f t="shared" si="42"/>
        <v>44757</v>
      </c>
      <c r="F451" s="20">
        <v>354.01</v>
      </c>
      <c r="G451" s="20">
        <v>4520475</v>
      </c>
      <c r="H451" s="20">
        <v>351.73</v>
      </c>
      <c r="I451" s="20">
        <v>354.11</v>
      </c>
      <c r="J451" s="22">
        <v>349.8</v>
      </c>
      <c r="K451" s="2">
        <f t="shared" ref="K451:K514" si="43">N451*F451</f>
        <v>48806.597240185234</v>
      </c>
      <c r="L451" s="2">
        <f>IF(B451&lt;&gt;B450,L450*(1+Dashboard!$G$5)+Dashboard!$G$6, L450)</f>
        <v>48314.409019096958</v>
      </c>
      <c r="M451">
        <f t="shared" si="41"/>
        <v>0</v>
      </c>
      <c r="N451">
        <f t="shared" si="38"/>
        <v>137.86784904433557</v>
      </c>
      <c r="O451">
        <f>IF(B451&lt;&gt;B450, Dashboard!$L$6,0)</f>
        <v>0</v>
      </c>
      <c r="P451">
        <f t="shared" si="39"/>
        <v>109.2280264035488</v>
      </c>
      <c r="Q451">
        <f>IF(B451&lt;&gt;B450,IF(F451&lt;=AVERAGE(F429:F450),Dashboard!$N$6-Dashboard!$G$7,Dashboard!$N$6+Dashboard!$G$7),0)</f>
        <v>0</v>
      </c>
      <c r="R451">
        <f t="shared" si="40"/>
        <v>105.27222428944569</v>
      </c>
    </row>
    <row r="452" spans="1:18" x14ac:dyDescent="0.3">
      <c r="A452" t="s">
        <v>488</v>
      </c>
      <c r="B452">
        <v>7</v>
      </c>
      <c r="C452" s="19">
        <v>18</v>
      </c>
      <c r="D452" s="20">
        <v>2022</v>
      </c>
      <c r="E452" s="21">
        <f t="shared" si="42"/>
        <v>44760</v>
      </c>
      <c r="F452" s="20">
        <v>351.08</v>
      </c>
      <c r="G452" s="20">
        <v>3544880</v>
      </c>
      <c r="H452" s="20">
        <v>356.97</v>
      </c>
      <c r="I452" s="20">
        <v>357.62</v>
      </c>
      <c r="J452" s="22">
        <v>349.92</v>
      </c>
      <c r="K452" s="2">
        <f t="shared" si="43"/>
        <v>48402.644442485333</v>
      </c>
      <c r="L452" s="2">
        <f>IF(B452&lt;&gt;B451,L451*(1+Dashboard!$G$5)+Dashboard!$G$6, L451)</f>
        <v>48314.409019096958</v>
      </c>
      <c r="M452">
        <f t="shared" si="41"/>
        <v>0</v>
      </c>
      <c r="N452">
        <f t="shared" ref="N452:N515" si="44">N451+M451/F451</f>
        <v>137.86784904433557</v>
      </c>
      <c r="O452">
        <f>IF(B452&lt;&gt;B451, Dashboard!$L$6,0)</f>
        <v>0</v>
      </c>
      <c r="P452">
        <f t="shared" ref="P452:P515" si="45">P451+O452/F452</f>
        <v>109.2280264035488</v>
      </c>
      <c r="Q452">
        <f>IF(B452&lt;&gt;B451,IF(F452&lt;=AVERAGE(F430:F451),Dashboard!$N$6-Dashboard!$G$7,Dashboard!$N$6+Dashboard!$G$7),0)</f>
        <v>0</v>
      </c>
      <c r="R452">
        <f t="shared" ref="R452:R515" si="46">R451+Q452/H452</f>
        <v>105.27222428944569</v>
      </c>
    </row>
    <row r="453" spans="1:18" x14ac:dyDescent="0.3">
      <c r="A453" t="s">
        <v>487</v>
      </c>
      <c r="B453">
        <v>7</v>
      </c>
      <c r="C453" s="19">
        <v>19</v>
      </c>
      <c r="D453" s="20">
        <v>2022</v>
      </c>
      <c r="E453" s="21">
        <f t="shared" si="42"/>
        <v>44761</v>
      </c>
      <c r="F453" s="20">
        <v>360.61</v>
      </c>
      <c r="G453" s="20">
        <v>3620152</v>
      </c>
      <c r="H453" s="20">
        <v>354.95</v>
      </c>
      <c r="I453" s="20">
        <v>361.09</v>
      </c>
      <c r="J453" s="22">
        <v>354.25</v>
      </c>
      <c r="K453" s="2">
        <f t="shared" si="43"/>
        <v>49716.525043877853</v>
      </c>
      <c r="L453" s="2">
        <f>IF(B453&lt;&gt;B452,L452*(1+Dashboard!$G$5)+Dashboard!$G$6, L452)</f>
        <v>48314.409019096958</v>
      </c>
      <c r="M453">
        <f t="shared" si="41"/>
        <v>0</v>
      </c>
      <c r="N453">
        <f t="shared" si="44"/>
        <v>137.86784904433557</v>
      </c>
      <c r="O453">
        <f>IF(B453&lt;&gt;B452, Dashboard!$L$6,0)</f>
        <v>0</v>
      </c>
      <c r="P453">
        <f t="shared" si="45"/>
        <v>109.2280264035488</v>
      </c>
      <c r="Q453">
        <f>IF(B453&lt;&gt;B452,IF(F453&lt;=AVERAGE(F431:F452),Dashboard!$N$6-Dashboard!$G$7,Dashboard!$N$6+Dashboard!$G$7),0)</f>
        <v>0</v>
      </c>
      <c r="R453">
        <f t="shared" si="46"/>
        <v>105.27222428944569</v>
      </c>
    </row>
    <row r="454" spans="1:18" x14ac:dyDescent="0.3">
      <c r="A454" t="s">
        <v>486</v>
      </c>
      <c r="B454">
        <v>7</v>
      </c>
      <c r="C454" s="19">
        <v>20</v>
      </c>
      <c r="D454" s="20">
        <v>2022</v>
      </c>
      <c r="E454" s="21">
        <f t="shared" si="42"/>
        <v>44762</v>
      </c>
      <c r="F454" s="20">
        <v>362.92</v>
      </c>
      <c r="G454" s="20">
        <v>4270636</v>
      </c>
      <c r="H454" s="20">
        <v>360.7</v>
      </c>
      <c r="I454" s="20">
        <v>364.23989999999998</v>
      </c>
      <c r="J454" s="22">
        <v>359.45</v>
      </c>
      <c r="K454" s="2">
        <f t="shared" si="43"/>
        <v>50034.999775170269</v>
      </c>
      <c r="L454" s="2">
        <f>IF(B454&lt;&gt;B453,L453*(1+Dashboard!$G$5)+Dashboard!$G$6, L453)</f>
        <v>48314.409019096958</v>
      </c>
      <c r="M454">
        <f t="shared" si="41"/>
        <v>0</v>
      </c>
      <c r="N454">
        <f t="shared" si="44"/>
        <v>137.86784904433557</v>
      </c>
      <c r="O454">
        <f>IF(B454&lt;&gt;B453, Dashboard!$L$6,0)</f>
        <v>0</v>
      </c>
      <c r="P454">
        <f t="shared" si="45"/>
        <v>109.2280264035488</v>
      </c>
      <c r="Q454">
        <f>IF(B454&lt;&gt;B453,IF(F454&lt;=AVERAGE(F432:F453),Dashboard!$N$6-Dashboard!$G$7,Dashboard!$N$6+Dashboard!$G$7),0)</f>
        <v>0</v>
      </c>
      <c r="R454">
        <f t="shared" si="46"/>
        <v>105.27222428944569</v>
      </c>
    </row>
    <row r="455" spans="1:18" x14ac:dyDescent="0.3">
      <c r="A455" t="s">
        <v>485</v>
      </c>
      <c r="B455">
        <v>7</v>
      </c>
      <c r="C455" s="19">
        <v>21</v>
      </c>
      <c r="D455" s="20">
        <v>2022</v>
      </c>
      <c r="E455" s="21">
        <f t="shared" si="42"/>
        <v>44763</v>
      </c>
      <c r="F455" s="20">
        <v>366.59</v>
      </c>
      <c r="G455" s="20">
        <v>4603979</v>
      </c>
      <c r="H455" s="20">
        <v>362.36</v>
      </c>
      <c r="I455" s="20">
        <v>366.62</v>
      </c>
      <c r="J455" s="22">
        <v>360.01</v>
      </c>
      <c r="K455" s="2">
        <f t="shared" si="43"/>
        <v>50540.974781162971</v>
      </c>
      <c r="L455" s="2">
        <f>IF(B455&lt;&gt;B454,L454*(1+Dashboard!$G$5)+Dashboard!$G$6, L454)</f>
        <v>48314.409019096958</v>
      </c>
      <c r="M455">
        <f t="shared" si="41"/>
        <v>0</v>
      </c>
      <c r="N455">
        <f t="shared" si="44"/>
        <v>137.86784904433557</v>
      </c>
      <c r="O455">
        <f>IF(B455&lt;&gt;B454, Dashboard!$L$6,0)</f>
        <v>0</v>
      </c>
      <c r="P455">
        <f t="shared" si="45"/>
        <v>109.2280264035488</v>
      </c>
      <c r="Q455">
        <f>IF(B455&lt;&gt;B454,IF(F455&lt;=AVERAGE(F433:F454),Dashboard!$N$6-Dashboard!$G$7,Dashboard!$N$6+Dashboard!$G$7),0)</f>
        <v>0</v>
      </c>
      <c r="R455">
        <f t="shared" si="46"/>
        <v>105.27222428944569</v>
      </c>
    </row>
    <row r="456" spans="1:18" x14ac:dyDescent="0.3">
      <c r="A456" t="s">
        <v>484</v>
      </c>
      <c r="B456">
        <v>7</v>
      </c>
      <c r="C456" s="19">
        <v>22</v>
      </c>
      <c r="D456" s="20">
        <v>2022</v>
      </c>
      <c r="E456" s="21">
        <f t="shared" si="42"/>
        <v>44764</v>
      </c>
      <c r="F456" s="20">
        <v>363.25</v>
      </c>
      <c r="G456" s="20">
        <v>4533862</v>
      </c>
      <c r="H456" s="20">
        <v>366.69</v>
      </c>
      <c r="I456" s="20">
        <v>367.84</v>
      </c>
      <c r="J456" s="22">
        <v>361.01</v>
      </c>
      <c r="K456" s="2">
        <f t="shared" si="43"/>
        <v>50080.496165354896</v>
      </c>
      <c r="L456" s="2">
        <f>IF(B456&lt;&gt;B455,L455*(1+Dashboard!$G$5)+Dashboard!$G$6, L455)</f>
        <v>48314.409019096958</v>
      </c>
      <c r="M456">
        <f t="shared" si="41"/>
        <v>0</v>
      </c>
      <c r="N456">
        <f t="shared" si="44"/>
        <v>137.86784904433557</v>
      </c>
      <c r="O456">
        <f>IF(B456&lt;&gt;B455, Dashboard!$L$6,0)</f>
        <v>0</v>
      </c>
      <c r="P456">
        <f t="shared" si="45"/>
        <v>109.2280264035488</v>
      </c>
      <c r="Q456">
        <f>IF(B456&lt;&gt;B455,IF(F456&lt;=AVERAGE(F434:F455),Dashboard!$N$6-Dashboard!$G$7,Dashboard!$N$6+Dashboard!$G$7),0)</f>
        <v>0</v>
      </c>
      <c r="R456">
        <f t="shared" si="46"/>
        <v>105.27222428944569</v>
      </c>
    </row>
    <row r="457" spans="1:18" x14ac:dyDescent="0.3">
      <c r="A457" t="s">
        <v>483</v>
      </c>
      <c r="B457">
        <v>7</v>
      </c>
      <c r="C457" s="19">
        <v>25</v>
      </c>
      <c r="D457" s="20">
        <v>2022</v>
      </c>
      <c r="E457" s="21">
        <f t="shared" si="42"/>
        <v>44767</v>
      </c>
      <c r="F457" s="20">
        <v>363.61</v>
      </c>
      <c r="G457" s="20">
        <v>3902230</v>
      </c>
      <c r="H457" s="20">
        <v>363.84</v>
      </c>
      <c r="I457" s="20">
        <v>364.44</v>
      </c>
      <c r="J457" s="22">
        <v>361.45</v>
      </c>
      <c r="K457" s="2">
        <f t="shared" si="43"/>
        <v>50130.128591010856</v>
      </c>
      <c r="L457" s="2">
        <f>IF(B457&lt;&gt;B456,L456*(1+Dashboard!$G$5)+Dashboard!$G$6, L456)</f>
        <v>48314.409019096958</v>
      </c>
      <c r="M457">
        <f t="shared" si="41"/>
        <v>0</v>
      </c>
      <c r="N457">
        <f t="shared" si="44"/>
        <v>137.86784904433557</v>
      </c>
      <c r="O457">
        <f>IF(B457&lt;&gt;B456, Dashboard!$L$6,0)</f>
        <v>0</v>
      </c>
      <c r="P457">
        <f t="shared" si="45"/>
        <v>109.2280264035488</v>
      </c>
      <c r="Q457">
        <f>IF(B457&lt;&gt;B456,IF(F457&lt;=AVERAGE(F435:F456),Dashboard!$N$6-Dashboard!$G$7,Dashboard!$N$6+Dashboard!$G$7),0)</f>
        <v>0</v>
      </c>
      <c r="R457">
        <f t="shared" si="46"/>
        <v>105.27222428944569</v>
      </c>
    </row>
    <row r="458" spans="1:18" x14ac:dyDescent="0.3">
      <c r="A458" t="s">
        <v>482</v>
      </c>
      <c r="B458">
        <v>7</v>
      </c>
      <c r="C458" s="19">
        <v>26</v>
      </c>
      <c r="D458" s="20">
        <v>2022</v>
      </c>
      <c r="E458" s="21">
        <f t="shared" si="42"/>
        <v>44768</v>
      </c>
      <c r="F458" s="20">
        <v>359.25</v>
      </c>
      <c r="G458" s="20">
        <v>2987190</v>
      </c>
      <c r="H458" s="20">
        <v>362.12</v>
      </c>
      <c r="I458" s="20">
        <v>362.21</v>
      </c>
      <c r="J458" s="22">
        <v>358.45010000000002</v>
      </c>
      <c r="K458" s="2">
        <f t="shared" si="43"/>
        <v>49529.024769177551</v>
      </c>
      <c r="L458" s="2">
        <f>IF(B458&lt;&gt;B457,L457*(1+Dashboard!$G$5)+Dashboard!$G$6, L457)</f>
        <v>48314.409019096958</v>
      </c>
      <c r="M458">
        <f t="shared" si="41"/>
        <v>0</v>
      </c>
      <c r="N458">
        <f t="shared" si="44"/>
        <v>137.86784904433557</v>
      </c>
      <c r="O458">
        <f>IF(B458&lt;&gt;B457, Dashboard!$L$6,0)</f>
        <v>0</v>
      </c>
      <c r="P458">
        <f t="shared" si="45"/>
        <v>109.2280264035488</v>
      </c>
      <c r="Q458">
        <f>IF(B458&lt;&gt;B457,IF(F458&lt;=AVERAGE(F436:F457),Dashboard!$N$6-Dashboard!$G$7,Dashboard!$N$6+Dashboard!$G$7),0)</f>
        <v>0</v>
      </c>
      <c r="R458">
        <f t="shared" si="46"/>
        <v>105.27222428944569</v>
      </c>
    </row>
    <row r="459" spans="1:18" x14ac:dyDescent="0.3">
      <c r="A459" t="s">
        <v>481</v>
      </c>
      <c r="B459">
        <v>7</v>
      </c>
      <c r="C459" s="19">
        <v>27</v>
      </c>
      <c r="D459" s="20">
        <v>2022</v>
      </c>
      <c r="E459" s="21">
        <f t="shared" si="42"/>
        <v>44769</v>
      </c>
      <c r="F459" s="20">
        <v>368.66</v>
      </c>
      <c r="G459" s="20">
        <v>4500264</v>
      </c>
      <c r="H459" s="20">
        <v>362.49</v>
      </c>
      <c r="I459" s="20">
        <v>370.33</v>
      </c>
      <c r="J459" s="22">
        <v>362.22050000000002</v>
      </c>
      <c r="K459" s="2">
        <f t="shared" si="43"/>
        <v>50826.361228684756</v>
      </c>
      <c r="L459" s="2">
        <f>IF(B459&lt;&gt;B458,L458*(1+Dashboard!$G$5)+Dashboard!$G$6, L458)</f>
        <v>48314.409019096958</v>
      </c>
      <c r="M459">
        <f t="shared" si="41"/>
        <v>0</v>
      </c>
      <c r="N459">
        <f t="shared" si="44"/>
        <v>137.86784904433557</v>
      </c>
      <c r="O459">
        <f>IF(B459&lt;&gt;B458, Dashboard!$L$6,0)</f>
        <v>0</v>
      </c>
      <c r="P459">
        <f t="shared" si="45"/>
        <v>109.2280264035488</v>
      </c>
      <c r="Q459">
        <f>IF(B459&lt;&gt;B458,IF(F459&lt;=AVERAGE(F437:F458),Dashboard!$N$6-Dashboard!$G$7,Dashboard!$N$6+Dashboard!$G$7),0)</f>
        <v>0</v>
      </c>
      <c r="R459">
        <f t="shared" si="46"/>
        <v>105.27222428944569</v>
      </c>
    </row>
    <row r="460" spans="1:18" x14ac:dyDescent="0.3">
      <c r="A460" t="s">
        <v>480</v>
      </c>
      <c r="B460">
        <v>7</v>
      </c>
      <c r="C460" s="19">
        <v>28</v>
      </c>
      <c r="D460" s="20">
        <v>2022</v>
      </c>
      <c r="E460" s="21">
        <f t="shared" si="42"/>
        <v>44770</v>
      </c>
      <c r="F460" s="20">
        <v>373.32</v>
      </c>
      <c r="G460" s="20">
        <v>4345335</v>
      </c>
      <c r="H460" s="20">
        <v>369.42</v>
      </c>
      <c r="I460" s="20">
        <v>373.91</v>
      </c>
      <c r="J460" s="22">
        <v>365.98</v>
      </c>
      <c r="K460" s="2">
        <f t="shared" si="43"/>
        <v>51468.825405231357</v>
      </c>
      <c r="L460" s="2">
        <f>IF(B460&lt;&gt;B459,L459*(1+Dashboard!$G$5)+Dashboard!$G$6, L459)</f>
        <v>48314.409019096958</v>
      </c>
      <c r="M460">
        <f t="shared" si="41"/>
        <v>0</v>
      </c>
      <c r="N460">
        <f t="shared" si="44"/>
        <v>137.86784904433557</v>
      </c>
      <c r="O460">
        <f>IF(B460&lt;&gt;B459, Dashboard!$L$6,0)</f>
        <v>0</v>
      </c>
      <c r="P460">
        <f t="shared" si="45"/>
        <v>109.2280264035488</v>
      </c>
      <c r="Q460">
        <f>IF(B460&lt;&gt;B459,IF(F460&lt;=AVERAGE(F438:F459),Dashboard!$N$6-Dashboard!$G$7,Dashboard!$N$6+Dashboard!$G$7),0)</f>
        <v>0</v>
      </c>
      <c r="R460">
        <f t="shared" si="46"/>
        <v>105.27222428944569</v>
      </c>
    </row>
    <row r="461" spans="1:18" x14ac:dyDescent="0.3">
      <c r="A461" t="s">
        <v>479</v>
      </c>
      <c r="B461">
        <v>7</v>
      </c>
      <c r="C461" s="19">
        <v>29</v>
      </c>
      <c r="D461" s="20">
        <v>2022</v>
      </c>
      <c r="E461" s="21">
        <f t="shared" si="42"/>
        <v>44771</v>
      </c>
      <c r="F461" s="20">
        <v>378.79</v>
      </c>
      <c r="G461" s="20">
        <v>5246413</v>
      </c>
      <c r="H461" s="20">
        <v>374.73</v>
      </c>
      <c r="I461" s="20">
        <v>379.66</v>
      </c>
      <c r="J461" s="22">
        <v>373.93</v>
      </c>
      <c r="K461" s="2">
        <f t="shared" si="43"/>
        <v>52222.962539503875</v>
      </c>
      <c r="L461" s="2">
        <f>IF(B461&lt;&gt;B460,L460*(1+Dashboard!$G$5)+Dashboard!$G$6, L460)</f>
        <v>48314.409019096958</v>
      </c>
      <c r="M461">
        <f t="shared" si="41"/>
        <v>0</v>
      </c>
      <c r="N461">
        <f t="shared" si="44"/>
        <v>137.86784904433557</v>
      </c>
      <c r="O461">
        <f>IF(B461&lt;&gt;B460, Dashboard!$L$6,0)</f>
        <v>0</v>
      </c>
      <c r="P461">
        <f t="shared" si="45"/>
        <v>109.2280264035488</v>
      </c>
      <c r="Q461">
        <f>IF(B461&lt;&gt;B460,IF(F461&lt;=AVERAGE(F439:F460),Dashboard!$N$6-Dashboard!$G$7,Dashboard!$N$6+Dashboard!$G$7),0)</f>
        <v>0</v>
      </c>
      <c r="R461">
        <f t="shared" si="46"/>
        <v>105.27222428944569</v>
      </c>
    </row>
    <row r="462" spans="1:18" x14ac:dyDescent="0.3">
      <c r="A462" s="1">
        <v>44569</v>
      </c>
      <c r="B462">
        <v>8</v>
      </c>
      <c r="C462" s="19">
        <v>1</v>
      </c>
      <c r="D462" s="20">
        <v>2022</v>
      </c>
      <c r="E462" s="21">
        <f t="shared" si="42"/>
        <v>44774</v>
      </c>
      <c r="F462" s="20">
        <v>377.65</v>
      </c>
      <c r="G462" s="20">
        <v>4421369</v>
      </c>
      <c r="H462" s="20">
        <v>376.12</v>
      </c>
      <c r="I462" s="20">
        <v>380.01</v>
      </c>
      <c r="J462" s="22">
        <v>375.44</v>
      </c>
      <c r="K462" s="2">
        <f t="shared" si="43"/>
        <v>52065.793191593322</v>
      </c>
      <c r="L462" s="2">
        <f>IF(B462&lt;&gt;B461,L461*(1+Dashboard!$G$5)+Dashboard!$G$6, L461)</f>
        <v>50739.575818465004</v>
      </c>
      <c r="M462">
        <f t="shared" si="41"/>
        <v>0</v>
      </c>
      <c r="N462">
        <f t="shared" si="44"/>
        <v>137.86784904433557</v>
      </c>
      <c r="O462">
        <f>IF(B462&lt;&gt;B461, Dashboard!$L$6,0)</f>
        <v>1859.7282542371197</v>
      </c>
      <c r="P462">
        <f t="shared" si="45"/>
        <v>114.15250211978638</v>
      </c>
      <c r="Q462">
        <f>IF(B462&lt;&gt;B461,IF(F462&lt;=AVERAGE(F440:F461),Dashboard!$N$6-Dashboard!$G$7,Dashboard!$N$6+Dashboard!$G$7),0)</f>
        <v>2232.609610169322</v>
      </c>
      <c r="R462">
        <f t="shared" si="46"/>
        <v>111.20812137061479</v>
      </c>
    </row>
    <row r="463" spans="1:18" x14ac:dyDescent="0.3">
      <c r="A463" s="1">
        <v>44600</v>
      </c>
      <c r="B463">
        <v>8</v>
      </c>
      <c r="C463" s="19">
        <v>2</v>
      </c>
      <c r="D463" s="20">
        <v>2022</v>
      </c>
      <c r="E463" s="21">
        <f t="shared" si="42"/>
        <v>44775</v>
      </c>
      <c r="F463" s="20">
        <v>375.21</v>
      </c>
      <c r="G463" s="20">
        <v>4132588</v>
      </c>
      <c r="H463" s="20">
        <v>376.11</v>
      </c>
      <c r="I463" s="20">
        <v>379.62700000000001</v>
      </c>
      <c r="J463" s="22">
        <v>373.95</v>
      </c>
      <c r="K463" s="2">
        <f t="shared" si="43"/>
        <v>51729.395639925147</v>
      </c>
      <c r="L463" s="2">
        <f>IF(B463&lt;&gt;B462,L462*(1+Dashboard!$G$5)+Dashboard!$G$6, L462)</f>
        <v>50739.575818465004</v>
      </c>
      <c r="M463">
        <f t="shared" si="41"/>
        <v>0</v>
      </c>
      <c r="N463">
        <f t="shared" si="44"/>
        <v>137.86784904433557</v>
      </c>
      <c r="O463">
        <f>IF(B463&lt;&gt;B462, Dashboard!$L$6,0)</f>
        <v>0</v>
      </c>
      <c r="P463">
        <f t="shared" si="45"/>
        <v>114.15250211978638</v>
      </c>
      <c r="Q463">
        <f>IF(B463&lt;&gt;B462,IF(F463&lt;=AVERAGE(F441:F462),Dashboard!$N$6-Dashboard!$G$7,Dashboard!$N$6+Dashboard!$G$7),0)</f>
        <v>0</v>
      </c>
      <c r="R463">
        <f t="shared" si="46"/>
        <v>111.20812137061479</v>
      </c>
    </row>
    <row r="464" spans="1:18" x14ac:dyDescent="0.3">
      <c r="A464" s="1">
        <v>44628</v>
      </c>
      <c r="B464">
        <v>8</v>
      </c>
      <c r="C464" s="19">
        <v>3</v>
      </c>
      <c r="D464" s="20">
        <v>2022</v>
      </c>
      <c r="E464" s="21">
        <f t="shared" si="42"/>
        <v>44776</v>
      </c>
      <c r="F464" s="20">
        <v>381.07</v>
      </c>
      <c r="G464" s="20">
        <v>3854779</v>
      </c>
      <c r="H464" s="20">
        <v>377.19</v>
      </c>
      <c r="I464" s="20">
        <v>382.1</v>
      </c>
      <c r="J464" s="22">
        <v>376.91</v>
      </c>
      <c r="K464" s="2">
        <f t="shared" si="43"/>
        <v>52537.301235324958</v>
      </c>
      <c r="L464" s="2">
        <f>IF(B464&lt;&gt;B463,L463*(1+Dashboard!$G$5)+Dashboard!$G$6, L463)</f>
        <v>50739.575818465004</v>
      </c>
      <c r="M464">
        <f t="shared" si="41"/>
        <v>0</v>
      </c>
      <c r="N464">
        <f t="shared" si="44"/>
        <v>137.86784904433557</v>
      </c>
      <c r="O464">
        <f>IF(B464&lt;&gt;B463, Dashboard!$L$6,0)</f>
        <v>0</v>
      </c>
      <c r="P464">
        <f t="shared" si="45"/>
        <v>114.15250211978638</v>
      </c>
      <c r="Q464">
        <f>IF(B464&lt;&gt;B463,IF(F464&lt;=AVERAGE(F442:F463),Dashboard!$N$6-Dashboard!$G$7,Dashboard!$N$6+Dashboard!$G$7),0)</f>
        <v>0</v>
      </c>
      <c r="R464">
        <f t="shared" si="46"/>
        <v>111.20812137061479</v>
      </c>
    </row>
    <row r="465" spans="1:18" x14ac:dyDescent="0.3">
      <c r="A465" s="1">
        <v>44659</v>
      </c>
      <c r="B465">
        <v>8</v>
      </c>
      <c r="C465" s="19">
        <v>4</v>
      </c>
      <c r="D465" s="20">
        <v>2022</v>
      </c>
      <c r="E465" s="21">
        <f t="shared" si="42"/>
        <v>44777</v>
      </c>
      <c r="F465" s="20">
        <v>380.77</v>
      </c>
      <c r="G465" s="20">
        <v>3410631</v>
      </c>
      <c r="H465" s="20">
        <v>380.88</v>
      </c>
      <c r="I465" s="20">
        <v>381.53</v>
      </c>
      <c r="J465" s="22">
        <v>379.19</v>
      </c>
      <c r="K465" s="2">
        <f t="shared" si="43"/>
        <v>52495.940880611655</v>
      </c>
      <c r="L465" s="2">
        <f>IF(B465&lt;&gt;B464,L464*(1+Dashboard!$G$5)+Dashboard!$G$6, L464)</f>
        <v>50739.575818465004</v>
      </c>
      <c r="M465">
        <f t="shared" si="41"/>
        <v>0</v>
      </c>
      <c r="N465">
        <f t="shared" si="44"/>
        <v>137.86784904433557</v>
      </c>
      <c r="O465">
        <f>IF(B465&lt;&gt;B464, Dashboard!$L$6,0)</f>
        <v>0</v>
      </c>
      <c r="P465">
        <f t="shared" si="45"/>
        <v>114.15250211978638</v>
      </c>
      <c r="Q465">
        <f>IF(B465&lt;&gt;B464,IF(F465&lt;=AVERAGE(F443:F464),Dashboard!$N$6-Dashboard!$G$7,Dashboard!$N$6+Dashboard!$G$7),0)</f>
        <v>0</v>
      </c>
      <c r="R465">
        <f t="shared" si="46"/>
        <v>111.20812137061479</v>
      </c>
    </row>
    <row r="466" spans="1:18" x14ac:dyDescent="0.3">
      <c r="A466" s="1">
        <v>44689</v>
      </c>
      <c r="B466">
        <v>8</v>
      </c>
      <c r="C466" s="19">
        <v>5</v>
      </c>
      <c r="D466" s="20">
        <v>2022</v>
      </c>
      <c r="E466" s="21">
        <f t="shared" si="42"/>
        <v>44778</v>
      </c>
      <c r="F466" s="20">
        <v>379.98</v>
      </c>
      <c r="G466" s="20">
        <v>2852090</v>
      </c>
      <c r="H466" s="20">
        <v>376.65</v>
      </c>
      <c r="I466" s="20">
        <v>380.7</v>
      </c>
      <c r="J466" s="22">
        <v>376.54</v>
      </c>
      <c r="K466" s="2">
        <f t="shared" si="43"/>
        <v>52387.025279866633</v>
      </c>
      <c r="L466" s="2">
        <f>IF(B466&lt;&gt;B465,L465*(1+Dashboard!$G$5)+Dashboard!$G$6, L465)</f>
        <v>50739.575818465004</v>
      </c>
      <c r="M466">
        <f t="shared" si="41"/>
        <v>0</v>
      </c>
      <c r="N466">
        <f t="shared" si="44"/>
        <v>137.86784904433557</v>
      </c>
      <c r="O466">
        <f>IF(B466&lt;&gt;B465, Dashboard!$L$6,0)</f>
        <v>0</v>
      </c>
      <c r="P466">
        <f t="shared" si="45"/>
        <v>114.15250211978638</v>
      </c>
      <c r="Q466">
        <f>IF(B466&lt;&gt;B465,IF(F466&lt;=AVERAGE(F444:F465),Dashboard!$N$6-Dashboard!$G$7,Dashboard!$N$6+Dashboard!$G$7),0)</f>
        <v>0</v>
      </c>
      <c r="R466">
        <f t="shared" si="46"/>
        <v>111.20812137061479</v>
      </c>
    </row>
    <row r="467" spans="1:18" x14ac:dyDescent="0.3">
      <c r="A467" s="1">
        <v>44781</v>
      </c>
      <c r="B467">
        <v>8</v>
      </c>
      <c r="C467" s="19">
        <v>8</v>
      </c>
      <c r="D467" s="20">
        <v>2022</v>
      </c>
      <c r="E467" s="21">
        <f t="shared" si="42"/>
        <v>44781</v>
      </c>
      <c r="F467" s="20">
        <v>379.64</v>
      </c>
      <c r="G467" s="20">
        <v>3455348</v>
      </c>
      <c r="H467" s="20">
        <v>381.78</v>
      </c>
      <c r="I467" s="20">
        <v>383.90679999999998</v>
      </c>
      <c r="J467" s="22">
        <v>378.57</v>
      </c>
      <c r="K467" s="2">
        <f t="shared" si="43"/>
        <v>52340.150211191554</v>
      </c>
      <c r="L467" s="2">
        <f>IF(B467&lt;&gt;B466,L466*(1+Dashboard!$G$5)+Dashboard!$G$6, L466)</f>
        <v>50739.575818465004</v>
      </c>
      <c r="M467">
        <f t="shared" si="41"/>
        <v>0</v>
      </c>
      <c r="N467">
        <f t="shared" si="44"/>
        <v>137.86784904433557</v>
      </c>
      <c r="O467">
        <f>IF(B467&lt;&gt;B466, Dashboard!$L$6,0)</f>
        <v>0</v>
      </c>
      <c r="P467">
        <f t="shared" si="45"/>
        <v>114.15250211978638</v>
      </c>
      <c r="Q467">
        <f>IF(B467&lt;&gt;B466,IF(F467&lt;=AVERAGE(F445:F466),Dashboard!$N$6-Dashboard!$G$7,Dashboard!$N$6+Dashboard!$G$7),0)</f>
        <v>0</v>
      </c>
      <c r="R467">
        <f t="shared" si="46"/>
        <v>111.20812137061479</v>
      </c>
    </row>
    <row r="468" spans="1:18" x14ac:dyDescent="0.3">
      <c r="A468" s="1">
        <v>44812</v>
      </c>
      <c r="B468">
        <v>8</v>
      </c>
      <c r="C468" s="19">
        <v>9</v>
      </c>
      <c r="D468" s="20">
        <v>2022</v>
      </c>
      <c r="E468" s="21">
        <f t="shared" si="42"/>
        <v>44782</v>
      </c>
      <c r="F468" s="20">
        <v>378.14</v>
      </c>
      <c r="G468" s="20">
        <v>2360524</v>
      </c>
      <c r="H468" s="20">
        <v>379.02</v>
      </c>
      <c r="I468" s="20">
        <v>379.41</v>
      </c>
      <c r="J468" s="22">
        <v>377.1</v>
      </c>
      <c r="K468" s="2">
        <f t="shared" si="43"/>
        <v>52133.348437625049</v>
      </c>
      <c r="L468" s="2">
        <f>IF(B468&lt;&gt;B467,L467*(1+Dashboard!$G$5)+Dashboard!$G$6, L467)</f>
        <v>50739.575818465004</v>
      </c>
      <c r="M468">
        <f t="shared" si="41"/>
        <v>0</v>
      </c>
      <c r="N468">
        <f t="shared" si="44"/>
        <v>137.86784904433557</v>
      </c>
      <c r="O468">
        <f>IF(B468&lt;&gt;B467, Dashboard!$L$6,0)</f>
        <v>0</v>
      </c>
      <c r="P468">
        <f t="shared" si="45"/>
        <v>114.15250211978638</v>
      </c>
      <c r="Q468">
        <f>IF(B468&lt;&gt;B467,IF(F468&lt;=AVERAGE(F446:F467),Dashboard!$N$6-Dashboard!$G$7,Dashboard!$N$6+Dashboard!$G$7),0)</f>
        <v>0</v>
      </c>
      <c r="R468">
        <f t="shared" si="46"/>
        <v>111.20812137061479</v>
      </c>
    </row>
    <row r="469" spans="1:18" x14ac:dyDescent="0.3">
      <c r="A469" s="1">
        <v>44842</v>
      </c>
      <c r="B469">
        <v>8</v>
      </c>
      <c r="C469" s="19">
        <v>10</v>
      </c>
      <c r="D469" s="20">
        <v>2022</v>
      </c>
      <c r="E469" s="21">
        <f t="shared" si="42"/>
        <v>44783</v>
      </c>
      <c r="F469" s="20">
        <v>386.06</v>
      </c>
      <c r="G469" s="20">
        <v>3650992</v>
      </c>
      <c r="H469" s="20">
        <v>384.99</v>
      </c>
      <c r="I469" s="20">
        <v>386.23</v>
      </c>
      <c r="J469" s="22">
        <v>383.1</v>
      </c>
      <c r="K469" s="2">
        <f t="shared" si="43"/>
        <v>53225.261802056193</v>
      </c>
      <c r="L469" s="2">
        <f>IF(B469&lt;&gt;B468,L468*(1+Dashboard!$G$5)+Dashboard!$G$6, L468)</f>
        <v>50739.575818465004</v>
      </c>
      <c r="M469">
        <f t="shared" si="41"/>
        <v>0</v>
      </c>
      <c r="N469">
        <f t="shared" si="44"/>
        <v>137.86784904433557</v>
      </c>
      <c r="O469">
        <f>IF(B469&lt;&gt;B468, Dashboard!$L$6,0)</f>
        <v>0</v>
      </c>
      <c r="P469">
        <f t="shared" si="45"/>
        <v>114.15250211978638</v>
      </c>
      <c r="Q469">
        <f>IF(B469&lt;&gt;B468,IF(F469&lt;=AVERAGE(F447:F468),Dashboard!$N$6-Dashboard!$G$7,Dashboard!$N$6+Dashboard!$G$7),0)</f>
        <v>0</v>
      </c>
      <c r="R469">
        <f t="shared" si="46"/>
        <v>111.20812137061479</v>
      </c>
    </row>
    <row r="470" spans="1:18" x14ac:dyDescent="0.3">
      <c r="A470" s="1">
        <v>44873</v>
      </c>
      <c r="B470">
        <v>8</v>
      </c>
      <c r="C470" s="19">
        <v>11</v>
      </c>
      <c r="D470" s="20">
        <v>2022</v>
      </c>
      <c r="E470" s="21">
        <f t="shared" si="42"/>
        <v>44784</v>
      </c>
      <c r="F470" s="20">
        <v>386.06</v>
      </c>
      <c r="G470" s="20">
        <v>3575370</v>
      </c>
      <c r="H470" s="20">
        <v>388.87</v>
      </c>
      <c r="I470" s="20">
        <v>390.65</v>
      </c>
      <c r="J470" s="22">
        <v>385.4</v>
      </c>
      <c r="K470" s="2">
        <f t="shared" si="43"/>
        <v>53225.261802056193</v>
      </c>
      <c r="L470" s="2">
        <f>IF(B470&lt;&gt;B469,L469*(1+Dashboard!$G$5)+Dashboard!$G$6, L469)</f>
        <v>50739.575818465004</v>
      </c>
      <c r="M470">
        <f t="shared" si="41"/>
        <v>0</v>
      </c>
      <c r="N470">
        <f t="shared" si="44"/>
        <v>137.86784904433557</v>
      </c>
      <c r="O470">
        <f>IF(B470&lt;&gt;B469, Dashboard!$L$6,0)</f>
        <v>0</v>
      </c>
      <c r="P470">
        <f t="shared" si="45"/>
        <v>114.15250211978638</v>
      </c>
      <c r="Q470">
        <f>IF(B470&lt;&gt;B469,IF(F470&lt;=AVERAGE(F448:F469),Dashboard!$N$6-Dashboard!$G$7,Dashboard!$N$6+Dashboard!$G$7),0)</f>
        <v>0</v>
      </c>
      <c r="R470">
        <f t="shared" si="46"/>
        <v>111.20812137061479</v>
      </c>
    </row>
    <row r="471" spans="1:18" x14ac:dyDescent="0.3">
      <c r="A471" s="1">
        <v>44903</v>
      </c>
      <c r="B471">
        <v>8</v>
      </c>
      <c r="C471" s="19">
        <v>12</v>
      </c>
      <c r="D471" s="20">
        <v>2022</v>
      </c>
      <c r="E471" s="21">
        <f t="shared" si="42"/>
        <v>44785</v>
      </c>
      <c r="F471" s="20">
        <v>392.67</v>
      </c>
      <c r="G471" s="20">
        <v>3664357</v>
      </c>
      <c r="H471" s="20">
        <v>387.95</v>
      </c>
      <c r="I471" s="20">
        <v>392.72</v>
      </c>
      <c r="J471" s="22">
        <v>387.09</v>
      </c>
      <c r="K471" s="2">
        <f t="shared" si="43"/>
        <v>54136.568284239249</v>
      </c>
      <c r="L471" s="2">
        <f>IF(B471&lt;&gt;B470,L470*(1+Dashboard!$G$5)+Dashboard!$G$6, L470)</f>
        <v>50739.575818465004</v>
      </c>
      <c r="M471">
        <f t="shared" si="41"/>
        <v>0</v>
      </c>
      <c r="N471">
        <f t="shared" si="44"/>
        <v>137.86784904433557</v>
      </c>
      <c r="O471">
        <f>IF(B471&lt;&gt;B470, Dashboard!$L$6,0)</f>
        <v>0</v>
      </c>
      <c r="P471">
        <f t="shared" si="45"/>
        <v>114.15250211978638</v>
      </c>
      <c r="Q471">
        <f>IF(B471&lt;&gt;B470,IF(F471&lt;=AVERAGE(F449:F470),Dashboard!$N$6-Dashboard!$G$7,Dashboard!$N$6+Dashboard!$G$7),0)</f>
        <v>0</v>
      </c>
      <c r="R471">
        <f t="shared" si="46"/>
        <v>111.20812137061479</v>
      </c>
    </row>
    <row r="472" spans="1:18" x14ac:dyDescent="0.3">
      <c r="A472" t="s">
        <v>478</v>
      </c>
      <c r="B472">
        <v>8</v>
      </c>
      <c r="C472" s="19">
        <v>15</v>
      </c>
      <c r="D472" s="20">
        <v>2022</v>
      </c>
      <c r="E472" s="21">
        <f t="shared" si="42"/>
        <v>44788</v>
      </c>
      <c r="F472" s="20">
        <v>394.35</v>
      </c>
      <c r="G472" s="20">
        <v>3203933</v>
      </c>
      <c r="H472" s="20">
        <v>390.49</v>
      </c>
      <c r="I472" s="20">
        <v>394.76</v>
      </c>
      <c r="J472" s="22">
        <v>390.46</v>
      </c>
      <c r="K472" s="2">
        <f t="shared" si="43"/>
        <v>54368.186270633734</v>
      </c>
      <c r="L472" s="2">
        <f>IF(B472&lt;&gt;B471,L471*(1+Dashboard!$G$5)+Dashboard!$G$6, L471)</f>
        <v>50739.575818465004</v>
      </c>
      <c r="M472">
        <f t="shared" si="41"/>
        <v>0</v>
      </c>
      <c r="N472">
        <f t="shared" si="44"/>
        <v>137.86784904433557</v>
      </c>
      <c r="O472">
        <f>IF(B472&lt;&gt;B471, Dashboard!$L$6,0)</f>
        <v>0</v>
      </c>
      <c r="P472">
        <f t="shared" si="45"/>
        <v>114.15250211978638</v>
      </c>
      <c r="Q472">
        <f>IF(B472&lt;&gt;B471,IF(F472&lt;=AVERAGE(F450:F471),Dashboard!$N$6-Dashboard!$G$7,Dashboard!$N$6+Dashboard!$G$7),0)</f>
        <v>0</v>
      </c>
      <c r="R472">
        <f t="shared" si="46"/>
        <v>111.20812137061479</v>
      </c>
    </row>
    <row r="473" spans="1:18" x14ac:dyDescent="0.3">
      <c r="A473" t="s">
        <v>477</v>
      </c>
      <c r="B473">
        <v>8</v>
      </c>
      <c r="C473" s="19">
        <v>16</v>
      </c>
      <c r="D473" s="20">
        <v>2022</v>
      </c>
      <c r="E473" s="21">
        <f t="shared" si="42"/>
        <v>44789</v>
      </c>
      <c r="F473" s="20">
        <v>395.04</v>
      </c>
      <c r="G473" s="20">
        <v>3864849</v>
      </c>
      <c r="H473" s="20">
        <v>393.24</v>
      </c>
      <c r="I473" s="20">
        <v>396.89</v>
      </c>
      <c r="J473" s="22">
        <v>392.44</v>
      </c>
      <c r="K473" s="2">
        <f t="shared" si="43"/>
        <v>54463.315086474329</v>
      </c>
      <c r="L473" s="2">
        <f>IF(B473&lt;&gt;B472,L472*(1+Dashboard!$G$5)+Dashboard!$G$6, L472)</f>
        <v>50739.575818465004</v>
      </c>
      <c r="M473">
        <f t="shared" ref="M473:M536" si="47">IF(B473&lt;&gt;B472,IF((L473-K473&gt;0),L473-K473,0),0)</f>
        <v>0</v>
      </c>
      <c r="N473">
        <f t="shared" si="44"/>
        <v>137.86784904433557</v>
      </c>
      <c r="O473">
        <f>IF(B473&lt;&gt;B472, Dashboard!$L$6,0)</f>
        <v>0</v>
      </c>
      <c r="P473">
        <f t="shared" si="45"/>
        <v>114.15250211978638</v>
      </c>
      <c r="Q473">
        <f>IF(B473&lt;&gt;B472,IF(F473&lt;=AVERAGE(F451:F472),Dashboard!$N$6-Dashboard!$G$7,Dashboard!$N$6+Dashboard!$G$7),0)</f>
        <v>0</v>
      </c>
      <c r="R473">
        <f t="shared" si="46"/>
        <v>111.20812137061479</v>
      </c>
    </row>
    <row r="474" spans="1:18" x14ac:dyDescent="0.3">
      <c r="A474" t="s">
        <v>476</v>
      </c>
      <c r="B474">
        <v>8</v>
      </c>
      <c r="C474" s="19">
        <v>17</v>
      </c>
      <c r="D474" s="20">
        <v>2022</v>
      </c>
      <c r="E474" s="21">
        <f t="shared" si="42"/>
        <v>44790</v>
      </c>
      <c r="F474" s="20">
        <v>392.34</v>
      </c>
      <c r="G474" s="20">
        <v>3222325</v>
      </c>
      <c r="H474" s="20">
        <v>391.56</v>
      </c>
      <c r="I474" s="20">
        <v>394.85</v>
      </c>
      <c r="J474" s="22">
        <v>390.29309999999998</v>
      </c>
      <c r="K474" s="2">
        <f t="shared" si="43"/>
        <v>54091.071894054614</v>
      </c>
      <c r="L474" s="2">
        <f>IF(B474&lt;&gt;B473,L473*(1+Dashboard!$G$5)+Dashboard!$G$6, L473)</f>
        <v>50739.575818465004</v>
      </c>
      <c r="M474">
        <f t="shared" si="47"/>
        <v>0</v>
      </c>
      <c r="N474">
        <f t="shared" si="44"/>
        <v>137.86784904433557</v>
      </c>
      <c r="O474">
        <f>IF(B474&lt;&gt;B473, Dashboard!$L$6,0)</f>
        <v>0</v>
      </c>
      <c r="P474">
        <f t="shared" si="45"/>
        <v>114.15250211978638</v>
      </c>
      <c r="Q474">
        <f>IF(B474&lt;&gt;B473,IF(F474&lt;=AVERAGE(F452:F473),Dashboard!$N$6-Dashboard!$G$7,Dashboard!$N$6+Dashboard!$G$7),0)</f>
        <v>0</v>
      </c>
      <c r="R474">
        <f t="shared" si="46"/>
        <v>111.20812137061479</v>
      </c>
    </row>
    <row r="475" spans="1:18" x14ac:dyDescent="0.3">
      <c r="A475" t="s">
        <v>475</v>
      </c>
      <c r="B475">
        <v>8</v>
      </c>
      <c r="C475" s="19">
        <v>18</v>
      </c>
      <c r="D475" s="20">
        <v>2022</v>
      </c>
      <c r="E475" s="21">
        <f t="shared" si="42"/>
        <v>44791</v>
      </c>
      <c r="F475" s="20">
        <v>393.55</v>
      </c>
      <c r="G475" s="20">
        <v>3258081</v>
      </c>
      <c r="H475" s="20">
        <v>392.42</v>
      </c>
      <c r="I475" s="20">
        <v>394.02</v>
      </c>
      <c r="J475" s="22">
        <v>391.17</v>
      </c>
      <c r="K475" s="2">
        <f t="shared" si="43"/>
        <v>54257.891991398268</v>
      </c>
      <c r="L475" s="2">
        <f>IF(B475&lt;&gt;B474,L474*(1+Dashboard!$G$5)+Dashboard!$G$6, L474)</f>
        <v>50739.575818465004</v>
      </c>
      <c r="M475">
        <f t="shared" si="47"/>
        <v>0</v>
      </c>
      <c r="N475">
        <f t="shared" si="44"/>
        <v>137.86784904433557</v>
      </c>
      <c r="O475">
        <f>IF(B475&lt;&gt;B474, Dashboard!$L$6,0)</f>
        <v>0</v>
      </c>
      <c r="P475">
        <f t="shared" si="45"/>
        <v>114.15250211978638</v>
      </c>
      <c r="Q475">
        <f>IF(B475&lt;&gt;B474,IF(F475&lt;=AVERAGE(F453:F474),Dashboard!$N$6-Dashboard!$G$7,Dashboard!$N$6+Dashboard!$G$7),0)</f>
        <v>0</v>
      </c>
      <c r="R475">
        <f t="shared" si="46"/>
        <v>111.20812137061479</v>
      </c>
    </row>
    <row r="476" spans="1:18" x14ac:dyDescent="0.3">
      <c r="A476" t="s">
        <v>474</v>
      </c>
      <c r="B476">
        <v>8</v>
      </c>
      <c r="C476" s="19">
        <v>19</v>
      </c>
      <c r="D476" s="20">
        <v>2022</v>
      </c>
      <c r="E476" s="21">
        <f t="shared" si="42"/>
        <v>44792</v>
      </c>
      <c r="F476" s="20">
        <v>388.12</v>
      </c>
      <c r="G476" s="20">
        <v>2899030</v>
      </c>
      <c r="H476" s="20">
        <v>390.7</v>
      </c>
      <c r="I476" s="20">
        <v>390.95</v>
      </c>
      <c r="J476" s="22">
        <v>387.25</v>
      </c>
      <c r="K476" s="2">
        <f t="shared" si="43"/>
        <v>53509.26957108752</v>
      </c>
      <c r="L476" s="2">
        <f>IF(B476&lt;&gt;B475,L475*(1+Dashboard!$G$5)+Dashboard!$G$6, L475)</f>
        <v>50739.575818465004</v>
      </c>
      <c r="M476">
        <f t="shared" si="47"/>
        <v>0</v>
      </c>
      <c r="N476">
        <f t="shared" si="44"/>
        <v>137.86784904433557</v>
      </c>
      <c r="O476">
        <f>IF(B476&lt;&gt;B475, Dashboard!$L$6,0)</f>
        <v>0</v>
      </c>
      <c r="P476">
        <f t="shared" si="45"/>
        <v>114.15250211978638</v>
      </c>
      <c r="Q476">
        <f>IF(B476&lt;&gt;B475,IF(F476&lt;=AVERAGE(F454:F475),Dashboard!$N$6-Dashboard!$G$7,Dashboard!$N$6+Dashboard!$G$7),0)</f>
        <v>0</v>
      </c>
      <c r="R476">
        <f t="shared" si="46"/>
        <v>111.20812137061479</v>
      </c>
    </row>
    <row r="477" spans="1:18" x14ac:dyDescent="0.3">
      <c r="A477" t="s">
        <v>473</v>
      </c>
      <c r="B477">
        <v>8</v>
      </c>
      <c r="C477" s="19">
        <v>22</v>
      </c>
      <c r="D477" s="20">
        <v>2022</v>
      </c>
      <c r="E477" s="21">
        <f t="shared" si="42"/>
        <v>44795</v>
      </c>
      <c r="F477" s="20">
        <v>379.94</v>
      </c>
      <c r="G477" s="20">
        <v>4153718</v>
      </c>
      <c r="H477" s="20">
        <v>383.43</v>
      </c>
      <c r="I477" s="20">
        <v>383.54</v>
      </c>
      <c r="J477" s="22">
        <v>379.09</v>
      </c>
      <c r="K477" s="2">
        <f t="shared" si="43"/>
        <v>52381.510565904857</v>
      </c>
      <c r="L477" s="2">
        <f>IF(B477&lt;&gt;B476,L476*(1+Dashboard!$G$5)+Dashboard!$G$6, L476)</f>
        <v>50739.575818465004</v>
      </c>
      <c r="M477">
        <f t="shared" si="47"/>
        <v>0</v>
      </c>
      <c r="N477">
        <f t="shared" si="44"/>
        <v>137.86784904433557</v>
      </c>
      <c r="O477">
        <f>IF(B477&lt;&gt;B476, Dashboard!$L$6,0)</f>
        <v>0</v>
      </c>
      <c r="P477">
        <f t="shared" si="45"/>
        <v>114.15250211978638</v>
      </c>
      <c r="Q477">
        <f>IF(B477&lt;&gt;B476,IF(F477&lt;=AVERAGE(F455:F476),Dashboard!$N$6-Dashboard!$G$7,Dashboard!$N$6+Dashboard!$G$7),0)</f>
        <v>0</v>
      </c>
      <c r="R477">
        <f t="shared" si="46"/>
        <v>111.20812137061479</v>
      </c>
    </row>
    <row r="478" spans="1:18" x14ac:dyDescent="0.3">
      <c r="A478" t="s">
        <v>472</v>
      </c>
      <c r="B478">
        <v>8</v>
      </c>
      <c r="C478" s="19">
        <v>23</v>
      </c>
      <c r="D478" s="20">
        <v>2022</v>
      </c>
      <c r="E478" s="21">
        <f t="shared" si="42"/>
        <v>44796</v>
      </c>
      <c r="F478" s="20">
        <v>379.04</v>
      </c>
      <c r="G478" s="20">
        <v>2869184</v>
      </c>
      <c r="H478" s="20">
        <v>379.56</v>
      </c>
      <c r="I478" s="20">
        <v>381.87</v>
      </c>
      <c r="J478" s="22">
        <v>378.52330000000001</v>
      </c>
      <c r="K478" s="2">
        <f t="shared" si="43"/>
        <v>52257.429501764957</v>
      </c>
      <c r="L478" s="2">
        <f>IF(B478&lt;&gt;B477,L477*(1+Dashboard!$G$5)+Dashboard!$G$6, L477)</f>
        <v>50739.575818465004</v>
      </c>
      <c r="M478">
        <f t="shared" si="47"/>
        <v>0</v>
      </c>
      <c r="N478">
        <f t="shared" si="44"/>
        <v>137.86784904433557</v>
      </c>
      <c r="O478">
        <f>IF(B478&lt;&gt;B477, Dashboard!$L$6,0)</f>
        <v>0</v>
      </c>
      <c r="P478">
        <f t="shared" si="45"/>
        <v>114.15250211978638</v>
      </c>
      <c r="Q478">
        <f>IF(B478&lt;&gt;B477,IF(F478&lt;=AVERAGE(F456:F477),Dashboard!$N$6-Dashboard!$G$7,Dashboard!$N$6+Dashboard!$G$7),0)</f>
        <v>0</v>
      </c>
      <c r="R478">
        <f t="shared" si="46"/>
        <v>111.20812137061479</v>
      </c>
    </row>
    <row r="479" spans="1:18" x14ac:dyDescent="0.3">
      <c r="A479" t="s">
        <v>471</v>
      </c>
      <c r="B479">
        <v>8</v>
      </c>
      <c r="C479" s="19">
        <v>24</v>
      </c>
      <c r="D479" s="20">
        <v>2022</v>
      </c>
      <c r="E479" s="21">
        <f t="shared" si="42"/>
        <v>44797</v>
      </c>
      <c r="F479" s="20">
        <v>380.19</v>
      </c>
      <c r="G479" s="20">
        <v>2241245</v>
      </c>
      <c r="H479" s="20">
        <v>378.9</v>
      </c>
      <c r="I479" s="20">
        <v>381.58</v>
      </c>
      <c r="J479" s="22">
        <v>378.18</v>
      </c>
      <c r="K479" s="2">
        <f t="shared" si="43"/>
        <v>52415.977528165939</v>
      </c>
      <c r="L479" s="2">
        <f>IF(B479&lt;&gt;B478,L478*(1+Dashboard!$G$5)+Dashboard!$G$6, L478)</f>
        <v>50739.575818465004</v>
      </c>
      <c r="M479">
        <f t="shared" si="47"/>
        <v>0</v>
      </c>
      <c r="N479">
        <f t="shared" si="44"/>
        <v>137.86784904433557</v>
      </c>
      <c r="O479">
        <f>IF(B479&lt;&gt;B478, Dashboard!$L$6,0)</f>
        <v>0</v>
      </c>
      <c r="P479">
        <f t="shared" si="45"/>
        <v>114.15250211978638</v>
      </c>
      <c r="Q479">
        <f>IF(B479&lt;&gt;B478,IF(F479&lt;=AVERAGE(F457:F478),Dashboard!$N$6-Dashboard!$G$7,Dashboard!$N$6+Dashboard!$G$7),0)</f>
        <v>0</v>
      </c>
      <c r="R479">
        <f t="shared" si="46"/>
        <v>111.20812137061479</v>
      </c>
    </row>
    <row r="480" spans="1:18" x14ac:dyDescent="0.3">
      <c r="A480" t="s">
        <v>470</v>
      </c>
      <c r="B480">
        <v>8</v>
      </c>
      <c r="C480" s="19">
        <v>25</v>
      </c>
      <c r="D480" s="20">
        <v>2022</v>
      </c>
      <c r="E480" s="21">
        <f t="shared" si="42"/>
        <v>44798</v>
      </c>
      <c r="F480" s="20">
        <v>385.73</v>
      </c>
      <c r="G480" s="20">
        <v>2631290</v>
      </c>
      <c r="H480" s="20">
        <v>381.76</v>
      </c>
      <c r="I480" s="20">
        <v>385.73</v>
      </c>
      <c r="J480" s="22">
        <v>380.7</v>
      </c>
      <c r="K480" s="2">
        <f t="shared" si="43"/>
        <v>53179.765411871565</v>
      </c>
      <c r="L480" s="2">
        <f>IF(B480&lt;&gt;B479,L479*(1+Dashboard!$G$5)+Dashboard!$G$6, L479)</f>
        <v>50739.575818465004</v>
      </c>
      <c r="M480">
        <f t="shared" si="47"/>
        <v>0</v>
      </c>
      <c r="N480">
        <f t="shared" si="44"/>
        <v>137.86784904433557</v>
      </c>
      <c r="O480">
        <f>IF(B480&lt;&gt;B479, Dashboard!$L$6,0)</f>
        <v>0</v>
      </c>
      <c r="P480">
        <f t="shared" si="45"/>
        <v>114.15250211978638</v>
      </c>
      <c r="Q480">
        <f>IF(B480&lt;&gt;B479,IF(F480&lt;=AVERAGE(F458:F479),Dashboard!$N$6-Dashboard!$G$7,Dashboard!$N$6+Dashboard!$G$7),0)</f>
        <v>0</v>
      </c>
      <c r="R480">
        <f t="shared" si="46"/>
        <v>111.20812137061479</v>
      </c>
    </row>
    <row r="481" spans="1:18" x14ac:dyDescent="0.3">
      <c r="A481" t="s">
        <v>469</v>
      </c>
      <c r="B481">
        <v>8</v>
      </c>
      <c r="C481" s="19">
        <v>26</v>
      </c>
      <c r="D481" s="20">
        <v>2022</v>
      </c>
      <c r="E481" s="21">
        <f t="shared" si="42"/>
        <v>44799</v>
      </c>
      <c r="F481" s="20">
        <v>372.51</v>
      </c>
      <c r="G481" s="20">
        <v>5153160</v>
      </c>
      <c r="H481" s="20">
        <v>385.55</v>
      </c>
      <c r="I481" s="20">
        <v>386.05</v>
      </c>
      <c r="J481" s="22">
        <v>372.51</v>
      </c>
      <c r="K481" s="2">
        <f t="shared" si="43"/>
        <v>51357.152447505439</v>
      </c>
      <c r="L481" s="2">
        <f>IF(B481&lt;&gt;B480,L480*(1+Dashboard!$G$5)+Dashboard!$G$6, L480)</f>
        <v>50739.575818465004</v>
      </c>
      <c r="M481">
        <f t="shared" si="47"/>
        <v>0</v>
      </c>
      <c r="N481">
        <f t="shared" si="44"/>
        <v>137.86784904433557</v>
      </c>
      <c r="O481">
        <f>IF(B481&lt;&gt;B480, Dashboard!$L$6,0)</f>
        <v>0</v>
      </c>
      <c r="P481">
        <f t="shared" si="45"/>
        <v>114.15250211978638</v>
      </c>
      <c r="Q481">
        <f>IF(B481&lt;&gt;B480,IF(F481&lt;=AVERAGE(F459:F480),Dashboard!$N$6-Dashboard!$G$7,Dashboard!$N$6+Dashboard!$G$7),0)</f>
        <v>0</v>
      </c>
      <c r="R481">
        <f t="shared" si="46"/>
        <v>111.20812137061479</v>
      </c>
    </row>
    <row r="482" spans="1:18" x14ac:dyDescent="0.3">
      <c r="A482" t="s">
        <v>468</v>
      </c>
      <c r="B482">
        <v>8</v>
      </c>
      <c r="C482" s="19">
        <v>29</v>
      </c>
      <c r="D482" s="20">
        <v>2022</v>
      </c>
      <c r="E482" s="21">
        <f t="shared" si="42"/>
        <v>44802</v>
      </c>
      <c r="F482" s="20">
        <v>370.05</v>
      </c>
      <c r="G482" s="20">
        <v>4953159</v>
      </c>
      <c r="H482" s="20">
        <v>369.77</v>
      </c>
      <c r="I482" s="20">
        <v>373.05</v>
      </c>
      <c r="J482" s="22">
        <v>368.78</v>
      </c>
      <c r="K482" s="2">
        <f t="shared" si="43"/>
        <v>51017.997538856376</v>
      </c>
      <c r="L482" s="2">
        <f>IF(B482&lt;&gt;B481,L481*(1+Dashboard!$G$5)+Dashboard!$G$6, L481)</f>
        <v>50739.575818465004</v>
      </c>
      <c r="M482">
        <f t="shared" si="47"/>
        <v>0</v>
      </c>
      <c r="N482">
        <f t="shared" si="44"/>
        <v>137.86784904433557</v>
      </c>
      <c r="O482">
        <f>IF(B482&lt;&gt;B481, Dashboard!$L$6,0)</f>
        <v>0</v>
      </c>
      <c r="P482">
        <f t="shared" si="45"/>
        <v>114.15250211978638</v>
      </c>
      <c r="Q482">
        <f>IF(B482&lt;&gt;B481,IF(F482&lt;=AVERAGE(F460:F481),Dashboard!$N$6-Dashboard!$G$7,Dashboard!$N$6+Dashboard!$G$7),0)</f>
        <v>0</v>
      </c>
      <c r="R482">
        <f t="shared" si="46"/>
        <v>111.20812137061479</v>
      </c>
    </row>
    <row r="483" spans="1:18" x14ac:dyDescent="0.3">
      <c r="A483" t="s">
        <v>467</v>
      </c>
      <c r="B483">
        <v>8</v>
      </c>
      <c r="C483" s="19">
        <v>30</v>
      </c>
      <c r="D483" s="20">
        <v>2022</v>
      </c>
      <c r="E483" s="21">
        <f t="shared" si="42"/>
        <v>44803</v>
      </c>
      <c r="F483" s="20">
        <v>366.03</v>
      </c>
      <c r="G483" s="20">
        <v>5044536</v>
      </c>
      <c r="H483" s="20">
        <v>371.3</v>
      </c>
      <c r="I483" s="20">
        <v>371.44499999999999</v>
      </c>
      <c r="J483" s="22">
        <v>364.02</v>
      </c>
      <c r="K483" s="2">
        <f t="shared" si="43"/>
        <v>50463.768785698143</v>
      </c>
      <c r="L483" s="2">
        <f>IF(B483&lt;&gt;B482,L482*(1+Dashboard!$G$5)+Dashboard!$G$6, L482)</f>
        <v>50739.575818465004</v>
      </c>
      <c r="M483">
        <f t="shared" si="47"/>
        <v>0</v>
      </c>
      <c r="N483">
        <f t="shared" si="44"/>
        <v>137.86784904433557</v>
      </c>
      <c r="O483">
        <f>IF(B483&lt;&gt;B482, Dashboard!$L$6,0)</f>
        <v>0</v>
      </c>
      <c r="P483">
        <f t="shared" si="45"/>
        <v>114.15250211978638</v>
      </c>
      <c r="Q483">
        <f>IF(B483&lt;&gt;B482,IF(F483&lt;=AVERAGE(F461:F482),Dashboard!$N$6-Dashboard!$G$7,Dashboard!$N$6+Dashboard!$G$7),0)</f>
        <v>0</v>
      </c>
      <c r="R483">
        <f t="shared" si="46"/>
        <v>111.20812137061479</v>
      </c>
    </row>
    <row r="484" spans="1:18" x14ac:dyDescent="0.3">
      <c r="A484" t="s">
        <v>466</v>
      </c>
      <c r="B484">
        <v>8</v>
      </c>
      <c r="C484" s="19">
        <v>31</v>
      </c>
      <c r="D484" s="20">
        <v>2022</v>
      </c>
      <c r="E484" s="21">
        <f t="shared" si="42"/>
        <v>44804</v>
      </c>
      <c r="F484" s="20">
        <v>363.15</v>
      </c>
      <c r="G484" s="20">
        <v>4062539</v>
      </c>
      <c r="H484" s="20">
        <v>367.61</v>
      </c>
      <c r="I484" s="20">
        <v>368.79</v>
      </c>
      <c r="J484" s="22">
        <v>363.11</v>
      </c>
      <c r="K484" s="2">
        <f t="shared" si="43"/>
        <v>50066.709380450462</v>
      </c>
      <c r="L484" s="2">
        <f>IF(B484&lt;&gt;B483,L483*(1+Dashboard!$G$5)+Dashboard!$G$6, L483)</f>
        <v>50739.575818465004</v>
      </c>
      <c r="M484">
        <f t="shared" si="47"/>
        <v>0</v>
      </c>
      <c r="N484">
        <f t="shared" si="44"/>
        <v>137.86784904433557</v>
      </c>
      <c r="O484">
        <f>IF(B484&lt;&gt;B483, Dashboard!$L$6,0)</f>
        <v>0</v>
      </c>
      <c r="P484">
        <f t="shared" si="45"/>
        <v>114.15250211978638</v>
      </c>
      <c r="Q484">
        <f>IF(B484&lt;&gt;B483,IF(F484&lt;=AVERAGE(F462:F483),Dashboard!$N$6-Dashboard!$G$7,Dashboard!$N$6+Dashboard!$G$7),0)</f>
        <v>0</v>
      </c>
      <c r="R484">
        <f t="shared" si="46"/>
        <v>111.20812137061479</v>
      </c>
    </row>
    <row r="485" spans="1:18" x14ac:dyDescent="0.3">
      <c r="A485" s="1">
        <v>44570</v>
      </c>
      <c r="B485">
        <v>9</v>
      </c>
      <c r="C485" s="19">
        <v>1</v>
      </c>
      <c r="D485" s="20">
        <v>2022</v>
      </c>
      <c r="E485" s="21">
        <f t="shared" si="42"/>
        <v>44805</v>
      </c>
      <c r="F485" s="20">
        <v>364.27</v>
      </c>
      <c r="G485" s="20">
        <v>6126838</v>
      </c>
      <c r="H485" s="20">
        <v>361.1</v>
      </c>
      <c r="I485" s="20">
        <v>364.7</v>
      </c>
      <c r="J485" s="22">
        <v>358.51</v>
      </c>
      <c r="K485" s="2">
        <f t="shared" si="43"/>
        <v>50221.121371380119</v>
      </c>
      <c r="L485" s="2">
        <f>IF(B485&lt;&gt;B484,L484*(1+Dashboard!$G$5)+Dashboard!$G$6, L484)</f>
        <v>53186.084085667491</v>
      </c>
      <c r="M485">
        <f t="shared" si="47"/>
        <v>2964.9627142873724</v>
      </c>
      <c r="N485">
        <f t="shared" si="44"/>
        <v>137.86784904433557</v>
      </c>
      <c r="O485">
        <f>IF(B485&lt;&gt;B484, Dashboard!$L$6,0)</f>
        <v>1859.7282542371197</v>
      </c>
      <c r="P485">
        <f t="shared" si="45"/>
        <v>119.25785873503638</v>
      </c>
      <c r="Q485">
        <f>IF(B485&lt;&gt;B484,IF(F485&lt;=AVERAGE(F463:F484),Dashboard!$N$6-Dashboard!$G$7,Dashboard!$N$6+Dashboard!$G$7),0)</f>
        <v>1232.609610169322</v>
      </c>
      <c r="R485">
        <f t="shared" si="46"/>
        <v>114.62160685986797</v>
      </c>
    </row>
    <row r="486" spans="1:18" x14ac:dyDescent="0.3">
      <c r="A486" s="1">
        <v>44601</v>
      </c>
      <c r="B486">
        <v>9</v>
      </c>
      <c r="C486" s="19">
        <v>2</v>
      </c>
      <c r="D486" s="20">
        <v>2022</v>
      </c>
      <c r="E486" s="21">
        <f t="shared" si="42"/>
        <v>44806</v>
      </c>
      <c r="F486" s="20">
        <v>360.45</v>
      </c>
      <c r="G486" s="20">
        <v>4544223</v>
      </c>
      <c r="H486" s="20">
        <v>367.95</v>
      </c>
      <c r="I486" s="20">
        <v>369.13</v>
      </c>
      <c r="J486" s="22">
        <v>358.78</v>
      </c>
      <c r="K486" s="2">
        <f t="shared" si="43"/>
        <v>52628.336148128714</v>
      </c>
      <c r="L486" s="2">
        <f>IF(B486&lt;&gt;B485,L485*(1+Dashboard!$G$5)+Dashboard!$G$6, L485)</f>
        <v>53186.084085667491</v>
      </c>
      <c r="M486">
        <f t="shared" si="47"/>
        <v>0</v>
      </c>
      <c r="N486">
        <f t="shared" si="44"/>
        <v>146.0073134918261</v>
      </c>
      <c r="O486">
        <f>IF(B486&lt;&gt;B485, Dashboard!$L$6,0)</f>
        <v>0</v>
      </c>
      <c r="P486">
        <f t="shared" si="45"/>
        <v>119.25785873503638</v>
      </c>
      <c r="Q486">
        <f>IF(B486&lt;&gt;B485,IF(F486&lt;=AVERAGE(F464:F485),Dashboard!$N$6-Dashboard!$G$7,Dashboard!$N$6+Dashboard!$G$7),0)</f>
        <v>0</v>
      </c>
      <c r="R486">
        <f t="shared" si="46"/>
        <v>114.62160685986797</v>
      </c>
    </row>
    <row r="487" spans="1:18" x14ac:dyDescent="0.3">
      <c r="A487" s="1">
        <v>44721</v>
      </c>
      <c r="B487">
        <v>9</v>
      </c>
      <c r="C487" s="19">
        <v>6</v>
      </c>
      <c r="D487" s="20">
        <v>2022</v>
      </c>
      <c r="E487" s="21">
        <f t="shared" si="42"/>
        <v>44810</v>
      </c>
      <c r="F487" s="20">
        <v>359.24</v>
      </c>
      <c r="G487" s="20">
        <v>5680313</v>
      </c>
      <c r="H487" s="20">
        <v>361.36</v>
      </c>
      <c r="I487" s="20">
        <v>362.28</v>
      </c>
      <c r="J487" s="22">
        <v>357</v>
      </c>
      <c r="K487" s="2">
        <f t="shared" si="43"/>
        <v>52451.667298803608</v>
      </c>
      <c r="L487" s="2">
        <f>IF(B487&lt;&gt;B486,L486*(1+Dashboard!$G$5)+Dashboard!$G$6, L486)</f>
        <v>53186.084085667491</v>
      </c>
      <c r="M487">
        <f t="shared" si="47"/>
        <v>0</v>
      </c>
      <c r="N487">
        <f t="shared" si="44"/>
        <v>146.0073134918261</v>
      </c>
      <c r="O487">
        <f>IF(B487&lt;&gt;B486, Dashboard!$L$6,0)</f>
        <v>0</v>
      </c>
      <c r="P487">
        <f t="shared" si="45"/>
        <v>119.25785873503638</v>
      </c>
      <c r="Q487">
        <f>IF(B487&lt;&gt;B486,IF(F487&lt;=AVERAGE(F465:F486),Dashboard!$N$6-Dashboard!$G$7,Dashboard!$N$6+Dashboard!$G$7),0)</f>
        <v>0</v>
      </c>
      <c r="R487">
        <f t="shared" si="46"/>
        <v>114.62160685986797</v>
      </c>
    </row>
    <row r="488" spans="1:18" x14ac:dyDescent="0.3">
      <c r="A488" s="1">
        <v>44751</v>
      </c>
      <c r="B488">
        <v>9</v>
      </c>
      <c r="C488" s="19">
        <v>7</v>
      </c>
      <c r="D488" s="20">
        <v>2022</v>
      </c>
      <c r="E488" s="21">
        <f t="shared" si="42"/>
        <v>44811</v>
      </c>
      <c r="F488" s="20">
        <v>365.68</v>
      </c>
      <c r="G488" s="20">
        <v>4136951</v>
      </c>
      <c r="H488" s="20">
        <v>358.86</v>
      </c>
      <c r="I488" s="20">
        <v>366.375</v>
      </c>
      <c r="J488" s="22">
        <v>358.69040000000001</v>
      </c>
      <c r="K488" s="2">
        <f t="shared" si="43"/>
        <v>53391.95439769097</v>
      </c>
      <c r="L488" s="2">
        <f>IF(B488&lt;&gt;B487,L487*(1+Dashboard!$G$5)+Dashboard!$G$6, L487)</f>
        <v>53186.084085667491</v>
      </c>
      <c r="M488">
        <f t="shared" si="47"/>
        <v>0</v>
      </c>
      <c r="N488">
        <f t="shared" si="44"/>
        <v>146.0073134918261</v>
      </c>
      <c r="O488">
        <f>IF(B488&lt;&gt;B487, Dashboard!$L$6,0)</f>
        <v>0</v>
      </c>
      <c r="P488">
        <f t="shared" si="45"/>
        <v>119.25785873503638</v>
      </c>
      <c r="Q488">
        <f>IF(B488&lt;&gt;B487,IF(F488&lt;=AVERAGE(F466:F487),Dashboard!$N$6-Dashboard!$G$7,Dashboard!$N$6+Dashboard!$G$7),0)</f>
        <v>0</v>
      </c>
      <c r="R488">
        <f t="shared" si="46"/>
        <v>114.62160685986797</v>
      </c>
    </row>
    <row r="489" spans="1:18" x14ac:dyDescent="0.3">
      <c r="A489" s="1">
        <v>44782</v>
      </c>
      <c r="B489">
        <v>9</v>
      </c>
      <c r="C489" s="19">
        <v>8</v>
      </c>
      <c r="D489" s="20">
        <v>2022</v>
      </c>
      <c r="E489" s="21">
        <f t="shared" si="42"/>
        <v>44812</v>
      </c>
      <c r="F489" s="20">
        <v>368.07</v>
      </c>
      <c r="G489" s="20">
        <v>3692037</v>
      </c>
      <c r="H489" s="20">
        <v>363.375</v>
      </c>
      <c r="I489" s="20">
        <v>368.48</v>
      </c>
      <c r="J489" s="22">
        <v>362.27</v>
      </c>
      <c r="K489" s="2">
        <f t="shared" si="43"/>
        <v>53740.911876936429</v>
      </c>
      <c r="L489" s="2">
        <f>IF(B489&lt;&gt;B488,L488*(1+Dashboard!$G$5)+Dashboard!$G$6, L488)</f>
        <v>53186.084085667491</v>
      </c>
      <c r="M489">
        <f t="shared" si="47"/>
        <v>0</v>
      </c>
      <c r="N489">
        <f t="shared" si="44"/>
        <v>146.0073134918261</v>
      </c>
      <c r="O489">
        <f>IF(B489&lt;&gt;B488, Dashboard!$L$6,0)</f>
        <v>0</v>
      </c>
      <c r="P489">
        <f t="shared" si="45"/>
        <v>119.25785873503638</v>
      </c>
      <c r="Q489">
        <f>IF(B489&lt;&gt;B488,IF(F489&lt;=AVERAGE(F467:F488),Dashboard!$N$6-Dashboard!$G$7,Dashboard!$N$6+Dashboard!$G$7),0)</f>
        <v>0</v>
      </c>
      <c r="R489">
        <f t="shared" si="46"/>
        <v>114.62160685986797</v>
      </c>
    </row>
    <row r="490" spans="1:18" x14ac:dyDescent="0.3">
      <c r="A490" s="1">
        <v>44813</v>
      </c>
      <c r="B490">
        <v>9</v>
      </c>
      <c r="C490" s="19">
        <v>9</v>
      </c>
      <c r="D490" s="20">
        <v>2022</v>
      </c>
      <c r="E490" s="21">
        <f t="shared" si="42"/>
        <v>44813</v>
      </c>
      <c r="F490" s="20">
        <v>373.75</v>
      </c>
      <c r="G490" s="20">
        <v>2621561</v>
      </c>
      <c r="H490" s="20">
        <v>370.24</v>
      </c>
      <c r="I490" s="20">
        <v>374.61</v>
      </c>
      <c r="J490" s="22">
        <v>369.98</v>
      </c>
      <c r="K490" s="2">
        <f t="shared" si="43"/>
        <v>54570.233417570002</v>
      </c>
      <c r="L490" s="2">
        <f>IF(B490&lt;&gt;B489,L489*(1+Dashboard!$G$5)+Dashboard!$G$6, L489)</f>
        <v>53186.084085667491</v>
      </c>
      <c r="M490">
        <f t="shared" si="47"/>
        <v>0</v>
      </c>
      <c r="N490">
        <f t="shared" si="44"/>
        <v>146.0073134918261</v>
      </c>
      <c r="O490">
        <f>IF(B490&lt;&gt;B489, Dashboard!$L$6,0)</f>
        <v>0</v>
      </c>
      <c r="P490">
        <f t="shared" si="45"/>
        <v>119.25785873503638</v>
      </c>
      <c r="Q490">
        <f>IF(B490&lt;&gt;B489,IF(F490&lt;=AVERAGE(F468:F489),Dashboard!$N$6-Dashboard!$G$7,Dashboard!$N$6+Dashboard!$G$7),0)</f>
        <v>0</v>
      </c>
      <c r="R490">
        <f t="shared" si="46"/>
        <v>114.62160685986797</v>
      </c>
    </row>
    <row r="491" spans="1:18" x14ac:dyDescent="0.3">
      <c r="A491" s="1">
        <v>44904</v>
      </c>
      <c r="B491">
        <v>9</v>
      </c>
      <c r="C491" s="19">
        <v>12</v>
      </c>
      <c r="D491" s="20">
        <v>2022</v>
      </c>
      <c r="E491" s="21">
        <f t="shared" si="42"/>
        <v>44816</v>
      </c>
      <c r="F491" s="20">
        <v>377.86</v>
      </c>
      <c r="G491" s="20">
        <v>2961354</v>
      </c>
      <c r="H491" s="20">
        <v>375.82</v>
      </c>
      <c r="I491" s="20">
        <v>378.51</v>
      </c>
      <c r="J491" s="22">
        <v>375.51</v>
      </c>
      <c r="K491" s="2">
        <f t="shared" si="43"/>
        <v>55170.323476021411</v>
      </c>
      <c r="L491" s="2">
        <f>IF(B491&lt;&gt;B490,L490*(1+Dashboard!$G$5)+Dashboard!$G$6, L490)</f>
        <v>53186.084085667491</v>
      </c>
      <c r="M491">
        <f t="shared" si="47"/>
        <v>0</v>
      </c>
      <c r="N491">
        <f t="shared" si="44"/>
        <v>146.0073134918261</v>
      </c>
      <c r="O491">
        <f>IF(B491&lt;&gt;B490, Dashboard!$L$6,0)</f>
        <v>0</v>
      </c>
      <c r="P491">
        <f t="shared" si="45"/>
        <v>119.25785873503638</v>
      </c>
      <c r="Q491">
        <f>IF(B491&lt;&gt;B490,IF(F491&lt;=AVERAGE(F469:F490),Dashboard!$N$6-Dashboard!$G$7,Dashboard!$N$6+Dashboard!$G$7),0)</f>
        <v>0</v>
      </c>
      <c r="R491">
        <f t="shared" si="46"/>
        <v>114.62160685986797</v>
      </c>
    </row>
    <row r="492" spans="1:18" x14ac:dyDescent="0.3">
      <c r="A492" t="s">
        <v>465</v>
      </c>
      <c r="B492">
        <v>9</v>
      </c>
      <c r="C492" s="19">
        <v>13</v>
      </c>
      <c r="D492" s="20">
        <v>2022</v>
      </c>
      <c r="E492" s="21">
        <f t="shared" si="42"/>
        <v>44817</v>
      </c>
      <c r="F492" s="20">
        <v>361.38</v>
      </c>
      <c r="G492" s="20">
        <v>5549174</v>
      </c>
      <c r="H492" s="20">
        <v>369.34</v>
      </c>
      <c r="I492" s="20">
        <v>370.53</v>
      </c>
      <c r="J492" s="22">
        <v>360.2801</v>
      </c>
      <c r="K492" s="2">
        <f t="shared" si="43"/>
        <v>52764.122949676115</v>
      </c>
      <c r="L492" s="2">
        <f>IF(B492&lt;&gt;B491,L491*(1+Dashboard!$G$5)+Dashboard!$G$6, L491)</f>
        <v>53186.084085667491</v>
      </c>
      <c r="M492">
        <f t="shared" si="47"/>
        <v>0</v>
      </c>
      <c r="N492">
        <f t="shared" si="44"/>
        <v>146.0073134918261</v>
      </c>
      <c r="O492">
        <f>IF(B492&lt;&gt;B491, Dashboard!$L$6,0)</f>
        <v>0</v>
      </c>
      <c r="P492">
        <f t="shared" si="45"/>
        <v>119.25785873503638</v>
      </c>
      <c r="Q492">
        <f>IF(B492&lt;&gt;B491,IF(F492&lt;=AVERAGE(F470:F491),Dashboard!$N$6-Dashboard!$G$7,Dashboard!$N$6+Dashboard!$G$7),0)</f>
        <v>0</v>
      </c>
      <c r="R492">
        <f t="shared" si="46"/>
        <v>114.62160685986797</v>
      </c>
    </row>
    <row r="493" spans="1:18" x14ac:dyDescent="0.3">
      <c r="A493" t="s">
        <v>464</v>
      </c>
      <c r="B493">
        <v>9</v>
      </c>
      <c r="C493" s="19">
        <v>14</v>
      </c>
      <c r="D493" s="20">
        <v>2022</v>
      </c>
      <c r="E493" s="21">
        <f t="shared" si="42"/>
        <v>44818</v>
      </c>
      <c r="F493" s="20">
        <v>362.73</v>
      </c>
      <c r="G493" s="20">
        <v>3555510</v>
      </c>
      <c r="H493" s="20">
        <v>362.58</v>
      </c>
      <c r="I493" s="20">
        <v>364.17</v>
      </c>
      <c r="J493" s="22">
        <v>359.53</v>
      </c>
      <c r="K493" s="2">
        <f t="shared" si="43"/>
        <v>52961.232822890081</v>
      </c>
      <c r="L493" s="2">
        <f>IF(B493&lt;&gt;B492,L492*(1+Dashboard!$G$5)+Dashboard!$G$6, L492)</f>
        <v>53186.084085667491</v>
      </c>
      <c r="M493">
        <f t="shared" si="47"/>
        <v>0</v>
      </c>
      <c r="N493">
        <f t="shared" si="44"/>
        <v>146.0073134918261</v>
      </c>
      <c r="O493">
        <f>IF(B493&lt;&gt;B492, Dashboard!$L$6,0)</f>
        <v>0</v>
      </c>
      <c r="P493">
        <f t="shared" si="45"/>
        <v>119.25785873503638</v>
      </c>
      <c r="Q493">
        <f>IF(B493&lt;&gt;B492,IF(F493&lt;=AVERAGE(F471:F492),Dashboard!$N$6-Dashboard!$G$7,Dashboard!$N$6+Dashboard!$G$7),0)</f>
        <v>0</v>
      </c>
      <c r="R493">
        <f t="shared" si="46"/>
        <v>114.62160685986797</v>
      </c>
    </row>
    <row r="494" spans="1:18" x14ac:dyDescent="0.3">
      <c r="A494" t="s">
        <v>463</v>
      </c>
      <c r="B494">
        <v>9</v>
      </c>
      <c r="C494" s="19">
        <v>15</v>
      </c>
      <c r="D494" s="20">
        <v>2022</v>
      </c>
      <c r="E494" s="21">
        <f t="shared" si="42"/>
        <v>44819</v>
      </c>
      <c r="F494" s="20">
        <v>358.68</v>
      </c>
      <c r="G494" s="20">
        <v>3807460</v>
      </c>
      <c r="H494" s="20">
        <v>361.16</v>
      </c>
      <c r="I494" s="20">
        <v>363.97</v>
      </c>
      <c r="J494" s="22">
        <v>357.4</v>
      </c>
      <c r="K494" s="2">
        <f t="shared" si="43"/>
        <v>52369.903203248185</v>
      </c>
      <c r="L494" s="2">
        <f>IF(B494&lt;&gt;B493,L493*(1+Dashboard!$G$5)+Dashboard!$G$6, L493)</f>
        <v>53186.084085667491</v>
      </c>
      <c r="M494">
        <f t="shared" si="47"/>
        <v>0</v>
      </c>
      <c r="N494">
        <f t="shared" si="44"/>
        <v>146.0073134918261</v>
      </c>
      <c r="O494">
        <f>IF(B494&lt;&gt;B493, Dashboard!$L$6,0)</f>
        <v>0</v>
      </c>
      <c r="P494">
        <f t="shared" si="45"/>
        <v>119.25785873503638</v>
      </c>
      <c r="Q494">
        <f>IF(B494&lt;&gt;B493,IF(F494&lt;=AVERAGE(F472:F493),Dashboard!$N$6-Dashboard!$G$7,Dashboard!$N$6+Dashboard!$G$7),0)</f>
        <v>0</v>
      </c>
      <c r="R494">
        <f t="shared" si="46"/>
        <v>114.62160685986797</v>
      </c>
    </row>
    <row r="495" spans="1:18" x14ac:dyDescent="0.3">
      <c r="A495" t="s">
        <v>462</v>
      </c>
      <c r="B495">
        <v>9</v>
      </c>
      <c r="C495" s="19">
        <v>16</v>
      </c>
      <c r="D495" s="20">
        <v>2022</v>
      </c>
      <c r="E495" s="21">
        <f t="shared" si="42"/>
        <v>44820</v>
      </c>
      <c r="F495" s="20">
        <v>355.86</v>
      </c>
      <c r="G495" s="20">
        <v>4452268</v>
      </c>
      <c r="H495" s="20">
        <v>354.56</v>
      </c>
      <c r="I495" s="20">
        <v>356.48</v>
      </c>
      <c r="J495" s="22">
        <v>352.69</v>
      </c>
      <c r="K495" s="2">
        <f t="shared" si="43"/>
        <v>51958.162579201235</v>
      </c>
      <c r="L495" s="2">
        <f>IF(B495&lt;&gt;B494,L494*(1+Dashboard!$G$5)+Dashboard!$G$6, L494)</f>
        <v>53186.084085667491</v>
      </c>
      <c r="M495">
        <f t="shared" si="47"/>
        <v>0</v>
      </c>
      <c r="N495">
        <f t="shared" si="44"/>
        <v>146.0073134918261</v>
      </c>
      <c r="O495">
        <f>IF(B495&lt;&gt;B494, Dashboard!$L$6,0)</f>
        <v>0</v>
      </c>
      <c r="P495">
        <f t="shared" si="45"/>
        <v>119.25785873503638</v>
      </c>
      <c r="Q495">
        <f>IF(B495&lt;&gt;B494,IF(F495&lt;=AVERAGE(F473:F494),Dashboard!$N$6-Dashboard!$G$7,Dashboard!$N$6+Dashboard!$G$7),0)</f>
        <v>0</v>
      </c>
      <c r="R495">
        <f t="shared" si="46"/>
        <v>114.62160685986797</v>
      </c>
    </row>
    <row r="496" spans="1:18" x14ac:dyDescent="0.3">
      <c r="A496" t="s">
        <v>461</v>
      </c>
      <c r="B496">
        <v>9</v>
      </c>
      <c r="C496" s="19">
        <v>19</v>
      </c>
      <c r="D496" s="20">
        <v>2022</v>
      </c>
      <c r="E496" s="21">
        <f t="shared" si="42"/>
        <v>44823</v>
      </c>
      <c r="F496" s="20">
        <v>358.59</v>
      </c>
      <c r="G496" s="20">
        <v>3412645</v>
      </c>
      <c r="H496" s="20">
        <v>352.8</v>
      </c>
      <c r="I496" s="20">
        <v>358.59</v>
      </c>
      <c r="J496" s="22">
        <v>352.75</v>
      </c>
      <c r="K496" s="2">
        <f t="shared" si="43"/>
        <v>52356.762545033918</v>
      </c>
      <c r="L496" s="2">
        <f>IF(B496&lt;&gt;B495,L495*(1+Dashboard!$G$5)+Dashboard!$G$6, L495)</f>
        <v>53186.084085667491</v>
      </c>
      <c r="M496">
        <f t="shared" si="47"/>
        <v>0</v>
      </c>
      <c r="N496">
        <f t="shared" si="44"/>
        <v>146.0073134918261</v>
      </c>
      <c r="O496">
        <f>IF(B496&lt;&gt;B495, Dashboard!$L$6,0)</f>
        <v>0</v>
      </c>
      <c r="P496">
        <f t="shared" si="45"/>
        <v>119.25785873503638</v>
      </c>
      <c r="Q496">
        <f>IF(B496&lt;&gt;B495,IF(F496&lt;=AVERAGE(F474:F495),Dashboard!$N$6-Dashboard!$G$7,Dashboard!$N$6+Dashboard!$G$7),0)</f>
        <v>0</v>
      </c>
      <c r="R496">
        <f t="shared" si="46"/>
        <v>114.62160685986797</v>
      </c>
    </row>
    <row r="497" spans="1:18" x14ac:dyDescent="0.3">
      <c r="A497" t="s">
        <v>460</v>
      </c>
      <c r="B497">
        <v>9</v>
      </c>
      <c r="C497" s="19">
        <v>20</v>
      </c>
      <c r="D497" s="20">
        <v>2022</v>
      </c>
      <c r="E497" s="21">
        <f t="shared" si="42"/>
        <v>44824</v>
      </c>
      <c r="F497" s="20">
        <v>354.55</v>
      </c>
      <c r="G497" s="20">
        <v>3623962</v>
      </c>
      <c r="H497" s="20">
        <v>355.38</v>
      </c>
      <c r="I497" s="20">
        <v>356.38</v>
      </c>
      <c r="J497" s="22">
        <v>351.83319999999998</v>
      </c>
      <c r="K497" s="2">
        <f t="shared" si="43"/>
        <v>51766.892998526942</v>
      </c>
      <c r="L497" s="2">
        <f>IF(B497&lt;&gt;B496,L496*(1+Dashboard!$G$5)+Dashboard!$G$6, L496)</f>
        <v>53186.084085667491</v>
      </c>
      <c r="M497">
        <f t="shared" si="47"/>
        <v>0</v>
      </c>
      <c r="N497">
        <f t="shared" si="44"/>
        <v>146.0073134918261</v>
      </c>
      <c r="O497">
        <f>IF(B497&lt;&gt;B496, Dashboard!$L$6,0)</f>
        <v>0</v>
      </c>
      <c r="P497">
        <f t="shared" si="45"/>
        <v>119.25785873503638</v>
      </c>
      <c r="Q497">
        <f>IF(B497&lt;&gt;B496,IF(F497&lt;=AVERAGE(F475:F496),Dashboard!$N$6-Dashboard!$G$7,Dashboard!$N$6+Dashboard!$G$7),0)</f>
        <v>0</v>
      </c>
      <c r="R497">
        <f t="shared" si="46"/>
        <v>114.62160685986797</v>
      </c>
    </row>
    <row r="498" spans="1:18" x14ac:dyDescent="0.3">
      <c r="A498" t="s">
        <v>459</v>
      </c>
      <c r="B498">
        <v>9</v>
      </c>
      <c r="C498" s="19">
        <v>21</v>
      </c>
      <c r="D498" s="20">
        <v>2022</v>
      </c>
      <c r="E498" s="21">
        <f t="shared" si="42"/>
        <v>44825</v>
      </c>
      <c r="F498" s="20">
        <v>348.31</v>
      </c>
      <c r="G498" s="20">
        <v>5102402</v>
      </c>
      <c r="H498" s="20">
        <v>356.38</v>
      </c>
      <c r="I498" s="20">
        <v>359.3</v>
      </c>
      <c r="J498" s="22">
        <v>348.31</v>
      </c>
      <c r="K498" s="2">
        <f t="shared" si="43"/>
        <v>50855.807362337946</v>
      </c>
      <c r="L498" s="2">
        <f>IF(B498&lt;&gt;B497,L497*(1+Dashboard!$G$5)+Dashboard!$G$6, L497)</f>
        <v>53186.084085667491</v>
      </c>
      <c r="M498">
        <f t="shared" si="47"/>
        <v>0</v>
      </c>
      <c r="N498">
        <f t="shared" si="44"/>
        <v>146.0073134918261</v>
      </c>
      <c r="O498">
        <f>IF(B498&lt;&gt;B497, Dashboard!$L$6,0)</f>
        <v>0</v>
      </c>
      <c r="P498">
        <f t="shared" si="45"/>
        <v>119.25785873503638</v>
      </c>
      <c r="Q498">
        <f>IF(B498&lt;&gt;B497,IF(F498&lt;=AVERAGE(F476:F497),Dashboard!$N$6-Dashboard!$G$7,Dashboard!$N$6+Dashboard!$G$7),0)</f>
        <v>0</v>
      </c>
      <c r="R498">
        <f t="shared" si="46"/>
        <v>114.62160685986797</v>
      </c>
    </row>
    <row r="499" spans="1:18" x14ac:dyDescent="0.3">
      <c r="A499" t="s">
        <v>458</v>
      </c>
      <c r="B499">
        <v>9</v>
      </c>
      <c r="C499" s="19">
        <v>22</v>
      </c>
      <c r="D499" s="20">
        <v>2022</v>
      </c>
      <c r="E499" s="21">
        <f t="shared" si="42"/>
        <v>44826</v>
      </c>
      <c r="F499" s="20">
        <v>345.37</v>
      </c>
      <c r="G499" s="20">
        <v>5555622</v>
      </c>
      <c r="H499" s="20">
        <v>347.55</v>
      </c>
      <c r="I499" s="20">
        <v>348.54</v>
      </c>
      <c r="J499" s="22">
        <v>344.67</v>
      </c>
      <c r="K499" s="2">
        <f t="shared" si="43"/>
        <v>50426.545860671977</v>
      </c>
      <c r="L499" s="2">
        <f>IF(B499&lt;&gt;B498,L498*(1+Dashboard!$G$5)+Dashboard!$G$6, L498)</f>
        <v>53186.084085667491</v>
      </c>
      <c r="M499">
        <f t="shared" si="47"/>
        <v>0</v>
      </c>
      <c r="N499">
        <f t="shared" si="44"/>
        <v>146.0073134918261</v>
      </c>
      <c r="O499">
        <f>IF(B499&lt;&gt;B498, Dashboard!$L$6,0)</f>
        <v>0</v>
      </c>
      <c r="P499">
        <f t="shared" si="45"/>
        <v>119.25785873503638</v>
      </c>
      <c r="Q499">
        <f>IF(B499&lt;&gt;B498,IF(F499&lt;=AVERAGE(F477:F498),Dashboard!$N$6-Dashboard!$G$7,Dashboard!$N$6+Dashboard!$G$7),0)</f>
        <v>0</v>
      </c>
      <c r="R499">
        <f t="shared" si="46"/>
        <v>114.62160685986797</v>
      </c>
    </row>
    <row r="500" spans="1:18" x14ac:dyDescent="0.3">
      <c r="A500" t="s">
        <v>457</v>
      </c>
      <c r="B500">
        <v>9</v>
      </c>
      <c r="C500" s="19">
        <v>23</v>
      </c>
      <c r="D500" s="20">
        <v>2022</v>
      </c>
      <c r="E500" s="21">
        <f t="shared" si="42"/>
        <v>44827</v>
      </c>
      <c r="F500" s="20">
        <v>339.63</v>
      </c>
      <c r="G500" s="20">
        <v>10491490</v>
      </c>
      <c r="H500" s="20">
        <v>342.08</v>
      </c>
      <c r="I500" s="20">
        <v>342.08</v>
      </c>
      <c r="J500" s="22">
        <v>335.31</v>
      </c>
      <c r="K500" s="2">
        <f t="shared" si="43"/>
        <v>49588.463881228898</v>
      </c>
      <c r="L500" s="2">
        <f>IF(B500&lt;&gt;B499,L499*(1+Dashboard!$G$5)+Dashboard!$G$6, L499)</f>
        <v>53186.084085667491</v>
      </c>
      <c r="M500">
        <f t="shared" si="47"/>
        <v>0</v>
      </c>
      <c r="N500">
        <f t="shared" si="44"/>
        <v>146.0073134918261</v>
      </c>
      <c r="O500">
        <f>IF(B500&lt;&gt;B499, Dashboard!$L$6,0)</f>
        <v>0</v>
      </c>
      <c r="P500">
        <f t="shared" si="45"/>
        <v>119.25785873503638</v>
      </c>
      <c r="Q500">
        <f>IF(B500&lt;&gt;B499,IF(F500&lt;=AVERAGE(F478:F499),Dashboard!$N$6-Dashboard!$G$7,Dashboard!$N$6+Dashboard!$G$7),0)</f>
        <v>0</v>
      </c>
      <c r="R500">
        <f t="shared" si="46"/>
        <v>114.62160685986797</v>
      </c>
    </row>
    <row r="501" spans="1:18" x14ac:dyDescent="0.3">
      <c r="A501" t="s">
        <v>456</v>
      </c>
      <c r="B501">
        <v>9</v>
      </c>
      <c r="C501" s="19">
        <v>26</v>
      </c>
      <c r="D501" s="20">
        <v>2022</v>
      </c>
      <c r="E501" s="21">
        <f t="shared" si="42"/>
        <v>44830</v>
      </c>
      <c r="F501" s="20">
        <v>336.34</v>
      </c>
      <c r="G501" s="20">
        <v>5405686</v>
      </c>
      <c r="H501" s="20">
        <v>338.23</v>
      </c>
      <c r="I501" s="20">
        <v>341.66</v>
      </c>
      <c r="J501" s="22">
        <v>335.07</v>
      </c>
      <c r="K501" s="2">
        <f t="shared" si="43"/>
        <v>49108.099819840783</v>
      </c>
      <c r="L501" s="2">
        <f>IF(B501&lt;&gt;B500,L500*(1+Dashboard!$G$5)+Dashboard!$G$6, L500)</f>
        <v>53186.084085667491</v>
      </c>
      <c r="M501">
        <f t="shared" si="47"/>
        <v>0</v>
      </c>
      <c r="N501">
        <f t="shared" si="44"/>
        <v>146.0073134918261</v>
      </c>
      <c r="O501">
        <f>IF(B501&lt;&gt;B500, Dashboard!$L$6,0)</f>
        <v>0</v>
      </c>
      <c r="P501">
        <f t="shared" si="45"/>
        <v>119.25785873503638</v>
      </c>
      <c r="Q501">
        <f>IF(B501&lt;&gt;B500,IF(F501&lt;=AVERAGE(F479:F500),Dashboard!$N$6-Dashboard!$G$7,Dashboard!$N$6+Dashboard!$G$7),0)</f>
        <v>0</v>
      </c>
      <c r="R501">
        <f t="shared" si="46"/>
        <v>114.62160685986797</v>
      </c>
    </row>
    <row r="502" spans="1:18" x14ac:dyDescent="0.3">
      <c r="A502" t="s">
        <v>455</v>
      </c>
      <c r="B502">
        <v>9</v>
      </c>
      <c r="C502" s="19">
        <v>27</v>
      </c>
      <c r="D502" s="20">
        <v>2022</v>
      </c>
      <c r="E502" s="21">
        <f t="shared" si="42"/>
        <v>44831</v>
      </c>
      <c r="F502" s="20">
        <v>335.39</v>
      </c>
      <c r="G502" s="20">
        <v>5795659</v>
      </c>
      <c r="H502" s="20">
        <v>339.79</v>
      </c>
      <c r="I502" s="20">
        <v>341.84</v>
      </c>
      <c r="J502" s="22">
        <v>333.08</v>
      </c>
      <c r="K502" s="2">
        <f t="shared" si="43"/>
        <v>48969.392872023549</v>
      </c>
      <c r="L502" s="2">
        <f>IF(B502&lt;&gt;B501,L501*(1+Dashboard!$G$5)+Dashboard!$G$6, L501)</f>
        <v>53186.084085667491</v>
      </c>
      <c r="M502">
        <f t="shared" si="47"/>
        <v>0</v>
      </c>
      <c r="N502">
        <f t="shared" si="44"/>
        <v>146.0073134918261</v>
      </c>
      <c r="O502">
        <f>IF(B502&lt;&gt;B501, Dashboard!$L$6,0)</f>
        <v>0</v>
      </c>
      <c r="P502">
        <f t="shared" si="45"/>
        <v>119.25785873503638</v>
      </c>
      <c r="Q502">
        <f>IF(B502&lt;&gt;B501,IF(F502&lt;=AVERAGE(F480:F501),Dashboard!$N$6-Dashboard!$G$7,Dashboard!$N$6+Dashboard!$G$7),0)</f>
        <v>0</v>
      </c>
      <c r="R502">
        <f t="shared" si="46"/>
        <v>114.62160685986797</v>
      </c>
    </row>
    <row r="503" spans="1:18" x14ac:dyDescent="0.3">
      <c r="A503" t="s">
        <v>454</v>
      </c>
      <c r="B503">
        <v>9</v>
      </c>
      <c r="C503" s="19">
        <v>28</v>
      </c>
      <c r="D503" s="20">
        <v>2022</v>
      </c>
      <c r="E503" s="21">
        <f t="shared" si="42"/>
        <v>44832</v>
      </c>
      <c r="F503" s="20">
        <v>340.48</v>
      </c>
      <c r="G503" s="20">
        <v>8683949</v>
      </c>
      <c r="H503" s="20">
        <v>334.8</v>
      </c>
      <c r="I503" s="20">
        <v>342.1</v>
      </c>
      <c r="J503" s="22">
        <v>333.18</v>
      </c>
      <c r="K503" s="2">
        <f t="shared" si="43"/>
        <v>49712.570097696953</v>
      </c>
      <c r="L503" s="2">
        <f>IF(B503&lt;&gt;B502,L502*(1+Dashboard!$G$5)+Dashboard!$G$6, L502)</f>
        <v>53186.084085667491</v>
      </c>
      <c r="M503">
        <f t="shared" si="47"/>
        <v>0</v>
      </c>
      <c r="N503">
        <f t="shared" si="44"/>
        <v>146.0073134918261</v>
      </c>
      <c r="O503">
        <f>IF(B503&lt;&gt;B502, Dashboard!$L$6,0)</f>
        <v>0</v>
      </c>
      <c r="P503">
        <f t="shared" si="45"/>
        <v>119.25785873503638</v>
      </c>
      <c r="Q503">
        <f>IF(B503&lt;&gt;B502,IF(F503&lt;=AVERAGE(F481:F502),Dashboard!$N$6-Dashboard!$G$7,Dashboard!$N$6+Dashboard!$G$7),0)</f>
        <v>0</v>
      </c>
      <c r="R503">
        <f t="shared" si="46"/>
        <v>114.62160685986797</v>
      </c>
    </row>
    <row r="504" spans="1:18" x14ac:dyDescent="0.3">
      <c r="A504" t="s">
        <v>453</v>
      </c>
      <c r="B504">
        <v>9</v>
      </c>
      <c r="C504" s="19">
        <v>29</v>
      </c>
      <c r="D504" s="20">
        <v>2022</v>
      </c>
      <c r="E504" s="21">
        <f t="shared" si="42"/>
        <v>44833</v>
      </c>
      <c r="F504" s="20">
        <v>333.38</v>
      </c>
      <c r="G504" s="20">
        <v>7230121</v>
      </c>
      <c r="H504" s="20">
        <v>337.15</v>
      </c>
      <c r="I504" s="20">
        <v>337.3</v>
      </c>
      <c r="J504" s="22">
        <v>330.53</v>
      </c>
      <c r="K504" s="2">
        <f t="shared" si="43"/>
        <v>48675.918171904981</v>
      </c>
      <c r="L504" s="2">
        <f>IF(B504&lt;&gt;B503,L503*(1+Dashboard!$G$5)+Dashboard!$G$6, L503)</f>
        <v>53186.084085667491</v>
      </c>
      <c r="M504">
        <f t="shared" si="47"/>
        <v>0</v>
      </c>
      <c r="N504">
        <f t="shared" si="44"/>
        <v>146.0073134918261</v>
      </c>
      <c r="O504">
        <f>IF(B504&lt;&gt;B503, Dashboard!$L$6,0)</f>
        <v>0</v>
      </c>
      <c r="P504">
        <f t="shared" si="45"/>
        <v>119.25785873503638</v>
      </c>
      <c r="Q504">
        <f>IF(B504&lt;&gt;B503,IF(F504&lt;=AVERAGE(F482:F503),Dashboard!$N$6-Dashboard!$G$7,Dashboard!$N$6+Dashboard!$G$7),0)</f>
        <v>0</v>
      </c>
      <c r="R504">
        <f t="shared" si="46"/>
        <v>114.62160685986797</v>
      </c>
    </row>
    <row r="505" spans="1:18" x14ac:dyDescent="0.3">
      <c r="A505" t="s">
        <v>452</v>
      </c>
      <c r="B505">
        <v>9</v>
      </c>
      <c r="C505" s="19">
        <v>30</v>
      </c>
      <c r="D505" s="20">
        <v>2022</v>
      </c>
      <c r="E505" s="21">
        <f t="shared" si="42"/>
        <v>44834</v>
      </c>
      <c r="F505" s="20">
        <v>328.3</v>
      </c>
      <c r="G505" s="20">
        <v>7736631</v>
      </c>
      <c r="H505" s="20">
        <v>332.57</v>
      </c>
      <c r="I505" s="20">
        <v>336.19</v>
      </c>
      <c r="J505" s="22">
        <v>328.12</v>
      </c>
      <c r="K505" s="2">
        <f t="shared" si="43"/>
        <v>47934.201019366512</v>
      </c>
      <c r="L505" s="2">
        <f>IF(B505&lt;&gt;B504,L504*(1+Dashboard!$G$5)+Dashboard!$G$6, L504)</f>
        <v>53186.084085667491</v>
      </c>
      <c r="M505">
        <f t="shared" si="47"/>
        <v>0</v>
      </c>
      <c r="N505">
        <f t="shared" si="44"/>
        <v>146.0073134918261</v>
      </c>
      <c r="O505">
        <f>IF(B505&lt;&gt;B504, Dashboard!$L$6,0)</f>
        <v>0</v>
      </c>
      <c r="P505">
        <f t="shared" si="45"/>
        <v>119.25785873503638</v>
      </c>
      <c r="Q505">
        <f>IF(B505&lt;&gt;B504,IF(F505&lt;=AVERAGE(F483:F504),Dashboard!$N$6-Dashboard!$G$7,Dashboard!$N$6+Dashboard!$G$7),0)</f>
        <v>0</v>
      </c>
      <c r="R505">
        <f t="shared" si="46"/>
        <v>114.62160685986797</v>
      </c>
    </row>
    <row r="506" spans="1:18" x14ac:dyDescent="0.3">
      <c r="A506" s="1">
        <v>44630</v>
      </c>
      <c r="B506">
        <v>10</v>
      </c>
      <c r="C506" s="19">
        <v>3</v>
      </c>
      <c r="D506" s="20">
        <v>2022</v>
      </c>
      <c r="E506" s="21">
        <f t="shared" si="42"/>
        <v>44837</v>
      </c>
      <c r="F506" s="20">
        <v>336.98</v>
      </c>
      <c r="G506" s="20">
        <v>5738997</v>
      </c>
      <c r="H506" s="20">
        <v>331.79</v>
      </c>
      <c r="I506" s="20">
        <v>338.66</v>
      </c>
      <c r="J506" s="22">
        <v>330.1</v>
      </c>
      <c r="K506" s="2">
        <f t="shared" si="43"/>
        <v>49201.54450047556</v>
      </c>
      <c r="L506" s="2">
        <f>IF(B506&lt;&gt;B505,L505*(1+Dashboard!$G$5)+Dashboard!$G$6, L505)</f>
        <v>55654.121625621359</v>
      </c>
      <c r="M506">
        <f t="shared" si="47"/>
        <v>6452.5771251457991</v>
      </c>
      <c r="N506">
        <f t="shared" si="44"/>
        <v>146.0073134918261</v>
      </c>
      <c r="O506">
        <f>IF(B506&lt;&gt;B505, Dashboard!$L$6,0)</f>
        <v>1859.7282542371197</v>
      </c>
      <c r="P506">
        <f t="shared" si="45"/>
        <v>124.77666772737159</v>
      </c>
      <c r="Q506">
        <f>IF(B506&lt;&gt;B505,IF(F506&lt;=AVERAGE(F484:F505),Dashboard!$N$6-Dashboard!$G$7,Dashboard!$N$6+Dashboard!$G$7),0)</f>
        <v>1232.609610169322</v>
      </c>
      <c r="R506">
        <f t="shared" si="46"/>
        <v>118.33663627657529</v>
      </c>
    </row>
    <row r="507" spans="1:18" x14ac:dyDescent="0.3">
      <c r="A507" s="1">
        <v>44661</v>
      </c>
      <c r="B507">
        <v>10</v>
      </c>
      <c r="C507" s="19">
        <v>4</v>
      </c>
      <c r="D507" s="20">
        <v>2022</v>
      </c>
      <c r="E507" s="21">
        <f t="shared" si="42"/>
        <v>44838</v>
      </c>
      <c r="F507" s="20">
        <v>347.21</v>
      </c>
      <c r="G507" s="20">
        <v>5109957</v>
      </c>
      <c r="H507" s="20">
        <v>342.14</v>
      </c>
      <c r="I507" s="20">
        <v>347.33</v>
      </c>
      <c r="J507" s="22">
        <v>342.13</v>
      </c>
      <c r="K507" s="2">
        <f t="shared" si="43"/>
        <v>57343.663035289894</v>
      </c>
      <c r="L507" s="2">
        <f>IF(B507&lt;&gt;B506,L506*(1+Dashboard!$G$5)+Dashboard!$G$6, L506)</f>
        <v>55654.121625621359</v>
      </c>
      <c r="M507">
        <f t="shared" si="47"/>
        <v>0</v>
      </c>
      <c r="N507">
        <f t="shared" si="44"/>
        <v>165.15556301745312</v>
      </c>
      <c r="O507">
        <f>IF(B507&lt;&gt;B506, Dashboard!$L$6,0)</f>
        <v>0</v>
      </c>
      <c r="P507">
        <f t="shared" si="45"/>
        <v>124.77666772737159</v>
      </c>
      <c r="Q507">
        <f>IF(B507&lt;&gt;B506,IF(F507&lt;=AVERAGE(F485:F506),Dashboard!$N$6-Dashboard!$G$7,Dashboard!$N$6+Dashboard!$G$7),0)</f>
        <v>0</v>
      </c>
      <c r="R507">
        <f t="shared" si="46"/>
        <v>118.33663627657529</v>
      </c>
    </row>
    <row r="508" spans="1:18" x14ac:dyDescent="0.3">
      <c r="A508" s="1">
        <v>44691</v>
      </c>
      <c r="B508">
        <v>10</v>
      </c>
      <c r="C508" s="19">
        <v>5</v>
      </c>
      <c r="D508" s="20">
        <v>2022</v>
      </c>
      <c r="E508" s="21">
        <f t="shared" si="42"/>
        <v>44839</v>
      </c>
      <c r="F508" s="20">
        <v>346.61</v>
      </c>
      <c r="G508" s="20">
        <v>4755772</v>
      </c>
      <c r="H508" s="20">
        <v>343.12</v>
      </c>
      <c r="I508" s="20">
        <v>348.64</v>
      </c>
      <c r="J508" s="22">
        <v>340.86</v>
      </c>
      <c r="K508" s="2">
        <f t="shared" si="43"/>
        <v>57244.569697479426</v>
      </c>
      <c r="L508" s="2">
        <f>IF(B508&lt;&gt;B507,L507*(1+Dashboard!$G$5)+Dashboard!$G$6, L507)</f>
        <v>55654.121625621359</v>
      </c>
      <c r="M508">
        <f t="shared" si="47"/>
        <v>0</v>
      </c>
      <c r="N508">
        <f t="shared" si="44"/>
        <v>165.15556301745312</v>
      </c>
      <c r="O508">
        <f>IF(B508&lt;&gt;B507, Dashboard!$L$6,0)</f>
        <v>0</v>
      </c>
      <c r="P508">
        <f t="shared" si="45"/>
        <v>124.77666772737159</v>
      </c>
      <c r="Q508">
        <f>IF(B508&lt;&gt;B507,IF(F508&lt;=AVERAGE(F486:F507),Dashboard!$N$6-Dashboard!$G$7,Dashboard!$N$6+Dashboard!$G$7),0)</f>
        <v>0</v>
      </c>
      <c r="R508">
        <f t="shared" si="46"/>
        <v>118.33663627657529</v>
      </c>
    </row>
    <row r="509" spans="1:18" x14ac:dyDescent="0.3">
      <c r="A509" s="1">
        <v>44722</v>
      </c>
      <c r="B509">
        <v>10</v>
      </c>
      <c r="C509" s="19">
        <v>6</v>
      </c>
      <c r="D509" s="20">
        <v>2022</v>
      </c>
      <c r="E509" s="21">
        <f t="shared" si="42"/>
        <v>44840</v>
      </c>
      <c r="F509" s="20">
        <v>342.96</v>
      </c>
      <c r="G509" s="20">
        <v>3879612</v>
      </c>
      <c r="H509" s="20">
        <v>345.18</v>
      </c>
      <c r="I509" s="20">
        <v>347.98</v>
      </c>
      <c r="J509" s="22">
        <v>342.49</v>
      </c>
      <c r="K509" s="2">
        <f t="shared" si="43"/>
        <v>56641.75189246572</v>
      </c>
      <c r="L509" s="2">
        <f>IF(B509&lt;&gt;B508,L508*(1+Dashboard!$G$5)+Dashboard!$G$6, L508)</f>
        <v>55654.121625621359</v>
      </c>
      <c r="M509">
        <f t="shared" si="47"/>
        <v>0</v>
      </c>
      <c r="N509">
        <f t="shared" si="44"/>
        <v>165.15556301745312</v>
      </c>
      <c r="O509">
        <f>IF(B509&lt;&gt;B508, Dashboard!$L$6,0)</f>
        <v>0</v>
      </c>
      <c r="P509">
        <f t="shared" si="45"/>
        <v>124.77666772737159</v>
      </c>
      <c r="Q509">
        <f>IF(B509&lt;&gt;B508,IF(F509&lt;=AVERAGE(F487:F508),Dashboard!$N$6-Dashboard!$G$7,Dashboard!$N$6+Dashboard!$G$7),0)</f>
        <v>0</v>
      </c>
      <c r="R509">
        <f t="shared" si="46"/>
        <v>118.33663627657529</v>
      </c>
    </row>
    <row r="510" spans="1:18" x14ac:dyDescent="0.3">
      <c r="A510" s="1">
        <v>44752</v>
      </c>
      <c r="B510">
        <v>10</v>
      </c>
      <c r="C510" s="19">
        <v>7</v>
      </c>
      <c r="D510" s="20">
        <v>2022</v>
      </c>
      <c r="E510" s="21">
        <f t="shared" si="42"/>
        <v>44841</v>
      </c>
      <c r="F510" s="20">
        <v>333.33</v>
      </c>
      <c r="G510" s="20">
        <v>5168076</v>
      </c>
      <c r="H510" s="20">
        <v>339.08</v>
      </c>
      <c r="I510" s="20">
        <v>339.34</v>
      </c>
      <c r="J510" s="22">
        <v>331.65</v>
      </c>
      <c r="K510" s="2">
        <f t="shared" si="43"/>
        <v>55051.303820607645</v>
      </c>
      <c r="L510" s="2">
        <f>IF(B510&lt;&gt;B509,L509*(1+Dashboard!$G$5)+Dashboard!$G$6, L509)</f>
        <v>55654.121625621359</v>
      </c>
      <c r="M510">
        <f t="shared" si="47"/>
        <v>0</v>
      </c>
      <c r="N510">
        <f t="shared" si="44"/>
        <v>165.15556301745312</v>
      </c>
      <c r="O510">
        <f>IF(B510&lt;&gt;B509, Dashboard!$L$6,0)</f>
        <v>0</v>
      </c>
      <c r="P510">
        <f t="shared" si="45"/>
        <v>124.77666772737159</v>
      </c>
      <c r="Q510">
        <f>IF(B510&lt;&gt;B509,IF(F510&lt;=AVERAGE(F488:F509),Dashboard!$N$6-Dashboard!$G$7,Dashboard!$N$6+Dashboard!$G$7),0)</f>
        <v>0</v>
      </c>
      <c r="R510">
        <f t="shared" si="46"/>
        <v>118.33663627657529</v>
      </c>
    </row>
    <row r="511" spans="1:18" x14ac:dyDescent="0.3">
      <c r="A511" s="1">
        <v>44844</v>
      </c>
      <c r="B511">
        <v>10</v>
      </c>
      <c r="C511" s="19">
        <v>10</v>
      </c>
      <c r="D511" s="20">
        <v>2022</v>
      </c>
      <c r="E511" s="21">
        <f t="shared" si="42"/>
        <v>44844</v>
      </c>
      <c r="F511" s="20">
        <v>330.84</v>
      </c>
      <c r="G511" s="20">
        <v>3933860</v>
      </c>
      <c r="H511" s="20">
        <v>334.47</v>
      </c>
      <c r="I511" s="20">
        <v>334.67</v>
      </c>
      <c r="J511" s="22">
        <v>328.66</v>
      </c>
      <c r="K511" s="2">
        <f t="shared" si="43"/>
        <v>54640.066468694189</v>
      </c>
      <c r="L511" s="2">
        <f>IF(B511&lt;&gt;B510,L510*(1+Dashboard!$G$5)+Dashboard!$G$6, L510)</f>
        <v>55654.121625621359</v>
      </c>
      <c r="M511">
        <f t="shared" si="47"/>
        <v>0</v>
      </c>
      <c r="N511">
        <f t="shared" si="44"/>
        <v>165.15556301745312</v>
      </c>
      <c r="O511">
        <f>IF(B511&lt;&gt;B510, Dashboard!$L$6,0)</f>
        <v>0</v>
      </c>
      <c r="P511">
        <f t="shared" si="45"/>
        <v>124.77666772737159</v>
      </c>
      <c r="Q511">
        <f>IF(B511&lt;&gt;B510,IF(F511&lt;=AVERAGE(F489:F510),Dashboard!$N$6-Dashboard!$G$7,Dashboard!$N$6+Dashboard!$G$7),0)</f>
        <v>0</v>
      </c>
      <c r="R511">
        <f t="shared" si="46"/>
        <v>118.33663627657529</v>
      </c>
    </row>
    <row r="512" spans="1:18" x14ac:dyDescent="0.3">
      <c r="A512" s="1">
        <v>44875</v>
      </c>
      <c r="B512">
        <v>10</v>
      </c>
      <c r="C512" s="19">
        <v>11</v>
      </c>
      <c r="D512" s="20">
        <v>2022</v>
      </c>
      <c r="E512" s="21">
        <f t="shared" si="42"/>
        <v>44845</v>
      </c>
      <c r="F512" s="20">
        <v>328.66</v>
      </c>
      <c r="G512" s="20">
        <v>4968108</v>
      </c>
      <c r="H512" s="20">
        <v>329.2</v>
      </c>
      <c r="I512" s="20">
        <v>333.56</v>
      </c>
      <c r="J512" s="22">
        <v>326.85000000000002</v>
      </c>
      <c r="K512" s="2">
        <f t="shared" si="43"/>
        <v>54280.027341316149</v>
      </c>
      <c r="L512" s="2">
        <f>IF(B512&lt;&gt;B511,L511*(1+Dashboard!$G$5)+Dashboard!$G$6, L511)</f>
        <v>55654.121625621359</v>
      </c>
      <c r="M512">
        <f t="shared" si="47"/>
        <v>0</v>
      </c>
      <c r="N512">
        <f t="shared" si="44"/>
        <v>165.15556301745312</v>
      </c>
      <c r="O512">
        <f>IF(B512&lt;&gt;B511, Dashboard!$L$6,0)</f>
        <v>0</v>
      </c>
      <c r="P512">
        <f t="shared" si="45"/>
        <v>124.77666772737159</v>
      </c>
      <c r="Q512">
        <f>IF(B512&lt;&gt;B511,IF(F512&lt;=AVERAGE(F490:F511),Dashboard!$N$6-Dashboard!$G$7,Dashboard!$N$6+Dashboard!$G$7),0)</f>
        <v>0</v>
      </c>
      <c r="R512">
        <f t="shared" si="46"/>
        <v>118.33663627657529</v>
      </c>
    </row>
    <row r="513" spans="1:18" x14ac:dyDescent="0.3">
      <c r="A513" s="1">
        <v>44905</v>
      </c>
      <c r="B513">
        <v>10</v>
      </c>
      <c r="C513" s="19">
        <v>12</v>
      </c>
      <c r="D513" s="20">
        <v>2022</v>
      </c>
      <c r="E513" s="21">
        <f t="shared" si="42"/>
        <v>44846</v>
      </c>
      <c r="F513" s="20">
        <v>327.64</v>
      </c>
      <c r="G513" s="20">
        <v>3235062</v>
      </c>
      <c r="H513" s="20">
        <v>329.15</v>
      </c>
      <c r="I513" s="20">
        <v>330.58</v>
      </c>
      <c r="J513" s="22">
        <v>327.44</v>
      </c>
      <c r="K513" s="2">
        <f t="shared" si="43"/>
        <v>54111.568667038337</v>
      </c>
      <c r="L513" s="2">
        <f>IF(B513&lt;&gt;B512,L512*(1+Dashboard!$G$5)+Dashboard!$G$6, L512)</f>
        <v>55654.121625621359</v>
      </c>
      <c r="M513">
        <f t="shared" si="47"/>
        <v>0</v>
      </c>
      <c r="N513">
        <f t="shared" si="44"/>
        <v>165.15556301745312</v>
      </c>
      <c r="O513">
        <f>IF(B513&lt;&gt;B512, Dashboard!$L$6,0)</f>
        <v>0</v>
      </c>
      <c r="P513">
        <f t="shared" si="45"/>
        <v>124.77666772737159</v>
      </c>
      <c r="Q513">
        <f>IF(B513&lt;&gt;B512,IF(F513&lt;=AVERAGE(F491:F512),Dashboard!$N$6-Dashboard!$G$7,Dashboard!$N$6+Dashboard!$G$7),0)</f>
        <v>0</v>
      </c>
      <c r="R513">
        <f t="shared" si="46"/>
        <v>118.33663627657529</v>
      </c>
    </row>
    <row r="514" spans="1:18" x14ac:dyDescent="0.3">
      <c r="A514" t="s">
        <v>451</v>
      </c>
      <c r="B514">
        <v>10</v>
      </c>
      <c r="C514" s="19">
        <v>13</v>
      </c>
      <c r="D514" s="20">
        <v>2022</v>
      </c>
      <c r="E514" s="21">
        <f t="shared" ref="E514:E577" si="48">DATE(D514,B514,C514)</f>
        <v>44847</v>
      </c>
      <c r="F514" s="20">
        <v>336.22</v>
      </c>
      <c r="G514" s="20">
        <v>6396891</v>
      </c>
      <c r="H514" s="20">
        <v>320.83999999999997</v>
      </c>
      <c r="I514" s="20">
        <v>337.67500000000001</v>
      </c>
      <c r="J514" s="22">
        <v>319.87</v>
      </c>
      <c r="K514" s="2">
        <f t="shared" si="43"/>
        <v>55528.603397728089</v>
      </c>
      <c r="L514" s="2">
        <f>IF(B514&lt;&gt;B513,L513*(1+Dashboard!$G$5)+Dashboard!$G$6, L513)</f>
        <v>55654.121625621359</v>
      </c>
      <c r="M514">
        <f t="shared" si="47"/>
        <v>0</v>
      </c>
      <c r="N514">
        <f t="shared" si="44"/>
        <v>165.15556301745312</v>
      </c>
      <c r="O514">
        <f>IF(B514&lt;&gt;B513, Dashboard!$L$6,0)</f>
        <v>0</v>
      </c>
      <c r="P514">
        <f t="shared" si="45"/>
        <v>124.77666772737159</v>
      </c>
      <c r="Q514">
        <f>IF(B514&lt;&gt;B513,IF(F514&lt;=AVERAGE(F492:F513),Dashboard!$N$6-Dashboard!$G$7,Dashboard!$N$6+Dashboard!$G$7),0)</f>
        <v>0</v>
      </c>
      <c r="R514">
        <f t="shared" si="46"/>
        <v>118.33663627657529</v>
      </c>
    </row>
    <row r="515" spans="1:18" x14ac:dyDescent="0.3">
      <c r="A515" t="s">
        <v>450</v>
      </c>
      <c r="B515">
        <v>10</v>
      </c>
      <c r="C515" s="19">
        <v>14</v>
      </c>
      <c r="D515" s="20">
        <v>2022</v>
      </c>
      <c r="E515" s="21">
        <f t="shared" si="48"/>
        <v>44848</v>
      </c>
      <c r="F515" s="20">
        <v>328.65</v>
      </c>
      <c r="G515" s="20">
        <v>4883998</v>
      </c>
      <c r="H515" s="20">
        <v>338.62</v>
      </c>
      <c r="I515" s="20">
        <v>340.19</v>
      </c>
      <c r="J515" s="22">
        <v>328.02499999999998</v>
      </c>
      <c r="K515" s="2">
        <f t="shared" ref="K515:K578" si="49">N515*F515</f>
        <v>54278.375785685967</v>
      </c>
      <c r="L515" s="2">
        <f>IF(B515&lt;&gt;B514,L514*(1+Dashboard!$G$5)+Dashboard!$G$6, L514)</f>
        <v>55654.121625621359</v>
      </c>
      <c r="M515">
        <f t="shared" si="47"/>
        <v>0</v>
      </c>
      <c r="N515">
        <f t="shared" si="44"/>
        <v>165.15556301745312</v>
      </c>
      <c r="O515">
        <f>IF(B515&lt;&gt;B514, Dashboard!$L$6,0)</f>
        <v>0</v>
      </c>
      <c r="P515">
        <f t="shared" si="45"/>
        <v>124.77666772737159</v>
      </c>
      <c r="Q515">
        <f>IF(B515&lt;&gt;B514,IF(F515&lt;=AVERAGE(F493:F514),Dashboard!$N$6-Dashboard!$G$7,Dashboard!$N$6+Dashboard!$G$7),0)</f>
        <v>0</v>
      </c>
      <c r="R515">
        <f t="shared" si="46"/>
        <v>118.33663627657529</v>
      </c>
    </row>
    <row r="516" spans="1:18" x14ac:dyDescent="0.3">
      <c r="A516" t="s">
        <v>449</v>
      </c>
      <c r="B516">
        <v>10</v>
      </c>
      <c r="C516" s="19">
        <v>17</v>
      </c>
      <c r="D516" s="20">
        <v>2022</v>
      </c>
      <c r="E516" s="21">
        <f t="shared" si="48"/>
        <v>44851</v>
      </c>
      <c r="F516" s="20">
        <v>337</v>
      </c>
      <c r="G516" s="20">
        <v>3889516</v>
      </c>
      <c r="H516" s="20">
        <v>334.57</v>
      </c>
      <c r="I516" s="20">
        <v>338.1</v>
      </c>
      <c r="J516" s="22">
        <v>334.46</v>
      </c>
      <c r="K516" s="2">
        <f t="shared" si="49"/>
        <v>55657.424736881701</v>
      </c>
      <c r="L516" s="2">
        <f>IF(B516&lt;&gt;B515,L515*(1+Dashboard!$G$5)+Dashboard!$G$6, L515)</f>
        <v>55654.121625621359</v>
      </c>
      <c r="M516">
        <f t="shared" si="47"/>
        <v>0</v>
      </c>
      <c r="N516">
        <f t="shared" ref="N516:N579" si="50">N515+M515/F515</f>
        <v>165.15556301745312</v>
      </c>
      <c r="O516">
        <f>IF(B516&lt;&gt;B515, Dashboard!$L$6,0)</f>
        <v>0</v>
      </c>
      <c r="P516">
        <f t="shared" ref="P516:P579" si="51">P515+O516/F516</f>
        <v>124.77666772737159</v>
      </c>
      <c r="Q516">
        <f>IF(B516&lt;&gt;B515,IF(F516&lt;=AVERAGE(F494:F515),Dashboard!$N$6-Dashboard!$G$7,Dashboard!$N$6+Dashboard!$G$7),0)</f>
        <v>0</v>
      </c>
      <c r="R516">
        <f t="shared" ref="R516:R579" si="52">R515+Q516/H516</f>
        <v>118.33663627657529</v>
      </c>
    </row>
    <row r="517" spans="1:18" x14ac:dyDescent="0.3">
      <c r="A517" t="s">
        <v>448</v>
      </c>
      <c r="B517">
        <v>10</v>
      </c>
      <c r="C517" s="19">
        <v>18</v>
      </c>
      <c r="D517" s="20">
        <v>2022</v>
      </c>
      <c r="E517" s="21">
        <f t="shared" si="48"/>
        <v>44852</v>
      </c>
      <c r="F517" s="20">
        <v>340.97</v>
      </c>
      <c r="G517" s="20">
        <v>4903278</v>
      </c>
      <c r="H517" s="20">
        <v>344.68</v>
      </c>
      <c r="I517" s="20">
        <v>345</v>
      </c>
      <c r="J517" s="22">
        <v>337.76499999999999</v>
      </c>
      <c r="K517" s="2">
        <f t="shared" si="49"/>
        <v>56313.092322060991</v>
      </c>
      <c r="L517" s="2">
        <f>IF(B517&lt;&gt;B516,L516*(1+Dashboard!$G$5)+Dashboard!$G$6, L516)</f>
        <v>55654.121625621359</v>
      </c>
      <c r="M517">
        <f t="shared" si="47"/>
        <v>0</v>
      </c>
      <c r="N517">
        <f t="shared" si="50"/>
        <v>165.15556301745312</v>
      </c>
      <c r="O517">
        <f>IF(B517&lt;&gt;B516, Dashboard!$L$6,0)</f>
        <v>0</v>
      </c>
      <c r="P517">
        <f t="shared" si="51"/>
        <v>124.77666772737159</v>
      </c>
      <c r="Q517">
        <f>IF(B517&lt;&gt;B516,IF(F517&lt;=AVERAGE(F495:F516),Dashboard!$N$6-Dashboard!$G$7,Dashboard!$N$6+Dashboard!$G$7),0)</f>
        <v>0</v>
      </c>
      <c r="R517">
        <f t="shared" si="52"/>
        <v>118.33663627657529</v>
      </c>
    </row>
    <row r="518" spans="1:18" x14ac:dyDescent="0.3">
      <c r="A518" t="s">
        <v>447</v>
      </c>
      <c r="B518">
        <v>10</v>
      </c>
      <c r="C518" s="19">
        <v>19</v>
      </c>
      <c r="D518" s="20">
        <v>2022</v>
      </c>
      <c r="E518" s="21">
        <f t="shared" si="48"/>
        <v>44853</v>
      </c>
      <c r="F518" s="20">
        <v>338.61</v>
      </c>
      <c r="G518" s="20">
        <v>4403233</v>
      </c>
      <c r="H518" s="20">
        <v>339.04</v>
      </c>
      <c r="I518" s="20">
        <v>341.67</v>
      </c>
      <c r="J518" s="22">
        <v>335.9</v>
      </c>
      <c r="K518" s="2">
        <f t="shared" si="49"/>
        <v>55923.325193339806</v>
      </c>
      <c r="L518" s="2">
        <f>IF(B518&lt;&gt;B517,L517*(1+Dashboard!$G$5)+Dashboard!$G$6, L517)</f>
        <v>55654.121625621359</v>
      </c>
      <c r="M518">
        <f t="shared" si="47"/>
        <v>0</v>
      </c>
      <c r="N518">
        <f t="shared" si="50"/>
        <v>165.15556301745312</v>
      </c>
      <c r="O518">
        <f>IF(B518&lt;&gt;B517, Dashboard!$L$6,0)</f>
        <v>0</v>
      </c>
      <c r="P518">
        <f t="shared" si="51"/>
        <v>124.77666772737159</v>
      </c>
      <c r="Q518">
        <f>IF(B518&lt;&gt;B517,IF(F518&lt;=AVERAGE(F496:F517),Dashboard!$N$6-Dashboard!$G$7,Dashboard!$N$6+Dashboard!$G$7),0)</f>
        <v>0</v>
      </c>
      <c r="R518">
        <f t="shared" si="52"/>
        <v>118.33663627657529</v>
      </c>
    </row>
    <row r="519" spans="1:18" x14ac:dyDescent="0.3">
      <c r="A519" t="s">
        <v>446</v>
      </c>
      <c r="B519">
        <v>10</v>
      </c>
      <c r="C519" s="19">
        <v>20</v>
      </c>
      <c r="D519" s="20">
        <v>2022</v>
      </c>
      <c r="E519" s="21">
        <f t="shared" si="48"/>
        <v>44854</v>
      </c>
      <c r="F519" s="20">
        <v>335.83</v>
      </c>
      <c r="G519" s="20">
        <v>3459059</v>
      </c>
      <c r="H519" s="20">
        <v>338.17</v>
      </c>
      <c r="I519" s="20">
        <v>342.42</v>
      </c>
      <c r="J519" s="22">
        <v>335.05</v>
      </c>
      <c r="K519" s="2">
        <f t="shared" si="49"/>
        <v>55464.192728151276</v>
      </c>
      <c r="L519" s="2">
        <f>IF(B519&lt;&gt;B518,L518*(1+Dashboard!$G$5)+Dashboard!$G$6, L518)</f>
        <v>55654.121625621359</v>
      </c>
      <c r="M519">
        <f t="shared" si="47"/>
        <v>0</v>
      </c>
      <c r="N519">
        <f t="shared" si="50"/>
        <v>165.15556301745312</v>
      </c>
      <c r="O519">
        <f>IF(B519&lt;&gt;B518, Dashboard!$L$6,0)</f>
        <v>0</v>
      </c>
      <c r="P519">
        <f t="shared" si="51"/>
        <v>124.77666772737159</v>
      </c>
      <c r="Q519">
        <f>IF(B519&lt;&gt;B518,IF(F519&lt;=AVERAGE(F497:F518),Dashboard!$N$6-Dashboard!$G$7,Dashboard!$N$6+Dashboard!$G$7),0)</f>
        <v>0</v>
      </c>
      <c r="R519">
        <f t="shared" si="52"/>
        <v>118.33663627657529</v>
      </c>
    </row>
    <row r="520" spans="1:18" x14ac:dyDescent="0.3">
      <c r="A520" t="s">
        <v>445</v>
      </c>
      <c r="B520">
        <v>10</v>
      </c>
      <c r="C520" s="19">
        <v>21</v>
      </c>
      <c r="D520" s="20">
        <v>2022</v>
      </c>
      <c r="E520" s="21">
        <f t="shared" si="48"/>
        <v>44855</v>
      </c>
      <c r="F520" s="20">
        <v>343.9</v>
      </c>
      <c r="G520" s="20">
        <v>4362430</v>
      </c>
      <c r="H520" s="20">
        <v>335.5</v>
      </c>
      <c r="I520" s="20">
        <v>344.39049999999997</v>
      </c>
      <c r="J520" s="22">
        <v>334.13</v>
      </c>
      <c r="K520" s="2">
        <f t="shared" si="49"/>
        <v>56796.998121702127</v>
      </c>
      <c r="L520" s="2">
        <f>IF(B520&lt;&gt;B519,L519*(1+Dashboard!$G$5)+Dashboard!$G$6, L519)</f>
        <v>55654.121625621359</v>
      </c>
      <c r="M520">
        <f t="shared" si="47"/>
        <v>0</v>
      </c>
      <c r="N520">
        <f t="shared" si="50"/>
        <v>165.15556301745312</v>
      </c>
      <c r="O520">
        <f>IF(B520&lt;&gt;B519, Dashboard!$L$6,0)</f>
        <v>0</v>
      </c>
      <c r="P520">
        <f t="shared" si="51"/>
        <v>124.77666772737159</v>
      </c>
      <c r="Q520">
        <f>IF(B520&lt;&gt;B519,IF(F520&lt;=AVERAGE(F498:F519),Dashboard!$N$6-Dashboard!$G$7,Dashboard!$N$6+Dashboard!$G$7),0)</f>
        <v>0</v>
      </c>
      <c r="R520">
        <f t="shared" si="52"/>
        <v>118.33663627657529</v>
      </c>
    </row>
    <row r="521" spans="1:18" x14ac:dyDescent="0.3">
      <c r="A521" t="s">
        <v>444</v>
      </c>
      <c r="B521">
        <v>10</v>
      </c>
      <c r="C521" s="19">
        <v>24</v>
      </c>
      <c r="D521" s="20">
        <v>2022</v>
      </c>
      <c r="E521" s="21">
        <f t="shared" si="48"/>
        <v>44858</v>
      </c>
      <c r="F521" s="20">
        <v>348.09</v>
      </c>
      <c r="G521" s="20">
        <v>5639417</v>
      </c>
      <c r="H521" s="20">
        <v>345.45</v>
      </c>
      <c r="I521" s="20">
        <v>349.23</v>
      </c>
      <c r="J521" s="22">
        <v>342.87</v>
      </c>
      <c r="K521" s="2">
        <f t="shared" si="49"/>
        <v>57488.999930745253</v>
      </c>
      <c r="L521" s="2">
        <f>IF(B521&lt;&gt;B520,L520*(1+Dashboard!$G$5)+Dashboard!$G$6, L520)</f>
        <v>55654.121625621359</v>
      </c>
      <c r="M521">
        <f t="shared" si="47"/>
        <v>0</v>
      </c>
      <c r="N521">
        <f t="shared" si="50"/>
        <v>165.15556301745312</v>
      </c>
      <c r="O521">
        <f>IF(B521&lt;&gt;B520, Dashboard!$L$6,0)</f>
        <v>0</v>
      </c>
      <c r="P521">
        <f t="shared" si="51"/>
        <v>124.77666772737159</v>
      </c>
      <c r="Q521">
        <f>IF(B521&lt;&gt;B520,IF(F521&lt;=AVERAGE(F499:F520),Dashboard!$N$6-Dashboard!$G$7,Dashboard!$N$6+Dashboard!$G$7),0)</f>
        <v>0</v>
      </c>
      <c r="R521">
        <f t="shared" si="52"/>
        <v>118.33663627657529</v>
      </c>
    </row>
    <row r="522" spans="1:18" x14ac:dyDescent="0.3">
      <c r="A522" t="s">
        <v>443</v>
      </c>
      <c r="B522">
        <v>10</v>
      </c>
      <c r="C522" s="19">
        <v>25</v>
      </c>
      <c r="D522" s="20">
        <v>2022</v>
      </c>
      <c r="E522" s="21">
        <f t="shared" si="48"/>
        <v>44859</v>
      </c>
      <c r="F522" s="20">
        <v>353.75</v>
      </c>
      <c r="G522" s="20">
        <v>5203396</v>
      </c>
      <c r="H522" s="20">
        <v>348.05</v>
      </c>
      <c r="I522" s="20">
        <v>354.03</v>
      </c>
      <c r="J522" s="22">
        <v>348.03</v>
      </c>
      <c r="K522" s="2">
        <f t="shared" si="49"/>
        <v>58423.780417424037</v>
      </c>
      <c r="L522" s="2">
        <f>IF(B522&lt;&gt;B521,L521*(1+Dashboard!$G$5)+Dashboard!$G$6, L521)</f>
        <v>55654.121625621359</v>
      </c>
      <c r="M522">
        <f t="shared" si="47"/>
        <v>0</v>
      </c>
      <c r="N522">
        <f t="shared" si="50"/>
        <v>165.15556301745312</v>
      </c>
      <c r="O522">
        <f>IF(B522&lt;&gt;B521, Dashboard!$L$6,0)</f>
        <v>0</v>
      </c>
      <c r="P522">
        <f t="shared" si="51"/>
        <v>124.77666772737159</v>
      </c>
      <c r="Q522">
        <f>IF(B522&lt;&gt;B521,IF(F522&lt;=AVERAGE(F500:F521),Dashboard!$N$6-Dashboard!$G$7,Dashboard!$N$6+Dashboard!$G$7),0)</f>
        <v>0</v>
      </c>
      <c r="R522">
        <f t="shared" si="52"/>
        <v>118.33663627657529</v>
      </c>
    </row>
    <row r="523" spans="1:18" x14ac:dyDescent="0.3">
      <c r="A523" t="s">
        <v>442</v>
      </c>
      <c r="B523">
        <v>10</v>
      </c>
      <c r="C523" s="19">
        <v>26</v>
      </c>
      <c r="D523" s="20">
        <v>2022</v>
      </c>
      <c r="E523" s="21">
        <f t="shared" si="48"/>
        <v>44860</v>
      </c>
      <c r="F523" s="20">
        <v>351.11</v>
      </c>
      <c r="G523" s="20">
        <v>4277708</v>
      </c>
      <c r="H523" s="20">
        <v>350.7</v>
      </c>
      <c r="I523" s="20">
        <v>356.17</v>
      </c>
      <c r="J523" s="22">
        <v>350.44</v>
      </c>
      <c r="K523" s="2">
        <f t="shared" si="49"/>
        <v>57987.769731057968</v>
      </c>
      <c r="L523" s="2">
        <f>IF(B523&lt;&gt;B522,L522*(1+Dashboard!$G$5)+Dashboard!$G$6, L522)</f>
        <v>55654.121625621359</v>
      </c>
      <c r="M523">
        <f t="shared" si="47"/>
        <v>0</v>
      </c>
      <c r="N523">
        <f t="shared" si="50"/>
        <v>165.15556301745312</v>
      </c>
      <c r="O523">
        <f>IF(B523&lt;&gt;B522, Dashboard!$L$6,0)</f>
        <v>0</v>
      </c>
      <c r="P523">
        <f t="shared" si="51"/>
        <v>124.77666772737159</v>
      </c>
      <c r="Q523">
        <f>IF(B523&lt;&gt;B522,IF(F523&lt;=AVERAGE(F501:F522),Dashboard!$N$6-Dashboard!$G$7,Dashboard!$N$6+Dashboard!$G$7),0)</f>
        <v>0</v>
      </c>
      <c r="R523">
        <f t="shared" si="52"/>
        <v>118.33663627657529</v>
      </c>
    </row>
    <row r="524" spans="1:18" x14ac:dyDescent="0.3">
      <c r="A524" t="s">
        <v>441</v>
      </c>
      <c r="B524">
        <v>10</v>
      </c>
      <c r="C524" s="19">
        <v>27</v>
      </c>
      <c r="D524" s="20">
        <v>2022</v>
      </c>
      <c r="E524" s="21">
        <f t="shared" si="48"/>
        <v>44861</v>
      </c>
      <c r="F524" s="20">
        <v>349.23</v>
      </c>
      <c r="G524" s="20">
        <v>4145263</v>
      </c>
      <c r="H524" s="20">
        <v>352.05</v>
      </c>
      <c r="I524" s="20">
        <v>353.79</v>
      </c>
      <c r="J524" s="22">
        <v>348.59500000000003</v>
      </c>
      <c r="K524" s="2">
        <f t="shared" si="49"/>
        <v>57677.277272585154</v>
      </c>
      <c r="L524" s="2">
        <f>IF(B524&lt;&gt;B523,L523*(1+Dashboard!$G$5)+Dashboard!$G$6, L523)</f>
        <v>55654.121625621359</v>
      </c>
      <c r="M524">
        <f t="shared" si="47"/>
        <v>0</v>
      </c>
      <c r="N524">
        <f t="shared" si="50"/>
        <v>165.15556301745312</v>
      </c>
      <c r="O524">
        <f>IF(B524&lt;&gt;B523, Dashboard!$L$6,0)</f>
        <v>0</v>
      </c>
      <c r="P524">
        <f t="shared" si="51"/>
        <v>124.77666772737159</v>
      </c>
      <c r="Q524">
        <f>IF(B524&lt;&gt;B523,IF(F524&lt;=AVERAGE(F502:F523),Dashboard!$N$6-Dashboard!$G$7,Dashboard!$N$6+Dashboard!$G$7),0)</f>
        <v>0</v>
      </c>
      <c r="R524">
        <f t="shared" si="52"/>
        <v>118.33663627657529</v>
      </c>
    </row>
    <row r="525" spans="1:18" x14ac:dyDescent="0.3">
      <c r="A525" t="s">
        <v>440</v>
      </c>
      <c r="B525">
        <v>10</v>
      </c>
      <c r="C525" s="19">
        <v>28</v>
      </c>
      <c r="D525" s="20">
        <v>2022</v>
      </c>
      <c r="E525" s="21">
        <f t="shared" si="48"/>
        <v>44862</v>
      </c>
      <c r="F525" s="20">
        <v>357.38</v>
      </c>
      <c r="G525" s="20">
        <v>4388078</v>
      </c>
      <c r="H525" s="20">
        <v>349.04</v>
      </c>
      <c r="I525" s="20">
        <v>357.98</v>
      </c>
      <c r="J525" s="22">
        <v>348.95</v>
      </c>
      <c r="K525" s="2">
        <f t="shared" si="49"/>
        <v>59023.295111177395</v>
      </c>
      <c r="L525" s="2">
        <f>IF(B525&lt;&gt;B524,L524*(1+Dashboard!$G$5)+Dashboard!$G$6, L524)</f>
        <v>55654.121625621359</v>
      </c>
      <c r="M525">
        <f t="shared" si="47"/>
        <v>0</v>
      </c>
      <c r="N525">
        <f t="shared" si="50"/>
        <v>165.15556301745312</v>
      </c>
      <c r="O525">
        <f>IF(B525&lt;&gt;B524, Dashboard!$L$6,0)</f>
        <v>0</v>
      </c>
      <c r="P525">
        <f t="shared" si="51"/>
        <v>124.77666772737159</v>
      </c>
      <c r="Q525">
        <f>IF(B525&lt;&gt;B524,IF(F525&lt;=AVERAGE(F503:F524),Dashboard!$N$6-Dashboard!$G$7,Dashboard!$N$6+Dashboard!$G$7),0)</f>
        <v>0</v>
      </c>
      <c r="R525">
        <f t="shared" si="52"/>
        <v>118.33663627657529</v>
      </c>
    </row>
    <row r="526" spans="1:18" x14ac:dyDescent="0.3">
      <c r="A526" t="s">
        <v>439</v>
      </c>
      <c r="B526">
        <v>10</v>
      </c>
      <c r="C526" s="19">
        <v>31</v>
      </c>
      <c r="D526" s="20">
        <v>2022</v>
      </c>
      <c r="E526" s="21">
        <f t="shared" si="48"/>
        <v>44865</v>
      </c>
      <c r="F526" s="20">
        <v>354.95</v>
      </c>
      <c r="G526" s="20">
        <v>6430961</v>
      </c>
      <c r="H526" s="20">
        <v>355.16</v>
      </c>
      <c r="I526" s="20">
        <v>356.92</v>
      </c>
      <c r="J526" s="22">
        <v>354.05</v>
      </c>
      <c r="K526" s="2">
        <f t="shared" si="49"/>
        <v>58621.967093044979</v>
      </c>
      <c r="L526" s="2">
        <f>IF(B526&lt;&gt;B525,L525*(1+Dashboard!$G$5)+Dashboard!$G$6, L525)</f>
        <v>55654.121625621359</v>
      </c>
      <c r="M526">
        <f t="shared" si="47"/>
        <v>0</v>
      </c>
      <c r="N526">
        <f t="shared" si="50"/>
        <v>165.15556301745312</v>
      </c>
      <c r="O526">
        <f>IF(B526&lt;&gt;B525, Dashboard!$L$6,0)</f>
        <v>0</v>
      </c>
      <c r="P526">
        <f t="shared" si="51"/>
        <v>124.77666772737159</v>
      </c>
      <c r="Q526">
        <f>IF(B526&lt;&gt;B525,IF(F526&lt;=AVERAGE(F504:F525),Dashboard!$N$6-Dashboard!$G$7,Dashboard!$N$6+Dashboard!$G$7),0)</f>
        <v>0</v>
      </c>
      <c r="R526">
        <f t="shared" si="52"/>
        <v>118.33663627657529</v>
      </c>
    </row>
    <row r="527" spans="1:18" x14ac:dyDescent="0.3">
      <c r="A527" s="1">
        <v>44572</v>
      </c>
      <c r="B527">
        <v>11</v>
      </c>
      <c r="C527" s="19">
        <v>1</v>
      </c>
      <c r="D527" s="20">
        <v>2022</v>
      </c>
      <c r="E527" s="21">
        <f t="shared" si="48"/>
        <v>44866</v>
      </c>
      <c r="F527" s="20">
        <v>353.52</v>
      </c>
      <c r="G527" s="20">
        <v>8014279</v>
      </c>
      <c r="H527" s="20">
        <v>358.53</v>
      </c>
      <c r="I527" s="20">
        <v>358.76499999999999</v>
      </c>
      <c r="J527" s="22">
        <v>352.29</v>
      </c>
      <c r="K527" s="2">
        <f t="shared" si="49"/>
        <v>58385.794637930027</v>
      </c>
      <c r="L527" s="2">
        <f>IF(B527&lt;&gt;B526,L526*(1+Dashboard!$G$5)+Dashboard!$G$6, L526)</f>
        <v>58143.877895926824</v>
      </c>
      <c r="M527">
        <f t="shared" si="47"/>
        <v>0</v>
      </c>
      <c r="N527">
        <f t="shared" si="50"/>
        <v>165.15556301745312</v>
      </c>
      <c r="O527">
        <f>IF(B527&lt;&gt;B526, Dashboard!$L$6,0)</f>
        <v>1859.7282542371197</v>
      </c>
      <c r="P527">
        <f t="shared" si="51"/>
        <v>130.03727039267233</v>
      </c>
      <c r="Q527">
        <f>IF(B527&lt;&gt;B526,IF(F527&lt;=AVERAGE(F505:F526),Dashboard!$N$6-Dashboard!$G$7,Dashboard!$N$6+Dashboard!$G$7),0)</f>
        <v>2232.609610169322</v>
      </c>
      <c r="R527">
        <f t="shared" si="52"/>
        <v>124.56375704797328</v>
      </c>
    </row>
    <row r="528" spans="1:18" x14ac:dyDescent="0.3">
      <c r="A528" s="1">
        <v>44603</v>
      </c>
      <c r="B528">
        <v>11</v>
      </c>
      <c r="C528" s="19">
        <v>2</v>
      </c>
      <c r="D528" s="20">
        <v>2022</v>
      </c>
      <c r="E528" s="21">
        <f t="shared" si="48"/>
        <v>44867</v>
      </c>
      <c r="F528" s="20">
        <v>344.5</v>
      </c>
      <c r="G528" s="20">
        <v>5022535</v>
      </c>
      <c r="H528" s="20">
        <v>352.78</v>
      </c>
      <c r="I528" s="20">
        <v>357.125</v>
      </c>
      <c r="J528" s="22">
        <v>344.41</v>
      </c>
      <c r="K528" s="2">
        <f t="shared" si="49"/>
        <v>56896.091459512601</v>
      </c>
      <c r="L528" s="2">
        <f>IF(B528&lt;&gt;B527,L527*(1+Dashboard!$G$5)+Dashboard!$G$6, L527)</f>
        <v>58143.877895926824</v>
      </c>
      <c r="M528">
        <f t="shared" si="47"/>
        <v>0</v>
      </c>
      <c r="N528">
        <f t="shared" si="50"/>
        <v>165.15556301745312</v>
      </c>
      <c r="O528">
        <f>IF(B528&lt;&gt;B527, Dashboard!$L$6,0)</f>
        <v>0</v>
      </c>
      <c r="P528">
        <f t="shared" si="51"/>
        <v>130.03727039267233</v>
      </c>
      <c r="Q528">
        <f>IF(B528&lt;&gt;B527,IF(F528&lt;=AVERAGE(F506:F527),Dashboard!$N$6-Dashboard!$G$7,Dashboard!$N$6+Dashboard!$G$7),0)</f>
        <v>0</v>
      </c>
      <c r="R528">
        <f t="shared" si="52"/>
        <v>124.56375704797328</v>
      </c>
    </row>
    <row r="529" spans="1:18" x14ac:dyDescent="0.3">
      <c r="A529" s="1">
        <v>44631</v>
      </c>
      <c r="B529">
        <v>11</v>
      </c>
      <c r="C529" s="19">
        <v>3</v>
      </c>
      <c r="D529" s="20">
        <v>2022</v>
      </c>
      <c r="E529" s="21">
        <f t="shared" si="48"/>
        <v>44868</v>
      </c>
      <c r="F529" s="20">
        <v>340.83</v>
      </c>
      <c r="G529" s="20">
        <v>4534774</v>
      </c>
      <c r="H529" s="20">
        <v>341.34</v>
      </c>
      <c r="I529" s="20">
        <v>343.81</v>
      </c>
      <c r="J529" s="22">
        <v>338.9</v>
      </c>
      <c r="K529" s="2">
        <f t="shared" si="49"/>
        <v>56289.970543238545</v>
      </c>
      <c r="L529" s="2">
        <f>IF(B529&lt;&gt;B528,L528*(1+Dashboard!$G$5)+Dashboard!$G$6, L528)</f>
        <v>58143.877895926824</v>
      </c>
      <c r="M529">
        <f t="shared" si="47"/>
        <v>0</v>
      </c>
      <c r="N529">
        <f t="shared" si="50"/>
        <v>165.15556301745312</v>
      </c>
      <c r="O529">
        <f>IF(B529&lt;&gt;B528, Dashboard!$L$6,0)</f>
        <v>0</v>
      </c>
      <c r="P529">
        <f t="shared" si="51"/>
        <v>130.03727039267233</v>
      </c>
      <c r="Q529">
        <f>IF(B529&lt;&gt;B528,IF(F529&lt;=AVERAGE(F507:F528),Dashboard!$N$6-Dashboard!$G$7,Dashboard!$N$6+Dashboard!$G$7),0)</f>
        <v>0</v>
      </c>
      <c r="R529">
        <f t="shared" si="52"/>
        <v>124.56375704797328</v>
      </c>
    </row>
    <row r="530" spans="1:18" x14ac:dyDescent="0.3">
      <c r="A530" s="1">
        <v>44662</v>
      </c>
      <c r="B530">
        <v>11</v>
      </c>
      <c r="C530" s="19">
        <v>4</v>
      </c>
      <c r="D530" s="20">
        <v>2022</v>
      </c>
      <c r="E530" s="21">
        <f t="shared" si="48"/>
        <v>44869</v>
      </c>
      <c r="F530" s="20">
        <v>345.82</v>
      </c>
      <c r="G530" s="20">
        <v>3655444</v>
      </c>
      <c r="H530" s="20">
        <v>346.41</v>
      </c>
      <c r="I530" s="20">
        <v>348.02</v>
      </c>
      <c r="J530" s="22">
        <v>340</v>
      </c>
      <c r="K530" s="2">
        <f t="shared" si="49"/>
        <v>57114.09680269564</v>
      </c>
      <c r="L530" s="2">
        <f>IF(B530&lt;&gt;B529,L529*(1+Dashboard!$G$5)+Dashboard!$G$6, L529)</f>
        <v>58143.877895926824</v>
      </c>
      <c r="M530">
        <f t="shared" si="47"/>
        <v>0</v>
      </c>
      <c r="N530">
        <f t="shared" si="50"/>
        <v>165.15556301745312</v>
      </c>
      <c r="O530">
        <f>IF(B530&lt;&gt;B529, Dashboard!$L$6,0)</f>
        <v>0</v>
      </c>
      <c r="P530">
        <f t="shared" si="51"/>
        <v>130.03727039267233</v>
      </c>
      <c r="Q530">
        <f>IF(B530&lt;&gt;B529,IF(F530&lt;=AVERAGE(F508:F529),Dashboard!$N$6-Dashboard!$G$7,Dashboard!$N$6+Dashboard!$G$7),0)</f>
        <v>0</v>
      </c>
      <c r="R530">
        <f t="shared" si="52"/>
        <v>124.56375704797328</v>
      </c>
    </row>
    <row r="531" spans="1:18" x14ac:dyDescent="0.3">
      <c r="A531" s="1">
        <v>44753</v>
      </c>
      <c r="B531">
        <v>11</v>
      </c>
      <c r="C531" s="19">
        <v>7</v>
      </c>
      <c r="D531" s="20">
        <v>2022</v>
      </c>
      <c r="E531" s="21">
        <f t="shared" si="48"/>
        <v>44872</v>
      </c>
      <c r="F531" s="20">
        <v>349.14</v>
      </c>
      <c r="G531" s="20">
        <v>3316597</v>
      </c>
      <c r="H531" s="20">
        <v>347.06</v>
      </c>
      <c r="I531" s="20">
        <v>349.71</v>
      </c>
      <c r="J531" s="22">
        <v>345.1</v>
      </c>
      <c r="K531" s="2">
        <f t="shared" si="49"/>
        <v>57662.413271913581</v>
      </c>
      <c r="L531" s="2">
        <f>IF(B531&lt;&gt;B530,L530*(1+Dashboard!$G$5)+Dashboard!$G$6, L530)</f>
        <v>58143.877895926824</v>
      </c>
      <c r="M531">
        <f t="shared" si="47"/>
        <v>0</v>
      </c>
      <c r="N531">
        <f t="shared" si="50"/>
        <v>165.15556301745312</v>
      </c>
      <c r="O531">
        <f>IF(B531&lt;&gt;B530, Dashboard!$L$6,0)</f>
        <v>0</v>
      </c>
      <c r="P531">
        <f t="shared" si="51"/>
        <v>130.03727039267233</v>
      </c>
      <c r="Q531">
        <f>IF(B531&lt;&gt;B530,IF(F531&lt;=AVERAGE(F509:F530),Dashboard!$N$6-Dashboard!$G$7,Dashboard!$N$6+Dashboard!$G$7),0)</f>
        <v>0</v>
      </c>
      <c r="R531">
        <f t="shared" si="52"/>
        <v>124.56375704797328</v>
      </c>
    </row>
    <row r="532" spans="1:18" x14ac:dyDescent="0.3">
      <c r="A532" s="1">
        <v>44784</v>
      </c>
      <c r="B532">
        <v>11</v>
      </c>
      <c r="C532" s="19">
        <v>8</v>
      </c>
      <c r="D532" s="20">
        <v>2022</v>
      </c>
      <c r="E532" s="21">
        <f t="shared" si="48"/>
        <v>44873</v>
      </c>
      <c r="F532" s="20">
        <v>351.04</v>
      </c>
      <c r="G532" s="20">
        <v>3237196</v>
      </c>
      <c r="H532" s="20">
        <v>350.21</v>
      </c>
      <c r="I532" s="20">
        <v>353.87</v>
      </c>
      <c r="J532" s="22">
        <v>347.08</v>
      </c>
      <c r="K532" s="2">
        <f t="shared" si="49"/>
        <v>57976.208841646745</v>
      </c>
      <c r="L532" s="2">
        <f>IF(B532&lt;&gt;B531,L531*(1+Dashboard!$G$5)+Dashboard!$G$6, L531)</f>
        <v>58143.877895926824</v>
      </c>
      <c r="M532">
        <f t="shared" si="47"/>
        <v>0</v>
      </c>
      <c r="N532">
        <f t="shared" si="50"/>
        <v>165.15556301745312</v>
      </c>
      <c r="O532">
        <f>IF(B532&lt;&gt;B531, Dashboard!$L$6,0)</f>
        <v>0</v>
      </c>
      <c r="P532">
        <f t="shared" si="51"/>
        <v>130.03727039267233</v>
      </c>
      <c r="Q532">
        <f>IF(B532&lt;&gt;B531,IF(F532&lt;=AVERAGE(F510:F531),Dashboard!$N$6-Dashboard!$G$7,Dashboard!$N$6+Dashboard!$G$7),0)</f>
        <v>0</v>
      </c>
      <c r="R532">
        <f t="shared" si="52"/>
        <v>124.56375704797328</v>
      </c>
    </row>
    <row r="533" spans="1:18" x14ac:dyDescent="0.3">
      <c r="A533" s="1">
        <v>44815</v>
      </c>
      <c r="B533">
        <v>11</v>
      </c>
      <c r="C533" s="19">
        <v>9</v>
      </c>
      <c r="D533" s="20">
        <v>2022</v>
      </c>
      <c r="E533" s="21">
        <f t="shared" si="48"/>
        <v>44874</v>
      </c>
      <c r="F533" s="20">
        <v>343.87</v>
      </c>
      <c r="G533" s="20">
        <v>3570793</v>
      </c>
      <c r="H533" s="20">
        <v>349.08</v>
      </c>
      <c r="I533" s="20">
        <v>350.22</v>
      </c>
      <c r="J533" s="22">
        <v>343.35809999999998</v>
      </c>
      <c r="K533" s="2">
        <f t="shared" si="49"/>
        <v>56792.043454811603</v>
      </c>
      <c r="L533" s="2">
        <f>IF(B533&lt;&gt;B532,L532*(1+Dashboard!$G$5)+Dashboard!$G$6, L532)</f>
        <v>58143.877895926824</v>
      </c>
      <c r="M533">
        <f t="shared" si="47"/>
        <v>0</v>
      </c>
      <c r="N533">
        <f t="shared" si="50"/>
        <v>165.15556301745312</v>
      </c>
      <c r="O533">
        <f>IF(B533&lt;&gt;B532, Dashboard!$L$6,0)</f>
        <v>0</v>
      </c>
      <c r="P533">
        <f t="shared" si="51"/>
        <v>130.03727039267233</v>
      </c>
      <c r="Q533">
        <f>IF(B533&lt;&gt;B532,IF(F533&lt;=AVERAGE(F511:F532),Dashboard!$N$6-Dashboard!$G$7,Dashboard!$N$6+Dashboard!$G$7),0)</f>
        <v>0</v>
      </c>
      <c r="R533">
        <f t="shared" si="52"/>
        <v>124.56375704797328</v>
      </c>
    </row>
    <row r="534" spans="1:18" x14ac:dyDescent="0.3">
      <c r="A534" s="1">
        <v>44845</v>
      </c>
      <c r="B534">
        <v>11</v>
      </c>
      <c r="C534" s="19">
        <v>10</v>
      </c>
      <c r="D534" s="20">
        <v>2022</v>
      </c>
      <c r="E534" s="21">
        <f t="shared" si="48"/>
        <v>44875</v>
      </c>
      <c r="F534" s="20">
        <v>362.69</v>
      </c>
      <c r="G534" s="20">
        <v>4603632</v>
      </c>
      <c r="H534" s="20">
        <v>356.52</v>
      </c>
      <c r="I534" s="20">
        <v>363.01</v>
      </c>
      <c r="J534" s="22">
        <v>354.41</v>
      </c>
      <c r="K534" s="2">
        <f t="shared" si="49"/>
        <v>59900.271150800072</v>
      </c>
      <c r="L534" s="2">
        <f>IF(B534&lt;&gt;B533,L533*(1+Dashboard!$G$5)+Dashboard!$G$6, L533)</f>
        <v>58143.877895926824</v>
      </c>
      <c r="M534">
        <f t="shared" si="47"/>
        <v>0</v>
      </c>
      <c r="N534">
        <f t="shared" si="50"/>
        <v>165.15556301745312</v>
      </c>
      <c r="O534">
        <f>IF(B534&lt;&gt;B533, Dashboard!$L$6,0)</f>
        <v>0</v>
      </c>
      <c r="P534">
        <f t="shared" si="51"/>
        <v>130.03727039267233</v>
      </c>
      <c r="Q534">
        <f>IF(B534&lt;&gt;B533,IF(F534&lt;=AVERAGE(F512:F533),Dashboard!$N$6-Dashboard!$G$7,Dashboard!$N$6+Dashboard!$G$7),0)</f>
        <v>0</v>
      </c>
      <c r="R534">
        <f t="shared" si="52"/>
        <v>124.56375704797328</v>
      </c>
    </row>
    <row r="535" spans="1:18" x14ac:dyDescent="0.3">
      <c r="A535" s="1">
        <v>44876</v>
      </c>
      <c r="B535">
        <v>11</v>
      </c>
      <c r="C535" s="19">
        <v>11</v>
      </c>
      <c r="D535" s="20">
        <v>2022</v>
      </c>
      <c r="E535" s="21">
        <f t="shared" si="48"/>
        <v>44876</v>
      </c>
      <c r="F535" s="20">
        <v>366.16</v>
      </c>
      <c r="G535" s="20">
        <v>4877385</v>
      </c>
      <c r="H535" s="20">
        <v>363.69</v>
      </c>
      <c r="I535" s="20">
        <v>367.02</v>
      </c>
      <c r="J535" s="22">
        <v>361.74</v>
      </c>
      <c r="K535" s="2">
        <f t="shared" si="49"/>
        <v>60473.360954470641</v>
      </c>
      <c r="L535" s="2">
        <f>IF(B535&lt;&gt;B534,L534*(1+Dashboard!$G$5)+Dashboard!$G$6, L534)</f>
        <v>58143.877895926824</v>
      </c>
      <c r="M535">
        <f t="shared" si="47"/>
        <v>0</v>
      </c>
      <c r="N535">
        <f t="shared" si="50"/>
        <v>165.15556301745312</v>
      </c>
      <c r="O535">
        <f>IF(B535&lt;&gt;B534, Dashboard!$L$6,0)</f>
        <v>0</v>
      </c>
      <c r="P535">
        <f t="shared" si="51"/>
        <v>130.03727039267233</v>
      </c>
      <c r="Q535">
        <f>IF(B535&lt;&gt;B534,IF(F535&lt;=AVERAGE(F513:F534),Dashboard!$N$6-Dashboard!$G$7,Dashboard!$N$6+Dashboard!$G$7),0)</f>
        <v>0</v>
      </c>
      <c r="R535">
        <f t="shared" si="52"/>
        <v>124.56375704797328</v>
      </c>
    </row>
    <row r="536" spans="1:18" x14ac:dyDescent="0.3">
      <c r="A536" t="s">
        <v>438</v>
      </c>
      <c r="B536">
        <v>11</v>
      </c>
      <c r="C536" s="19">
        <v>14</v>
      </c>
      <c r="D536" s="20">
        <v>2022</v>
      </c>
      <c r="E536" s="21">
        <f t="shared" si="48"/>
        <v>44879</v>
      </c>
      <c r="F536" s="20">
        <v>363.22</v>
      </c>
      <c r="G536" s="20">
        <v>5274312</v>
      </c>
      <c r="H536" s="20">
        <v>364.57</v>
      </c>
      <c r="I536" s="20">
        <v>367.79</v>
      </c>
      <c r="J536" s="22">
        <v>362.89</v>
      </c>
      <c r="K536" s="2">
        <f t="shared" si="49"/>
        <v>59987.803599199324</v>
      </c>
      <c r="L536" s="2">
        <f>IF(B536&lt;&gt;B535,L535*(1+Dashboard!$G$5)+Dashboard!$G$6, L535)</f>
        <v>58143.877895926824</v>
      </c>
      <c r="M536">
        <f t="shared" si="47"/>
        <v>0</v>
      </c>
      <c r="N536">
        <f t="shared" si="50"/>
        <v>165.15556301745312</v>
      </c>
      <c r="O536">
        <f>IF(B536&lt;&gt;B535, Dashboard!$L$6,0)</f>
        <v>0</v>
      </c>
      <c r="P536">
        <f t="shared" si="51"/>
        <v>130.03727039267233</v>
      </c>
      <c r="Q536">
        <f>IF(B536&lt;&gt;B535,IF(F536&lt;=AVERAGE(F514:F535),Dashboard!$N$6-Dashboard!$G$7,Dashboard!$N$6+Dashboard!$G$7),0)</f>
        <v>0</v>
      </c>
      <c r="R536">
        <f t="shared" si="52"/>
        <v>124.56375704797328</v>
      </c>
    </row>
    <row r="537" spans="1:18" x14ac:dyDescent="0.3">
      <c r="A537" t="s">
        <v>437</v>
      </c>
      <c r="B537">
        <v>11</v>
      </c>
      <c r="C537" s="19">
        <v>15</v>
      </c>
      <c r="D537" s="20">
        <v>2022</v>
      </c>
      <c r="E537" s="21">
        <f t="shared" si="48"/>
        <v>44880</v>
      </c>
      <c r="F537" s="20">
        <v>366.22</v>
      </c>
      <c r="G537" s="20">
        <v>4597800</v>
      </c>
      <c r="H537" s="20">
        <v>368.65</v>
      </c>
      <c r="I537" s="20">
        <v>369.74200000000002</v>
      </c>
      <c r="J537" s="22">
        <v>362.59</v>
      </c>
      <c r="K537" s="2">
        <f t="shared" si="49"/>
        <v>60483.270288251682</v>
      </c>
      <c r="L537" s="2">
        <f>IF(B537&lt;&gt;B536,L536*(1+Dashboard!$G$5)+Dashboard!$G$6, L536)</f>
        <v>58143.877895926824</v>
      </c>
      <c r="M537">
        <f t="shared" ref="M537:M600" si="53">IF(B537&lt;&gt;B536,IF((L537-K537&gt;0),L537-K537,0),0)</f>
        <v>0</v>
      </c>
      <c r="N537">
        <f t="shared" si="50"/>
        <v>165.15556301745312</v>
      </c>
      <c r="O537">
        <f>IF(B537&lt;&gt;B536, Dashboard!$L$6,0)</f>
        <v>0</v>
      </c>
      <c r="P537">
        <f t="shared" si="51"/>
        <v>130.03727039267233</v>
      </c>
      <c r="Q537">
        <f>IF(B537&lt;&gt;B536,IF(F537&lt;=AVERAGE(F515:F536),Dashboard!$N$6-Dashboard!$G$7,Dashboard!$N$6+Dashboard!$G$7),0)</f>
        <v>0</v>
      </c>
      <c r="R537">
        <f t="shared" si="52"/>
        <v>124.56375704797328</v>
      </c>
    </row>
    <row r="538" spans="1:18" x14ac:dyDescent="0.3">
      <c r="A538" t="s">
        <v>436</v>
      </c>
      <c r="B538">
        <v>11</v>
      </c>
      <c r="C538" s="19">
        <v>16</v>
      </c>
      <c r="D538" s="20">
        <v>2022</v>
      </c>
      <c r="E538" s="21">
        <f t="shared" si="48"/>
        <v>44881</v>
      </c>
      <c r="F538" s="20">
        <v>363.44</v>
      </c>
      <c r="G538" s="20">
        <v>2755123</v>
      </c>
      <c r="H538" s="20">
        <v>364.7</v>
      </c>
      <c r="I538" s="20">
        <v>365.52</v>
      </c>
      <c r="J538" s="22">
        <v>362.85</v>
      </c>
      <c r="K538" s="2">
        <f t="shared" si="49"/>
        <v>60024.13782306316</v>
      </c>
      <c r="L538" s="2">
        <f>IF(B538&lt;&gt;B537,L537*(1+Dashboard!$G$5)+Dashboard!$G$6, L537)</f>
        <v>58143.877895926824</v>
      </c>
      <c r="M538">
        <f t="shared" si="53"/>
        <v>0</v>
      </c>
      <c r="N538">
        <f t="shared" si="50"/>
        <v>165.15556301745312</v>
      </c>
      <c r="O538">
        <f>IF(B538&lt;&gt;B537, Dashboard!$L$6,0)</f>
        <v>0</v>
      </c>
      <c r="P538">
        <f t="shared" si="51"/>
        <v>130.03727039267233</v>
      </c>
      <c r="Q538">
        <f>IF(B538&lt;&gt;B537,IF(F538&lt;=AVERAGE(F516:F537),Dashboard!$N$6-Dashboard!$G$7,Dashboard!$N$6+Dashboard!$G$7),0)</f>
        <v>0</v>
      </c>
      <c r="R538">
        <f t="shared" si="52"/>
        <v>124.56375704797328</v>
      </c>
    </row>
    <row r="539" spans="1:18" x14ac:dyDescent="0.3">
      <c r="A539" t="s">
        <v>435</v>
      </c>
      <c r="B539">
        <v>11</v>
      </c>
      <c r="C539" s="19">
        <v>17</v>
      </c>
      <c r="D539" s="20">
        <v>2022</v>
      </c>
      <c r="E539" s="21">
        <f t="shared" si="48"/>
        <v>44882</v>
      </c>
      <c r="F539" s="20">
        <v>362.39</v>
      </c>
      <c r="G539" s="20">
        <v>3284424</v>
      </c>
      <c r="H539" s="20">
        <v>358.8</v>
      </c>
      <c r="I539" s="20">
        <v>362.99</v>
      </c>
      <c r="J539" s="22">
        <v>358.565</v>
      </c>
      <c r="K539" s="2">
        <f t="shared" si="49"/>
        <v>59850.724481894831</v>
      </c>
      <c r="L539" s="2">
        <f>IF(B539&lt;&gt;B538,L538*(1+Dashboard!$G$5)+Dashboard!$G$6, L538)</f>
        <v>58143.877895926824</v>
      </c>
      <c r="M539">
        <f t="shared" si="53"/>
        <v>0</v>
      </c>
      <c r="N539">
        <f t="shared" si="50"/>
        <v>165.15556301745312</v>
      </c>
      <c r="O539">
        <f>IF(B539&lt;&gt;B538, Dashboard!$L$6,0)</f>
        <v>0</v>
      </c>
      <c r="P539">
        <f t="shared" si="51"/>
        <v>130.03727039267233</v>
      </c>
      <c r="Q539">
        <f>IF(B539&lt;&gt;B538,IF(F539&lt;=AVERAGE(F517:F538),Dashboard!$N$6-Dashboard!$G$7,Dashboard!$N$6+Dashboard!$G$7),0)</f>
        <v>0</v>
      </c>
      <c r="R539">
        <f t="shared" si="52"/>
        <v>124.56375704797328</v>
      </c>
    </row>
    <row r="540" spans="1:18" x14ac:dyDescent="0.3">
      <c r="A540" t="s">
        <v>434</v>
      </c>
      <c r="B540">
        <v>11</v>
      </c>
      <c r="C540" s="19">
        <v>18</v>
      </c>
      <c r="D540" s="20">
        <v>2022</v>
      </c>
      <c r="E540" s="21">
        <f t="shared" si="48"/>
        <v>44883</v>
      </c>
      <c r="F540" s="20">
        <v>363.99</v>
      </c>
      <c r="G540" s="20">
        <v>2574370</v>
      </c>
      <c r="H540" s="20">
        <v>365.46</v>
      </c>
      <c r="I540" s="20">
        <v>365.59</v>
      </c>
      <c r="J540" s="22">
        <v>361.23</v>
      </c>
      <c r="K540" s="2">
        <f t="shared" si="49"/>
        <v>60114.973382722761</v>
      </c>
      <c r="L540" s="2">
        <f>IF(B540&lt;&gt;B539,L539*(1+Dashboard!$G$5)+Dashboard!$G$6, L539)</f>
        <v>58143.877895926824</v>
      </c>
      <c r="M540">
        <f t="shared" si="53"/>
        <v>0</v>
      </c>
      <c r="N540">
        <f t="shared" si="50"/>
        <v>165.15556301745312</v>
      </c>
      <c r="O540">
        <f>IF(B540&lt;&gt;B539, Dashboard!$L$6,0)</f>
        <v>0</v>
      </c>
      <c r="P540">
        <f t="shared" si="51"/>
        <v>130.03727039267233</v>
      </c>
      <c r="Q540">
        <f>IF(B540&lt;&gt;B539,IF(F540&lt;=AVERAGE(F518:F539),Dashboard!$N$6-Dashboard!$G$7,Dashboard!$N$6+Dashboard!$G$7),0)</f>
        <v>0</v>
      </c>
      <c r="R540">
        <f t="shared" si="52"/>
        <v>124.56375704797328</v>
      </c>
    </row>
    <row r="541" spans="1:18" x14ac:dyDescent="0.3">
      <c r="A541" t="s">
        <v>433</v>
      </c>
      <c r="B541">
        <v>11</v>
      </c>
      <c r="C541" s="19">
        <v>21</v>
      </c>
      <c r="D541" s="20">
        <v>2022</v>
      </c>
      <c r="E541" s="21">
        <f t="shared" si="48"/>
        <v>44886</v>
      </c>
      <c r="F541" s="20">
        <v>362.71</v>
      </c>
      <c r="G541" s="20">
        <v>2397875</v>
      </c>
      <c r="H541" s="20">
        <v>362.77</v>
      </c>
      <c r="I541" s="20">
        <v>363.73860000000002</v>
      </c>
      <c r="J541" s="22">
        <v>360.87</v>
      </c>
      <c r="K541" s="2">
        <f t="shared" si="49"/>
        <v>59903.574262060414</v>
      </c>
      <c r="L541" s="2">
        <f>IF(B541&lt;&gt;B540,L540*(1+Dashboard!$G$5)+Dashboard!$G$6, L540)</f>
        <v>58143.877895926824</v>
      </c>
      <c r="M541">
        <f t="shared" si="53"/>
        <v>0</v>
      </c>
      <c r="N541">
        <f t="shared" si="50"/>
        <v>165.15556301745312</v>
      </c>
      <c r="O541">
        <f>IF(B541&lt;&gt;B540, Dashboard!$L$6,0)</f>
        <v>0</v>
      </c>
      <c r="P541">
        <f t="shared" si="51"/>
        <v>130.03727039267233</v>
      </c>
      <c r="Q541">
        <f>IF(B541&lt;&gt;B540,IF(F541&lt;=AVERAGE(F519:F540),Dashboard!$N$6-Dashboard!$G$7,Dashboard!$N$6+Dashboard!$G$7),0)</f>
        <v>0</v>
      </c>
      <c r="R541">
        <f t="shared" si="52"/>
        <v>124.56375704797328</v>
      </c>
    </row>
    <row r="542" spans="1:18" x14ac:dyDescent="0.3">
      <c r="A542" t="s">
        <v>432</v>
      </c>
      <c r="B542">
        <v>11</v>
      </c>
      <c r="C542" s="19">
        <v>22</v>
      </c>
      <c r="D542" s="20">
        <v>2022</v>
      </c>
      <c r="E542" s="21">
        <f t="shared" si="48"/>
        <v>44887</v>
      </c>
      <c r="F542" s="20">
        <v>367.54</v>
      </c>
      <c r="G542" s="20">
        <v>2315964</v>
      </c>
      <c r="H542" s="20">
        <v>364.51</v>
      </c>
      <c r="I542" s="20">
        <v>367.68</v>
      </c>
      <c r="J542" s="22">
        <v>363.21</v>
      </c>
      <c r="K542" s="2">
        <f t="shared" si="49"/>
        <v>60701.275631434721</v>
      </c>
      <c r="L542" s="2">
        <f>IF(B542&lt;&gt;B541,L541*(1+Dashboard!$G$5)+Dashboard!$G$6, L541)</f>
        <v>58143.877895926824</v>
      </c>
      <c r="M542">
        <f t="shared" si="53"/>
        <v>0</v>
      </c>
      <c r="N542">
        <f t="shared" si="50"/>
        <v>165.15556301745312</v>
      </c>
      <c r="O542">
        <f>IF(B542&lt;&gt;B541, Dashboard!$L$6,0)</f>
        <v>0</v>
      </c>
      <c r="P542">
        <f t="shared" si="51"/>
        <v>130.03727039267233</v>
      </c>
      <c r="Q542">
        <f>IF(B542&lt;&gt;B541,IF(F542&lt;=AVERAGE(F520:F541),Dashboard!$N$6-Dashboard!$G$7,Dashboard!$N$6+Dashboard!$G$7),0)</f>
        <v>0</v>
      </c>
      <c r="R542">
        <f t="shared" si="52"/>
        <v>124.56375704797328</v>
      </c>
    </row>
    <row r="543" spans="1:18" x14ac:dyDescent="0.3">
      <c r="A543" t="s">
        <v>431</v>
      </c>
      <c r="B543">
        <v>11</v>
      </c>
      <c r="C543" s="19">
        <v>23</v>
      </c>
      <c r="D543" s="20">
        <v>2022</v>
      </c>
      <c r="E543" s="21">
        <f t="shared" si="48"/>
        <v>44888</v>
      </c>
      <c r="F543" s="20">
        <v>369.84</v>
      </c>
      <c r="G543" s="20">
        <v>2590859</v>
      </c>
      <c r="H543" s="20">
        <v>367.21</v>
      </c>
      <c r="I543" s="20">
        <v>370.35989999999998</v>
      </c>
      <c r="J543" s="22">
        <v>367.02249999999998</v>
      </c>
      <c r="K543" s="2">
        <f t="shared" si="49"/>
        <v>61081.133426374858</v>
      </c>
      <c r="L543" s="2">
        <f>IF(B543&lt;&gt;B542,L542*(1+Dashboard!$G$5)+Dashboard!$G$6, L542)</f>
        <v>58143.877895926824</v>
      </c>
      <c r="M543">
        <f t="shared" si="53"/>
        <v>0</v>
      </c>
      <c r="N543">
        <f t="shared" si="50"/>
        <v>165.15556301745312</v>
      </c>
      <c r="O543">
        <f>IF(B543&lt;&gt;B542, Dashboard!$L$6,0)</f>
        <v>0</v>
      </c>
      <c r="P543">
        <f t="shared" si="51"/>
        <v>130.03727039267233</v>
      </c>
      <c r="Q543">
        <f>IF(B543&lt;&gt;B542,IF(F543&lt;=AVERAGE(F521:F542),Dashboard!$N$6-Dashboard!$G$7,Dashboard!$N$6+Dashboard!$G$7),0)</f>
        <v>0</v>
      </c>
      <c r="R543">
        <f t="shared" si="52"/>
        <v>124.56375704797328</v>
      </c>
    </row>
    <row r="544" spans="1:18" x14ac:dyDescent="0.3">
      <c r="A544" t="s">
        <v>430</v>
      </c>
      <c r="B544">
        <v>11</v>
      </c>
      <c r="C544" s="19">
        <v>25</v>
      </c>
      <c r="D544" s="20">
        <v>2022</v>
      </c>
      <c r="E544" s="21">
        <f t="shared" si="48"/>
        <v>44890</v>
      </c>
      <c r="F544" s="20">
        <v>369.8</v>
      </c>
      <c r="G544" s="20">
        <v>1423444</v>
      </c>
      <c r="H544" s="20">
        <v>369.39</v>
      </c>
      <c r="I544" s="20">
        <v>370.34</v>
      </c>
      <c r="J544" s="22">
        <v>369.06</v>
      </c>
      <c r="K544" s="2">
        <f t="shared" si="49"/>
        <v>61074.527203854166</v>
      </c>
      <c r="L544" s="2">
        <f>IF(B544&lt;&gt;B543,L543*(1+Dashboard!$G$5)+Dashboard!$G$6, L543)</f>
        <v>58143.877895926824</v>
      </c>
      <c r="M544">
        <f t="shared" si="53"/>
        <v>0</v>
      </c>
      <c r="N544">
        <f t="shared" si="50"/>
        <v>165.15556301745312</v>
      </c>
      <c r="O544">
        <f>IF(B544&lt;&gt;B543, Dashboard!$L$6,0)</f>
        <v>0</v>
      </c>
      <c r="P544">
        <f t="shared" si="51"/>
        <v>130.03727039267233</v>
      </c>
      <c r="Q544">
        <f>IF(B544&lt;&gt;B543,IF(F544&lt;=AVERAGE(F522:F543),Dashboard!$N$6-Dashboard!$G$7,Dashboard!$N$6+Dashboard!$G$7),0)</f>
        <v>0</v>
      </c>
      <c r="R544">
        <f t="shared" si="52"/>
        <v>124.56375704797328</v>
      </c>
    </row>
    <row r="545" spans="1:18" x14ac:dyDescent="0.3">
      <c r="A545" t="s">
        <v>429</v>
      </c>
      <c r="B545">
        <v>11</v>
      </c>
      <c r="C545" s="19">
        <v>28</v>
      </c>
      <c r="D545" s="20">
        <v>2022</v>
      </c>
      <c r="E545" s="21">
        <f t="shared" si="48"/>
        <v>44893</v>
      </c>
      <c r="F545" s="20">
        <v>363.95</v>
      </c>
      <c r="G545" s="20">
        <v>3557001</v>
      </c>
      <c r="H545" s="20">
        <v>366.86</v>
      </c>
      <c r="I545" s="20">
        <v>368.38</v>
      </c>
      <c r="J545" s="22">
        <v>363.15</v>
      </c>
      <c r="K545" s="2">
        <f t="shared" si="49"/>
        <v>60108.367160202062</v>
      </c>
      <c r="L545" s="2">
        <f>IF(B545&lt;&gt;B544,L544*(1+Dashboard!$G$5)+Dashboard!$G$6, L544)</f>
        <v>58143.877895926824</v>
      </c>
      <c r="M545">
        <f t="shared" si="53"/>
        <v>0</v>
      </c>
      <c r="N545">
        <f t="shared" si="50"/>
        <v>165.15556301745312</v>
      </c>
      <c r="O545">
        <f>IF(B545&lt;&gt;B544, Dashboard!$L$6,0)</f>
        <v>0</v>
      </c>
      <c r="P545">
        <f t="shared" si="51"/>
        <v>130.03727039267233</v>
      </c>
      <c r="Q545">
        <f>IF(B545&lt;&gt;B544,IF(F545&lt;=AVERAGE(F523:F544),Dashboard!$N$6-Dashboard!$G$7,Dashboard!$N$6+Dashboard!$G$7),0)</f>
        <v>0</v>
      </c>
      <c r="R545">
        <f t="shared" si="52"/>
        <v>124.56375704797328</v>
      </c>
    </row>
    <row r="546" spans="1:18" x14ac:dyDescent="0.3">
      <c r="A546" t="s">
        <v>428</v>
      </c>
      <c r="B546">
        <v>11</v>
      </c>
      <c r="C546" s="19">
        <v>29</v>
      </c>
      <c r="D546" s="20">
        <v>2022</v>
      </c>
      <c r="E546" s="21">
        <f t="shared" si="48"/>
        <v>44894</v>
      </c>
      <c r="F546" s="20">
        <v>363.31</v>
      </c>
      <c r="G546" s="20">
        <v>2507770</v>
      </c>
      <c r="H546" s="20">
        <v>363.93</v>
      </c>
      <c r="I546" s="20">
        <v>365.18</v>
      </c>
      <c r="J546" s="22">
        <v>361.48</v>
      </c>
      <c r="K546" s="2">
        <f t="shared" si="49"/>
        <v>60002.667599870896</v>
      </c>
      <c r="L546" s="2">
        <f>IF(B546&lt;&gt;B545,L545*(1+Dashboard!$G$5)+Dashboard!$G$6, L545)</f>
        <v>58143.877895926824</v>
      </c>
      <c r="M546">
        <f t="shared" si="53"/>
        <v>0</v>
      </c>
      <c r="N546">
        <f t="shared" si="50"/>
        <v>165.15556301745312</v>
      </c>
      <c r="O546">
        <f>IF(B546&lt;&gt;B545, Dashboard!$L$6,0)</f>
        <v>0</v>
      </c>
      <c r="P546">
        <f t="shared" si="51"/>
        <v>130.03727039267233</v>
      </c>
      <c r="Q546">
        <f>IF(B546&lt;&gt;B545,IF(F546&lt;=AVERAGE(F524:F545),Dashboard!$N$6-Dashboard!$G$7,Dashboard!$N$6+Dashboard!$G$7),0)</f>
        <v>0</v>
      </c>
      <c r="R546">
        <f t="shared" si="52"/>
        <v>124.56375704797328</v>
      </c>
    </row>
    <row r="547" spans="1:18" x14ac:dyDescent="0.3">
      <c r="A547" t="s">
        <v>427</v>
      </c>
      <c r="B547">
        <v>11</v>
      </c>
      <c r="C547" s="19">
        <v>30</v>
      </c>
      <c r="D547" s="20">
        <v>2022</v>
      </c>
      <c r="E547" s="21">
        <f t="shared" si="48"/>
        <v>44895</v>
      </c>
      <c r="F547" s="20">
        <v>374.49</v>
      </c>
      <c r="G547" s="20">
        <v>4748832</v>
      </c>
      <c r="H547" s="20">
        <v>363.45</v>
      </c>
      <c r="I547" s="20">
        <v>374.59</v>
      </c>
      <c r="J547" s="22">
        <v>361.65</v>
      </c>
      <c r="K547" s="2">
        <f t="shared" si="49"/>
        <v>61849.10679440602</v>
      </c>
      <c r="L547" s="2">
        <f>IF(B547&lt;&gt;B546,L546*(1+Dashboard!$G$5)+Dashboard!$G$6, L546)</f>
        <v>58143.877895926824</v>
      </c>
      <c r="M547">
        <f t="shared" si="53"/>
        <v>0</v>
      </c>
      <c r="N547">
        <f t="shared" si="50"/>
        <v>165.15556301745312</v>
      </c>
      <c r="O547">
        <f>IF(B547&lt;&gt;B546, Dashboard!$L$6,0)</f>
        <v>0</v>
      </c>
      <c r="P547">
        <f t="shared" si="51"/>
        <v>130.03727039267233</v>
      </c>
      <c r="Q547">
        <f>IF(B547&lt;&gt;B546,IF(F547&lt;=AVERAGE(F525:F546),Dashboard!$N$6-Dashboard!$G$7,Dashboard!$N$6+Dashboard!$G$7),0)</f>
        <v>0</v>
      </c>
      <c r="R547">
        <f t="shared" si="52"/>
        <v>124.56375704797328</v>
      </c>
    </row>
    <row r="548" spans="1:18" x14ac:dyDescent="0.3">
      <c r="A548" s="1">
        <v>44573</v>
      </c>
      <c r="B548">
        <v>12</v>
      </c>
      <c r="C548" s="19">
        <v>1</v>
      </c>
      <c r="D548" s="20">
        <v>2022</v>
      </c>
      <c r="E548" s="21">
        <f t="shared" si="48"/>
        <v>44896</v>
      </c>
      <c r="F548" s="20">
        <v>374.54</v>
      </c>
      <c r="G548" s="20">
        <v>4608628</v>
      </c>
      <c r="H548" s="20">
        <v>375.87</v>
      </c>
      <c r="I548" s="20">
        <v>377</v>
      </c>
      <c r="J548" s="22">
        <v>372.05</v>
      </c>
      <c r="K548" s="2">
        <f t="shared" si="49"/>
        <v>61857.364572556893</v>
      </c>
      <c r="L548" s="2">
        <f>IF(B548&lt;&gt;B547,L547*(1+Dashboard!$G$5)+Dashboard!$G$6, L547)</f>
        <v>60655.544021410977</v>
      </c>
      <c r="M548">
        <f t="shared" si="53"/>
        <v>0</v>
      </c>
      <c r="N548">
        <f t="shared" si="50"/>
        <v>165.15556301745312</v>
      </c>
      <c r="O548">
        <f>IF(B548&lt;&gt;B547, Dashboard!$L$6,0)</f>
        <v>1859.7282542371197</v>
      </c>
      <c r="P548">
        <f t="shared" si="51"/>
        <v>135.0026365865024</v>
      </c>
      <c r="Q548">
        <f>IF(B548&lt;&gt;B547,IF(F548&lt;=AVERAGE(F526:F547),Dashboard!$N$6-Dashboard!$G$7,Dashboard!$N$6+Dashboard!$G$7),0)</f>
        <v>2232.609610169322</v>
      </c>
      <c r="R548">
        <f t="shared" si="52"/>
        <v>130.50360223425929</v>
      </c>
    </row>
    <row r="549" spans="1:18" x14ac:dyDescent="0.3">
      <c r="A549" s="1">
        <v>44604</v>
      </c>
      <c r="B549">
        <v>12</v>
      </c>
      <c r="C549" s="19">
        <v>2</v>
      </c>
      <c r="D549" s="20">
        <v>2022</v>
      </c>
      <c r="E549" s="21">
        <f t="shared" si="48"/>
        <v>44897</v>
      </c>
      <c r="F549" s="20">
        <v>374</v>
      </c>
      <c r="G549" s="20">
        <v>3595984</v>
      </c>
      <c r="H549" s="20">
        <v>369.66</v>
      </c>
      <c r="I549" s="20">
        <v>374.88</v>
      </c>
      <c r="J549" s="22">
        <v>369.66</v>
      </c>
      <c r="K549" s="2">
        <f t="shared" si="49"/>
        <v>61768.180568527467</v>
      </c>
      <c r="L549" s="2">
        <f>IF(B549&lt;&gt;B548,L548*(1+Dashboard!$G$5)+Dashboard!$G$6, L548)</f>
        <v>60655.544021410977</v>
      </c>
      <c r="M549">
        <f t="shared" si="53"/>
        <v>0</v>
      </c>
      <c r="N549">
        <f t="shared" si="50"/>
        <v>165.15556301745312</v>
      </c>
      <c r="O549">
        <f>IF(B549&lt;&gt;B548, Dashboard!$L$6,0)</f>
        <v>0</v>
      </c>
      <c r="P549">
        <f t="shared" si="51"/>
        <v>135.0026365865024</v>
      </c>
      <c r="Q549">
        <f>IF(B549&lt;&gt;B548,IF(F549&lt;=AVERAGE(F527:F548),Dashboard!$N$6-Dashboard!$G$7,Dashboard!$N$6+Dashboard!$G$7),0)</f>
        <v>0</v>
      </c>
      <c r="R549">
        <f t="shared" si="52"/>
        <v>130.50360223425929</v>
      </c>
    </row>
    <row r="550" spans="1:18" x14ac:dyDescent="0.3">
      <c r="A550" s="1">
        <v>44693</v>
      </c>
      <c r="B550">
        <v>12</v>
      </c>
      <c r="C550" s="19">
        <v>5</v>
      </c>
      <c r="D550" s="20">
        <v>2022</v>
      </c>
      <c r="E550" s="21">
        <f t="shared" si="48"/>
        <v>44900</v>
      </c>
      <c r="F550" s="20">
        <v>367.34</v>
      </c>
      <c r="G550" s="20">
        <v>3706993</v>
      </c>
      <c r="H550" s="20">
        <v>371.28</v>
      </c>
      <c r="I550" s="20">
        <v>372.19</v>
      </c>
      <c r="J550" s="22">
        <v>365.99</v>
      </c>
      <c r="K550" s="2">
        <f t="shared" si="49"/>
        <v>60668.244518831227</v>
      </c>
      <c r="L550" s="2">
        <f>IF(B550&lt;&gt;B549,L549*(1+Dashboard!$G$5)+Dashboard!$G$6, L549)</f>
        <v>60655.544021410977</v>
      </c>
      <c r="M550">
        <f t="shared" si="53"/>
        <v>0</v>
      </c>
      <c r="N550">
        <f t="shared" si="50"/>
        <v>165.15556301745312</v>
      </c>
      <c r="O550">
        <f>IF(B550&lt;&gt;B549, Dashboard!$L$6,0)</f>
        <v>0</v>
      </c>
      <c r="P550">
        <f t="shared" si="51"/>
        <v>135.0026365865024</v>
      </c>
      <c r="Q550">
        <f>IF(B550&lt;&gt;B549,IF(F550&lt;=AVERAGE(F528:F549),Dashboard!$N$6-Dashboard!$G$7,Dashboard!$N$6+Dashboard!$G$7),0)</f>
        <v>0</v>
      </c>
      <c r="R550">
        <f t="shared" si="52"/>
        <v>130.50360223425929</v>
      </c>
    </row>
    <row r="551" spans="1:18" x14ac:dyDescent="0.3">
      <c r="A551" s="1">
        <v>44724</v>
      </c>
      <c r="B551">
        <v>12</v>
      </c>
      <c r="C551" s="19">
        <v>6</v>
      </c>
      <c r="D551" s="20">
        <v>2022</v>
      </c>
      <c r="E551" s="21">
        <f t="shared" si="48"/>
        <v>44901</v>
      </c>
      <c r="F551" s="20">
        <v>362.03</v>
      </c>
      <c r="G551" s="20">
        <v>3911040</v>
      </c>
      <c r="H551" s="20">
        <v>367.09</v>
      </c>
      <c r="I551" s="20">
        <v>367.61</v>
      </c>
      <c r="J551" s="22">
        <v>359.93099999999998</v>
      </c>
      <c r="K551" s="2">
        <f t="shared" si="49"/>
        <v>59791.268479208549</v>
      </c>
      <c r="L551" s="2">
        <f>IF(B551&lt;&gt;B550,L550*(1+Dashboard!$G$5)+Dashboard!$G$6, L550)</f>
        <v>60655.544021410977</v>
      </c>
      <c r="M551">
        <f t="shared" si="53"/>
        <v>0</v>
      </c>
      <c r="N551">
        <f t="shared" si="50"/>
        <v>165.15556301745312</v>
      </c>
      <c r="O551">
        <f>IF(B551&lt;&gt;B550, Dashboard!$L$6,0)</f>
        <v>0</v>
      </c>
      <c r="P551">
        <f t="shared" si="51"/>
        <v>135.0026365865024</v>
      </c>
      <c r="Q551">
        <f>IF(B551&lt;&gt;B550,IF(F551&lt;=AVERAGE(F529:F550),Dashboard!$N$6-Dashboard!$G$7,Dashboard!$N$6+Dashboard!$G$7),0)</f>
        <v>0</v>
      </c>
      <c r="R551">
        <f t="shared" si="52"/>
        <v>130.50360223425929</v>
      </c>
    </row>
    <row r="552" spans="1:18" x14ac:dyDescent="0.3">
      <c r="A552" s="1">
        <v>44754</v>
      </c>
      <c r="B552">
        <v>12</v>
      </c>
      <c r="C552" s="19">
        <v>7</v>
      </c>
      <c r="D552" s="20">
        <v>2022</v>
      </c>
      <c r="E552" s="21">
        <f t="shared" si="48"/>
        <v>44902</v>
      </c>
      <c r="F552" s="20">
        <v>361.33</v>
      </c>
      <c r="G552" s="20">
        <v>3337977</v>
      </c>
      <c r="H552" s="20">
        <v>361.05</v>
      </c>
      <c r="I552" s="20">
        <v>363.61</v>
      </c>
      <c r="J552" s="22">
        <v>360.31</v>
      </c>
      <c r="K552" s="2">
        <f t="shared" si="49"/>
        <v>59675.659585096335</v>
      </c>
      <c r="L552" s="2">
        <f>IF(B552&lt;&gt;B551,L551*(1+Dashboard!$G$5)+Dashboard!$G$6, L551)</f>
        <v>60655.544021410977</v>
      </c>
      <c r="M552">
        <f t="shared" si="53"/>
        <v>0</v>
      </c>
      <c r="N552">
        <f t="shared" si="50"/>
        <v>165.15556301745312</v>
      </c>
      <c r="O552">
        <f>IF(B552&lt;&gt;B551, Dashboard!$L$6,0)</f>
        <v>0</v>
      </c>
      <c r="P552">
        <f t="shared" si="51"/>
        <v>135.0026365865024</v>
      </c>
      <c r="Q552">
        <f>IF(B552&lt;&gt;B551,IF(F552&lt;=AVERAGE(F530:F551),Dashboard!$N$6-Dashboard!$G$7,Dashboard!$N$6+Dashboard!$G$7),0)</f>
        <v>0</v>
      </c>
      <c r="R552">
        <f t="shared" si="52"/>
        <v>130.50360223425929</v>
      </c>
    </row>
    <row r="553" spans="1:18" x14ac:dyDescent="0.3">
      <c r="A553" s="1">
        <v>44785</v>
      </c>
      <c r="B553">
        <v>12</v>
      </c>
      <c r="C553" s="19">
        <v>8</v>
      </c>
      <c r="D553" s="20">
        <v>2022</v>
      </c>
      <c r="E553" s="21">
        <f t="shared" si="48"/>
        <v>44903</v>
      </c>
      <c r="F553" s="20">
        <v>364.18</v>
      </c>
      <c r="G553" s="20">
        <v>3604516</v>
      </c>
      <c r="H553" s="20">
        <v>363.13</v>
      </c>
      <c r="I553" s="20">
        <v>365.15</v>
      </c>
      <c r="J553" s="22">
        <v>361.6</v>
      </c>
      <c r="K553" s="2">
        <f t="shared" si="49"/>
        <v>60146.35293969608</v>
      </c>
      <c r="L553" s="2">
        <f>IF(B553&lt;&gt;B552,L552*(1+Dashboard!$G$5)+Dashboard!$G$6, L552)</f>
        <v>60655.544021410977</v>
      </c>
      <c r="M553">
        <f t="shared" si="53"/>
        <v>0</v>
      </c>
      <c r="N553">
        <f t="shared" si="50"/>
        <v>165.15556301745312</v>
      </c>
      <c r="O553">
        <f>IF(B553&lt;&gt;B552, Dashboard!$L$6,0)</f>
        <v>0</v>
      </c>
      <c r="P553">
        <f t="shared" si="51"/>
        <v>135.0026365865024</v>
      </c>
      <c r="Q553">
        <f>IF(B553&lt;&gt;B552,IF(F553&lt;=AVERAGE(F531:F552),Dashboard!$N$6-Dashboard!$G$7,Dashboard!$N$6+Dashboard!$G$7),0)</f>
        <v>0</v>
      </c>
      <c r="R553">
        <f t="shared" si="52"/>
        <v>130.50360223425929</v>
      </c>
    </row>
    <row r="554" spans="1:18" x14ac:dyDescent="0.3">
      <c r="A554" s="1">
        <v>44816</v>
      </c>
      <c r="B554">
        <v>12</v>
      </c>
      <c r="C554" s="19">
        <v>9</v>
      </c>
      <c r="D554" s="20">
        <v>2022</v>
      </c>
      <c r="E554" s="21">
        <f t="shared" si="48"/>
        <v>44904</v>
      </c>
      <c r="F554" s="20">
        <v>361.52</v>
      </c>
      <c r="G554" s="20">
        <v>4271355</v>
      </c>
      <c r="H554" s="20">
        <v>363</v>
      </c>
      <c r="I554" s="20">
        <v>365.4402</v>
      </c>
      <c r="J554" s="22">
        <v>361.34030000000001</v>
      </c>
      <c r="K554" s="2">
        <f t="shared" si="49"/>
        <v>59707.039142069647</v>
      </c>
      <c r="L554" s="2">
        <f>IF(B554&lt;&gt;B553,L553*(1+Dashboard!$G$5)+Dashboard!$G$6, L553)</f>
        <v>60655.544021410977</v>
      </c>
      <c r="M554">
        <f t="shared" si="53"/>
        <v>0</v>
      </c>
      <c r="N554">
        <f t="shared" si="50"/>
        <v>165.15556301745312</v>
      </c>
      <c r="O554">
        <f>IF(B554&lt;&gt;B553, Dashboard!$L$6,0)</f>
        <v>0</v>
      </c>
      <c r="P554">
        <f t="shared" si="51"/>
        <v>135.0026365865024</v>
      </c>
      <c r="Q554">
        <f>IF(B554&lt;&gt;B553,IF(F554&lt;=AVERAGE(F532:F553),Dashboard!$N$6-Dashboard!$G$7,Dashboard!$N$6+Dashboard!$G$7),0)</f>
        <v>0</v>
      </c>
      <c r="R554">
        <f t="shared" si="52"/>
        <v>130.50360223425929</v>
      </c>
    </row>
    <row r="555" spans="1:18" x14ac:dyDescent="0.3">
      <c r="A555" s="1">
        <v>44907</v>
      </c>
      <c r="B555">
        <v>12</v>
      </c>
      <c r="C555" s="19">
        <v>12</v>
      </c>
      <c r="D555" s="20">
        <v>2022</v>
      </c>
      <c r="E555" s="21">
        <f t="shared" si="48"/>
        <v>44907</v>
      </c>
      <c r="F555" s="20">
        <v>366.68</v>
      </c>
      <c r="G555" s="20">
        <v>2946216</v>
      </c>
      <c r="H555" s="20">
        <v>362.28</v>
      </c>
      <c r="I555" s="20">
        <v>366.68</v>
      </c>
      <c r="J555" s="22">
        <v>361.58</v>
      </c>
      <c r="K555" s="2">
        <f t="shared" si="49"/>
        <v>60559.241847239711</v>
      </c>
      <c r="L555" s="2">
        <f>IF(B555&lt;&gt;B554,L554*(1+Dashboard!$G$5)+Dashboard!$G$6, L554)</f>
        <v>60655.544021410977</v>
      </c>
      <c r="M555">
        <f t="shared" si="53"/>
        <v>0</v>
      </c>
      <c r="N555">
        <f t="shared" si="50"/>
        <v>165.15556301745312</v>
      </c>
      <c r="O555">
        <f>IF(B555&lt;&gt;B554, Dashboard!$L$6,0)</f>
        <v>0</v>
      </c>
      <c r="P555">
        <f t="shared" si="51"/>
        <v>135.0026365865024</v>
      </c>
      <c r="Q555">
        <f>IF(B555&lt;&gt;B554,IF(F555&lt;=AVERAGE(F533:F554),Dashboard!$N$6-Dashboard!$G$7,Dashboard!$N$6+Dashboard!$G$7),0)</f>
        <v>0</v>
      </c>
      <c r="R555">
        <f t="shared" si="52"/>
        <v>130.50360223425929</v>
      </c>
    </row>
    <row r="556" spans="1:18" x14ac:dyDescent="0.3">
      <c r="A556" t="s">
        <v>426</v>
      </c>
      <c r="B556">
        <v>12</v>
      </c>
      <c r="C556" s="19">
        <v>13</v>
      </c>
      <c r="D556" s="20">
        <v>2022</v>
      </c>
      <c r="E556" s="21">
        <f t="shared" si="48"/>
        <v>44908</v>
      </c>
      <c r="F556" s="20">
        <v>369.39</v>
      </c>
      <c r="G556" s="20">
        <v>6161825</v>
      </c>
      <c r="H556" s="20">
        <v>377.11</v>
      </c>
      <c r="I556" s="20">
        <v>377.19</v>
      </c>
      <c r="J556" s="22">
        <v>366.80099999999999</v>
      </c>
      <c r="K556" s="2">
        <f t="shared" si="49"/>
        <v>61006.813423017004</v>
      </c>
      <c r="L556" s="2">
        <f>IF(B556&lt;&gt;B555,L555*(1+Dashboard!$G$5)+Dashboard!$G$6, L555)</f>
        <v>60655.544021410977</v>
      </c>
      <c r="M556">
        <f t="shared" si="53"/>
        <v>0</v>
      </c>
      <c r="N556">
        <f t="shared" si="50"/>
        <v>165.15556301745312</v>
      </c>
      <c r="O556">
        <f>IF(B556&lt;&gt;B555, Dashboard!$L$6,0)</f>
        <v>0</v>
      </c>
      <c r="P556">
        <f t="shared" si="51"/>
        <v>135.0026365865024</v>
      </c>
      <c r="Q556">
        <f>IF(B556&lt;&gt;B555,IF(F556&lt;=AVERAGE(F534:F555),Dashboard!$N$6-Dashboard!$G$7,Dashboard!$N$6+Dashboard!$G$7),0)</f>
        <v>0</v>
      </c>
      <c r="R556">
        <f t="shared" si="52"/>
        <v>130.50360223425929</v>
      </c>
    </row>
    <row r="557" spans="1:18" x14ac:dyDescent="0.3">
      <c r="A557" t="s">
        <v>425</v>
      </c>
      <c r="B557">
        <v>12</v>
      </c>
      <c r="C557" s="19">
        <v>14</v>
      </c>
      <c r="D557" s="20">
        <v>2022</v>
      </c>
      <c r="E557" s="21">
        <f t="shared" si="48"/>
        <v>44909</v>
      </c>
      <c r="F557" s="20">
        <v>367.16</v>
      </c>
      <c r="G557" s="20">
        <v>4707115</v>
      </c>
      <c r="H557" s="20">
        <v>369.1</v>
      </c>
      <c r="I557" s="20">
        <v>372.8</v>
      </c>
      <c r="J557" s="22">
        <v>364.25</v>
      </c>
      <c r="K557" s="2">
        <f t="shared" si="49"/>
        <v>60638.516517488089</v>
      </c>
      <c r="L557" s="2">
        <f>IF(B557&lt;&gt;B556,L556*(1+Dashboard!$G$5)+Dashboard!$G$6, L556)</f>
        <v>60655.544021410977</v>
      </c>
      <c r="M557">
        <f t="shared" si="53"/>
        <v>0</v>
      </c>
      <c r="N557">
        <f t="shared" si="50"/>
        <v>165.15556301745312</v>
      </c>
      <c r="O557">
        <f>IF(B557&lt;&gt;B556, Dashboard!$L$6,0)</f>
        <v>0</v>
      </c>
      <c r="P557">
        <f t="shared" si="51"/>
        <v>135.0026365865024</v>
      </c>
      <c r="Q557">
        <f>IF(B557&lt;&gt;B556,IF(F557&lt;=AVERAGE(F535:F556),Dashboard!$N$6-Dashboard!$G$7,Dashboard!$N$6+Dashboard!$G$7),0)</f>
        <v>0</v>
      </c>
      <c r="R557">
        <f t="shared" si="52"/>
        <v>130.50360223425929</v>
      </c>
    </row>
    <row r="558" spans="1:18" x14ac:dyDescent="0.3">
      <c r="A558" t="s">
        <v>424</v>
      </c>
      <c r="B558">
        <v>12</v>
      </c>
      <c r="C558" s="19">
        <v>15</v>
      </c>
      <c r="D558" s="20">
        <v>2022</v>
      </c>
      <c r="E558" s="21">
        <f t="shared" si="48"/>
        <v>44910</v>
      </c>
      <c r="F558" s="20">
        <v>358.13</v>
      </c>
      <c r="G558" s="20">
        <v>5126752</v>
      </c>
      <c r="H558" s="20">
        <v>362.47</v>
      </c>
      <c r="I558" s="20">
        <v>363.24</v>
      </c>
      <c r="J558" s="22">
        <v>356.46</v>
      </c>
      <c r="K558" s="2">
        <f t="shared" si="49"/>
        <v>59147.161783440482</v>
      </c>
      <c r="L558" s="2">
        <f>IF(B558&lt;&gt;B557,L557*(1+Dashboard!$G$5)+Dashboard!$G$6, L557)</f>
        <v>60655.544021410977</v>
      </c>
      <c r="M558">
        <f t="shared" si="53"/>
        <v>0</v>
      </c>
      <c r="N558">
        <f t="shared" si="50"/>
        <v>165.15556301745312</v>
      </c>
      <c r="O558">
        <f>IF(B558&lt;&gt;B557, Dashboard!$L$6,0)</f>
        <v>0</v>
      </c>
      <c r="P558">
        <f t="shared" si="51"/>
        <v>135.0026365865024</v>
      </c>
      <c r="Q558">
        <f>IF(B558&lt;&gt;B557,IF(F558&lt;=AVERAGE(F536:F557),Dashboard!$N$6-Dashboard!$G$7,Dashboard!$N$6+Dashboard!$G$7),0)</f>
        <v>0</v>
      </c>
      <c r="R558">
        <f t="shared" si="52"/>
        <v>130.50360223425929</v>
      </c>
    </row>
    <row r="559" spans="1:18" x14ac:dyDescent="0.3">
      <c r="A559" t="s">
        <v>423</v>
      </c>
      <c r="B559">
        <v>12</v>
      </c>
      <c r="C559" s="19">
        <v>16</v>
      </c>
      <c r="D559" s="20">
        <v>2022</v>
      </c>
      <c r="E559" s="21">
        <f t="shared" si="48"/>
        <v>44911</v>
      </c>
      <c r="F559" s="20">
        <v>353.86</v>
      </c>
      <c r="G559" s="20">
        <v>4533074</v>
      </c>
      <c r="H559" s="20">
        <v>355.649</v>
      </c>
      <c r="I559" s="20">
        <v>356.83</v>
      </c>
      <c r="J559" s="22">
        <v>351.79</v>
      </c>
      <c r="K559" s="2">
        <f t="shared" si="49"/>
        <v>58441.947529355966</v>
      </c>
      <c r="L559" s="2">
        <f>IF(B559&lt;&gt;B558,L558*(1+Dashboard!$G$5)+Dashboard!$G$6, L558)</f>
        <v>60655.544021410977</v>
      </c>
      <c r="M559">
        <f t="shared" si="53"/>
        <v>0</v>
      </c>
      <c r="N559">
        <f t="shared" si="50"/>
        <v>165.15556301745312</v>
      </c>
      <c r="O559">
        <f>IF(B559&lt;&gt;B558, Dashboard!$L$6,0)</f>
        <v>0</v>
      </c>
      <c r="P559">
        <f t="shared" si="51"/>
        <v>135.0026365865024</v>
      </c>
      <c r="Q559">
        <f>IF(B559&lt;&gt;B558,IF(F559&lt;=AVERAGE(F537:F558),Dashboard!$N$6-Dashboard!$G$7,Dashboard!$N$6+Dashboard!$G$7),0)</f>
        <v>0</v>
      </c>
      <c r="R559">
        <f t="shared" si="52"/>
        <v>130.50360223425929</v>
      </c>
    </row>
    <row r="560" spans="1:18" x14ac:dyDescent="0.3">
      <c r="A560" t="s">
        <v>422</v>
      </c>
      <c r="B560">
        <v>12</v>
      </c>
      <c r="C560" s="19">
        <v>19</v>
      </c>
      <c r="D560" s="20">
        <v>2022</v>
      </c>
      <c r="E560" s="21">
        <f t="shared" si="48"/>
        <v>44914</v>
      </c>
      <c r="F560" s="20">
        <v>350.81</v>
      </c>
      <c r="G560" s="20">
        <v>5538489</v>
      </c>
      <c r="H560" s="20">
        <v>354.13</v>
      </c>
      <c r="I560" s="20">
        <v>354.34</v>
      </c>
      <c r="J560" s="22">
        <v>349.25</v>
      </c>
      <c r="K560" s="2">
        <f t="shared" si="49"/>
        <v>57938.223062152727</v>
      </c>
      <c r="L560" s="2">
        <f>IF(B560&lt;&gt;B559,L559*(1+Dashboard!$G$5)+Dashboard!$G$6, L559)</f>
        <v>60655.544021410977</v>
      </c>
      <c r="M560">
        <f t="shared" si="53"/>
        <v>0</v>
      </c>
      <c r="N560">
        <f t="shared" si="50"/>
        <v>165.15556301745312</v>
      </c>
      <c r="O560">
        <f>IF(B560&lt;&gt;B559, Dashboard!$L$6,0)</f>
        <v>0</v>
      </c>
      <c r="P560">
        <f t="shared" si="51"/>
        <v>135.0026365865024</v>
      </c>
      <c r="Q560">
        <f>IF(B560&lt;&gt;B559,IF(F560&lt;=AVERAGE(F538:F559),Dashboard!$N$6-Dashboard!$G$7,Dashboard!$N$6+Dashboard!$G$7),0)</f>
        <v>0</v>
      </c>
      <c r="R560">
        <f t="shared" si="52"/>
        <v>130.50360223425929</v>
      </c>
    </row>
    <row r="561" spans="1:18" x14ac:dyDescent="0.3">
      <c r="A561" t="s">
        <v>421</v>
      </c>
      <c r="B561">
        <v>12</v>
      </c>
      <c r="C561" s="19">
        <v>20</v>
      </c>
      <c r="D561" s="20">
        <v>2022</v>
      </c>
      <c r="E561" s="21">
        <f t="shared" si="48"/>
        <v>44915</v>
      </c>
      <c r="F561" s="20">
        <v>349.67</v>
      </c>
      <c r="G561" s="20">
        <v>5068210</v>
      </c>
      <c r="H561" s="20">
        <v>348.45</v>
      </c>
      <c r="I561" s="20">
        <v>351.16500000000002</v>
      </c>
      <c r="J561" s="22">
        <v>347.20800000000003</v>
      </c>
      <c r="K561" s="2">
        <f t="shared" si="49"/>
        <v>57749.945720312833</v>
      </c>
      <c r="L561" s="2">
        <f>IF(B561&lt;&gt;B560,L560*(1+Dashboard!$G$5)+Dashboard!$G$6, L560)</f>
        <v>60655.544021410977</v>
      </c>
      <c r="M561">
        <f t="shared" si="53"/>
        <v>0</v>
      </c>
      <c r="N561">
        <f t="shared" si="50"/>
        <v>165.15556301745312</v>
      </c>
      <c r="O561">
        <f>IF(B561&lt;&gt;B560, Dashboard!$L$6,0)</f>
        <v>0</v>
      </c>
      <c r="P561">
        <f t="shared" si="51"/>
        <v>135.0026365865024</v>
      </c>
      <c r="Q561">
        <f>IF(B561&lt;&gt;B560,IF(F561&lt;=AVERAGE(F539:F560),Dashboard!$N$6-Dashboard!$G$7,Dashboard!$N$6+Dashboard!$G$7),0)</f>
        <v>0</v>
      </c>
      <c r="R561">
        <f t="shared" si="52"/>
        <v>130.50360223425929</v>
      </c>
    </row>
    <row r="562" spans="1:18" x14ac:dyDescent="0.3">
      <c r="A562" t="s">
        <v>420</v>
      </c>
      <c r="B562">
        <v>12</v>
      </c>
      <c r="C562" s="19">
        <v>21</v>
      </c>
      <c r="D562" s="20">
        <v>2022</v>
      </c>
      <c r="E562" s="21">
        <f t="shared" si="48"/>
        <v>44916</v>
      </c>
      <c r="F562" s="20">
        <v>354.9</v>
      </c>
      <c r="G562" s="20">
        <v>3832448</v>
      </c>
      <c r="H562" s="20">
        <v>352.2</v>
      </c>
      <c r="I562" s="20">
        <v>355.95159999999998</v>
      </c>
      <c r="J562" s="22">
        <v>351.7</v>
      </c>
      <c r="K562" s="2">
        <f t="shared" si="49"/>
        <v>58613.709314894106</v>
      </c>
      <c r="L562" s="2">
        <f>IF(B562&lt;&gt;B561,L561*(1+Dashboard!$G$5)+Dashboard!$G$6, L561)</f>
        <v>60655.544021410977</v>
      </c>
      <c r="M562">
        <f t="shared" si="53"/>
        <v>0</v>
      </c>
      <c r="N562">
        <f t="shared" si="50"/>
        <v>165.15556301745312</v>
      </c>
      <c r="O562">
        <f>IF(B562&lt;&gt;B561, Dashboard!$L$6,0)</f>
        <v>0</v>
      </c>
      <c r="P562">
        <f t="shared" si="51"/>
        <v>135.0026365865024</v>
      </c>
      <c r="Q562">
        <f>IF(B562&lt;&gt;B561,IF(F562&lt;=AVERAGE(F540:F561),Dashboard!$N$6-Dashboard!$G$7,Dashboard!$N$6+Dashboard!$G$7),0)</f>
        <v>0</v>
      </c>
      <c r="R562">
        <f t="shared" si="52"/>
        <v>130.50360223425929</v>
      </c>
    </row>
    <row r="563" spans="1:18" x14ac:dyDescent="0.3">
      <c r="A563" t="s">
        <v>419</v>
      </c>
      <c r="B563">
        <v>12</v>
      </c>
      <c r="C563" s="19">
        <v>22</v>
      </c>
      <c r="D563" s="20">
        <v>2022</v>
      </c>
      <c r="E563" s="21">
        <f t="shared" si="48"/>
        <v>44917</v>
      </c>
      <c r="F563" s="20">
        <v>349.91</v>
      </c>
      <c r="G563" s="20">
        <v>6462233</v>
      </c>
      <c r="H563" s="20">
        <v>351.98</v>
      </c>
      <c r="I563" s="20">
        <v>352.25</v>
      </c>
      <c r="J563" s="22">
        <v>344.34</v>
      </c>
      <c r="K563" s="2">
        <f t="shared" si="49"/>
        <v>57789.583055437026</v>
      </c>
      <c r="L563" s="2">
        <f>IF(B563&lt;&gt;B562,L562*(1+Dashboard!$G$5)+Dashboard!$G$6, L562)</f>
        <v>60655.544021410977</v>
      </c>
      <c r="M563">
        <f t="shared" si="53"/>
        <v>0</v>
      </c>
      <c r="N563">
        <f t="shared" si="50"/>
        <v>165.15556301745312</v>
      </c>
      <c r="O563">
        <f>IF(B563&lt;&gt;B562, Dashboard!$L$6,0)</f>
        <v>0</v>
      </c>
      <c r="P563">
        <f t="shared" si="51"/>
        <v>135.0026365865024</v>
      </c>
      <c r="Q563">
        <f>IF(B563&lt;&gt;B562,IF(F563&lt;=AVERAGE(F541:F562),Dashboard!$N$6-Dashboard!$G$7,Dashboard!$N$6+Dashboard!$G$7),0)</f>
        <v>0</v>
      </c>
      <c r="R563">
        <f t="shared" si="52"/>
        <v>130.50360223425929</v>
      </c>
    </row>
    <row r="564" spans="1:18" x14ac:dyDescent="0.3">
      <c r="A564" t="s">
        <v>418</v>
      </c>
      <c r="B564">
        <v>12</v>
      </c>
      <c r="C564" s="19">
        <v>23</v>
      </c>
      <c r="D564" s="20">
        <v>2022</v>
      </c>
      <c r="E564" s="21">
        <f t="shared" si="48"/>
        <v>44918</v>
      </c>
      <c r="F564" s="20">
        <v>351.87</v>
      </c>
      <c r="G564" s="20">
        <v>4571981</v>
      </c>
      <c r="H564" s="20">
        <v>348.93</v>
      </c>
      <c r="I564" s="20">
        <v>351.9479</v>
      </c>
      <c r="J564" s="22">
        <v>347.35</v>
      </c>
      <c r="K564" s="2">
        <f t="shared" si="49"/>
        <v>58113.28795895123</v>
      </c>
      <c r="L564" s="2">
        <f>IF(B564&lt;&gt;B563,L563*(1+Dashboard!$G$5)+Dashboard!$G$6, L563)</f>
        <v>60655.544021410977</v>
      </c>
      <c r="M564">
        <f t="shared" si="53"/>
        <v>0</v>
      </c>
      <c r="N564">
        <f t="shared" si="50"/>
        <v>165.15556301745312</v>
      </c>
      <c r="O564">
        <f>IF(B564&lt;&gt;B563, Dashboard!$L$6,0)</f>
        <v>0</v>
      </c>
      <c r="P564">
        <f t="shared" si="51"/>
        <v>135.0026365865024</v>
      </c>
      <c r="Q564">
        <f>IF(B564&lt;&gt;B563,IF(F564&lt;=AVERAGE(F542:F563),Dashboard!$N$6-Dashboard!$G$7,Dashboard!$N$6+Dashboard!$G$7),0)</f>
        <v>0</v>
      </c>
      <c r="R564">
        <f t="shared" si="52"/>
        <v>130.50360223425929</v>
      </c>
    </row>
    <row r="565" spans="1:18" x14ac:dyDescent="0.3">
      <c r="A565" t="s">
        <v>417</v>
      </c>
      <c r="B565">
        <v>12</v>
      </c>
      <c r="C565" s="19">
        <v>27</v>
      </c>
      <c r="D565" s="20">
        <v>2022</v>
      </c>
      <c r="E565" s="21">
        <f t="shared" si="48"/>
        <v>44922</v>
      </c>
      <c r="F565" s="20">
        <v>350.47</v>
      </c>
      <c r="G565" s="20">
        <v>4303215</v>
      </c>
      <c r="H565" s="20">
        <v>351.76</v>
      </c>
      <c r="I565" s="20">
        <v>352.04</v>
      </c>
      <c r="J565" s="22">
        <v>348.85</v>
      </c>
      <c r="K565" s="2">
        <f t="shared" si="49"/>
        <v>57882.070170726802</v>
      </c>
      <c r="L565" s="2">
        <f>IF(B565&lt;&gt;B564,L564*(1+Dashboard!$G$5)+Dashboard!$G$6, L564)</f>
        <v>60655.544021410977</v>
      </c>
      <c r="M565">
        <f t="shared" si="53"/>
        <v>0</v>
      </c>
      <c r="N565">
        <f t="shared" si="50"/>
        <v>165.15556301745312</v>
      </c>
      <c r="O565">
        <f>IF(B565&lt;&gt;B564, Dashboard!$L$6,0)</f>
        <v>0</v>
      </c>
      <c r="P565">
        <f t="shared" si="51"/>
        <v>135.0026365865024</v>
      </c>
      <c r="Q565">
        <f>IF(B565&lt;&gt;B564,IF(F565&lt;=AVERAGE(F543:F564),Dashboard!$N$6-Dashboard!$G$7,Dashboard!$N$6+Dashboard!$G$7),0)</f>
        <v>0</v>
      </c>
      <c r="R565">
        <f t="shared" si="52"/>
        <v>130.50360223425929</v>
      </c>
    </row>
    <row r="566" spans="1:18" x14ac:dyDescent="0.3">
      <c r="A566" t="s">
        <v>416</v>
      </c>
      <c r="B566">
        <v>12</v>
      </c>
      <c r="C566" s="19">
        <v>28</v>
      </c>
      <c r="D566" s="20">
        <v>2022</v>
      </c>
      <c r="E566" s="21">
        <f t="shared" si="48"/>
        <v>44923</v>
      </c>
      <c r="F566" s="20">
        <v>346.17</v>
      </c>
      <c r="G566" s="20">
        <v>4464644</v>
      </c>
      <c r="H566" s="20">
        <v>350.42</v>
      </c>
      <c r="I566" s="20">
        <v>352.2</v>
      </c>
      <c r="J566" s="22">
        <v>345.9</v>
      </c>
      <c r="K566" s="2">
        <f t="shared" si="49"/>
        <v>57171.901249751747</v>
      </c>
      <c r="L566" s="2">
        <f>IF(B566&lt;&gt;B565,L565*(1+Dashboard!$G$5)+Dashboard!$G$6, L565)</f>
        <v>60655.544021410977</v>
      </c>
      <c r="M566">
        <f t="shared" si="53"/>
        <v>0</v>
      </c>
      <c r="N566">
        <f t="shared" si="50"/>
        <v>165.15556301745312</v>
      </c>
      <c r="O566">
        <f>IF(B566&lt;&gt;B565, Dashboard!$L$6,0)</f>
        <v>0</v>
      </c>
      <c r="P566">
        <f t="shared" si="51"/>
        <v>135.0026365865024</v>
      </c>
      <c r="Q566">
        <f>IF(B566&lt;&gt;B565,IF(F566&lt;=AVERAGE(F544:F565),Dashboard!$N$6-Dashboard!$G$7,Dashboard!$N$6+Dashboard!$G$7),0)</f>
        <v>0</v>
      </c>
      <c r="R566">
        <f t="shared" si="52"/>
        <v>130.50360223425929</v>
      </c>
    </row>
    <row r="567" spans="1:18" x14ac:dyDescent="0.3">
      <c r="A567" t="s">
        <v>415</v>
      </c>
      <c r="B567">
        <v>12</v>
      </c>
      <c r="C567" s="19">
        <v>29</v>
      </c>
      <c r="D567" s="20">
        <v>2022</v>
      </c>
      <c r="E567" s="21">
        <f t="shared" si="48"/>
        <v>44924</v>
      </c>
      <c r="F567" s="20">
        <v>352.31</v>
      </c>
      <c r="G567" s="20">
        <v>4086575</v>
      </c>
      <c r="H567" s="20">
        <v>348.91</v>
      </c>
      <c r="I567" s="20">
        <v>353.125</v>
      </c>
      <c r="J567" s="22">
        <v>348.47</v>
      </c>
      <c r="K567" s="2">
        <f t="shared" si="49"/>
        <v>58185.95640667891</v>
      </c>
      <c r="L567" s="2">
        <f>IF(B567&lt;&gt;B566,L566*(1+Dashboard!$G$5)+Dashboard!$G$6, L566)</f>
        <v>60655.544021410977</v>
      </c>
      <c r="M567">
        <f t="shared" si="53"/>
        <v>0</v>
      </c>
      <c r="N567">
        <f t="shared" si="50"/>
        <v>165.15556301745312</v>
      </c>
      <c r="O567">
        <f>IF(B567&lt;&gt;B566, Dashboard!$L$6,0)</f>
        <v>0</v>
      </c>
      <c r="P567">
        <f t="shared" si="51"/>
        <v>135.0026365865024</v>
      </c>
      <c r="Q567">
        <f>IF(B567&lt;&gt;B566,IF(F567&lt;=AVERAGE(F545:F566),Dashboard!$N$6-Dashboard!$G$7,Dashboard!$N$6+Dashboard!$G$7),0)</f>
        <v>0</v>
      </c>
      <c r="R567">
        <f t="shared" si="52"/>
        <v>130.50360223425929</v>
      </c>
    </row>
    <row r="568" spans="1:18" x14ac:dyDescent="0.3">
      <c r="A568" t="s">
        <v>414</v>
      </c>
      <c r="B568">
        <v>12</v>
      </c>
      <c r="C568" s="19">
        <v>30</v>
      </c>
      <c r="D568" s="20">
        <v>2022</v>
      </c>
      <c r="E568" s="21">
        <f t="shared" si="48"/>
        <v>44925</v>
      </c>
      <c r="F568" s="20">
        <v>351.34</v>
      </c>
      <c r="G568" s="20">
        <v>5325447</v>
      </c>
      <c r="H568" s="20">
        <v>349.79</v>
      </c>
      <c r="I568" s="20">
        <v>351.49</v>
      </c>
      <c r="J568" s="22">
        <v>347.76350000000002</v>
      </c>
      <c r="K568" s="2">
        <f t="shared" si="49"/>
        <v>58025.755510551971</v>
      </c>
      <c r="L568" s="2">
        <f>IF(B568&lt;&gt;B567,L567*(1+Dashboard!$G$5)+Dashboard!$G$6, L567)</f>
        <v>60655.544021410977</v>
      </c>
      <c r="M568">
        <f t="shared" si="53"/>
        <v>0</v>
      </c>
      <c r="N568">
        <f t="shared" si="50"/>
        <v>165.15556301745312</v>
      </c>
      <c r="O568">
        <f>IF(B568&lt;&gt;B567, Dashboard!$L$6,0)</f>
        <v>0</v>
      </c>
      <c r="P568">
        <f t="shared" si="51"/>
        <v>135.0026365865024</v>
      </c>
      <c r="Q568">
        <f>IF(B568&lt;&gt;B567,IF(F568&lt;=AVERAGE(F546:F567),Dashboard!$N$6-Dashboard!$G$7,Dashboard!$N$6+Dashboard!$G$7),0)</f>
        <v>0</v>
      </c>
      <c r="R568">
        <f t="shared" si="52"/>
        <v>130.50360223425929</v>
      </c>
    </row>
    <row r="569" spans="1:18" x14ac:dyDescent="0.3">
      <c r="A569" s="1">
        <v>44986</v>
      </c>
      <c r="B569">
        <v>1</v>
      </c>
      <c r="C569" s="19">
        <v>3</v>
      </c>
      <c r="D569" s="20">
        <v>2023</v>
      </c>
      <c r="E569" s="21">
        <f t="shared" si="48"/>
        <v>44929</v>
      </c>
      <c r="F569" s="20">
        <v>349.99</v>
      </c>
      <c r="G569" s="20">
        <v>4957334</v>
      </c>
      <c r="H569" s="20">
        <v>353.18099999999998</v>
      </c>
      <c r="I569" s="20">
        <v>355.04230000000001</v>
      </c>
      <c r="J569" s="22">
        <v>347.19</v>
      </c>
      <c r="K569" s="2">
        <f t="shared" si="49"/>
        <v>57802.795500478416</v>
      </c>
      <c r="L569" s="2">
        <f>IF(B569&lt;&gt;B568,L568*(1+Dashboard!$G$5)+Dashboard!$G$6, L568)</f>
        <v>63189.31280879939</v>
      </c>
      <c r="M569">
        <f t="shared" si="53"/>
        <v>5386.5173083209738</v>
      </c>
      <c r="N569">
        <f t="shared" si="50"/>
        <v>165.15556301745312</v>
      </c>
      <c r="O569">
        <f>IF(B569&lt;&gt;B568, Dashboard!$L$6,0)</f>
        <v>1859.7282542371197</v>
      </c>
      <c r="P569">
        <f t="shared" si="51"/>
        <v>140.3162977032118</v>
      </c>
      <c r="Q569">
        <f>IF(B569&lt;&gt;B568,IF(F569&lt;=AVERAGE(F547:F568),Dashboard!$N$6-Dashboard!$G$7,Dashboard!$N$6+Dashboard!$G$7),0)</f>
        <v>1232.609610169322</v>
      </c>
      <c r="R569">
        <f t="shared" si="52"/>
        <v>133.99362465950108</v>
      </c>
    </row>
    <row r="570" spans="1:18" x14ac:dyDescent="0.3">
      <c r="A570" s="1">
        <v>45017</v>
      </c>
      <c r="B570">
        <v>1</v>
      </c>
      <c r="C570" s="19">
        <v>4</v>
      </c>
      <c r="D570" s="20">
        <v>2023</v>
      </c>
      <c r="E570" s="21">
        <f t="shared" si="48"/>
        <v>44930</v>
      </c>
      <c r="F570" s="20">
        <v>352.51</v>
      </c>
      <c r="G570" s="20">
        <v>3119087</v>
      </c>
      <c r="H570" s="20">
        <v>352.1</v>
      </c>
      <c r="I570" s="20">
        <v>354.56349999999998</v>
      </c>
      <c r="J570" s="22">
        <v>349.2</v>
      </c>
      <c r="K570" s="2">
        <f t="shared" si="49"/>
        <v>63644.2888603385</v>
      </c>
      <c r="L570" s="2">
        <f>IF(B570&lt;&gt;B569,L569*(1+Dashboard!$G$5)+Dashboard!$G$6, L569)</f>
        <v>63189.31280879939</v>
      </c>
      <c r="M570">
        <f t="shared" si="53"/>
        <v>0</v>
      </c>
      <c r="N570">
        <f t="shared" si="50"/>
        <v>180.54605219806106</v>
      </c>
      <c r="O570">
        <f>IF(B570&lt;&gt;B569, Dashboard!$L$6,0)</f>
        <v>0</v>
      </c>
      <c r="P570">
        <f t="shared" si="51"/>
        <v>140.3162977032118</v>
      </c>
      <c r="Q570">
        <f>IF(B570&lt;&gt;B569,IF(F570&lt;=AVERAGE(F548:F569),Dashboard!$N$6-Dashboard!$G$7,Dashboard!$N$6+Dashboard!$G$7),0)</f>
        <v>0</v>
      </c>
      <c r="R570">
        <f t="shared" si="52"/>
        <v>133.99362465950108</v>
      </c>
    </row>
    <row r="571" spans="1:18" x14ac:dyDescent="0.3">
      <c r="A571" s="1">
        <v>45047</v>
      </c>
      <c r="B571">
        <v>1</v>
      </c>
      <c r="C571" s="19">
        <v>5</v>
      </c>
      <c r="D571" s="20">
        <v>2023</v>
      </c>
      <c r="E571" s="21">
        <f t="shared" si="48"/>
        <v>44931</v>
      </c>
      <c r="F571" s="20">
        <v>348.66</v>
      </c>
      <c r="G571" s="20">
        <v>3216538</v>
      </c>
      <c r="H571" s="20">
        <v>350.73</v>
      </c>
      <c r="I571" s="20">
        <v>350.8</v>
      </c>
      <c r="J571" s="22">
        <v>348.06</v>
      </c>
      <c r="K571" s="2">
        <f t="shared" si="49"/>
        <v>62949.186559375972</v>
      </c>
      <c r="L571" s="2">
        <f>IF(B571&lt;&gt;B570,L570*(1+Dashboard!$G$5)+Dashboard!$G$6, L570)</f>
        <v>63189.31280879939</v>
      </c>
      <c r="M571">
        <f t="shared" si="53"/>
        <v>0</v>
      </c>
      <c r="N571">
        <f t="shared" si="50"/>
        <v>180.54605219806106</v>
      </c>
      <c r="O571">
        <f>IF(B571&lt;&gt;B570, Dashboard!$L$6,0)</f>
        <v>0</v>
      </c>
      <c r="P571">
        <f t="shared" si="51"/>
        <v>140.3162977032118</v>
      </c>
      <c r="Q571">
        <f>IF(B571&lt;&gt;B570,IF(F571&lt;=AVERAGE(F549:F570),Dashboard!$N$6-Dashboard!$G$7,Dashboard!$N$6+Dashboard!$G$7),0)</f>
        <v>0</v>
      </c>
      <c r="R571">
        <f t="shared" si="52"/>
        <v>133.99362465950108</v>
      </c>
    </row>
    <row r="572" spans="1:18" x14ac:dyDescent="0.3">
      <c r="A572" s="1">
        <v>45078</v>
      </c>
      <c r="B572">
        <v>1</v>
      </c>
      <c r="C572" s="19">
        <v>6</v>
      </c>
      <c r="D572" s="20">
        <v>2023</v>
      </c>
      <c r="E572" s="21">
        <f t="shared" si="48"/>
        <v>44932</v>
      </c>
      <c r="F572" s="20">
        <v>356.59</v>
      </c>
      <c r="G572" s="20">
        <v>3464777</v>
      </c>
      <c r="H572" s="20">
        <v>351.59</v>
      </c>
      <c r="I572" s="20">
        <v>357.67</v>
      </c>
      <c r="J572" s="22">
        <v>348.73989999999998</v>
      </c>
      <c r="K572" s="2">
        <f t="shared" si="49"/>
        <v>64380.916753306592</v>
      </c>
      <c r="L572" s="2">
        <f>IF(B572&lt;&gt;B571,L571*(1+Dashboard!$G$5)+Dashboard!$G$6, L571)</f>
        <v>63189.31280879939</v>
      </c>
      <c r="M572">
        <f t="shared" si="53"/>
        <v>0</v>
      </c>
      <c r="N572">
        <f t="shared" si="50"/>
        <v>180.54605219806106</v>
      </c>
      <c r="O572">
        <f>IF(B572&lt;&gt;B571, Dashboard!$L$6,0)</f>
        <v>0</v>
      </c>
      <c r="P572">
        <f t="shared" si="51"/>
        <v>140.3162977032118</v>
      </c>
      <c r="Q572">
        <f>IF(B572&lt;&gt;B571,IF(F572&lt;=AVERAGE(F550:F571),Dashboard!$N$6-Dashboard!$G$7,Dashboard!$N$6+Dashboard!$G$7),0)</f>
        <v>0</v>
      </c>
      <c r="R572">
        <f t="shared" si="52"/>
        <v>133.99362465950108</v>
      </c>
    </row>
    <row r="573" spans="1:18" x14ac:dyDescent="0.3">
      <c r="A573" s="1">
        <v>45170</v>
      </c>
      <c r="B573">
        <v>1</v>
      </c>
      <c r="C573" s="19">
        <v>9</v>
      </c>
      <c r="D573" s="20">
        <v>2023</v>
      </c>
      <c r="E573" s="21">
        <f t="shared" si="48"/>
        <v>44935</v>
      </c>
      <c r="F573" s="20">
        <v>356.33</v>
      </c>
      <c r="G573" s="20">
        <v>3775322</v>
      </c>
      <c r="H573" s="20">
        <v>358.73</v>
      </c>
      <c r="I573" s="20">
        <v>361.73</v>
      </c>
      <c r="J573" s="22">
        <v>356.22140000000002</v>
      </c>
      <c r="K573" s="2">
        <f t="shared" si="49"/>
        <v>64333.974779735094</v>
      </c>
      <c r="L573" s="2">
        <f>IF(B573&lt;&gt;B572,L572*(1+Dashboard!$G$5)+Dashboard!$G$6, L572)</f>
        <v>63189.31280879939</v>
      </c>
      <c r="M573">
        <f t="shared" si="53"/>
        <v>0</v>
      </c>
      <c r="N573">
        <f t="shared" si="50"/>
        <v>180.54605219806106</v>
      </c>
      <c r="O573">
        <f>IF(B573&lt;&gt;B572, Dashboard!$L$6,0)</f>
        <v>0</v>
      </c>
      <c r="P573">
        <f t="shared" si="51"/>
        <v>140.3162977032118</v>
      </c>
      <c r="Q573">
        <f>IF(B573&lt;&gt;B572,IF(F573&lt;=AVERAGE(F551:F572),Dashboard!$N$6-Dashboard!$G$7,Dashboard!$N$6+Dashboard!$G$7),0)</f>
        <v>0</v>
      </c>
      <c r="R573">
        <f t="shared" si="52"/>
        <v>133.99362465950108</v>
      </c>
    </row>
    <row r="574" spans="1:18" x14ac:dyDescent="0.3">
      <c r="A574" s="1">
        <v>45200</v>
      </c>
      <c r="B574">
        <v>1</v>
      </c>
      <c r="C574" s="19">
        <v>10</v>
      </c>
      <c r="D574" s="20">
        <v>2023</v>
      </c>
      <c r="E574" s="21">
        <f t="shared" si="48"/>
        <v>44936</v>
      </c>
      <c r="F574" s="20">
        <v>358.87</v>
      </c>
      <c r="G574" s="20">
        <v>3495719</v>
      </c>
      <c r="H574" s="20">
        <v>355.84</v>
      </c>
      <c r="I574" s="20">
        <v>358.95</v>
      </c>
      <c r="J574" s="22">
        <v>354.96</v>
      </c>
      <c r="K574" s="2">
        <f t="shared" si="49"/>
        <v>64792.561752318172</v>
      </c>
      <c r="L574" s="2">
        <f>IF(B574&lt;&gt;B573,L573*(1+Dashboard!$G$5)+Dashboard!$G$6, L573)</f>
        <v>63189.31280879939</v>
      </c>
      <c r="M574">
        <f t="shared" si="53"/>
        <v>0</v>
      </c>
      <c r="N574">
        <f t="shared" si="50"/>
        <v>180.54605219806106</v>
      </c>
      <c r="O574">
        <f>IF(B574&lt;&gt;B573, Dashboard!$L$6,0)</f>
        <v>0</v>
      </c>
      <c r="P574">
        <f t="shared" si="51"/>
        <v>140.3162977032118</v>
      </c>
      <c r="Q574">
        <f>IF(B574&lt;&gt;B573,IF(F574&lt;=AVERAGE(F552:F573),Dashboard!$N$6-Dashboard!$G$7,Dashboard!$N$6+Dashboard!$G$7),0)</f>
        <v>0</v>
      </c>
      <c r="R574">
        <f t="shared" si="52"/>
        <v>133.99362465950108</v>
      </c>
    </row>
    <row r="575" spans="1:18" x14ac:dyDescent="0.3">
      <c r="A575" s="1">
        <v>45231</v>
      </c>
      <c r="B575">
        <v>1</v>
      </c>
      <c r="C575" s="19">
        <v>11</v>
      </c>
      <c r="D575" s="20">
        <v>2023</v>
      </c>
      <c r="E575" s="21">
        <f t="shared" si="48"/>
        <v>44937</v>
      </c>
      <c r="F575" s="20">
        <v>363.45</v>
      </c>
      <c r="G575" s="20">
        <v>5710532</v>
      </c>
      <c r="H575" s="20">
        <v>360.41</v>
      </c>
      <c r="I575" s="20">
        <v>363.51</v>
      </c>
      <c r="J575" s="22">
        <v>359.66</v>
      </c>
      <c r="K575" s="2">
        <f t="shared" si="49"/>
        <v>65619.462671385292</v>
      </c>
      <c r="L575" s="2">
        <f>IF(B575&lt;&gt;B574,L574*(1+Dashboard!$G$5)+Dashboard!$G$6, L574)</f>
        <v>63189.31280879939</v>
      </c>
      <c r="M575">
        <f t="shared" si="53"/>
        <v>0</v>
      </c>
      <c r="N575">
        <f t="shared" si="50"/>
        <v>180.54605219806106</v>
      </c>
      <c r="O575">
        <f>IF(B575&lt;&gt;B574, Dashboard!$L$6,0)</f>
        <v>0</v>
      </c>
      <c r="P575">
        <f t="shared" si="51"/>
        <v>140.3162977032118</v>
      </c>
      <c r="Q575">
        <f>IF(B575&lt;&gt;B574,IF(F575&lt;=AVERAGE(F553:F574),Dashboard!$N$6-Dashboard!$G$7,Dashboard!$N$6+Dashboard!$G$7),0)</f>
        <v>0</v>
      </c>
      <c r="R575">
        <f t="shared" si="52"/>
        <v>133.99362465950108</v>
      </c>
    </row>
    <row r="576" spans="1:18" x14ac:dyDescent="0.3">
      <c r="A576" s="1">
        <v>45261</v>
      </c>
      <c r="B576">
        <v>1</v>
      </c>
      <c r="C576" s="19">
        <v>12</v>
      </c>
      <c r="D576" s="20">
        <v>2023</v>
      </c>
      <c r="E576" s="21">
        <f t="shared" si="48"/>
        <v>44938</v>
      </c>
      <c r="F576" s="20">
        <v>364.81</v>
      </c>
      <c r="G576" s="20">
        <v>4743460</v>
      </c>
      <c r="H576" s="20">
        <v>364.48</v>
      </c>
      <c r="I576" s="20">
        <v>366.15</v>
      </c>
      <c r="J576" s="22">
        <v>360.6</v>
      </c>
      <c r="K576" s="2">
        <f t="shared" si="49"/>
        <v>65865.005302374659</v>
      </c>
      <c r="L576" s="2">
        <f>IF(B576&lt;&gt;B575,L575*(1+Dashboard!$G$5)+Dashboard!$G$6, L575)</f>
        <v>63189.31280879939</v>
      </c>
      <c r="M576">
        <f t="shared" si="53"/>
        <v>0</v>
      </c>
      <c r="N576">
        <f t="shared" si="50"/>
        <v>180.54605219806106</v>
      </c>
      <c r="O576">
        <f>IF(B576&lt;&gt;B575, Dashboard!$L$6,0)</f>
        <v>0</v>
      </c>
      <c r="P576">
        <f t="shared" si="51"/>
        <v>140.3162977032118</v>
      </c>
      <c r="Q576">
        <f>IF(B576&lt;&gt;B575,IF(F576&lt;=AVERAGE(F554:F575),Dashboard!$N$6-Dashboard!$G$7,Dashboard!$N$6+Dashboard!$G$7),0)</f>
        <v>0</v>
      </c>
      <c r="R576">
        <f t="shared" si="52"/>
        <v>133.99362465950108</v>
      </c>
    </row>
    <row r="577" spans="1:18" x14ac:dyDescent="0.3">
      <c r="A577" t="s">
        <v>413</v>
      </c>
      <c r="B577">
        <v>1</v>
      </c>
      <c r="C577" s="19">
        <v>13</v>
      </c>
      <c r="D577" s="20">
        <v>2023</v>
      </c>
      <c r="E577" s="21">
        <f t="shared" si="48"/>
        <v>44939</v>
      </c>
      <c r="F577" s="20">
        <v>366.23</v>
      </c>
      <c r="G577" s="20">
        <v>3015160</v>
      </c>
      <c r="H577" s="20">
        <v>361.6807</v>
      </c>
      <c r="I577" s="20">
        <v>366.72969999999998</v>
      </c>
      <c r="J577" s="22">
        <v>361.47</v>
      </c>
      <c r="K577" s="2">
        <f t="shared" si="49"/>
        <v>66121.380696495908</v>
      </c>
      <c r="L577" s="2">
        <f>IF(B577&lt;&gt;B576,L576*(1+Dashboard!$G$5)+Dashboard!$G$6, L576)</f>
        <v>63189.31280879939</v>
      </c>
      <c r="M577">
        <f t="shared" si="53"/>
        <v>0</v>
      </c>
      <c r="N577">
        <f t="shared" si="50"/>
        <v>180.54605219806106</v>
      </c>
      <c r="O577">
        <f>IF(B577&lt;&gt;B576, Dashboard!$L$6,0)</f>
        <v>0</v>
      </c>
      <c r="P577">
        <f t="shared" si="51"/>
        <v>140.3162977032118</v>
      </c>
      <c r="Q577">
        <f>IF(B577&lt;&gt;B576,IF(F577&lt;=AVERAGE(F555:F576),Dashboard!$N$6-Dashboard!$G$7,Dashboard!$N$6+Dashboard!$G$7),0)</f>
        <v>0</v>
      </c>
      <c r="R577">
        <f t="shared" si="52"/>
        <v>133.99362465950108</v>
      </c>
    </row>
    <row r="578" spans="1:18" x14ac:dyDescent="0.3">
      <c r="A578" t="s">
        <v>412</v>
      </c>
      <c r="B578">
        <v>1</v>
      </c>
      <c r="C578" s="19">
        <v>17</v>
      </c>
      <c r="D578" s="20">
        <v>2023</v>
      </c>
      <c r="E578" s="21">
        <f t="shared" ref="E578:E641" si="54">DATE(D578,B578,C578)</f>
        <v>44943</v>
      </c>
      <c r="F578" s="20">
        <v>365.67</v>
      </c>
      <c r="G578" s="20">
        <v>4942003</v>
      </c>
      <c r="H578" s="20">
        <v>366.19</v>
      </c>
      <c r="I578" s="20">
        <v>367.72</v>
      </c>
      <c r="J578" s="22">
        <v>364.87</v>
      </c>
      <c r="K578" s="2">
        <f t="shared" si="49"/>
        <v>66020.274907264989</v>
      </c>
      <c r="L578" s="2">
        <f>IF(B578&lt;&gt;B577,L577*(1+Dashboard!$G$5)+Dashboard!$G$6, L577)</f>
        <v>63189.31280879939</v>
      </c>
      <c r="M578">
        <f t="shared" si="53"/>
        <v>0</v>
      </c>
      <c r="N578">
        <f t="shared" si="50"/>
        <v>180.54605219806106</v>
      </c>
      <c r="O578">
        <f>IF(B578&lt;&gt;B577, Dashboard!$L$6,0)</f>
        <v>0</v>
      </c>
      <c r="P578">
        <f t="shared" si="51"/>
        <v>140.3162977032118</v>
      </c>
      <c r="Q578">
        <f>IF(B578&lt;&gt;B577,IF(F578&lt;=AVERAGE(F556:F577),Dashboard!$N$6-Dashboard!$G$7,Dashboard!$N$6+Dashboard!$G$7),0)</f>
        <v>0</v>
      </c>
      <c r="R578">
        <f t="shared" si="52"/>
        <v>133.99362465950108</v>
      </c>
    </row>
    <row r="579" spans="1:18" x14ac:dyDescent="0.3">
      <c r="A579" t="s">
        <v>411</v>
      </c>
      <c r="B579">
        <v>1</v>
      </c>
      <c r="C579" s="19">
        <v>18</v>
      </c>
      <c r="D579" s="20">
        <v>2023</v>
      </c>
      <c r="E579" s="21">
        <f t="shared" si="54"/>
        <v>44944</v>
      </c>
      <c r="F579" s="20">
        <v>359.73</v>
      </c>
      <c r="G579" s="20">
        <v>3931803</v>
      </c>
      <c r="H579" s="20">
        <v>366.67</v>
      </c>
      <c r="I579" s="20">
        <v>367.66</v>
      </c>
      <c r="J579" s="22">
        <v>359.58</v>
      </c>
      <c r="K579" s="2">
        <f t="shared" ref="K579:K642" si="55">N579*F579</f>
        <v>64947.83135720851</v>
      </c>
      <c r="L579" s="2">
        <f>IF(B579&lt;&gt;B578,L578*(1+Dashboard!$G$5)+Dashboard!$G$6, L578)</f>
        <v>63189.31280879939</v>
      </c>
      <c r="M579">
        <f t="shared" si="53"/>
        <v>0</v>
      </c>
      <c r="N579">
        <f t="shared" si="50"/>
        <v>180.54605219806106</v>
      </c>
      <c r="O579">
        <f>IF(B579&lt;&gt;B578, Dashboard!$L$6,0)</f>
        <v>0</v>
      </c>
      <c r="P579">
        <f t="shared" si="51"/>
        <v>140.3162977032118</v>
      </c>
      <c r="Q579">
        <f>IF(B579&lt;&gt;B578,IF(F579&lt;=AVERAGE(F557:F578),Dashboard!$N$6-Dashboard!$G$7,Dashboard!$N$6+Dashboard!$G$7),0)</f>
        <v>0</v>
      </c>
      <c r="R579">
        <f t="shared" si="52"/>
        <v>133.99362465950108</v>
      </c>
    </row>
    <row r="580" spans="1:18" x14ac:dyDescent="0.3">
      <c r="A580" t="s">
        <v>410</v>
      </c>
      <c r="B580">
        <v>1</v>
      </c>
      <c r="C580" s="19">
        <v>19</v>
      </c>
      <c r="D580" s="20">
        <v>2023</v>
      </c>
      <c r="E580" s="21">
        <f t="shared" si="54"/>
        <v>44945</v>
      </c>
      <c r="F580" s="20">
        <v>357.14</v>
      </c>
      <c r="G580" s="20">
        <v>3514877</v>
      </c>
      <c r="H580" s="20">
        <v>357.76</v>
      </c>
      <c r="I580" s="20">
        <v>359.35500000000002</v>
      </c>
      <c r="J580" s="22">
        <v>355.85</v>
      </c>
      <c r="K580" s="2">
        <f t="shared" si="55"/>
        <v>64480.217082015522</v>
      </c>
      <c r="L580" s="2">
        <f>IF(B580&lt;&gt;B579,L579*(1+Dashboard!$G$5)+Dashboard!$G$6, L579)</f>
        <v>63189.31280879939</v>
      </c>
      <c r="M580">
        <f t="shared" si="53"/>
        <v>0</v>
      </c>
      <c r="N580">
        <f t="shared" ref="N580:N643" si="56">N579+M579/F579</f>
        <v>180.54605219806106</v>
      </c>
      <c r="O580">
        <f>IF(B580&lt;&gt;B579, Dashboard!$L$6,0)</f>
        <v>0</v>
      </c>
      <c r="P580">
        <f t="shared" ref="P580:P643" si="57">P579+O580/F580</f>
        <v>140.3162977032118</v>
      </c>
      <c r="Q580">
        <f>IF(B580&lt;&gt;B579,IF(F580&lt;=AVERAGE(F558:F579),Dashboard!$N$6-Dashboard!$G$7,Dashboard!$N$6+Dashboard!$G$7),0)</f>
        <v>0</v>
      </c>
      <c r="R580">
        <f t="shared" ref="R580:R643" si="58">R579+Q580/H580</f>
        <v>133.99362465950108</v>
      </c>
    </row>
    <row r="581" spans="1:18" x14ac:dyDescent="0.3">
      <c r="A581" t="s">
        <v>409</v>
      </c>
      <c r="B581">
        <v>1</v>
      </c>
      <c r="C581" s="19">
        <v>20</v>
      </c>
      <c r="D581" s="20">
        <v>2023</v>
      </c>
      <c r="E581" s="21">
        <f t="shared" si="54"/>
        <v>44946</v>
      </c>
      <c r="F581" s="20">
        <v>363.71</v>
      </c>
      <c r="G581" s="20">
        <v>3265062</v>
      </c>
      <c r="H581" s="20">
        <v>358.45</v>
      </c>
      <c r="I581" s="20">
        <v>363.91</v>
      </c>
      <c r="J581" s="22">
        <v>356.88</v>
      </c>
      <c r="K581" s="2">
        <f t="shared" si="55"/>
        <v>65666.404644956783</v>
      </c>
      <c r="L581" s="2">
        <f>IF(B581&lt;&gt;B580,L580*(1+Dashboard!$G$5)+Dashboard!$G$6, L580)</f>
        <v>63189.31280879939</v>
      </c>
      <c r="M581">
        <f t="shared" si="53"/>
        <v>0</v>
      </c>
      <c r="N581">
        <f t="shared" si="56"/>
        <v>180.54605219806106</v>
      </c>
      <c r="O581">
        <f>IF(B581&lt;&gt;B580, Dashboard!$L$6,0)</f>
        <v>0</v>
      </c>
      <c r="P581">
        <f t="shared" si="57"/>
        <v>140.3162977032118</v>
      </c>
      <c r="Q581">
        <f>IF(B581&lt;&gt;B580,IF(F581&lt;=AVERAGE(F559:F580),Dashboard!$N$6-Dashboard!$G$7,Dashboard!$N$6+Dashboard!$G$7),0)</f>
        <v>0</v>
      </c>
      <c r="R581">
        <f t="shared" si="58"/>
        <v>133.99362465950108</v>
      </c>
    </row>
    <row r="582" spans="1:18" x14ac:dyDescent="0.3">
      <c r="A582" t="s">
        <v>408</v>
      </c>
      <c r="B582">
        <v>1</v>
      </c>
      <c r="C582" s="19">
        <v>23</v>
      </c>
      <c r="D582" s="20">
        <v>2023</v>
      </c>
      <c r="E582" s="21">
        <f t="shared" si="54"/>
        <v>44949</v>
      </c>
      <c r="F582" s="20">
        <v>368.14</v>
      </c>
      <c r="G582" s="20">
        <v>3243283</v>
      </c>
      <c r="H582" s="20">
        <v>364.51</v>
      </c>
      <c r="I582" s="20">
        <v>370</v>
      </c>
      <c r="J582" s="22">
        <v>363.65</v>
      </c>
      <c r="K582" s="2">
        <f t="shared" si="55"/>
        <v>66466.223656194197</v>
      </c>
      <c r="L582" s="2">
        <f>IF(B582&lt;&gt;B581,L581*(1+Dashboard!$G$5)+Dashboard!$G$6, L581)</f>
        <v>63189.31280879939</v>
      </c>
      <c r="M582">
        <f t="shared" si="53"/>
        <v>0</v>
      </c>
      <c r="N582">
        <f t="shared" si="56"/>
        <v>180.54605219806106</v>
      </c>
      <c r="O582">
        <f>IF(B582&lt;&gt;B581, Dashboard!$L$6,0)</f>
        <v>0</v>
      </c>
      <c r="P582">
        <f t="shared" si="57"/>
        <v>140.3162977032118</v>
      </c>
      <c r="Q582">
        <f>IF(B582&lt;&gt;B581,IF(F582&lt;=AVERAGE(F560:F581),Dashboard!$N$6-Dashboard!$G$7,Dashboard!$N$6+Dashboard!$G$7),0)</f>
        <v>0</v>
      </c>
      <c r="R582">
        <f t="shared" si="58"/>
        <v>133.99362465950108</v>
      </c>
    </row>
    <row r="583" spans="1:18" x14ac:dyDescent="0.3">
      <c r="A583" t="s">
        <v>407</v>
      </c>
      <c r="B583">
        <v>1</v>
      </c>
      <c r="C583" s="19">
        <v>24</v>
      </c>
      <c r="D583" s="20">
        <v>2023</v>
      </c>
      <c r="E583" s="21">
        <f t="shared" si="54"/>
        <v>44950</v>
      </c>
      <c r="F583" s="20">
        <v>367.75</v>
      </c>
      <c r="G583" s="20">
        <v>2702380</v>
      </c>
      <c r="H583" s="20">
        <v>366.57</v>
      </c>
      <c r="I583" s="20">
        <v>368.61</v>
      </c>
      <c r="J583" s="22">
        <v>365.42</v>
      </c>
      <c r="K583" s="2">
        <f t="shared" si="55"/>
        <v>66395.810695836961</v>
      </c>
      <c r="L583" s="2">
        <f>IF(B583&lt;&gt;B582,L582*(1+Dashboard!$G$5)+Dashboard!$G$6, L582)</f>
        <v>63189.31280879939</v>
      </c>
      <c r="M583">
        <f t="shared" si="53"/>
        <v>0</v>
      </c>
      <c r="N583">
        <f t="shared" si="56"/>
        <v>180.54605219806106</v>
      </c>
      <c r="O583">
        <f>IF(B583&lt;&gt;B582, Dashboard!$L$6,0)</f>
        <v>0</v>
      </c>
      <c r="P583">
        <f t="shared" si="57"/>
        <v>140.3162977032118</v>
      </c>
      <c r="Q583">
        <f>IF(B583&lt;&gt;B582,IF(F583&lt;=AVERAGE(F561:F582),Dashboard!$N$6-Dashboard!$G$7,Dashboard!$N$6+Dashboard!$G$7),0)</f>
        <v>0</v>
      </c>
      <c r="R583">
        <f t="shared" si="58"/>
        <v>133.99362465950108</v>
      </c>
    </row>
    <row r="584" spans="1:18" x14ac:dyDescent="0.3">
      <c r="A584" t="s">
        <v>406</v>
      </c>
      <c r="B584">
        <v>1</v>
      </c>
      <c r="C584" s="19">
        <v>25</v>
      </c>
      <c r="D584" s="20">
        <v>2023</v>
      </c>
      <c r="E584" s="21">
        <f t="shared" si="54"/>
        <v>44951</v>
      </c>
      <c r="F584" s="20">
        <v>367.88</v>
      </c>
      <c r="G584" s="20">
        <v>3061683</v>
      </c>
      <c r="H584" s="20">
        <v>363.78</v>
      </c>
      <c r="I584" s="20">
        <v>368.16</v>
      </c>
      <c r="J584" s="22">
        <v>361.66</v>
      </c>
      <c r="K584" s="2">
        <f t="shared" si="55"/>
        <v>66419.281682622706</v>
      </c>
      <c r="L584" s="2">
        <f>IF(B584&lt;&gt;B583,L583*(1+Dashboard!$G$5)+Dashboard!$G$6, L583)</f>
        <v>63189.31280879939</v>
      </c>
      <c r="M584">
        <f t="shared" si="53"/>
        <v>0</v>
      </c>
      <c r="N584">
        <f t="shared" si="56"/>
        <v>180.54605219806106</v>
      </c>
      <c r="O584">
        <f>IF(B584&lt;&gt;B583, Dashboard!$L$6,0)</f>
        <v>0</v>
      </c>
      <c r="P584">
        <f t="shared" si="57"/>
        <v>140.3162977032118</v>
      </c>
      <c r="Q584">
        <f>IF(B584&lt;&gt;B583,IF(F584&lt;=AVERAGE(F562:F583),Dashboard!$N$6-Dashboard!$G$7,Dashboard!$N$6+Dashboard!$G$7),0)</f>
        <v>0</v>
      </c>
      <c r="R584">
        <f t="shared" si="58"/>
        <v>133.99362465950108</v>
      </c>
    </row>
    <row r="585" spans="1:18" x14ac:dyDescent="0.3">
      <c r="A585" t="s">
        <v>405</v>
      </c>
      <c r="B585">
        <v>1</v>
      </c>
      <c r="C585" s="19">
        <v>26</v>
      </c>
      <c r="D585" s="20">
        <v>2023</v>
      </c>
      <c r="E585" s="21">
        <f t="shared" si="54"/>
        <v>44952</v>
      </c>
      <c r="F585" s="20">
        <v>371.81</v>
      </c>
      <c r="G585" s="20">
        <v>3460934</v>
      </c>
      <c r="H585" s="20">
        <v>370.46</v>
      </c>
      <c r="I585" s="20">
        <v>372.06</v>
      </c>
      <c r="J585" s="22">
        <v>367.61</v>
      </c>
      <c r="K585" s="2">
        <f t="shared" si="55"/>
        <v>67128.827667761085</v>
      </c>
      <c r="L585" s="2">
        <f>IF(B585&lt;&gt;B584,L584*(1+Dashboard!$G$5)+Dashboard!$G$6, L584)</f>
        <v>63189.31280879939</v>
      </c>
      <c r="M585">
        <f t="shared" si="53"/>
        <v>0</v>
      </c>
      <c r="N585">
        <f t="shared" si="56"/>
        <v>180.54605219806106</v>
      </c>
      <c r="O585">
        <f>IF(B585&lt;&gt;B584, Dashboard!$L$6,0)</f>
        <v>0</v>
      </c>
      <c r="P585">
        <f t="shared" si="57"/>
        <v>140.3162977032118</v>
      </c>
      <c r="Q585">
        <f>IF(B585&lt;&gt;B584,IF(F585&lt;=AVERAGE(F563:F584),Dashboard!$N$6-Dashboard!$G$7,Dashboard!$N$6+Dashboard!$G$7),0)</f>
        <v>0</v>
      </c>
      <c r="R585">
        <f t="shared" si="58"/>
        <v>133.99362465950108</v>
      </c>
    </row>
    <row r="586" spans="1:18" x14ac:dyDescent="0.3">
      <c r="A586" t="s">
        <v>404</v>
      </c>
      <c r="B586">
        <v>1</v>
      </c>
      <c r="C586" s="19">
        <v>27</v>
      </c>
      <c r="D586" s="20">
        <v>2023</v>
      </c>
      <c r="E586" s="21">
        <f t="shared" si="54"/>
        <v>44953</v>
      </c>
      <c r="F586" s="20">
        <v>372.87</v>
      </c>
      <c r="G586" s="20">
        <v>5549522</v>
      </c>
      <c r="H586" s="20">
        <v>370.89</v>
      </c>
      <c r="I586" s="20">
        <v>375.08</v>
      </c>
      <c r="J586" s="22">
        <v>370.76</v>
      </c>
      <c r="K586" s="2">
        <f t="shared" si="55"/>
        <v>67320.206483091024</v>
      </c>
      <c r="L586" s="2">
        <f>IF(B586&lt;&gt;B585,L585*(1+Dashboard!$G$5)+Dashboard!$G$6, L585)</f>
        <v>63189.31280879939</v>
      </c>
      <c r="M586">
        <f t="shared" si="53"/>
        <v>0</v>
      </c>
      <c r="N586">
        <f t="shared" si="56"/>
        <v>180.54605219806106</v>
      </c>
      <c r="O586">
        <f>IF(B586&lt;&gt;B585, Dashboard!$L$6,0)</f>
        <v>0</v>
      </c>
      <c r="P586">
        <f t="shared" si="57"/>
        <v>140.3162977032118</v>
      </c>
      <c r="Q586">
        <f>IF(B586&lt;&gt;B585,IF(F586&lt;=AVERAGE(F564:F585),Dashboard!$N$6-Dashboard!$G$7,Dashboard!$N$6+Dashboard!$G$7),0)</f>
        <v>0</v>
      </c>
      <c r="R586">
        <f t="shared" si="58"/>
        <v>133.99362465950108</v>
      </c>
    </row>
    <row r="587" spans="1:18" x14ac:dyDescent="0.3">
      <c r="A587" t="s">
        <v>403</v>
      </c>
      <c r="B587">
        <v>1</v>
      </c>
      <c r="C587" s="19">
        <v>30</v>
      </c>
      <c r="D587" s="20">
        <v>2023</v>
      </c>
      <c r="E587" s="21">
        <f t="shared" si="54"/>
        <v>44956</v>
      </c>
      <c r="F587" s="20">
        <v>368.21</v>
      </c>
      <c r="G587" s="20">
        <v>3280594</v>
      </c>
      <c r="H587" s="20">
        <v>370.15</v>
      </c>
      <c r="I587" s="20">
        <v>372.29</v>
      </c>
      <c r="J587" s="22">
        <v>367.86</v>
      </c>
      <c r="K587" s="2">
        <f t="shared" si="55"/>
        <v>66478.86187984806</v>
      </c>
      <c r="L587" s="2">
        <f>IF(B587&lt;&gt;B586,L586*(1+Dashboard!$G$5)+Dashboard!$G$6, L586)</f>
        <v>63189.31280879939</v>
      </c>
      <c r="M587">
        <f t="shared" si="53"/>
        <v>0</v>
      </c>
      <c r="N587">
        <f t="shared" si="56"/>
        <v>180.54605219806106</v>
      </c>
      <c r="O587">
        <f>IF(B587&lt;&gt;B586, Dashboard!$L$6,0)</f>
        <v>0</v>
      </c>
      <c r="P587">
        <f t="shared" si="57"/>
        <v>140.3162977032118</v>
      </c>
      <c r="Q587">
        <f>IF(B587&lt;&gt;B586,IF(F587&lt;=AVERAGE(F565:F586),Dashboard!$N$6-Dashboard!$G$7,Dashboard!$N$6+Dashboard!$G$7),0)</f>
        <v>0</v>
      </c>
      <c r="R587">
        <f t="shared" si="58"/>
        <v>133.99362465950108</v>
      </c>
    </row>
    <row r="588" spans="1:18" x14ac:dyDescent="0.3">
      <c r="A588" t="s">
        <v>402</v>
      </c>
      <c r="B588">
        <v>1</v>
      </c>
      <c r="C588" s="19">
        <v>31</v>
      </c>
      <c r="D588" s="20">
        <v>2023</v>
      </c>
      <c r="E588" s="21">
        <f t="shared" si="54"/>
        <v>44957</v>
      </c>
      <c r="F588" s="20">
        <v>373.44</v>
      </c>
      <c r="G588" s="20">
        <v>4181686</v>
      </c>
      <c r="H588" s="20">
        <v>368.61</v>
      </c>
      <c r="I588" s="20">
        <v>373.54</v>
      </c>
      <c r="J588" s="22">
        <v>368.33</v>
      </c>
      <c r="K588" s="2">
        <f t="shared" si="55"/>
        <v>67423.117732843923</v>
      </c>
      <c r="L588" s="2">
        <f>IF(B588&lt;&gt;B587,L587*(1+Dashboard!$G$5)+Dashboard!$G$6, L587)</f>
        <v>63189.31280879939</v>
      </c>
      <c r="M588">
        <f t="shared" si="53"/>
        <v>0</v>
      </c>
      <c r="N588">
        <f t="shared" si="56"/>
        <v>180.54605219806106</v>
      </c>
      <c r="O588">
        <f>IF(B588&lt;&gt;B587, Dashboard!$L$6,0)</f>
        <v>0</v>
      </c>
      <c r="P588">
        <f t="shared" si="57"/>
        <v>140.3162977032118</v>
      </c>
      <c r="Q588">
        <f>IF(B588&lt;&gt;B587,IF(F588&lt;=AVERAGE(F566:F587),Dashboard!$N$6-Dashboard!$G$7,Dashboard!$N$6+Dashboard!$G$7),0)</f>
        <v>0</v>
      </c>
      <c r="R588">
        <f t="shared" si="58"/>
        <v>133.99362465950108</v>
      </c>
    </row>
    <row r="589" spans="1:18" x14ac:dyDescent="0.3">
      <c r="A589" s="1">
        <v>44928</v>
      </c>
      <c r="B589">
        <v>2</v>
      </c>
      <c r="C589" s="19">
        <v>1</v>
      </c>
      <c r="D589" s="20">
        <v>2023</v>
      </c>
      <c r="E589" s="21">
        <f t="shared" si="54"/>
        <v>44958</v>
      </c>
      <c r="F589" s="20">
        <v>377.53</v>
      </c>
      <c r="G589" s="20">
        <v>4941692</v>
      </c>
      <c r="H589" s="20">
        <v>372.44</v>
      </c>
      <c r="I589" s="20">
        <v>380.16</v>
      </c>
      <c r="J589" s="22">
        <v>369.76</v>
      </c>
      <c r="K589" s="2">
        <f t="shared" si="55"/>
        <v>68161.551086333988</v>
      </c>
      <c r="L589" s="2">
        <f>IF(B589&lt;&gt;B588,L588*(1+Dashboard!$G$5)+Dashboard!$G$6, L588)</f>
        <v>65745.378761516826</v>
      </c>
      <c r="M589">
        <f t="shared" si="53"/>
        <v>0</v>
      </c>
      <c r="N589">
        <f t="shared" si="56"/>
        <v>180.54605219806106</v>
      </c>
      <c r="O589">
        <f>IF(B589&lt;&gt;B588, Dashboard!$L$6,0)</f>
        <v>1859.7282542371197</v>
      </c>
      <c r="P589">
        <f t="shared" si="57"/>
        <v>145.24233869131109</v>
      </c>
      <c r="Q589">
        <f>IF(B589&lt;&gt;B588,IF(F589&lt;=AVERAGE(F567:F588),Dashboard!$N$6-Dashboard!$G$7,Dashboard!$N$6+Dashboard!$G$7),0)</f>
        <v>2232.609610169322</v>
      </c>
      <c r="R589">
        <f t="shared" si="58"/>
        <v>139.98817307043794</v>
      </c>
    </row>
    <row r="590" spans="1:18" x14ac:dyDescent="0.3">
      <c r="A590" s="1">
        <v>44959</v>
      </c>
      <c r="B590">
        <v>2</v>
      </c>
      <c r="C590" s="19">
        <v>2</v>
      </c>
      <c r="D590" s="20">
        <v>2023</v>
      </c>
      <c r="E590" s="21">
        <f t="shared" si="54"/>
        <v>44959</v>
      </c>
      <c r="F590" s="20">
        <v>382.94</v>
      </c>
      <c r="G590" s="20">
        <v>5207926</v>
      </c>
      <c r="H590" s="20">
        <v>381.25</v>
      </c>
      <c r="I590" s="20">
        <v>384.41</v>
      </c>
      <c r="J590" s="22">
        <v>379.4</v>
      </c>
      <c r="K590" s="2">
        <f t="shared" si="55"/>
        <v>69138.305228725498</v>
      </c>
      <c r="L590" s="2">
        <f>IF(B590&lt;&gt;B589,L589*(1+Dashboard!$G$5)+Dashboard!$G$6, L589)</f>
        <v>65745.378761516826</v>
      </c>
      <c r="M590">
        <f t="shared" si="53"/>
        <v>0</v>
      </c>
      <c r="N590">
        <f t="shared" si="56"/>
        <v>180.54605219806106</v>
      </c>
      <c r="O590">
        <f>IF(B590&lt;&gt;B589, Dashboard!$L$6,0)</f>
        <v>0</v>
      </c>
      <c r="P590">
        <f t="shared" si="57"/>
        <v>145.24233869131109</v>
      </c>
      <c r="Q590">
        <f>IF(B590&lt;&gt;B589,IF(F590&lt;=AVERAGE(F568:F589),Dashboard!$N$6-Dashboard!$G$7,Dashboard!$N$6+Dashboard!$G$7),0)</f>
        <v>0</v>
      </c>
      <c r="R590">
        <f t="shared" si="58"/>
        <v>139.98817307043794</v>
      </c>
    </row>
    <row r="591" spans="1:18" x14ac:dyDescent="0.3">
      <c r="A591" s="1">
        <v>44987</v>
      </c>
      <c r="B591">
        <v>2</v>
      </c>
      <c r="C591" s="19">
        <v>3</v>
      </c>
      <c r="D591" s="20">
        <v>2023</v>
      </c>
      <c r="E591" s="21">
        <f t="shared" si="54"/>
        <v>44960</v>
      </c>
      <c r="F591" s="20">
        <v>378.85</v>
      </c>
      <c r="G591" s="20">
        <v>6472509</v>
      </c>
      <c r="H591" s="20">
        <v>378.23</v>
      </c>
      <c r="I591" s="20">
        <v>383.2</v>
      </c>
      <c r="J591" s="22">
        <v>377.79</v>
      </c>
      <c r="K591" s="2">
        <f t="shared" si="55"/>
        <v>68399.871875235433</v>
      </c>
      <c r="L591" s="2">
        <f>IF(B591&lt;&gt;B590,L590*(1+Dashboard!$G$5)+Dashboard!$G$6, L590)</f>
        <v>65745.378761516826</v>
      </c>
      <c r="M591">
        <f t="shared" si="53"/>
        <v>0</v>
      </c>
      <c r="N591">
        <f t="shared" si="56"/>
        <v>180.54605219806106</v>
      </c>
      <c r="O591">
        <f>IF(B591&lt;&gt;B590, Dashboard!$L$6,0)</f>
        <v>0</v>
      </c>
      <c r="P591">
        <f t="shared" si="57"/>
        <v>145.24233869131109</v>
      </c>
      <c r="Q591">
        <f>IF(B591&lt;&gt;B590,IF(F591&lt;=AVERAGE(F569:F590),Dashboard!$N$6-Dashboard!$G$7,Dashboard!$N$6+Dashboard!$G$7),0)</f>
        <v>0</v>
      </c>
      <c r="R591">
        <f t="shared" si="58"/>
        <v>139.98817307043794</v>
      </c>
    </row>
    <row r="592" spans="1:18" x14ac:dyDescent="0.3">
      <c r="A592" s="1">
        <v>45079</v>
      </c>
      <c r="B592">
        <v>2</v>
      </c>
      <c r="C592" s="19">
        <v>6</v>
      </c>
      <c r="D592" s="20">
        <v>2023</v>
      </c>
      <c r="E592" s="21">
        <f t="shared" si="54"/>
        <v>44963</v>
      </c>
      <c r="F592" s="20">
        <v>376.66</v>
      </c>
      <c r="G592" s="20">
        <v>2880098</v>
      </c>
      <c r="H592" s="20">
        <v>376.57499999999999</v>
      </c>
      <c r="I592" s="20">
        <v>377.93</v>
      </c>
      <c r="J592" s="22">
        <v>375.02</v>
      </c>
      <c r="K592" s="2">
        <f t="shared" si="55"/>
        <v>68004.476020921691</v>
      </c>
      <c r="L592" s="2">
        <f>IF(B592&lt;&gt;B591,L591*(1+Dashboard!$G$5)+Dashboard!$G$6, L591)</f>
        <v>65745.378761516826</v>
      </c>
      <c r="M592">
        <f t="shared" si="53"/>
        <v>0</v>
      </c>
      <c r="N592">
        <f t="shared" si="56"/>
        <v>180.54605219806106</v>
      </c>
      <c r="O592">
        <f>IF(B592&lt;&gt;B591, Dashboard!$L$6,0)</f>
        <v>0</v>
      </c>
      <c r="P592">
        <f t="shared" si="57"/>
        <v>145.24233869131109</v>
      </c>
      <c r="Q592">
        <f>IF(B592&lt;&gt;B591,IF(F592&lt;=AVERAGE(F570:F591),Dashboard!$N$6-Dashboard!$G$7,Dashboard!$N$6+Dashboard!$G$7),0)</f>
        <v>0</v>
      </c>
      <c r="R592">
        <f t="shared" si="58"/>
        <v>139.98817307043794</v>
      </c>
    </row>
    <row r="593" spans="1:18" x14ac:dyDescent="0.3">
      <c r="A593" s="1">
        <v>45109</v>
      </c>
      <c r="B593">
        <v>2</v>
      </c>
      <c r="C593" s="19">
        <v>7</v>
      </c>
      <c r="D593" s="20">
        <v>2023</v>
      </c>
      <c r="E593" s="21">
        <f t="shared" si="54"/>
        <v>44964</v>
      </c>
      <c r="F593" s="20">
        <v>381.52</v>
      </c>
      <c r="G593" s="20">
        <v>4504633</v>
      </c>
      <c r="H593" s="20">
        <v>375.79</v>
      </c>
      <c r="I593" s="20">
        <v>382.74680000000001</v>
      </c>
      <c r="J593" s="22">
        <v>374.62</v>
      </c>
      <c r="K593" s="2">
        <f t="shared" si="55"/>
        <v>68881.929834604249</v>
      </c>
      <c r="L593" s="2">
        <f>IF(B593&lt;&gt;B592,L592*(1+Dashboard!$G$5)+Dashboard!$G$6, L592)</f>
        <v>65745.378761516826</v>
      </c>
      <c r="M593">
        <f t="shared" si="53"/>
        <v>0</v>
      </c>
      <c r="N593">
        <f t="shared" si="56"/>
        <v>180.54605219806106</v>
      </c>
      <c r="O593">
        <f>IF(B593&lt;&gt;B592, Dashboard!$L$6,0)</f>
        <v>0</v>
      </c>
      <c r="P593">
        <f t="shared" si="57"/>
        <v>145.24233869131109</v>
      </c>
      <c r="Q593">
        <f>IF(B593&lt;&gt;B592,IF(F593&lt;=AVERAGE(F571:F592),Dashboard!$N$6-Dashboard!$G$7,Dashboard!$N$6+Dashboard!$G$7),0)</f>
        <v>0</v>
      </c>
      <c r="R593">
        <f t="shared" si="58"/>
        <v>139.98817307043794</v>
      </c>
    </row>
    <row r="594" spans="1:18" x14ac:dyDescent="0.3">
      <c r="A594" s="1">
        <v>45140</v>
      </c>
      <c r="B594">
        <v>2</v>
      </c>
      <c r="C594" s="19">
        <v>8</v>
      </c>
      <c r="D594" s="20">
        <v>2023</v>
      </c>
      <c r="E594" s="21">
        <f t="shared" si="54"/>
        <v>44965</v>
      </c>
      <c r="F594" s="20">
        <v>377.34</v>
      </c>
      <c r="G594" s="20">
        <v>2921503</v>
      </c>
      <c r="H594" s="20">
        <v>379.69</v>
      </c>
      <c r="I594" s="20">
        <v>380.93</v>
      </c>
      <c r="J594" s="22">
        <v>376.73</v>
      </c>
      <c r="K594" s="2">
        <f t="shared" si="55"/>
        <v>68127.24733641636</v>
      </c>
      <c r="L594" s="2">
        <f>IF(B594&lt;&gt;B593,L593*(1+Dashboard!$G$5)+Dashboard!$G$6, L593)</f>
        <v>65745.378761516826</v>
      </c>
      <c r="M594">
        <f t="shared" si="53"/>
        <v>0</v>
      </c>
      <c r="N594">
        <f t="shared" si="56"/>
        <v>180.54605219806106</v>
      </c>
      <c r="O594">
        <f>IF(B594&lt;&gt;B593, Dashboard!$L$6,0)</f>
        <v>0</v>
      </c>
      <c r="P594">
        <f t="shared" si="57"/>
        <v>145.24233869131109</v>
      </c>
      <c r="Q594">
        <f>IF(B594&lt;&gt;B593,IF(F594&lt;=AVERAGE(F572:F593),Dashboard!$N$6-Dashboard!$G$7,Dashboard!$N$6+Dashboard!$G$7),0)</f>
        <v>0</v>
      </c>
      <c r="R594">
        <f t="shared" si="58"/>
        <v>139.98817307043794</v>
      </c>
    </row>
    <row r="595" spans="1:18" x14ac:dyDescent="0.3">
      <c r="A595" s="1">
        <v>45171</v>
      </c>
      <c r="B595">
        <v>2</v>
      </c>
      <c r="C595" s="19">
        <v>9</v>
      </c>
      <c r="D595" s="20">
        <v>2023</v>
      </c>
      <c r="E595" s="21">
        <f t="shared" si="54"/>
        <v>44966</v>
      </c>
      <c r="F595" s="20">
        <v>374.11</v>
      </c>
      <c r="G595" s="20">
        <v>3327715</v>
      </c>
      <c r="H595" s="20">
        <v>380.97</v>
      </c>
      <c r="I595" s="20">
        <v>381</v>
      </c>
      <c r="J595" s="22">
        <v>372.9486</v>
      </c>
      <c r="K595" s="2">
        <f t="shared" si="55"/>
        <v>67544.083587816625</v>
      </c>
      <c r="L595" s="2">
        <f>IF(B595&lt;&gt;B594,L594*(1+Dashboard!$G$5)+Dashboard!$G$6, L594)</f>
        <v>65745.378761516826</v>
      </c>
      <c r="M595">
        <f t="shared" si="53"/>
        <v>0</v>
      </c>
      <c r="N595">
        <f t="shared" si="56"/>
        <v>180.54605219806106</v>
      </c>
      <c r="O595">
        <f>IF(B595&lt;&gt;B594, Dashboard!$L$6,0)</f>
        <v>0</v>
      </c>
      <c r="P595">
        <f t="shared" si="57"/>
        <v>145.24233869131109</v>
      </c>
      <c r="Q595">
        <f>IF(B595&lt;&gt;B594,IF(F595&lt;=AVERAGE(F573:F594),Dashboard!$N$6-Dashboard!$G$7,Dashboard!$N$6+Dashboard!$G$7),0)</f>
        <v>0</v>
      </c>
      <c r="R595">
        <f t="shared" si="58"/>
        <v>139.98817307043794</v>
      </c>
    </row>
    <row r="596" spans="1:18" x14ac:dyDescent="0.3">
      <c r="A596" s="1">
        <v>45201</v>
      </c>
      <c r="B596">
        <v>2</v>
      </c>
      <c r="C596" s="19">
        <v>10</v>
      </c>
      <c r="D596" s="20">
        <v>2023</v>
      </c>
      <c r="E596" s="21">
        <f t="shared" si="54"/>
        <v>44967</v>
      </c>
      <c r="F596" s="20">
        <v>375.02</v>
      </c>
      <c r="G596" s="20">
        <v>3256705</v>
      </c>
      <c r="H596" s="20">
        <v>373</v>
      </c>
      <c r="I596" s="20">
        <v>375.39</v>
      </c>
      <c r="J596" s="22">
        <v>372.2</v>
      </c>
      <c r="K596" s="2">
        <f t="shared" si="55"/>
        <v>67708.380495316858</v>
      </c>
      <c r="L596" s="2">
        <f>IF(B596&lt;&gt;B595,L595*(1+Dashboard!$G$5)+Dashboard!$G$6, L595)</f>
        <v>65745.378761516826</v>
      </c>
      <c r="M596">
        <f t="shared" si="53"/>
        <v>0</v>
      </c>
      <c r="N596">
        <f t="shared" si="56"/>
        <v>180.54605219806106</v>
      </c>
      <c r="O596">
        <f>IF(B596&lt;&gt;B595, Dashboard!$L$6,0)</f>
        <v>0</v>
      </c>
      <c r="P596">
        <f t="shared" si="57"/>
        <v>145.24233869131109</v>
      </c>
      <c r="Q596">
        <f>IF(B596&lt;&gt;B595,IF(F596&lt;=AVERAGE(F574:F595),Dashboard!$N$6-Dashboard!$G$7,Dashboard!$N$6+Dashboard!$G$7),0)</f>
        <v>0</v>
      </c>
      <c r="R596">
        <f t="shared" si="58"/>
        <v>139.98817307043794</v>
      </c>
    </row>
    <row r="597" spans="1:18" x14ac:dyDescent="0.3">
      <c r="A597" t="s">
        <v>401</v>
      </c>
      <c r="B597">
        <v>2</v>
      </c>
      <c r="C597" s="19">
        <v>13</v>
      </c>
      <c r="D597" s="20">
        <v>2023</v>
      </c>
      <c r="E597" s="21">
        <f t="shared" si="54"/>
        <v>44970</v>
      </c>
      <c r="F597" s="20">
        <v>379.35</v>
      </c>
      <c r="G597" s="20">
        <v>2980600</v>
      </c>
      <c r="H597" s="20">
        <v>375.649</v>
      </c>
      <c r="I597" s="20">
        <v>379.44</v>
      </c>
      <c r="J597" s="22">
        <v>375.2</v>
      </c>
      <c r="K597" s="2">
        <f t="shared" si="55"/>
        <v>68490.144901334468</v>
      </c>
      <c r="L597" s="2">
        <f>IF(B597&lt;&gt;B596,L596*(1+Dashboard!$G$5)+Dashboard!$G$6, L596)</f>
        <v>65745.378761516826</v>
      </c>
      <c r="M597">
        <f t="shared" si="53"/>
        <v>0</v>
      </c>
      <c r="N597">
        <f t="shared" si="56"/>
        <v>180.54605219806106</v>
      </c>
      <c r="O597">
        <f>IF(B597&lt;&gt;B596, Dashboard!$L$6,0)</f>
        <v>0</v>
      </c>
      <c r="P597">
        <f t="shared" si="57"/>
        <v>145.24233869131109</v>
      </c>
      <c r="Q597">
        <f>IF(B597&lt;&gt;B596,IF(F597&lt;=AVERAGE(F575:F596),Dashboard!$N$6-Dashboard!$G$7,Dashboard!$N$6+Dashboard!$G$7),0)</f>
        <v>0</v>
      </c>
      <c r="R597">
        <f t="shared" si="58"/>
        <v>139.98817307043794</v>
      </c>
    </row>
    <row r="598" spans="1:18" x14ac:dyDescent="0.3">
      <c r="A598" t="s">
        <v>400</v>
      </c>
      <c r="B598">
        <v>2</v>
      </c>
      <c r="C598" s="19">
        <v>14</v>
      </c>
      <c r="D598" s="20">
        <v>2023</v>
      </c>
      <c r="E598" s="21">
        <f t="shared" si="54"/>
        <v>44971</v>
      </c>
      <c r="F598" s="20">
        <v>379.21</v>
      </c>
      <c r="G598" s="20">
        <v>4718037</v>
      </c>
      <c r="H598" s="20">
        <v>377.96</v>
      </c>
      <c r="I598" s="20">
        <v>381.42</v>
      </c>
      <c r="J598" s="22">
        <v>375.45</v>
      </c>
      <c r="K598" s="2">
        <f t="shared" si="55"/>
        <v>68464.868454026728</v>
      </c>
      <c r="L598" s="2">
        <f>IF(B598&lt;&gt;B597,L597*(1+Dashboard!$G$5)+Dashboard!$G$6, L597)</f>
        <v>65745.378761516826</v>
      </c>
      <c r="M598">
        <f t="shared" si="53"/>
        <v>0</v>
      </c>
      <c r="N598">
        <f t="shared" si="56"/>
        <v>180.54605219806106</v>
      </c>
      <c r="O598">
        <f>IF(B598&lt;&gt;B597, Dashboard!$L$6,0)</f>
        <v>0</v>
      </c>
      <c r="P598">
        <f t="shared" si="57"/>
        <v>145.24233869131109</v>
      </c>
      <c r="Q598">
        <f>IF(B598&lt;&gt;B597,IF(F598&lt;=AVERAGE(F576:F597),Dashboard!$N$6-Dashboard!$G$7,Dashboard!$N$6+Dashboard!$G$7),0)</f>
        <v>0</v>
      </c>
      <c r="R598">
        <f t="shared" si="58"/>
        <v>139.98817307043794</v>
      </c>
    </row>
    <row r="599" spans="1:18" x14ac:dyDescent="0.3">
      <c r="A599" t="s">
        <v>399</v>
      </c>
      <c r="B599">
        <v>2</v>
      </c>
      <c r="C599" s="19">
        <v>15</v>
      </c>
      <c r="D599" s="20">
        <v>2023</v>
      </c>
      <c r="E599" s="21">
        <f t="shared" si="54"/>
        <v>44972</v>
      </c>
      <c r="F599" s="20">
        <v>380.48</v>
      </c>
      <c r="G599" s="20">
        <v>2831621</v>
      </c>
      <c r="H599" s="20">
        <v>377.15</v>
      </c>
      <c r="I599" s="20">
        <v>380.53</v>
      </c>
      <c r="J599" s="22">
        <v>376.33</v>
      </c>
      <c r="K599" s="2">
        <f t="shared" si="55"/>
        <v>68694.16194031827</v>
      </c>
      <c r="L599" s="2">
        <f>IF(B599&lt;&gt;B598,L598*(1+Dashboard!$G$5)+Dashboard!$G$6, L598)</f>
        <v>65745.378761516826</v>
      </c>
      <c r="M599">
        <f t="shared" si="53"/>
        <v>0</v>
      </c>
      <c r="N599">
        <f t="shared" si="56"/>
        <v>180.54605219806106</v>
      </c>
      <c r="O599">
        <f>IF(B599&lt;&gt;B598, Dashboard!$L$6,0)</f>
        <v>0</v>
      </c>
      <c r="P599">
        <f t="shared" si="57"/>
        <v>145.24233869131109</v>
      </c>
      <c r="Q599">
        <f>IF(B599&lt;&gt;B598,IF(F599&lt;=AVERAGE(F577:F598),Dashboard!$N$6-Dashboard!$G$7,Dashboard!$N$6+Dashboard!$G$7),0)</f>
        <v>0</v>
      </c>
      <c r="R599">
        <f t="shared" si="58"/>
        <v>139.98817307043794</v>
      </c>
    </row>
    <row r="600" spans="1:18" x14ac:dyDescent="0.3">
      <c r="A600" t="s">
        <v>398</v>
      </c>
      <c r="B600">
        <v>2</v>
      </c>
      <c r="C600" s="19">
        <v>16</v>
      </c>
      <c r="D600" s="20">
        <v>2023</v>
      </c>
      <c r="E600" s="21">
        <f t="shared" si="54"/>
        <v>44973</v>
      </c>
      <c r="F600" s="20">
        <v>375.19</v>
      </c>
      <c r="G600" s="20">
        <v>3077501</v>
      </c>
      <c r="H600" s="20">
        <v>375.66</v>
      </c>
      <c r="I600" s="20">
        <v>379.43</v>
      </c>
      <c r="J600" s="22">
        <v>375.09</v>
      </c>
      <c r="K600" s="2">
        <f t="shared" si="55"/>
        <v>67739.073324190525</v>
      </c>
      <c r="L600" s="2">
        <f>IF(B600&lt;&gt;B599,L599*(1+Dashboard!$G$5)+Dashboard!$G$6, L599)</f>
        <v>65745.378761516826</v>
      </c>
      <c r="M600">
        <f t="shared" si="53"/>
        <v>0</v>
      </c>
      <c r="N600">
        <f t="shared" si="56"/>
        <v>180.54605219806106</v>
      </c>
      <c r="O600">
        <f>IF(B600&lt;&gt;B599, Dashboard!$L$6,0)</f>
        <v>0</v>
      </c>
      <c r="P600">
        <f t="shared" si="57"/>
        <v>145.24233869131109</v>
      </c>
      <c r="Q600">
        <f>IF(B600&lt;&gt;B599,IF(F600&lt;=AVERAGE(F578:F599),Dashboard!$N$6-Dashboard!$G$7,Dashboard!$N$6+Dashboard!$G$7),0)</f>
        <v>0</v>
      </c>
      <c r="R600">
        <f t="shared" si="58"/>
        <v>139.98817307043794</v>
      </c>
    </row>
    <row r="601" spans="1:18" x14ac:dyDescent="0.3">
      <c r="A601" t="s">
        <v>397</v>
      </c>
      <c r="B601">
        <v>2</v>
      </c>
      <c r="C601" s="19">
        <v>17</v>
      </c>
      <c r="D601" s="20">
        <v>2023</v>
      </c>
      <c r="E601" s="21">
        <f t="shared" si="54"/>
        <v>44974</v>
      </c>
      <c r="F601" s="20">
        <v>374.22</v>
      </c>
      <c r="G601" s="20">
        <v>3285327</v>
      </c>
      <c r="H601" s="20">
        <v>373.17899999999997</v>
      </c>
      <c r="I601" s="20">
        <v>374.45</v>
      </c>
      <c r="J601" s="22">
        <v>371.32</v>
      </c>
      <c r="K601" s="2">
        <f t="shared" si="55"/>
        <v>67563.94365355841</v>
      </c>
      <c r="L601" s="2">
        <f>IF(B601&lt;&gt;B600,L600*(1+Dashboard!$G$5)+Dashboard!$G$6, L600)</f>
        <v>65745.378761516826</v>
      </c>
      <c r="M601">
        <f t="shared" ref="M601:M664" si="59">IF(B601&lt;&gt;B600,IF((L601-K601&gt;0),L601-K601,0),0)</f>
        <v>0</v>
      </c>
      <c r="N601">
        <f t="shared" si="56"/>
        <v>180.54605219806106</v>
      </c>
      <c r="O601">
        <f>IF(B601&lt;&gt;B600, Dashboard!$L$6,0)</f>
        <v>0</v>
      </c>
      <c r="P601">
        <f t="shared" si="57"/>
        <v>145.24233869131109</v>
      </c>
      <c r="Q601">
        <f>IF(B601&lt;&gt;B600,IF(F601&lt;=AVERAGE(F579:F600),Dashboard!$N$6-Dashboard!$G$7,Dashboard!$N$6+Dashboard!$G$7),0)</f>
        <v>0</v>
      </c>
      <c r="R601">
        <f t="shared" si="58"/>
        <v>139.98817307043794</v>
      </c>
    </row>
    <row r="602" spans="1:18" x14ac:dyDescent="0.3">
      <c r="A602" t="s">
        <v>396</v>
      </c>
      <c r="B602">
        <v>2</v>
      </c>
      <c r="C602" s="19">
        <v>21</v>
      </c>
      <c r="D602" s="20">
        <v>2023</v>
      </c>
      <c r="E602" s="21">
        <f t="shared" si="54"/>
        <v>44978</v>
      </c>
      <c r="F602" s="20">
        <v>366.79</v>
      </c>
      <c r="G602" s="20">
        <v>3109176</v>
      </c>
      <c r="H602" s="20">
        <v>370.4</v>
      </c>
      <c r="I602" s="20">
        <v>371.33499999999998</v>
      </c>
      <c r="J602" s="22">
        <v>366.48</v>
      </c>
      <c r="K602" s="2">
        <f t="shared" si="55"/>
        <v>66222.486485726826</v>
      </c>
      <c r="L602" s="2">
        <f>IF(B602&lt;&gt;B601,L601*(1+Dashboard!$G$5)+Dashboard!$G$6, L601)</f>
        <v>65745.378761516826</v>
      </c>
      <c r="M602">
        <f t="shared" si="59"/>
        <v>0</v>
      </c>
      <c r="N602">
        <f t="shared" si="56"/>
        <v>180.54605219806106</v>
      </c>
      <c r="O602">
        <f>IF(B602&lt;&gt;B601, Dashboard!$L$6,0)</f>
        <v>0</v>
      </c>
      <c r="P602">
        <f t="shared" si="57"/>
        <v>145.24233869131109</v>
      </c>
      <c r="Q602">
        <f>IF(B602&lt;&gt;B601,IF(F602&lt;=AVERAGE(F580:F601),Dashboard!$N$6-Dashboard!$G$7,Dashboard!$N$6+Dashboard!$G$7),0)</f>
        <v>0</v>
      </c>
      <c r="R602">
        <f t="shared" si="58"/>
        <v>139.98817307043794</v>
      </c>
    </row>
    <row r="603" spans="1:18" x14ac:dyDescent="0.3">
      <c r="A603" t="s">
        <v>395</v>
      </c>
      <c r="B603">
        <v>2</v>
      </c>
      <c r="C603" s="19">
        <v>22</v>
      </c>
      <c r="D603" s="20">
        <v>2023</v>
      </c>
      <c r="E603" s="21">
        <f t="shared" si="54"/>
        <v>44979</v>
      </c>
      <c r="F603" s="20">
        <v>366.33</v>
      </c>
      <c r="G603" s="20">
        <v>3872004</v>
      </c>
      <c r="H603" s="20">
        <v>367.18</v>
      </c>
      <c r="I603" s="20">
        <v>368.6</v>
      </c>
      <c r="J603" s="22">
        <v>364.84</v>
      </c>
      <c r="K603" s="2">
        <f t="shared" si="55"/>
        <v>66139.435301715712</v>
      </c>
      <c r="L603" s="2">
        <f>IF(B603&lt;&gt;B602,L602*(1+Dashboard!$G$5)+Dashboard!$G$6, L602)</f>
        <v>65745.378761516826</v>
      </c>
      <c r="M603">
        <f t="shared" si="59"/>
        <v>0</v>
      </c>
      <c r="N603">
        <f t="shared" si="56"/>
        <v>180.54605219806106</v>
      </c>
      <c r="O603">
        <f>IF(B603&lt;&gt;B602, Dashboard!$L$6,0)</f>
        <v>0</v>
      </c>
      <c r="P603">
        <f t="shared" si="57"/>
        <v>145.24233869131109</v>
      </c>
      <c r="Q603">
        <f>IF(B603&lt;&gt;B602,IF(F603&lt;=AVERAGE(F581:F602),Dashboard!$N$6-Dashboard!$G$7,Dashboard!$N$6+Dashboard!$G$7),0)</f>
        <v>0</v>
      </c>
      <c r="R603">
        <f t="shared" si="58"/>
        <v>139.98817307043794</v>
      </c>
    </row>
    <row r="604" spans="1:18" x14ac:dyDescent="0.3">
      <c r="A604" t="s">
        <v>394</v>
      </c>
      <c r="B604">
        <v>2</v>
      </c>
      <c r="C604" s="19">
        <v>23</v>
      </c>
      <c r="D604" s="20">
        <v>2023</v>
      </c>
      <c r="E604" s="21">
        <f t="shared" si="54"/>
        <v>44980</v>
      </c>
      <c r="F604" s="20">
        <v>368.17</v>
      </c>
      <c r="G604" s="20">
        <v>2867193</v>
      </c>
      <c r="H604" s="20">
        <v>369.07</v>
      </c>
      <c r="I604" s="20">
        <v>369.57</v>
      </c>
      <c r="J604" s="22">
        <v>364.13</v>
      </c>
      <c r="K604" s="2">
        <f t="shared" si="55"/>
        <v>66471.640037760139</v>
      </c>
      <c r="L604" s="2">
        <f>IF(B604&lt;&gt;B603,L603*(1+Dashboard!$G$5)+Dashboard!$G$6, L603)</f>
        <v>65745.378761516826</v>
      </c>
      <c r="M604">
        <f t="shared" si="59"/>
        <v>0</v>
      </c>
      <c r="N604">
        <f t="shared" si="56"/>
        <v>180.54605219806106</v>
      </c>
      <c r="O604">
        <f>IF(B604&lt;&gt;B603, Dashboard!$L$6,0)</f>
        <v>0</v>
      </c>
      <c r="P604">
        <f t="shared" si="57"/>
        <v>145.24233869131109</v>
      </c>
      <c r="Q604">
        <f>IF(B604&lt;&gt;B603,IF(F604&lt;=AVERAGE(F582:F603),Dashboard!$N$6-Dashboard!$G$7,Dashboard!$N$6+Dashboard!$G$7),0)</f>
        <v>0</v>
      </c>
      <c r="R604">
        <f t="shared" si="58"/>
        <v>139.98817307043794</v>
      </c>
    </row>
    <row r="605" spans="1:18" x14ac:dyDescent="0.3">
      <c r="A605" t="s">
        <v>393</v>
      </c>
      <c r="B605">
        <v>2</v>
      </c>
      <c r="C605" s="19">
        <v>24</v>
      </c>
      <c r="D605" s="20">
        <v>2023</v>
      </c>
      <c r="E605" s="21">
        <f t="shared" si="54"/>
        <v>44981</v>
      </c>
      <c r="F605" s="20">
        <v>364.23</v>
      </c>
      <c r="G605" s="20">
        <v>4055007</v>
      </c>
      <c r="H605" s="20">
        <v>363.31</v>
      </c>
      <c r="I605" s="20">
        <v>365.03</v>
      </c>
      <c r="J605" s="22">
        <v>361.73</v>
      </c>
      <c r="K605" s="2">
        <f t="shared" si="55"/>
        <v>65760.28859209978</v>
      </c>
      <c r="L605" s="2">
        <f>IF(B605&lt;&gt;B604,L604*(1+Dashboard!$G$5)+Dashboard!$G$6, L604)</f>
        <v>65745.378761516826</v>
      </c>
      <c r="M605">
        <f t="shared" si="59"/>
        <v>0</v>
      </c>
      <c r="N605">
        <f t="shared" si="56"/>
        <v>180.54605219806106</v>
      </c>
      <c r="O605">
        <f>IF(B605&lt;&gt;B604, Dashboard!$L$6,0)</f>
        <v>0</v>
      </c>
      <c r="P605">
        <f t="shared" si="57"/>
        <v>145.24233869131109</v>
      </c>
      <c r="Q605">
        <f>IF(B605&lt;&gt;B604,IF(F605&lt;=AVERAGE(F583:F604),Dashboard!$N$6-Dashboard!$G$7,Dashboard!$N$6+Dashboard!$G$7),0)</f>
        <v>0</v>
      </c>
      <c r="R605">
        <f t="shared" si="58"/>
        <v>139.98817307043794</v>
      </c>
    </row>
    <row r="606" spans="1:18" x14ac:dyDescent="0.3">
      <c r="A606" t="s">
        <v>392</v>
      </c>
      <c r="B606">
        <v>2</v>
      </c>
      <c r="C606" s="19">
        <v>27</v>
      </c>
      <c r="D606" s="20">
        <v>2023</v>
      </c>
      <c r="E606" s="21">
        <f t="shared" si="54"/>
        <v>44984</v>
      </c>
      <c r="F606" s="20">
        <v>365.49</v>
      </c>
      <c r="G606" s="20">
        <v>3300148</v>
      </c>
      <c r="H606" s="20">
        <v>367.49</v>
      </c>
      <c r="I606" s="20">
        <v>368.77</v>
      </c>
      <c r="J606" s="22">
        <v>364.59359999999998</v>
      </c>
      <c r="K606" s="2">
        <f t="shared" si="55"/>
        <v>65987.776617869342</v>
      </c>
      <c r="L606" s="2">
        <f>IF(B606&lt;&gt;B605,L605*(1+Dashboard!$G$5)+Dashboard!$G$6, L605)</f>
        <v>65745.378761516826</v>
      </c>
      <c r="M606">
        <f t="shared" si="59"/>
        <v>0</v>
      </c>
      <c r="N606">
        <f t="shared" si="56"/>
        <v>180.54605219806106</v>
      </c>
      <c r="O606">
        <f>IF(B606&lt;&gt;B605, Dashboard!$L$6,0)</f>
        <v>0</v>
      </c>
      <c r="P606">
        <f t="shared" si="57"/>
        <v>145.24233869131109</v>
      </c>
      <c r="Q606">
        <f>IF(B606&lt;&gt;B605,IF(F606&lt;=AVERAGE(F584:F605),Dashboard!$N$6-Dashboard!$G$7,Dashboard!$N$6+Dashboard!$G$7),0)</f>
        <v>0</v>
      </c>
      <c r="R606">
        <f t="shared" si="58"/>
        <v>139.98817307043794</v>
      </c>
    </row>
    <row r="607" spans="1:18" x14ac:dyDescent="0.3">
      <c r="A607" t="s">
        <v>391</v>
      </c>
      <c r="B607">
        <v>2</v>
      </c>
      <c r="C607" s="19">
        <v>28</v>
      </c>
      <c r="D607" s="20">
        <v>2023</v>
      </c>
      <c r="E607" s="21">
        <f t="shared" si="54"/>
        <v>44985</v>
      </c>
      <c r="F607" s="20">
        <v>364.11</v>
      </c>
      <c r="G607" s="20">
        <v>3022200</v>
      </c>
      <c r="H607" s="20">
        <v>365.01</v>
      </c>
      <c r="I607" s="20">
        <v>366.86</v>
      </c>
      <c r="J607" s="22">
        <v>364.05</v>
      </c>
      <c r="K607" s="2">
        <f t="shared" si="55"/>
        <v>65738.623065836015</v>
      </c>
      <c r="L607" s="2">
        <f>IF(B607&lt;&gt;B606,L606*(1+Dashboard!$G$5)+Dashboard!$G$6, L606)</f>
        <v>65745.378761516826</v>
      </c>
      <c r="M607">
        <f t="shared" si="59"/>
        <v>0</v>
      </c>
      <c r="N607">
        <f t="shared" si="56"/>
        <v>180.54605219806106</v>
      </c>
      <c r="O607">
        <f>IF(B607&lt;&gt;B606, Dashboard!$L$6,0)</f>
        <v>0</v>
      </c>
      <c r="P607">
        <f t="shared" si="57"/>
        <v>145.24233869131109</v>
      </c>
      <c r="Q607">
        <f>IF(B607&lt;&gt;B606,IF(F607&lt;=AVERAGE(F585:F606),Dashboard!$N$6-Dashboard!$G$7,Dashboard!$N$6+Dashboard!$G$7),0)</f>
        <v>0</v>
      </c>
      <c r="R607">
        <f t="shared" si="58"/>
        <v>139.98817307043794</v>
      </c>
    </row>
    <row r="608" spans="1:18" x14ac:dyDescent="0.3">
      <c r="A608" s="1">
        <v>44929</v>
      </c>
      <c r="B608">
        <v>3</v>
      </c>
      <c r="C608" s="19">
        <v>1</v>
      </c>
      <c r="D608" s="20">
        <v>2023</v>
      </c>
      <c r="E608" s="21">
        <f t="shared" si="54"/>
        <v>44986</v>
      </c>
      <c r="F608" s="20">
        <v>362.78</v>
      </c>
      <c r="G608" s="20">
        <v>3764724</v>
      </c>
      <c r="H608" s="20">
        <v>363.34</v>
      </c>
      <c r="I608" s="20">
        <v>364.51</v>
      </c>
      <c r="J608" s="22">
        <v>361.45</v>
      </c>
      <c r="K608" s="2">
        <f t="shared" si="55"/>
        <v>65498.496816412589</v>
      </c>
      <c r="L608" s="2">
        <f>IF(B608&lt;&gt;B607,L607*(1+Dashboard!$G$5)+Dashboard!$G$6, L607)</f>
        <v>68323.938094618163</v>
      </c>
      <c r="M608">
        <f t="shared" si="59"/>
        <v>2825.4412782055733</v>
      </c>
      <c r="N608">
        <f t="shared" si="56"/>
        <v>180.54605219806106</v>
      </c>
      <c r="O608">
        <f>IF(B608&lt;&gt;B607, Dashboard!$L$6,0)</f>
        <v>1859.7282542371197</v>
      </c>
      <c r="P608">
        <f t="shared" si="57"/>
        <v>150.36866388629736</v>
      </c>
      <c r="Q608">
        <f>IF(B608&lt;&gt;B607,IF(F608&lt;=AVERAGE(F586:F607),Dashboard!$N$6-Dashboard!$G$7,Dashboard!$N$6+Dashboard!$G$7),0)</f>
        <v>1232.609610169322</v>
      </c>
      <c r="R608">
        <f t="shared" si="58"/>
        <v>143.38061433803668</v>
      </c>
    </row>
    <row r="609" spans="1:18" x14ac:dyDescent="0.3">
      <c r="A609" s="1">
        <v>44960</v>
      </c>
      <c r="B609">
        <v>3</v>
      </c>
      <c r="C609" s="19">
        <v>2</v>
      </c>
      <c r="D609" s="20">
        <v>2023</v>
      </c>
      <c r="E609" s="21">
        <f t="shared" si="54"/>
        <v>44987</v>
      </c>
      <c r="F609" s="20">
        <v>365.49</v>
      </c>
      <c r="G609" s="20">
        <v>2730814</v>
      </c>
      <c r="H609" s="20">
        <v>360.81</v>
      </c>
      <c r="I609" s="20">
        <v>366.36</v>
      </c>
      <c r="J609" s="22">
        <v>360.53</v>
      </c>
      <c r="K609" s="2">
        <f t="shared" si="55"/>
        <v>68834.324202552496</v>
      </c>
      <c r="L609" s="2">
        <f>IF(B609&lt;&gt;B608,L608*(1+Dashboard!$G$5)+Dashboard!$G$6, L608)</f>
        <v>68323.938094618163</v>
      </c>
      <c r="M609">
        <f t="shared" si="59"/>
        <v>0</v>
      </c>
      <c r="N609">
        <f t="shared" si="56"/>
        <v>188.33435717133847</v>
      </c>
      <c r="O609">
        <f>IF(B609&lt;&gt;B608, Dashboard!$L$6,0)</f>
        <v>0</v>
      </c>
      <c r="P609">
        <f t="shared" si="57"/>
        <v>150.36866388629736</v>
      </c>
      <c r="Q609">
        <f>IF(B609&lt;&gt;B608,IF(F609&lt;=AVERAGE(F587:F608),Dashboard!$N$6-Dashboard!$G$7,Dashboard!$N$6+Dashboard!$G$7),0)</f>
        <v>0</v>
      </c>
      <c r="R609">
        <f t="shared" si="58"/>
        <v>143.38061433803668</v>
      </c>
    </row>
    <row r="610" spans="1:18" x14ac:dyDescent="0.3">
      <c r="A610" s="1">
        <v>44988</v>
      </c>
      <c r="B610">
        <v>3</v>
      </c>
      <c r="C610" s="19">
        <v>3</v>
      </c>
      <c r="D610" s="20">
        <v>2023</v>
      </c>
      <c r="E610" s="21">
        <f t="shared" si="54"/>
        <v>44988</v>
      </c>
      <c r="F610" s="20">
        <v>371.28</v>
      </c>
      <c r="G610" s="20">
        <v>4913599</v>
      </c>
      <c r="H610" s="20">
        <v>367.29</v>
      </c>
      <c r="I610" s="20">
        <v>371.67</v>
      </c>
      <c r="J610" s="22">
        <v>366.7</v>
      </c>
      <c r="K610" s="2">
        <f t="shared" si="55"/>
        <v>69924.780130574538</v>
      </c>
      <c r="L610" s="2">
        <f>IF(B610&lt;&gt;B609,L609*(1+Dashboard!$G$5)+Dashboard!$G$6, L609)</f>
        <v>68323.938094618163</v>
      </c>
      <c r="M610">
        <f t="shared" si="59"/>
        <v>0</v>
      </c>
      <c r="N610">
        <f t="shared" si="56"/>
        <v>188.33435717133847</v>
      </c>
      <c r="O610">
        <f>IF(B610&lt;&gt;B609, Dashboard!$L$6,0)</f>
        <v>0</v>
      </c>
      <c r="P610">
        <f t="shared" si="57"/>
        <v>150.36866388629736</v>
      </c>
      <c r="Q610">
        <f>IF(B610&lt;&gt;B609,IF(F610&lt;=AVERAGE(F588:F609),Dashboard!$N$6-Dashboard!$G$7,Dashboard!$N$6+Dashboard!$G$7),0)</f>
        <v>0</v>
      </c>
      <c r="R610">
        <f t="shared" si="58"/>
        <v>143.38061433803668</v>
      </c>
    </row>
    <row r="611" spans="1:18" x14ac:dyDescent="0.3">
      <c r="A611" s="1">
        <v>45080</v>
      </c>
      <c r="B611">
        <v>3</v>
      </c>
      <c r="C611" s="19">
        <v>6</v>
      </c>
      <c r="D611" s="20">
        <v>2023</v>
      </c>
      <c r="E611" s="21">
        <f t="shared" si="54"/>
        <v>44991</v>
      </c>
      <c r="F611" s="20">
        <v>371.73</v>
      </c>
      <c r="G611" s="20">
        <v>2638325</v>
      </c>
      <c r="H611" s="20">
        <v>372.26</v>
      </c>
      <c r="I611" s="20">
        <v>374.44</v>
      </c>
      <c r="J611" s="22">
        <v>371.3</v>
      </c>
      <c r="K611" s="2">
        <f t="shared" si="55"/>
        <v>70009.530591301649</v>
      </c>
      <c r="L611" s="2">
        <f>IF(B611&lt;&gt;B610,L610*(1+Dashboard!$G$5)+Dashboard!$G$6, L610)</f>
        <v>68323.938094618163</v>
      </c>
      <c r="M611">
        <f t="shared" si="59"/>
        <v>0</v>
      </c>
      <c r="N611">
        <f t="shared" si="56"/>
        <v>188.33435717133847</v>
      </c>
      <c r="O611">
        <f>IF(B611&lt;&gt;B610, Dashboard!$L$6,0)</f>
        <v>0</v>
      </c>
      <c r="P611">
        <f t="shared" si="57"/>
        <v>150.36866388629736</v>
      </c>
      <c r="Q611">
        <f>IF(B611&lt;&gt;B610,IF(F611&lt;=AVERAGE(F589:F610),Dashboard!$N$6-Dashboard!$G$7,Dashboard!$N$6+Dashboard!$G$7),0)</f>
        <v>0</v>
      </c>
      <c r="R611">
        <f t="shared" si="58"/>
        <v>143.38061433803668</v>
      </c>
    </row>
    <row r="612" spans="1:18" x14ac:dyDescent="0.3">
      <c r="A612" s="1">
        <v>45110</v>
      </c>
      <c r="B612">
        <v>3</v>
      </c>
      <c r="C612" s="19">
        <v>7</v>
      </c>
      <c r="D612" s="20">
        <v>2023</v>
      </c>
      <c r="E612" s="21">
        <f t="shared" si="54"/>
        <v>44992</v>
      </c>
      <c r="F612" s="20">
        <v>365.98</v>
      </c>
      <c r="G612" s="20">
        <v>3546141</v>
      </c>
      <c r="H612" s="20">
        <v>371.63</v>
      </c>
      <c r="I612" s="20">
        <v>371.89</v>
      </c>
      <c r="J612" s="22">
        <v>365.38499999999999</v>
      </c>
      <c r="K612" s="2">
        <f t="shared" si="55"/>
        <v>68926.608037566461</v>
      </c>
      <c r="L612" s="2">
        <f>IF(B612&lt;&gt;B611,L611*(1+Dashboard!$G$5)+Dashboard!$G$6, L611)</f>
        <v>68323.938094618163</v>
      </c>
      <c r="M612">
        <f t="shared" si="59"/>
        <v>0</v>
      </c>
      <c r="N612">
        <f t="shared" si="56"/>
        <v>188.33435717133847</v>
      </c>
      <c r="O612">
        <f>IF(B612&lt;&gt;B611, Dashboard!$L$6,0)</f>
        <v>0</v>
      </c>
      <c r="P612">
        <f t="shared" si="57"/>
        <v>150.36866388629736</v>
      </c>
      <c r="Q612">
        <f>IF(B612&lt;&gt;B611,IF(F612&lt;=AVERAGE(F590:F611),Dashboard!$N$6-Dashboard!$G$7,Dashboard!$N$6+Dashboard!$G$7),0)</f>
        <v>0</v>
      </c>
      <c r="R612">
        <f t="shared" si="58"/>
        <v>143.38061433803668</v>
      </c>
    </row>
    <row r="613" spans="1:18" x14ac:dyDescent="0.3">
      <c r="A613" s="1">
        <v>45141</v>
      </c>
      <c r="B613">
        <v>3</v>
      </c>
      <c r="C613" s="19">
        <v>8</v>
      </c>
      <c r="D613" s="20">
        <v>2023</v>
      </c>
      <c r="E613" s="21">
        <f t="shared" si="54"/>
        <v>44993</v>
      </c>
      <c r="F613" s="20">
        <v>366.55</v>
      </c>
      <c r="G613" s="20">
        <v>2906258</v>
      </c>
      <c r="H613" s="20">
        <v>366.11</v>
      </c>
      <c r="I613" s="20">
        <v>367.2987</v>
      </c>
      <c r="J613" s="22">
        <v>364.44</v>
      </c>
      <c r="K613" s="2">
        <f t="shared" si="55"/>
        <v>69033.958621154117</v>
      </c>
      <c r="L613" s="2">
        <f>IF(B613&lt;&gt;B612,L612*(1+Dashboard!$G$5)+Dashboard!$G$6, L612)</f>
        <v>68323.938094618163</v>
      </c>
      <c r="M613">
        <f t="shared" si="59"/>
        <v>0</v>
      </c>
      <c r="N613">
        <f t="shared" si="56"/>
        <v>188.33435717133847</v>
      </c>
      <c r="O613">
        <f>IF(B613&lt;&gt;B612, Dashboard!$L$6,0)</f>
        <v>0</v>
      </c>
      <c r="P613">
        <f t="shared" si="57"/>
        <v>150.36866388629736</v>
      </c>
      <c r="Q613">
        <f>IF(B613&lt;&gt;B612,IF(F613&lt;=AVERAGE(F591:F612),Dashboard!$N$6-Dashboard!$G$7,Dashboard!$N$6+Dashboard!$G$7),0)</f>
        <v>0</v>
      </c>
      <c r="R613">
        <f t="shared" si="58"/>
        <v>143.38061433803668</v>
      </c>
    </row>
    <row r="614" spans="1:18" x14ac:dyDescent="0.3">
      <c r="A614" s="1">
        <v>45172</v>
      </c>
      <c r="B614">
        <v>3</v>
      </c>
      <c r="C614" s="19">
        <v>9</v>
      </c>
      <c r="D614" s="20">
        <v>2023</v>
      </c>
      <c r="E614" s="21">
        <f t="shared" si="54"/>
        <v>44994</v>
      </c>
      <c r="F614" s="20">
        <v>359.84</v>
      </c>
      <c r="G614" s="20">
        <v>4409629</v>
      </c>
      <c r="H614" s="20">
        <v>367.35</v>
      </c>
      <c r="I614" s="20">
        <v>368.88</v>
      </c>
      <c r="J614" s="22">
        <v>358.85</v>
      </c>
      <c r="K614" s="2">
        <f t="shared" si="55"/>
        <v>67770.235084534434</v>
      </c>
      <c r="L614" s="2">
        <f>IF(B614&lt;&gt;B613,L613*(1+Dashboard!$G$5)+Dashboard!$G$6, L613)</f>
        <v>68323.938094618163</v>
      </c>
      <c r="M614">
        <f t="shared" si="59"/>
        <v>0</v>
      </c>
      <c r="N614">
        <f t="shared" si="56"/>
        <v>188.33435717133847</v>
      </c>
      <c r="O614">
        <f>IF(B614&lt;&gt;B613, Dashboard!$L$6,0)</f>
        <v>0</v>
      </c>
      <c r="P614">
        <f t="shared" si="57"/>
        <v>150.36866388629736</v>
      </c>
      <c r="Q614">
        <f>IF(B614&lt;&gt;B613,IF(F614&lt;=AVERAGE(F592:F613),Dashboard!$N$6-Dashboard!$G$7,Dashboard!$N$6+Dashboard!$G$7),0)</f>
        <v>0</v>
      </c>
      <c r="R614">
        <f t="shared" si="58"/>
        <v>143.38061433803668</v>
      </c>
    </row>
    <row r="615" spans="1:18" x14ac:dyDescent="0.3">
      <c r="A615" s="1">
        <v>45202</v>
      </c>
      <c r="B615">
        <v>3</v>
      </c>
      <c r="C615" s="19">
        <v>10</v>
      </c>
      <c r="D615" s="20">
        <v>2023</v>
      </c>
      <c r="E615" s="21">
        <f t="shared" si="54"/>
        <v>44995</v>
      </c>
      <c r="F615" s="20">
        <v>354.68</v>
      </c>
      <c r="G615" s="20">
        <v>8360402</v>
      </c>
      <c r="H615" s="20">
        <v>359.33</v>
      </c>
      <c r="I615" s="20">
        <v>361.24</v>
      </c>
      <c r="J615" s="22">
        <v>353.14</v>
      </c>
      <c r="K615" s="2">
        <f t="shared" si="55"/>
        <v>66798.429801530336</v>
      </c>
      <c r="L615" s="2">
        <f>IF(B615&lt;&gt;B614,L614*(1+Dashboard!$G$5)+Dashboard!$G$6, L614)</f>
        <v>68323.938094618163</v>
      </c>
      <c r="M615">
        <f t="shared" si="59"/>
        <v>0</v>
      </c>
      <c r="N615">
        <f t="shared" si="56"/>
        <v>188.33435717133847</v>
      </c>
      <c r="O615">
        <f>IF(B615&lt;&gt;B614, Dashboard!$L$6,0)</f>
        <v>0</v>
      </c>
      <c r="P615">
        <f t="shared" si="57"/>
        <v>150.36866388629736</v>
      </c>
      <c r="Q615">
        <f>IF(B615&lt;&gt;B614,IF(F615&lt;=AVERAGE(F593:F614),Dashboard!$N$6-Dashboard!$G$7,Dashboard!$N$6+Dashboard!$G$7),0)</f>
        <v>0</v>
      </c>
      <c r="R615">
        <f t="shared" si="58"/>
        <v>143.38061433803668</v>
      </c>
    </row>
    <row r="616" spans="1:18" x14ac:dyDescent="0.3">
      <c r="A616" t="s">
        <v>390</v>
      </c>
      <c r="B616">
        <v>3</v>
      </c>
      <c r="C616" s="19">
        <v>13</v>
      </c>
      <c r="D616" s="20">
        <v>2023</v>
      </c>
      <c r="E616" s="21">
        <f t="shared" si="54"/>
        <v>44998</v>
      </c>
      <c r="F616" s="20">
        <v>354.08</v>
      </c>
      <c r="G616" s="20">
        <v>6478693</v>
      </c>
      <c r="H616" s="20">
        <v>350.76</v>
      </c>
      <c r="I616" s="20">
        <v>358.67</v>
      </c>
      <c r="J616" s="22">
        <v>349.76</v>
      </c>
      <c r="K616" s="2">
        <f t="shared" si="55"/>
        <v>66685.429187227521</v>
      </c>
      <c r="L616" s="2">
        <f>IF(B616&lt;&gt;B615,L615*(1+Dashboard!$G$5)+Dashboard!$G$6, L615)</f>
        <v>68323.938094618163</v>
      </c>
      <c r="M616">
        <f t="shared" si="59"/>
        <v>0</v>
      </c>
      <c r="N616">
        <f t="shared" si="56"/>
        <v>188.33435717133847</v>
      </c>
      <c r="O616">
        <f>IF(B616&lt;&gt;B615, Dashboard!$L$6,0)</f>
        <v>0</v>
      </c>
      <c r="P616">
        <f t="shared" si="57"/>
        <v>150.36866388629736</v>
      </c>
      <c r="Q616">
        <f>IF(B616&lt;&gt;B615,IF(F616&lt;=AVERAGE(F594:F615),Dashboard!$N$6-Dashboard!$G$7,Dashboard!$N$6+Dashboard!$G$7),0)</f>
        <v>0</v>
      </c>
      <c r="R616">
        <f t="shared" si="58"/>
        <v>143.38061433803668</v>
      </c>
    </row>
    <row r="617" spans="1:18" x14ac:dyDescent="0.3">
      <c r="A617" t="s">
        <v>389</v>
      </c>
      <c r="B617">
        <v>3</v>
      </c>
      <c r="C617" s="19">
        <v>14</v>
      </c>
      <c r="D617" s="20">
        <v>2023</v>
      </c>
      <c r="E617" s="21">
        <f t="shared" si="54"/>
        <v>44999</v>
      </c>
      <c r="F617" s="20">
        <v>359.96</v>
      </c>
      <c r="G617" s="20">
        <v>4798811</v>
      </c>
      <c r="H617" s="20">
        <v>358.88</v>
      </c>
      <c r="I617" s="20">
        <v>361.51</v>
      </c>
      <c r="J617" s="22">
        <v>355.63</v>
      </c>
      <c r="K617" s="2">
        <f t="shared" si="55"/>
        <v>67792.835207394994</v>
      </c>
      <c r="L617" s="2">
        <f>IF(B617&lt;&gt;B616,L616*(1+Dashboard!$G$5)+Dashboard!$G$6, L616)</f>
        <v>68323.938094618163</v>
      </c>
      <c r="M617">
        <f t="shared" si="59"/>
        <v>0</v>
      </c>
      <c r="N617">
        <f t="shared" si="56"/>
        <v>188.33435717133847</v>
      </c>
      <c r="O617">
        <f>IF(B617&lt;&gt;B616, Dashboard!$L$6,0)</f>
        <v>0</v>
      </c>
      <c r="P617">
        <f t="shared" si="57"/>
        <v>150.36866388629736</v>
      </c>
      <c r="Q617">
        <f>IF(B617&lt;&gt;B616,IF(F617&lt;=AVERAGE(F595:F616),Dashboard!$N$6-Dashboard!$G$7,Dashboard!$N$6+Dashboard!$G$7),0)</f>
        <v>0</v>
      </c>
      <c r="R617">
        <f t="shared" si="58"/>
        <v>143.38061433803668</v>
      </c>
    </row>
    <row r="618" spans="1:18" x14ac:dyDescent="0.3">
      <c r="A618" t="s">
        <v>388</v>
      </c>
      <c r="B618">
        <v>3</v>
      </c>
      <c r="C618" s="19">
        <v>15</v>
      </c>
      <c r="D618" s="20">
        <v>2023</v>
      </c>
      <c r="E618" s="21">
        <f t="shared" si="54"/>
        <v>45000</v>
      </c>
      <c r="F618" s="20">
        <v>357.74</v>
      </c>
      <c r="G618" s="20">
        <v>6610393</v>
      </c>
      <c r="H618" s="20">
        <v>354.46</v>
      </c>
      <c r="I618" s="20">
        <v>357.88</v>
      </c>
      <c r="J618" s="22">
        <v>352.565</v>
      </c>
      <c r="K618" s="2">
        <f t="shared" si="55"/>
        <v>67374.732934474625</v>
      </c>
      <c r="L618" s="2">
        <f>IF(B618&lt;&gt;B617,L617*(1+Dashboard!$G$5)+Dashboard!$G$6, L617)</f>
        <v>68323.938094618163</v>
      </c>
      <c r="M618">
        <f t="shared" si="59"/>
        <v>0</v>
      </c>
      <c r="N618">
        <f t="shared" si="56"/>
        <v>188.33435717133847</v>
      </c>
      <c r="O618">
        <f>IF(B618&lt;&gt;B617, Dashboard!$L$6,0)</f>
        <v>0</v>
      </c>
      <c r="P618">
        <f t="shared" si="57"/>
        <v>150.36866388629736</v>
      </c>
      <c r="Q618">
        <f>IF(B618&lt;&gt;B617,IF(F618&lt;=AVERAGE(F596:F617),Dashboard!$N$6-Dashboard!$G$7,Dashboard!$N$6+Dashboard!$G$7),0)</f>
        <v>0</v>
      </c>
      <c r="R618">
        <f t="shared" si="58"/>
        <v>143.38061433803668</v>
      </c>
    </row>
    <row r="619" spans="1:18" x14ac:dyDescent="0.3">
      <c r="A619" t="s">
        <v>387</v>
      </c>
      <c r="B619">
        <v>3</v>
      </c>
      <c r="C619" s="19">
        <v>16</v>
      </c>
      <c r="D619" s="20">
        <v>2023</v>
      </c>
      <c r="E619" s="21">
        <f t="shared" si="54"/>
        <v>45001</v>
      </c>
      <c r="F619" s="20">
        <v>363.86</v>
      </c>
      <c r="G619" s="20">
        <v>5049842</v>
      </c>
      <c r="H619" s="20">
        <v>355.54</v>
      </c>
      <c r="I619" s="20">
        <v>364.26</v>
      </c>
      <c r="J619" s="22">
        <v>354.99</v>
      </c>
      <c r="K619" s="2">
        <f t="shared" si="55"/>
        <v>68527.339200363218</v>
      </c>
      <c r="L619" s="2">
        <f>IF(B619&lt;&gt;B618,L618*(1+Dashboard!$G$5)+Dashboard!$G$6, L618)</f>
        <v>68323.938094618163</v>
      </c>
      <c r="M619">
        <f t="shared" si="59"/>
        <v>0</v>
      </c>
      <c r="N619">
        <f t="shared" si="56"/>
        <v>188.33435717133847</v>
      </c>
      <c r="O619">
        <f>IF(B619&lt;&gt;B618, Dashboard!$L$6,0)</f>
        <v>0</v>
      </c>
      <c r="P619">
        <f t="shared" si="57"/>
        <v>150.36866388629736</v>
      </c>
      <c r="Q619">
        <f>IF(B619&lt;&gt;B618,IF(F619&lt;=AVERAGE(F597:F618),Dashboard!$N$6-Dashboard!$G$7,Dashboard!$N$6+Dashboard!$G$7),0)</f>
        <v>0</v>
      </c>
      <c r="R619">
        <f t="shared" si="58"/>
        <v>143.38061433803668</v>
      </c>
    </row>
    <row r="620" spans="1:18" x14ac:dyDescent="0.3">
      <c r="A620" t="s">
        <v>386</v>
      </c>
      <c r="B620">
        <v>3</v>
      </c>
      <c r="C620" s="19">
        <v>17</v>
      </c>
      <c r="D620" s="20">
        <v>2023</v>
      </c>
      <c r="E620" s="21">
        <f t="shared" si="54"/>
        <v>45002</v>
      </c>
      <c r="F620" s="20">
        <v>359.88</v>
      </c>
      <c r="G620" s="20">
        <v>5189907</v>
      </c>
      <c r="H620" s="20">
        <v>362.76</v>
      </c>
      <c r="I620" s="20">
        <v>363.79</v>
      </c>
      <c r="J620" s="22">
        <v>358.42009999999999</v>
      </c>
      <c r="K620" s="2">
        <f t="shared" si="55"/>
        <v>67777.768458821287</v>
      </c>
      <c r="L620" s="2">
        <f>IF(B620&lt;&gt;B619,L619*(1+Dashboard!$G$5)+Dashboard!$G$6, L619)</f>
        <v>68323.938094618163</v>
      </c>
      <c r="M620">
        <f t="shared" si="59"/>
        <v>0</v>
      </c>
      <c r="N620">
        <f t="shared" si="56"/>
        <v>188.33435717133847</v>
      </c>
      <c r="O620">
        <f>IF(B620&lt;&gt;B619, Dashboard!$L$6,0)</f>
        <v>0</v>
      </c>
      <c r="P620">
        <f t="shared" si="57"/>
        <v>150.36866388629736</v>
      </c>
      <c r="Q620">
        <f>IF(B620&lt;&gt;B619,IF(F620&lt;=AVERAGE(F598:F619),Dashboard!$N$6-Dashboard!$G$7,Dashboard!$N$6+Dashboard!$G$7),0)</f>
        <v>0</v>
      </c>
      <c r="R620">
        <f t="shared" si="58"/>
        <v>143.38061433803668</v>
      </c>
    </row>
    <row r="621" spans="1:18" x14ac:dyDescent="0.3">
      <c r="A621" t="s">
        <v>385</v>
      </c>
      <c r="B621">
        <v>3</v>
      </c>
      <c r="C621" s="19">
        <v>20</v>
      </c>
      <c r="D621" s="20">
        <v>2023</v>
      </c>
      <c r="E621" s="21">
        <f t="shared" si="54"/>
        <v>45005</v>
      </c>
      <c r="F621" s="20">
        <v>363.13</v>
      </c>
      <c r="G621" s="20">
        <v>3099753</v>
      </c>
      <c r="H621" s="20">
        <v>360.47</v>
      </c>
      <c r="I621" s="20">
        <v>363.58</v>
      </c>
      <c r="J621" s="22">
        <v>359.82</v>
      </c>
      <c r="K621" s="2">
        <f t="shared" si="55"/>
        <v>68389.855119628133</v>
      </c>
      <c r="L621" s="2">
        <f>IF(B621&lt;&gt;B620,L620*(1+Dashboard!$G$5)+Dashboard!$G$6, L620)</f>
        <v>68323.938094618163</v>
      </c>
      <c r="M621">
        <f t="shared" si="59"/>
        <v>0</v>
      </c>
      <c r="N621">
        <f t="shared" si="56"/>
        <v>188.33435717133847</v>
      </c>
      <c r="O621">
        <f>IF(B621&lt;&gt;B620, Dashboard!$L$6,0)</f>
        <v>0</v>
      </c>
      <c r="P621">
        <f t="shared" si="57"/>
        <v>150.36866388629736</v>
      </c>
      <c r="Q621">
        <f>IF(B621&lt;&gt;B620,IF(F621&lt;=AVERAGE(F599:F620),Dashboard!$N$6-Dashboard!$G$7,Dashboard!$N$6+Dashboard!$G$7),0)</f>
        <v>0</v>
      </c>
      <c r="R621">
        <f t="shared" si="58"/>
        <v>143.38061433803668</v>
      </c>
    </row>
    <row r="622" spans="1:18" x14ac:dyDescent="0.3">
      <c r="A622" t="s">
        <v>384</v>
      </c>
      <c r="B622">
        <v>3</v>
      </c>
      <c r="C622" s="19">
        <v>21</v>
      </c>
      <c r="D622" s="20">
        <v>2023</v>
      </c>
      <c r="E622" s="21">
        <f t="shared" si="54"/>
        <v>45006</v>
      </c>
      <c r="F622" s="20">
        <v>367.88</v>
      </c>
      <c r="G622" s="20">
        <v>4117629</v>
      </c>
      <c r="H622" s="20">
        <v>366.42</v>
      </c>
      <c r="I622" s="20">
        <v>368.41</v>
      </c>
      <c r="J622" s="22">
        <v>364.88</v>
      </c>
      <c r="K622" s="2">
        <f t="shared" si="55"/>
        <v>69284.443316191988</v>
      </c>
      <c r="L622" s="2">
        <f>IF(B622&lt;&gt;B621,L621*(1+Dashboard!$G$5)+Dashboard!$G$6, L621)</f>
        <v>68323.938094618163</v>
      </c>
      <c r="M622">
        <f t="shared" si="59"/>
        <v>0</v>
      </c>
      <c r="N622">
        <f t="shared" si="56"/>
        <v>188.33435717133847</v>
      </c>
      <c r="O622">
        <f>IF(B622&lt;&gt;B621, Dashboard!$L$6,0)</f>
        <v>0</v>
      </c>
      <c r="P622">
        <f t="shared" si="57"/>
        <v>150.36866388629736</v>
      </c>
      <c r="Q622">
        <f>IF(B622&lt;&gt;B621,IF(F622&lt;=AVERAGE(F600:F621),Dashboard!$N$6-Dashboard!$G$7,Dashboard!$N$6+Dashboard!$G$7),0)</f>
        <v>0</v>
      </c>
      <c r="R622">
        <f t="shared" si="58"/>
        <v>143.38061433803668</v>
      </c>
    </row>
    <row r="623" spans="1:18" x14ac:dyDescent="0.3">
      <c r="A623" t="s">
        <v>383</v>
      </c>
      <c r="B623">
        <v>3</v>
      </c>
      <c r="C623" s="19">
        <v>22</v>
      </c>
      <c r="D623" s="20">
        <v>2023</v>
      </c>
      <c r="E623" s="21">
        <f t="shared" si="54"/>
        <v>45007</v>
      </c>
      <c r="F623" s="20">
        <v>361.78</v>
      </c>
      <c r="G623" s="20">
        <v>4094840</v>
      </c>
      <c r="H623" s="20">
        <v>367.78</v>
      </c>
      <c r="I623" s="20">
        <v>371.21899999999999</v>
      </c>
      <c r="J623" s="22">
        <v>361.66</v>
      </c>
      <c r="K623" s="2">
        <f t="shared" si="55"/>
        <v>68135.603737446829</v>
      </c>
      <c r="L623" s="2">
        <f>IF(B623&lt;&gt;B622,L622*(1+Dashboard!$G$5)+Dashboard!$G$6, L622)</f>
        <v>68323.938094618163</v>
      </c>
      <c r="M623">
        <f t="shared" si="59"/>
        <v>0</v>
      </c>
      <c r="N623">
        <f t="shared" si="56"/>
        <v>188.33435717133847</v>
      </c>
      <c r="O623">
        <f>IF(B623&lt;&gt;B622, Dashboard!$L$6,0)</f>
        <v>0</v>
      </c>
      <c r="P623">
        <f t="shared" si="57"/>
        <v>150.36866388629736</v>
      </c>
      <c r="Q623">
        <f>IF(B623&lt;&gt;B622,IF(F623&lt;=AVERAGE(F601:F622),Dashboard!$N$6-Dashboard!$G$7,Dashboard!$N$6+Dashboard!$G$7),0)</f>
        <v>0</v>
      </c>
      <c r="R623">
        <f t="shared" si="58"/>
        <v>143.38061433803668</v>
      </c>
    </row>
    <row r="624" spans="1:18" x14ac:dyDescent="0.3">
      <c r="A624" t="s">
        <v>382</v>
      </c>
      <c r="B624">
        <v>3</v>
      </c>
      <c r="C624" s="19">
        <v>23</v>
      </c>
      <c r="D624" s="20">
        <v>2023</v>
      </c>
      <c r="E624" s="21">
        <f t="shared" si="54"/>
        <v>45008</v>
      </c>
      <c r="F624" s="20">
        <v>362.64</v>
      </c>
      <c r="G624" s="20">
        <v>4787193</v>
      </c>
      <c r="H624" s="20">
        <v>364.48</v>
      </c>
      <c r="I624" s="20">
        <v>368.286</v>
      </c>
      <c r="J624" s="22">
        <v>360.12</v>
      </c>
      <c r="K624" s="2">
        <f t="shared" si="55"/>
        <v>68297.571284614183</v>
      </c>
      <c r="L624" s="2">
        <f>IF(B624&lt;&gt;B623,L623*(1+Dashboard!$G$5)+Dashboard!$G$6, L623)</f>
        <v>68323.938094618163</v>
      </c>
      <c r="M624">
        <f t="shared" si="59"/>
        <v>0</v>
      </c>
      <c r="N624">
        <f t="shared" si="56"/>
        <v>188.33435717133847</v>
      </c>
      <c r="O624">
        <f>IF(B624&lt;&gt;B623, Dashboard!$L$6,0)</f>
        <v>0</v>
      </c>
      <c r="P624">
        <f t="shared" si="57"/>
        <v>150.36866388629736</v>
      </c>
      <c r="Q624">
        <f>IF(B624&lt;&gt;B623,IF(F624&lt;=AVERAGE(F602:F623),Dashboard!$N$6-Dashboard!$G$7,Dashboard!$N$6+Dashboard!$G$7),0)</f>
        <v>0</v>
      </c>
      <c r="R624">
        <f t="shared" si="58"/>
        <v>143.38061433803668</v>
      </c>
    </row>
    <row r="625" spans="1:18" x14ac:dyDescent="0.3">
      <c r="A625" t="s">
        <v>381</v>
      </c>
      <c r="B625">
        <v>3</v>
      </c>
      <c r="C625" s="19">
        <v>24</v>
      </c>
      <c r="D625" s="20">
        <v>2023</v>
      </c>
      <c r="E625" s="21">
        <f t="shared" si="54"/>
        <v>45009</v>
      </c>
      <c r="F625" s="20">
        <v>363.56</v>
      </c>
      <c r="G625" s="20">
        <v>3740941</v>
      </c>
      <c r="H625" s="20">
        <v>359.98</v>
      </c>
      <c r="I625" s="20">
        <v>363.63</v>
      </c>
      <c r="J625" s="22">
        <v>357.72</v>
      </c>
      <c r="K625" s="2">
        <f t="shared" si="55"/>
        <v>68470.838893211811</v>
      </c>
      <c r="L625" s="2">
        <f>IF(B625&lt;&gt;B624,L624*(1+Dashboard!$G$5)+Dashboard!$G$6, L624)</f>
        <v>68323.938094618163</v>
      </c>
      <c r="M625">
        <f t="shared" si="59"/>
        <v>0</v>
      </c>
      <c r="N625">
        <f t="shared" si="56"/>
        <v>188.33435717133847</v>
      </c>
      <c r="O625">
        <f>IF(B625&lt;&gt;B624, Dashboard!$L$6,0)</f>
        <v>0</v>
      </c>
      <c r="P625">
        <f t="shared" si="57"/>
        <v>150.36866388629736</v>
      </c>
      <c r="Q625">
        <f>IF(B625&lt;&gt;B624,IF(F625&lt;=AVERAGE(F603:F624),Dashboard!$N$6-Dashboard!$G$7,Dashboard!$N$6+Dashboard!$G$7),0)</f>
        <v>0</v>
      </c>
      <c r="R625">
        <f t="shared" si="58"/>
        <v>143.38061433803668</v>
      </c>
    </row>
    <row r="626" spans="1:18" x14ac:dyDescent="0.3">
      <c r="A626" t="s">
        <v>380</v>
      </c>
      <c r="B626">
        <v>3</v>
      </c>
      <c r="C626" s="19">
        <v>27</v>
      </c>
      <c r="D626" s="20">
        <v>2023</v>
      </c>
      <c r="E626" s="21">
        <f t="shared" si="54"/>
        <v>45012</v>
      </c>
      <c r="F626" s="20">
        <v>364.16</v>
      </c>
      <c r="G626" s="20">
        <v>4144795</v>
      </c>
      <c r="H626" s="20">
        <v>365.72500000000002</v>
      </c>
      <c r="I626" s="20">
        <v>366.43</v>
      </c>
      <c r="J626" s="22">
        <v>363.4</v>
      </c>
      <c r="K626" s="2">
        <f t="shared" si="55"/>
        <v>68583.839507514625</v>
      </c>
      <c r="L626" s="2">
        <f>IF(B626&lt;&gt;B625,L625*(1+Dashboard!$G$5)+Dashboard!$G$6, L625)</f>
        <v>68323.938094618163</v>
      </c>
      <c r="M626">
        <f t="shared" si="59"/>
        <v>0</v>
      </c>
      <c r="N626">
        <f t="shared" si="56"/>
        <v>188.33435717133847</v>
      </c>
      <c r="O626">
        <f>IF(B626&lt;&gt;B625, Dashboard!$L$6,0)</f>
        <v>0</v>
      </c>
      <c r="P626">
        <f t="shared" si="57"/>
        <v>150.36866388629736</v>
      </c>
      <c r="Q626">
        <f>IF(B626&lt;&gt;B625,IF(F626&lt;=AVERAGE(F604:F625),Dashboard!$N$6-Dashboard!$G$7,Dashboard!$N$6+Dashboard!$G$7),0)</f>
        <v>0</v>
      </c>
      <c r="R626">
        <f t="shared" si="58"/>
        <v>143.38061433803668</v>
      </c>
    </row>
    <row r="627" spans="1:18" x14ac:dyDescent="0.3">
      <c r="A627" t="s">
        <v>379</v>
      </c>
      <c r="B627">
        <v>3</v>
      </c>
      <c r="C627" s="19">
        <v>28</v>
      </c>
      <c r="D627" s="20">
        <v>2023</v>
      </c>
      <c r="E627" s="21">
        <f t="shared" si="54"/>
        <v>45013</v>
      </c>
      <c r="F627" s="20">
        <v>363.52</v>
      </c>
      <c r="G627" s="20">
        <v>2413653</v>
      </c>
      <c r="H627" s="20">
        <v>363.54</v>
      </c>
      <c r="I627" s="20">
        <v>364.2</v>
      </c>
      <c r="J627" s="22">
        <v>361.68200000000002</v>
      </c>
      <c r="K627" s="2">
        <f t="shared" si="55"/>
        <v>68463.305518924957</v>
      </c>
      <c r="L627" s="2">
        <f>IF(B627&lt;&gt;B626,L626*(1+Dashboard!$G$5)+Dashboard!$G$6, L626)</f>
        <v>68323.938094618163</v>
      </c>
      <c r="M627">
        <f t="shared" si="59"/>
        <v>0</v>
      </c>
      <c r="N627">
        <f t="shared" si="56"/>
        <v>188.33435717133847</v>
      </c>
      <c r="O627">
        <f>IF(B627&lt;&gt;B626, Dashboard!$L$6,0)</f>
        <v>0</v>
      </c>
      <c r="P627">
        <f t="shared" si="57"/>
        <v>150.36866388629736</v>
      </c>
      <c r="Q627">
        <f>IF(B627&lt;&gt;B626,IF(F627&lt;=AVERAGE(F605:F626),Dashboard!$N$6-Dashboard!$G$7,Dashboard!$N$6+Dashboard!$G$7),0)</f>
        <v>0</v>
      </c>
      <c r="R627">
        <f t="shared" si="58"/>
        <v>143.38061433803668</v>
      </c>
    </row>
    <row r="628" spans="1:18" x14ac:dyDescent="0.3">
      <c r="A628" t="s">
        <v>378</v>
      </c>
      <c r="B628">
        <v>3</v>
      </c>
      <c r="C628" s="19">
        <v>29</v>
      </c>
      <c r="D628" s="20">
        <v>2023</v>
      </c>
      <c r="E628" s="21">
        <f t="shared" si="54"/>
        <v>45014</v>
      </c>
      <c r="F628" s="20">
        <v>368.69</v>
      </c>
      <c r="G628" s="20">
        <v>3636069</v>
      </c>
      <c r="H628" s="20">
        <v>367.4</v>
      </c>
      <c r="I628" s="20">
        <v>368.94</v>
      </c>
      <c r="J628" s="22">
        <v>366.29</v>
      </c>
      <c r="K628" s="2">
        <f t="shared" si="55"/>
        <v>69436.994145500779</v>
      </c>
      <c r="L628" s="2">
        <f>IF(B628&lt;&gt;B627,L627*(1+Dashboard!$G$5)+Dashboard!$G$6, L627)</f>
        <v>68323.938094618163</v>
      </c>
      <c r="M628">
        <f t="shared" si="59"/>
        <v>0</v>
      </c>
      <c r="N628">
        <f t="shared" si="56"/>
        <v>188.33435717133847</v>
      </c>
      <c r="O628">
        <f>IF(B628&lt;&gt;B627, Dashboard!$L$6,0)</f>
        <v>0</v>
      </c>
      <c r="P628">
        <f t="shared" si="57"/>
        <v>150.36866388629736</v>
      </c>
      <c r="Q628">
        <f>IF(B628&lt;&gt;B627,IF(F628&lt;=AVERAGE(F606:F627),Dashboard!$N$6-Dashboard!$G$7,Dashboard!$N$6+Dashboard!$G$7),0)</f>
        <v>0</v>
      </c>
      <c r="R628">
        <f t="shared" si="58"/>
        <v>143.38061433803668</v>
      </c>
    </row>
    <row r="629" spans="1:18" x14ac:dyDescent="0.3">
      <c r="A629" t="s">
        <v>377</v>
      </c>
      <c r="B629">
        <v>3</v>
      </c>
      <c r="C629" s="19">
        <v>30</v>
      </c>
      <c r="D629" s="20">
        <v>2023</v>
      </c>
      <c r="E629" s="21">
        <f t="shared" si="54"/>
        <v>45015</v>
      </c>
      <c r="F629" s="20">
        <v>370.89</v>
      </c>
      <c r="G629" s="20">
        <v>3316742</v>
      </c>
      <c r="H629" s="20">
        <v>371.23</v>
      </c>
      <c r="I629" s="20">
        <v>371.48</v>
      </c>
      <c r="J629" s="22">
        <v>369.10199999999998</v>
      </c>
      <c r="K629" s="2">
        <f t="shared" si="55"/>
        <v>69851.329731277729</v>
      </c>
      <c r="L629" s="2">
        <f>IF(B629&lt;&gt;B628,L628*(1+Dashboard!$G$5)+Dashboard!$G$6, L628)</f>
        <v>68323.938094618163</v>
      </c>
      <c r="M629">
        <f t="shared" si="59"/>
        <v>0</v>
      </c>
      <c r="N629">
        <f t="shared" si="56"/>
        <v>188.33435717133847</v>
      </c>
      <c r="O629">
        <f>IF(B629&lt;&gt;B628, Dashboard!$L$6,0)</f>
        <v>0</v>
      </c>
      <c r="P629">
        <f t="shared" si="57"/>
        <v>150.36866388629736</v>
      </c>
      <c r="Q629">
        <f>IF(B629&lt;&gt;B628,IF(F629&lt;=AVERAGE(F607:F628),Dashboard!$N$6-Dashboard!$G$7,Dashboard!$N$6+Dashboard!$G$7),0)</f>
        <v>0</v>
      </c>
      <c r="R629">
        <f t="shared" si="58"/>
        <v>143.38061433803668</v>
      </c>
    </row>
    <row r="630" spans="1:18" x14ac:dyDescent="0.3">
      <c r="A630" t="s">
        <v>376</v>
      </c>
      <c r="B630">
        <v>3</v>
      </c>
      <c r="C630" s="19">
        <v>31</v>
      </c>
      <c r="D630" s="20">
        <v>2023</v>
      </c>
      <c r="E630" s="21">
        <f t="shared" si="54"/>
        <v>45016</v>
      </c>
      <c r="F630" s="20">
        <v>376.07</v>
      </c>
      <c r="G630" s="20">
        <v>4159844</v>
      </c>
      <c r="H630" s="20">
        <v>371.78</v>
      </c>
      <c r="I630" s="20">
        <v>376.34</v>
      </c>
      <c r="J630" s="22">
        <v>371.65</v>
      </c>
      <c r="K630" s="2">
        <f t="shared" si="55"/>
        <v>70826.90170142526</v>
      </c>
      <c r="L630" s="2">
        <f>IF(B630&lt;&gt;B629,L629*(1+Dashboard!$G$5)+Dashboard!$G$6, L629)</f>
        <v>68323.938094618163</v>
      </c>
      <c r="M630">
        <f t="shared" si="59"/>
        <v>0</v>
      </c>
      <c r="N630">
        <f t="shared" si="56"/>
        <v>188.33435717133847</v>
      </c>
      <c r="O630">
        <f>IF(B630&lt;&gt;B629, Dashboard!$L$6,0)</f>
        <v>0</v>
      </c>
      <c r="P630">
        <f t="shared" si="57"/>
        <v>150.36866388629736</v>
      </c>
      <c r="Q630">
        <f>IF(B630&lt;&gt;B629,IF(F630&lt;=AVERAGE(F608:F629),Dashboard!$N$6-Dashboard!$G$7,Dashboard!$N$6+Dashboard!$G$7),0)</f>
        <v>0</v>
      </c>
      <c r="R630">
        <f t="shared" si="58"/>
        <v>143.38061433803668</v>
      </c>
    </row>
    <row r="631" spans="1:18" x14ac:dyDescent="0.3">
      <c r="A631" s="1">
        <v>44989</v>
      </c>
      <c r="B631">
        <v>4</v>
      </c>
      <c r="C631" s="19">
        <v>3</v>
      </c>
      <c r="D631" s="20">
        <v>2023</v>
      </c>
      <c r="E631" s="21">
        <f t="shared" si="54"/>
        <v>45019</v>
      </c>
      <c r="F631" s="20">
        <v>377.56</v>
      </c>
      <c r="G631" s="20">
        <v>3525296</v>
      </c>
      <c r="H631" s="20">
        <v>375.6</v>
      </c>
      <c r="I631" s="20">
        <v>377.91</v>
      </c>
      <c r="J631" s="22">
        <v>375.22</v>
      </c>
      <c r="K631" s="2">
        <f t="shared" si="55"/>
        <v>71107.519893610559</v>
      </c>
      <c r="L631" s="2">
        <f>IF(B631&lt;&gt;B630,L630*(1+Dashboard!$G$5)+Dashboard!$G$6, L630)</f>
        <v>70925.1887498508</v>
      </c>
      <c r="M631">
        <f t="shared" si="59"/>
        <v>0</v>
      </c>
      <c r="N631">
        <f t="shared" si="56"/>
        <v>188.33435717133847</v>
      </c>
      <c r="O631">
        <f>IF(B631&lt;&gt;B630, Dashboard!$L$6,0)</f>
        <v>1859.7282542371197</v>
      </c>
      <c r="P631">
        <f t="shared" si="57"/>
        <v>155.2943134631517</v>
      </c>
      <c r="Q631">
        <f>IF(B631&lt;&gt;B630,IF(F631&lt;=AVERAGE(F609:F630),Dashboard!$N$6-Dashboard!$G$7,Dashboard!$N$6+Dashboard!$G$7),0)</f>
        <v>2232.609610169322</v>
      </c>
      <c r="R631">
        <f t="shared" si="58"/>
        <v>149.324729381086</v>
      </c>
    </row>
    <row r="632" spans="1:18" x14ac:dyDescent="0.3">
      <c r="A632" s="1">
        <v>45020</v>
      </c>
      <c r="B632">
        <v>4</v>
      </c>
      <c r="C632" s="19">
        <v>4</v>
      </c>
      <c r="D632" s="20">
        <v>2023</v>
      </c>
      <c r="E632" s="21">
        <f t="shared" si="54"/>
        <v>45020</v>
      </c>
      <c r="F632" s="20">
        <v>375.43</v>
      </c>
      <c r="G632" s="20">
        <v>2713278</v>
      </c>
      <c r="H632" s="20">
        <v>378.19</v>
      </c>
      <c r="I632" s="20">
        <v>378.4</v>
      </c>
      <c r="J632" s="22">
        <v>374.13</v>
      </c>
      <c r="K632" s="2">
        <f t="shared" si="55"/>
        <v>70706.367712835607</v>
      </c>
      <c r="L632" s="2">
        <f>IF(B632&lt;&gt;B631,L631*(1+Dashboard!$G$5)+Dashboard!$G$6, L631)</f>
        <v>70925.1887498508</v>
      </c>
      <c r="M632">
        <f t="shared" si="59"/>
        <v>0</v>
      </c>
      <c r="N632">
        <f t="shared" si="56"/>
        <v>188.33435717133847</v>
      </c>
      <c r="O632">
        <f>IF(B632&lt;&gt;B631, Dashboard!$L$6,0)</f>
        <v>0</v>
      </c>
      <c r="P632">
        <f t="shared" si="57"/>
        <v>155.2943134631517</v>
      </c>
      <c r="Q632">
        <f>IF(B632&lt;&gt;B631,IF(F632&lt;=AVERAGE(F610:F631),Dashboard!$N$6-Dashboard!$G$7,Dashboard!$N$6+Dashboard!$G$7),0)</f>
        <v>0</v>
      </c>
      <c r="R632">
        <f t="shared" si="58"/>
        <v>149.324729381086</v>
      </c>
    </row>
    <row r="633" spans="1:18" x14ac:dyDescent="0.3">
      <c r="A633" s="1">
        <v>45050</v>
      </c>
      <c r="B633">
        <v>4</v>
      </c>
      <c r="C633" s="19">
        <v>5</v>
      </c>
      <c r="D633" s="20">
        <v>2023</v>
      </c>
      <c r="E633" s="21">
        <f t="shared" si="54"/>
        <v>45021</v>
      </c>
      <c r="F633" s="20">
        <v>374.52</v>
      </c>
      <c r="G633" s="20">
        <v>3227735</v>
      </c>
      <c r="H633" s="20">
        <v>374.71</v>
      </c>
      <c r="I633" s="20">
        <v>375.42</v>
      </c>
      <c r="J633" s="22">
        <v>372.89</v>
      </c>
      <c r="K633" s="2">
        <f t="shared" si="55"/>
        <v>70534.983447809675</v>
      </c>
      <c r="L633" s="2">
        <f>IF(B633&lt;&gt;B632,L632*(1+Dashboard!$G$5)+Dashboard!$G$6, L632)</f>
        <v>70925.1887498508</v>
      </c>
      <c r="M633">
        <f t="shared" si="59"/>
        <v>0</v>
      </c>
      <c r="N633">
        <f t="shared" si="56"/>
        <v>188.33435717133847</v>
      </c>
      <c r="O633">
        <f>IF(B633&lt;&gt;B632, Dashboard!$L$6,0)</f>
        <v>0</v>
      </c>
      <c r="P633">
        <f t="shared" si="57"/>
        <v>155.2943134631517</v>
      </c>
      <c r="Q633">
        <f>IF(B633&lt;&gt;B632,IF(F633&lt;=AVERAGE(F611:F632),Dashboard!$N$6-Dashboard!$G$7,Dashboard!$N$6+Dashboard!$G$7),0)</f>
        <v>0</v>
      </c>
      <c r="R633">
        <f t="shared" si="58"/>
        <v>149.324729381086</v>
      </c>
    </row>
    <row r="634" spans="1:18" x14ac:dyDescent="0.3">
      <c r="A634" s="1">
        <v>45081</v>
      </c>
      <c r="B634">
        <v>4</v>
      </c>
      <c r="C634" s="19">
        <v>6</v>
      </c>
      <c r="D634" s="20">
        <v>2023</v>
      </c>
      <c r="E634" s="21">
        <f t="shared" si="54"/>
        <v>45022</v>
      </c>
      <c r="F634" s="20">
        <v>375.95</v>
      </c>
      <c r="G634" s="20">
        <v>3076223</v>
      </c>
      <c r="H634" s="20">
        <v>373.67</v>
      </c>
      <c r="I634" s="20">
        <v>376.185</v>
      </c>
      <c r="J634" s="22">
        <v>372.72</v>
      </c>
      <c r="K634" s="2">
        <f t="shared" si="55"/>
        <v>70804.3015785647</v>
      </c>
      <c r="L634" s="2">
        <f>IF(B634&lt;&gt;B633,L633*(1+Dashboard!$G$5)+Dashboard!$G$6, L633)</f>
        <v>70925.1887498508</v>
      </c>
      <c r="M634">
        <f t="shared" si="59"/>
        <v>0</v>
      </c>
      <c r="N634">
        <f t="shared" si="56"/>
        <v>188.33435717133847</v>
      </c>
      <c r="O634">
        <f>IF(B634&lt;&gt;B633, Dashboard!$L$6,0)</f>
        <v>0</v>
      </c>
      <c r="P634">
        <f t="shared" si="57"/>
        <v>155.2943134631517</v>
      </c>
      <c r="Q634">
        <f>IF(B634&lt;&gt;B633,IF(F634&lt;=AVERAGE(F612:F633),Dashboard!$N$6-Dashboard!$G$7,Dashboard!$N$6+Dashboard!$G$7),0)</f>
        <v>0</v>
      </c>
      <c r="R634">
        <f t="shared" si="58"/>
        <v>149.324729381086</v>
      </c>
    </row>
    <row r="635" spans="1:18" x14ac:dyDescent="0.3">
      <c r="A635" s="1">
        <v>45203</v>
      </c>
      <c r="B635">
        <v>4</v>
      </c>
      <c r="C635" s="19">
        <v>10</v>
      </c>
      <c r="D635" s="20">
        <v>2023</v>
      </c>
      <c r="E635" s="21">
        <f t="shared" si="54"/>
        <v>45026</v>
      </c>
      <c r="F635" s="20">
        <v>376.36</v>
      </c>
      <c r="G635" s="20">
        <v>2671117</v>
      </c>
      <c r="H635" s="20">
        <v>373.55</v>
      </c>
      <c r="I635" s="20">
        <v>376.39</v>
      </c>
      <c r="J635" s="22">
        <v>372.96</v>
      </c>
      <c r="K635" s="2">
        <f t="shared" si="55"/>
        <v>70881.518665004944</v>
      </c>
      <c r="L635" s="2">
        <f>IF(B635&lt;&gt;B634,L634*(1+Dashboard!$G$5)+Dashboard!$G$6, L634)</f>
        <v>70925.1887498508</v>
      </c>
      <c r="M635">
        <f t="shared" si="59"/>
        <v>0</v>
      </c>
      <c r="N635">
        <f t="shared" si="56"/>
        <v>188.33435717133847</v>
      </c>
      <c r="O635">
        <f>IF(B635&lt;&gt;B634, Dashboard!$L$6,0)</f>
        <v>0</v>
      </c>
      <c r="P635">
        <f t="shared" si="57"/>
        <v>155.2943134631517</v>
      </c>
      <c r="Q635">
        <f>IF(B635&lt;&gt;B634,IF(F635&lt;=AVERAGE(F613:F634),Dashboard!$N$6-Dashboard!$G$7,Dashboard!$N$6+Dashboard!$G$7),0)</f>
        <v>0</v>
      </c>
      <c r="R635">
        <f t="shared" si="58"/>
        <v>149.324729381086</v>
      </c>
    </row>
    <row r="636" spans="1:18" x14ac:dyDescent="0.3">
      <c r="A636" s="1">
        <v>45234</v>
      </c>
      <c r="B636">
        <v>4</v>
      </c>
      <c r="C636" s="19">
        <v>11</v>
      </c>
      <c r="D636" s="20">
        <v>2023</v>
      </c>
      <c r="E636" s="21">
        <f t="shared" si="54"/>
        <v>45027</v>
      </c>
      <c r="F636" s="20">
        <v>376.41</v>
      </c>
      <c r="G636" s="20">
        <v>3069001</v>
      </c>
      <c r="H636" s="20">
        <v>376.9</v>
      </c>
      <c r="I636" s="20">
        <v>377.76</v>
      </c>
      <c r="J636" s="22">
        <v>375.69</v>
      </c>
      <c r="K636" s="2">
        <f t="shared" si="55"/>
        <v>70890.935382863521</v>
      </c>
      <c r="L636" s="2">
        <f>IF(B636&lt;&gt;B635,L635*(1+Dashboard!$G$5)+Dashboard!$G$6, L635)</f>
        <v>70925.1887498508</v>
      </c>
      <c r="M636">
        <f t="shared" si="59"/>
        <v>0</v>
      </c>
      <c r="N636">
        <f t="shared" si="56"/>
        <v>188.33435717133847</v>
      </c>
      <c r="O636">
        <f>IF(B636&lt;&gt;B635, Dashboard!$L$6,0)</f>
        <v>0</v>
      </c>
      <c r="P636">
        <f t="shared" si="57"/>
        <v>155.2943134631517</v>
      </c>
      <c r="Q636">
        <f>IF(B636&lt;&gt;B635,IF(F636&lt;=AVERAGE(F614:F635),Dashboard!$N$6-Dashboard!$G$7,Dashboard!$N$6+Dashboard!$G$7),0)</f>
        <v>0</v>
      </c>
      <c r="R636">
        <f t="shared" si="58"/>
        <v>149.324729381086</v>
      </c>
    </row>
    <row r="637" spans="1:18" x14ac:dyDescent="0.3">
      <c r="A637" s="1">
        <v>45264</v>
      </c>
      <c r="B637">
        <v>4</v>
      </c>
      <c r="C637" s="19">
        <v>12</v>
      </c>
      <c r="D637" s="20">
        <v>2023</v>
      </c>
      <c r="E637" s="21">
        <f t="shared" si="54"/>
        <v>45028</v>
      </c>
      <c r="F637" s="20">
        <v>374.91</v>
      </c>
      <c r="G637" s="20">
        <v>3624173</v>
      </c>
      <c r="H637" s="20">
        <v>378.4</v>
      </c>
      <c r="I637" s="20">
        <v>378.62</v>
      </c>
      <c r="J637" s="22">
        <v>374.32</v>
      </c>
      <c r="K637" s="2">
        <f t="shared" si="55"/>
        <v>70608.433847106513</v>
      </c>
      <c r="L637" s="2">
        <f>IF(B637&lt;&gt;B636,L636*(1+Dashboard!$G$5)+Dashboard!$G$6, L636)</f>
        <v>70925.1887498508</v>
      </c>
      <c r="M637">
        <f t="shared" si="59"/>
        <v>0</v>
      </c>
      <c r="N637">
        <f t="shared" si="56"/>
        <v>188.33435717133847</v>
      </c>
      <c r="O637">
        <f>IF(B637&lt;&gt;B636, Dashboard!$L$6,0)</f>
        <v>0</v>
      </c>
      <c r="P637">
        <f t="shared" si="57"/>
        <v>155.2943134631517</v>
      </c>
      <c r="Q637">
        <f>IF(B637&lt;&gt;B636,IF(F637&lt;=AVERAGE(F615:F636),Dashboard!$N$6-Dashboard!$G$7,Dashboard!$N$6+Dashboard!$G$7),0)</f>
        <v>0</v>
      </c>
      <c r="R637">
        <f t="shared" si="58"/>
        <v>149.324729381086</v>
      </c>
    </row>
    <row r="638" spans="1:18" x14ac:dyDescent="0.3">
      <c r="A638" t="s">
        <v>375</v>
      </c>
      <c r="B638">
        <v>4</v>
      </c>
      <c r="C638" s="19">
        <v>13</v>
      </c>
      <c r="D638" s="20">
        <v>2023</v>
      </c>
      <c r="E638" s="21">
        <f t="shared" si="54"/>
        <v>45029</v>
      </c>
      <c r="F638" s="20">
        <v>379.77</v>
      </c>
      <c r="G638" s="20">
        <v>2680870</v>
      </c>
      <c r="H638" s="20">
        <v>375.91</v>
      </c>
      <c r="I638" s="20">
        <v>380.17</v>
      </c>
      <c r="J638" s="22">
        <v>375.44479999999999</v>
      </c>
      <c r="K638" s="2">
        <f t="shared" si="55"/>
        <v>71523.738822959203</v>
      </c>
      <c r="L638" s="2">
        <f>IF(B638&lt;&gt;B637,L637*(1+Dashboard!$G$5)+Dashboard!$G$6, L637)</f>
        <v>70925.1887498508</v>
      </c>
      <c r="M638">
        <f t="shared" si="59"/>
        <v>0</v>
      </c>
      <c r="N638">
        <f t="shared" si="56"/>
        <v>188.33435717133847</v>
      </c>
      <c r="O638">
        <f>IF(B638&lt;&gt;B637, Dashboard!$L$6,0)</f>
        <v>0</v>
      </c>
      <c r="P638">
        <f t="shared" si="57"/>
        <v>155.2943134631517</v>
      </c>
      <c r="Q638">
        <f>IF(B638&lt;&gt;B637,IF(F638&lt;=AVERAGE(F616:F637),Dashboard!$N$6-Dashboard!$G$7,Dashboard!$N$6+Dashboard!$G$7),0)</f>
        <v>0</v>
      </c>
      <c r="R638">
        <f t="shared" si="58"/>
        <v>149.324729381086</v>
      </c>
    </row>
    <row r="639" spans="1:18" x14ac:dyDescent="0.3">
      <c r="A639" t="s">
        <v>374</v>
      </c>
      <c r="B639">
        <v>4</v>
      </c>
      <c r="C639" s="19">
        <v>14</v>
      </c>
      <c r="D639" s="20">
        <v>2023</v>
      </c>
      <c r="E639" s="21">
        <f t="shared" si="54"/>
        <v>45030</v>
      </c>
      <c r="F639" s="20">
        <v>378.99</v>
      </c>
      <c r="G639" s="20">
        <v>2981653</v>
      </c>
      <c r="H639" s="20">
        <v>379.27</v>
      </c>
      <c r="I639" s="20">
        <v>381.33</v>
      </c>
      <c r="J639" s="22">
        <v>376.72</v>
      </c>
      <c r="K639" s="2">
        <f t="shared" si="55"/>
        <v>71376.83802436557</v>
      </c>
      <c r="L639" s="2">
        <f>IF(B639&lt;&gt;B638,L638*(1+Dashboard!$G$5)+Dashboard!$G$6, L638)</f>
        <v>70925.1887498508</v>
      </c>
      <c r="M639">
        <f t="shared" si="59"/>
        <v>0</v>
      </c>
      <c r="N639">
        <f t="shared" si="56"/>
        <v>188.33435717133847</v>
      </c>
      <c r="O639">
        <f>IF(B639&lt;&gt;B638, Dashboard!$L$6,0)</f>
        <v>0</v>
      </c>
      <c r="P639">
        <f t="shared" si="57"/>
        <v>155.2943134631517</v>
      </c>
      <c r="Q639">
        <f>IF(B639&lt;&gt;B638,IF(F639&lt;=AVERAGE(F617:F638),Dashboard!$N$6-Dashboard!$G$7,Dashboard!$N$6+Dashboard!$G$7),0)</f>
        <v>0</v>
      </c>
      <c r="R639">
        <f t="shared" si="58"/>
        <v>149.324729381086</v>
      </c>
    </row>
    <row r="640" spans="1:18" x14ac:dyDescent="0.3">
      <c r="A640" t="s">
        <v>373</v>
      </c>
      <c r="B640">
        <v>4</v>
      </c>
      <c r="C640" s="19">
        <v>17</v>
      </c>
      <c r="D640" s="20">
        <v>2023</v>
      </c>
      <c r="E640" s="21">
        <f t="shared" si="54"/>
        <v>45033</v>
      </c>
      <c r="F640" s="20">
        <v>380.28</v>
      </c>
      <c r="G640" s="20">
        <v>2721004</v>
      </c>
      <c r="H640" s="20">
        <v>378.84</v>
      </c>
      <c r="I640" s="20">
        <v>380.32</v>
      </c>
      <c r="J640" s="22">
        <v>377.68</v>
      </c>
      <c r="K640" s="2">
        <f t="shared" si="55"/>
        <v>71619.789345116587</v>
      </c>
      <c r="L640" s="2">
        <f>IF(B640&lt;&gt;B639,L639*(1+Dashboard!$G$5)+Dashboard!$G$6, L639)</f>
        <v>70925.1887498508</v>
      </c>
      <c r="M640">
        <f t="shared" si="59"/>
        <v>0</v>
      </c>
      <c r="N640">
        <f t="shared" si="56"/>
        <v>188.33435717133847</v>
      </c>
      <c r="O640">
        <f>IF(B640&lt;&gt;B639, Dashboard!$L$6,0)</f>
        <v>0</v>
      </c>
      <c r="P640">
        <f t="shared" si="57"/>
        <v>155.2943134631517</v>
      </c>
      <c r="Q640">
        <f>IF(B640&lt;&gt;B639,IF(F640&lt;=AVERAGE(F618:F639),Dashboard!$N$6-Dashboard!$G$7,Dashboard!$N$6+Dashboard!$G$7),0)</f>
        <v>0</v>
      </c>
      <c r="R640">
        <f t="shared" si="58"/>
        <v>149.324729381086</v>
      </c>
    </row>
    <row r="641" spans="1:18" x14ac:dyDescent="0.3">
      <c r="A641" t="s">
        <v>372</v>
      </c>
      <c r="B641">
        <v>4</v>
      </c>
      <c r="C641" s="19">
        <v>18</v>
      </c>
      <c r="D641" s="20">
        <v>2023</v>
      </c>
      <c r="E641" s="21">
        <f t="shared" si="54"/>
        <v>45034</v>
      </c>
      <c r="F641" s="20">
        <v>380.54</v>
      </c>
      <c r="G641" s="20">
        <v>3019268</v>
      </c>
      <c r="H641" s="20">
        <v>381.84</v>
      </c>
      <c r="I641" s="20">
        <v>381.91500000000002</v>
      </c>
      <c r="J641" s="22">
        <v>379.24</v>
      </c>
      <c r="K641" s="2">
        <f t="shared" si="55"/>
        <v>71668.756277981141</v>
      </c>
      <c r="L641" s="2">
        <f>IF(B641&lt;&gt;B640,L640*(1+Dashboard!$G$5)+Dashboard!$G$6, L640)</f>
        <v>70925.1887498508</v>
      </c>
      <c r="M641">
        <f t="shared" si="59"/>
        <v>0</v>
      </c>
      <c r="N641">
        <f t="shared" si="56"/>
        <v>188.33435717133847</v>
      </c>
      <c r="O641">
        <f>IF(B641&lt;&gt;B640, Dashboard!$L$6,0)</f>
        <v>0</v>
      </c>
      <c r="P641">
        <f t="shared" si="57"/>
        <v>155.2943134631517</v>
      </c>
      <c r="Q641">
        <f>IF(B641&lt;&gt;B640,IF(F641&lt;=AVERAGE(F619:F640),Dashboard!$N$6-Dashboard!$G$7,Dashboard!$N$6+Dashboard!$G$7),0)</f>
        <v>0</v>
      </c>
      <c r="R641">
        <f t="shared" si="58"/>
        <v>149.324729381086</v>
      </c>
    </row>
    <row r="642" spans="1:18" x14ac:dyDescent="0.3">
      <c r="A642" t="s">
        <v>371</v>
      </c>
      <c r="B642">
        <v>4</v>
      </c>
      <c r="C642" s="19">
        <v>19</v>
      </c>
      <c r="D642" s="20">
        <v>2023</v>
      </c>
      <c r="E642" s="21">
        <f t="shared" ref="E642:E705" si="60">DATE(D642,B642,C642)</f>
        <v>45035</v>
      </c>
      <c r="F642" s="20">
        <v>380.52</v>
      </c>
      <c r="G642" s="20">
        <v>2671311</v>
      </c>
      <c r="H642" s="20">
        <v>378.73</v>
      </c>
      <c r="I642" s="20">
        <v>381.33</v>
      </c>
      <c r="J642" s="22">
        <v>378.67</v>
      </c>
      <c r="K642" s="2">
        <f t="shared" si="55"/>
        <v>71664.989590837708</v>
      </c>
      <c r="L642" s="2">
        <f>IF(B642&lt;&gt;B641,L641*(1+Dashboard!$G$5)+Dashboard!$G$6, L641)</f>
        <v>70925.1887498508</v>
      </c>
      <c r="M642">
        <f t="shared" si="59"/>
        <v>0</v>
      </c>
      <c r="N642">
        <f t="shared" si="56"/>
        <v>188.33435717133847</v>
      </c>
      <c r="O642">
        <f>IF(B642&lt;&gt;B641, Dashboard!$L$6,0)</f>
        <v>0</v>
      </c>
      <c r="P642">
        <f t="shared" si="57"/>
        <v>155.2943134631517</v>
      </c>
      <c r="Q642">
        <f>IF(B642&lt;&gt;B641,IF(F642&lt;=AVERAGE(F620:F641),Dashboard!$N$6-Dashboard!$G$7,Dashboard!$N$6+Dashboard!$G$7),0)</f>
        <v>0</v>
      </c>
      <c r="R642">
        <f t="shared" si="58"/>
        <v>149.324729381086</v>
      </c>
    </row>
    <row r="643" spans="1:18" x14ac:dyDescent="0.3">
      <c r="A643" t="s">
        <v>370</v>
      </c>
      <c r="B643">
        <v>4</v>
      </c>
      <c r="C643" s="19">
        <v>20</v>
      </c>
      <c r="D643" s="20">
        <v>2023</v>
      </c>
      <c r="E643" s="21">
        <f t="shared" si="60"/>
        <v>45036</v>
      </c>
      <c r="F643" s="20">
        <v>378.37</v>
      </c>
      <c r="G643" s="20">
        <v>2953173</v>
      </c>
      <c r="H643" s="20">
        <v>377.78</v>
      </c>
      <c r="I643" s="20">
        <v>380.07</v>
      </c>
      <c r="J643" s="22">
        <v>376.94</v>
      </c>
      <c r="K643" s="2">
        <f t="shared" ref="K643:K706" si="61">N643*F643</f>
        <v>71260.070722919336</v>
      </c>
      <c r="L643" s="2">
        <f>IF(B643&lt;&gt;B642,L642*(1+Dashboard!$G$5)+Dashboard!$G$6, L642)</f>
        <v>70925.1887498508</v>
      </c>
      <c r="M643">
        <f t="shared" si="59"/>
        <v>0</v>
      </c>
      <c r="N643">
        <f t="shared" si="56"/>
        <v>188.33435717133847</v>
      </c>
      <c r="O643">
        <f>IF(B643&lt;&gt;B642, Dashboard!$L$6,0)</f>
        <v>0</v>
      </c>
      <c r="P643">
        <f t="shared" si="57"/>
        <v>155.2943134631517</v>
      </c>
      <c r="Q643">
        <f>IF(B643&lt;&gt;B642,IF(F643&lt;=AVERAGE(F621:F642),Dashboard!$N$6-Dashboard!$G$7,Dashboard!$N$6+Dashboard!$G$7),0)</f>
        <v>0</v>
      </c>
      <c r="R643">
        <f t="shared" si="58"/>
        <v>149.324729381086</v>
      </c>
    </row>
    <row r="644" spans="1:18" x14ac:dyDescent="0.3">
      <c r="A644" t="s">
        <v>369</v>
      </c>
      <c r="B644">
        <v>4</v>
      </c>
      <c r="C644" s="19">
        <v>21</v>
      </c>
      <c r="D644" s="20">
        <v>2023</v>
      </c>
      <c r="E644" s="21">
        <f t="shared" si="60"/>
        <v>45037</v>
      </c>
      <c r="F644" s="20">
        <v>378.59</v>
      </c>
      <c r="G644" s="20">
        <v>2762306</v>
      </c>
      <c r="H644" s="20">
        <v>378.68</v>
      </c>
      <c r="I644" s="20">
        <v>379.1</v>
      </c>
      <c r="J644" s="22">
        <v>376.82</v>
      </c>
      <c r="K644" s="2">
        <f t="shared" si="61"/>
        <v>71301.504281497022</v>
      </c>
      <c r="L644" s="2">
        <f>IF(B644&lt;&gt;B643,L643*(1+Dashboard!$G$5)+Dashboard!$G$6, L643)</f>
        <v>70925.1887498508</v>
      </c>
      <c r="M644">
        <f t="shared" si="59"/>
        <v>0</v>
      </c>
      <c r="N644">
        <f t="shared" ref="N644:N707" si="62">N643+M643/F643</f>
        <v>188.33435717133847</v>
      </c>
      <c r="O644">
        <f>IF(B644&lt;&gt;B643, Dashboard!$L$6,0)</f>
        <v>0</v>
      </c>
      <c r="P644">
        <f t="shared" ref="P644:P707" si="63">P643+O644/F644</f>
        <v>155.2943134631517</v>
      </c>
      <c r="Q644">
        <f>IF(B644&lt;&gt;B643,IF(F644&lt;=AVERAGE(F622:F643),Dashboard!$N$6-Dashboard!$G$7,Dashboard!$N$6+Dashboard!$G$7),0)</f>
        <v>0</v>
      </c>
      <c r="R644">
        <f t="shared" ref="R644:R707" si="64">R643+Q644/H644</f>
        <v>149.324729381086</v>
      </c>
    </row>
    <row r="645" spans="1:18" x14ac:dyDescent="0.3">
      <c r="A645" t="s">
        <v>368</v>
      </c>
      <c r="B645">
        <v>4</v>
      </c>
      <c r="C645" s="19">
        <v>24</v>
      </c>
      <c r="D645" s="20">
        <v>2023</v>
      </c>
      <c r="E645" s="21">
        <f t="shared" si="60"/>
        <v>45040</v>
      </c>
      <c r="F645" s="20">
        <v>379.09</v>
      </c>
      <c r="G645" s="20">
        <v>2310373</v>
      </c>
      <c r="H645" s="20">
        <v>378.48</v>
      </c>
      <c r="I645" s="20">
        <v>379.47</v>
      </c>
      <c r="J645" s="22">
        <v>377.23</v>
      </c>
      <c r="K645" s="2">
        <f t="shared" si="61"/>
        <v>71395.671460082696</v>
      </c>
      <c r="L645" s="2">
        <f>IF(B645&lt;&gt;B644,L644*(1+Dashboard!$G$5)+Dashboard!$G$6, L644)</f>
        <v>70925.1887498508</v>
      </c>
      <c r="M645">
        <f t="shared" si="59"/>
        <v>0</v>
      </c>
      <c r="N645">
        <f t="shared" si="62"/>
        <v>188.33435717133847</v>
      </c>
      <c r="O645">
        <f>IF(B645&lt;&gt;B644, Dashboard!$L$6,0)</f>
        <v>0</v>
      </c>
      <c r="P645">
        <f t="shared" si="63"/>
        <v>155.2943134631517</v>
      </c>
      <c r="Q645">
        <f>IF(B645&lt;&gt;B644,IF(F645&lt;=AVERAGE(F623:F644),Dashboard!$N$6-Dashboard!$G$7,Dashboard!$N$6+Dashboard!$G$7),0)</f>
        <v>0</v>
      </c>
      <c r="R645">
        <f t="shared" si="64"/>
        <v>149.324729381086</v>
      </c>
    </row>
    <row r="646" spans="1:18" x14ac:dyDescent="0.3">
      <c r="A646" t="s">
        <v>367</v>
      </c>
      <c r="B646">
        <v>4</v>
      </c>
      <c r="C646" s="19">
        <v>25</v>
      </c>
      <c r="D646" s="20">
        <v>2023</v>
      </c>
      <c r="E646" s="21">
        <f t="shared" si="60"/>
        <v>45041</v>
      </c>
      <c r="F646" s="20">
        <v>373.1</v>
      </c>
      <c r="G646" s="20">
        <v>3795428</v>
      </c>
      <c r="H646" s="20">
        <v>377.18</v>
      </c>
      <c r="I646" s="20">
        <v>377.7</v>
      </c>
      <c r="J646" s="22">
        <v>373.02</v>
      </c>
      <c r="K646" s="2">
        <f t="shared" si="61"/>
        <v>70267.548660626388</v>
      </c>
      <c r="L646" s="2">
        <f>IF(B646&lt;&gt;B645,L645*(1+Dashboard!$G$5)+Dashboard!$G$6, L645)</f>
        <v>70925.1887498508</v>
      </c>
      <c r="M646">
        <f t="shared" si="59"/>
        <v>0</v>
      </c>
      <c r="N646">
        <f t="shared" si="62"/>
        <v>188.33435717133847</v>
      </c>
      <c r="O646">
        <f>IF(B646&lt;&gt;B645, Dashboard!$L$6,0)</f>
        <v>0</v>
      </c>
      <c r="P646">
        <f t="shared" si="63"/>
        <v>155.2943134631517</v>
      </c>
      <c r="Q646">
        <f>IF(B646&lt;&gt;B645,IF(F646&lt;=AVERAGE(F624:F645),Dashboard!$N$6-Dashboard!$G$7,Dashboard!$N$6+Dashboard!$G$7),0)</f>
        <v>0</v>
      </c>
      <c r="R646">
        <f t="shared" si="64"/>
        <v>149.324729381086</v>
      </c>
    </row>
    <row r="647" spans="1:18" x14ac:dyDescent="0.3">
      <c r="A647" t="s">
        <v>366</v>
      </c>
      <c r="B647">
        <v>4</v>
      </c>
      <c r="C647" s="19">
        <v>26</v>
      </c>
      <c r="D647" s="20">
        <v>2023</v>
      </c>
      <c r="E647" s="21">
        <f t="shared" si="60"/>
        <v>45042</v>
      </c>
      <c r="F647" s="20">
        <v>371.44</v>
      </c>
      <c r="G647" s="20">
        <v>3766896</v>
      </c>
      <c r="H647" s="20">
        <v>373.66</v>
      </c>
      <c r="I647" s="20">
        <v>374.68</v>
      </c>
      <c r="J647" s="22">
        <v>370.98</v>
      </c>
      <c r="K647" s="2">
        <f t="shared" si="61"/>
        <v>69954.913627721966</v>
      </c>
      <c r="L647" s="2">
        <f>IF(B647&lt;&gt;B646,L646*(1+Dashboard!$G$5)+Dashboard!$G$6, L646)</f>
        <v>70925.1887498508</v>
      </c>
      <c r="M647">
        <f t="shared" si="59"/>
        <v>0</v>
      </c>
      <c r="N647">
        <f t="shared" si="62"/>
        <v>188.33435717133847</v>
      </c>
      <c r="O647">
        <f>IF(B647&lt;&gt;B646, Dashboard!$L$6,0)</f>
        <v>0</v>
      </c>
      <c r="P647">
        <f t="shared" si="63"/>
        <v>155.2943134631517</v>
      </c>
      <c r="Q647">
        <f>IF(B647&lt;&gt;B646,IF(F647&lt;=AVERAGE(F625:F646),Dashboard!$N$6-Dashboard!$G$7,Dashboard!$N$6+Dashboard!$G$7),0)</f>
        <v>0</v>
      </c>
      <c r="R647">
        <f t="shared" si="64"/>
        <v>149.324729381086</v>
      </c>
    </row>
    <row r="648" spans="1:18" x14ac:dyDescent="0.3">
      <c r="A648" t="s">
        <v>365</v>
      </c>
      <c r="B648">
        <v>4</v>
      </c>
      <c r="C648" s="19">
        <v>27</v>
      </c>
      <c r="D648" s="20">
        <v>2023</v>
      </c>
      <c r="E648" s="21">
        <f t="shared" si="60"/>
        <v>45043</v>
      </c>
      <c r="F648" s="20">
        <v>378.81</v>
      </c>
      <c r="G648" s="20">
        <v>4302377</v>
      </c>
      <c r="H648" s="20">
        <v>373.89</v>
      </c>
      <c r="I648" s="20">
        <v>379.13</v>
      </c>
      <c r="J648" s="22">
        <v>373.67</v>
      </c>
      <c r="K648" s="2">
        <f t="shared" si="61"/>
        <v>71342.937840074723</v>
      </c>
      <c r="L648" s="2">
        <f>IF(B648&lt;&gt;B647,L647*(1+Dashboard!$G$5)+Dashboard!$G$6, L647)</f>
        <v>70925.1887498508</v>
      </c>
      <c r="M648">
        <f t="shared" si="59"/>
        <v>0</v>
      </c>
      <c r="N648">
        <f t="shared" si="62"/>
        <v>188.33435717133847</v>
      </c>
      <c r="O648">
        <f>IF(B648&lt;&gt;B647, Dashboard!$L$6,0)</f>
        <v>0</v>
      </c>
      <c r="P648">
        <f t="shared" si="63"/>
        <v>155.2943134631517</v>
      </c>
      <c r="Q648">
        <f>IF(B648&lt;&gt;B647,IF(F648&lt;=AVERAGE(F626:F647),Dashboard!$N$6-Dashboard!$G$7,Dashboard!$N$6+Dashboard!$G$7),0)</f>
        <v>0</v>
      </c>
      <c r="R648">
        <f t="shared" si="64"/>
        <v>149.324729381086</v>
      </c>
    </row>
    <row r="649" spans="1:18" x14ac:dyDescent="0.3">
      <c r="A649" t="s">
        <v>364</v>
      </c>
      <c r="B649">
        <v>4</v>
      </c>
      <c r="C649" s="19">
        <v>28</v>
      </c>
      <c r="D649" s="20">
        <v>2023</v>
      </c>
      <c r="E649" s="21">
        <f t="shared" si="60"/>
        <v>45044</v>
      </c>
      <c r="F649" s="20">
        <v>382.05</v>
      </c>
      <c r="G649" s="20">
        <v>3386907</v>
      </c>
      <c r="H649" s="20">
        <v>378.04</v>
      </c>
      <c r="I649" s="20">
        <v>382.12</v>
      </c>
      <c r="J649" s="22">
        <v>378</v>
      </c>
      <c r="K649" s="2">
        <f t="shared" si="61"/>
        <v>71953.141157309859</v>
      </c>
      <c r="L649" s="2">
        <f>IF(B649&lt;&gt;B648,L648*(1+Dashboard!$G$5)+Dashboard!$G$6, L648)</f>
        <v>70925.1887498508</v>
      </c>
      <c r="M649">
        <f t="shared" si="59"/>
        <v>0</v>
      </c>
      <c r="N649">
        <f t="shared" si="62"/>
        <v>188.33435717133847</v>
      </c>
      <c r="O649">
        <f>IF(B649&lt;&gt;B648, Dashboard!$L$6,0)</f>
        <v>0</v>
      </c>
      <c r="P649">
        <f t="shared" si="63"/>
        <v>155.2943134631517</v>
      </c>
      <c r="Q649">
        <f>IF(B649&lt;&gt;B648,IF(F649&lt;=AVERAGE(F627:F648),Dashboard!$N$6-Dashboard!$G$7,Dashboard!$N$6+Dashboard!$G$7),0)</f>
        <v>0</v>
      </c>
      <c r="R649">
        <f t="shared" si="64"/>
        <v>149.324729381086</v>
      </c>
    </row>
    <row r="650" spans="1:18" x14ac:dyDescent="0.3">
      <c r="A650" s="1">
        <v>44931</v>
      </c>
      <c r="B650">
        <v>5</v>
      </c>
      <c r="C650" s="19">
        <v>1</v>
      </c>
      <c r="D650" s="20">
        <v>2023</v>
      </c>
      <c r="E650" s="21">
        <f t="shared" si="60"/>
        <v>45047</v>
      </c>
      <c r="F650" s="20">
        <v>381.79</v>
      </c>
      <c r="G650" s="20">
        <v>3069297</v>
      </c>
      <c r="H650" s="20">
        <v>381.73</v>
      </c>
      <c r="I650" s="20">
        <v>383.64</v>
      </c>
      <c r="J650" s="22">
        <v>381.52</v>
      </c>
      <c r="K650" s="2">
        <f t="shared" si="61"/>
        <v>71904.17422444532</v>
      </c>
      <c r="L650" s="2">
        <f>IF(B650&lt;&gt;B649,L649*(1+Dashboard!$G$5)+Dashboard!$G$6, L649)</f>
        <v>73549.330410849478</v>
      </c>
      <c r="M650">
        <f t="shared" si="59"/>
        <v>1645.1561864041578</v>
      </c>
      <c r="N650">
        <f t="shared" si="62"/>
        <v>188.33435717133847</v>
      </c>
      <c r="O650">
        <f>IF(B650&lt;&gt;B649, Dashboard!$L$6,0)</f>
        <v>1859.7282542371197</v>
      </c>
      <c r="P650">
        <f t="shared" si="63"/>
        <v>160.16538985131567</v>
      </c>
      <c r="Q650">
        <f>IF(B650&lt;&gt;B649,IF(F650&lt;=AVERAGE(F628:F649),Dashboard!$N$6-Dashboard!$G$7,Dashboard!$N$6+Dashboard!$G$7),0)</f>
        <v>2232.609610169322</v>
      </c>
      <c r="R650">
        <f t="shared" si="64"/>
        <v>155.17339102719535</v>
      </c>
    </row>
    <row r="651" spans="1:18" x14ac:dyDescent="0.3">
      <c r="A651" s="1">
        <v>44962</v>
      </c>
      <c r="B651">
        <v>5</v>
      </c>
      <c r="C651" s="19">
        <v>2</v>
      </c>
      <c r="D651" s="20">
        <v>2023</v>
      </c>
      <c r="E651" s="21">
        <f t="shared" si="60"/>
        <v>45048</v>
      </c>
      <c r="F651" s="20">
        <v>377.51</v>
      </c>
      <c r="G651" s="20">
        <v>4311590</v>
      </c>
      <c r="H651" s="20">
        <v>381.06</v>
      </c>
      <c r="I651" s="20">
        <v>381.11</v>
      </c>
      <c r="J651" s="22">
        <v>374.67</v>
      </c>
      <c r="K651" s="2">
        <f t="shared" si="61"/>
        <v>72724.816583461536</v>
      </c>
      <c r="L651" s="2">
        <f>IF(B651&lt;&gt;B650,L650*(1+Dashboard!$G$5)+Dashboard!$G$6, L650)</f>
        <v>73549.330410849478</v>
      </c>
      <c r="M651">
        <f t="shared" si="59"/>
        <v>0</v>
      </c>
      <c r="N651">
        <f t="shared" si="62"/>
        <v>192.64341761400107</v>
      </c>
      <c r="O651">
        <f>IF(B651&lt;&gt;B650, Dashboard!$L$6,0)</f>
        <v>0</v>
      </c>
      <c r="P651">
        <f t="shared" si="63"/>
        <v>160.16538985131567</v>
      </c>
      <c r="Q651">
        <f>IF(B651&lt;&gt;B650,IF(F651&lt;=AVERAGE(F629:F650),Dashboard!$N$6-Dashboard!$G$7,Dashboard!$N$6+Dashboard!$G$7),0)</f>
        <v>0</v>
      </c>
      <c r="R651">
        <f t="shared" si="64"/>
        <v>155.17339102719535</v>
      </c>
    </row>
    <row r="652" spans="1:18" x14ac:dyDescent="0.3">
      <c r="A652" s="1">
        <v>44990</v>
      </c>
      <c r="B652">
        <v>5</v>
      </c>
      <c r="C652" s="19">
        <v>3</v>
      </c>
      <c r="D652" s="20">
        <v>2023</v>
      </c>
      <c r="E652" s="21">
        <f t="shared" si="60"/>
        <v>45049</v>
      </c>
      <c r="F652" s="20">
        <v>374.88</v>
      </c>
      <c r="G652" s="20">
        <v>5513039</v>
      </c>
      <c r="H652" s="20">
        <v>377.91</v>
      </c>
      <c r="I652" s="20">
        <v>380.2</v>
      </c>
      <c r="J652" s="22">
        <v>374.6</v>
      </c>
      <c r="K652" s="2">
        <f t="shared" si="61"/>
        <v>72218.164395136715</v>
      </c>
      <c r="L652" s="2">
        <f>IF(B652&lt;&gt;B651,L651*(1+Dashboard!$G$5)+Dashboard!$G$6, L651)</f>
        <v>73549.330410849478</v>
      </c>
      <c r="M652">
        <f t="shared" si="59"/>
        <v>0</v>
      </c>
      <c r="N652">
        <f t="shared" si="62"/>
        <v>192.64341761400107</v>
      </c>
      <c r="O652">
        <f>IF(B652&lt;&gt;B651, Dashboard!$L$6,0)</f>
        <v>0</v>
      </c>
      <c r="P652">
        <f t="shared" si="63"/>
        <v>160.16538985131567</v>
      </c>
      <c r="Q652">
        <f>IF(B652&lt;&gt;B651,IF(F652&lt;=AVERAGE(F630:F651),Dashboard!$N$6-Dashboard!$G$7,Dashboard!$N$6+Dashboard!$G$7),0)</f>
        <v>0</v>
      </c>
      <c r="R652">
        <f t="shared" si="64"/>
        <v>155.17339102719535</v>
      </c>
    </row>
    <row r="653" spans="1:18" x14ac:dyDescent="0.3">
      <c r="A653" s="1">
        <v>45021</v>
      </c>
      <c r="B653">
        <v>5</v>
      </c>
      <c r="C653" s="19">
        <v>4</v>
      </c>
      <c r="D653" s="20">
        <v>2023</v>
      </c>
      <c r="E653" s="21">
        <f t="shared" si="60"/>
        <v>45050</v>
      </c>
      <c r="F653" s="20">
        <v>372.14</v>
      </c>
      <c r="G653" s="20">
        <v>4421484</v>
      </c>
      <c r="H653" s="20">
        <v>373.84</v>
      </c>
      <c r="I653" s="20">
        <v>374.11</v>
      </c>
      <c r="J653" s="22">
        <v>370.92</v>
      </c>
      <c r="K653" s="2">
        <f t="shared" si="61"/>
        <v>71690.321430874348</v>
      </c>
      <c r="L653" s="2">
        <f>IF(B653&lt;&gt;B652,L652*(1+Dashboard!$G$5)+Dashboard!$G$6, L652)</f>
        <v>73549.330410849478</v>
      </c>
      <c r="M653">
        <f t="shared" si="59"/>
        <v>0</v>
      </c>
      <c r="N653">
        <f t="shared" si="62"/>
        <v>192.64341761400107</v>
      </c>
      <c r="O653">
        <f>IF(B653&lt;&gt;B652, Dashboard!$L$6,0)</f>
        <v>0</v>
      </c>
      <c r="P653">
        <f t="shared" si="63"/>
        <v>160.16538985131567</v>
      </c>
      <c r="Q653">
        <f>IF(B653&lt;&gt;B652,IF(F653&lt;=AVERAGE(F631:F652),Dashboard!$N$6-Dashboard!$G$7,Dashboard!$N$6+Dashboard!$G$7),0)</f>
        <v>0</v>
      </c>
      <c r="R653">
        <f t="shared" si="64"/>
        <v>155.17339102719535</v>
      </c>
    </row>
    <row r="654" spans="1:18" x14ac:dyDescent="0.3">
      <c r="A654" s="1">
        <v>45051</v>
      </c>
      <c r="B654">
        <v>5</v>
      </c>
      <c r="C654" s="19">
        <v>5</v>
      </c>
      <c r="D654" s="20">
        <v>2023</v>
      </c>
      <c r="E654" s="21">
        <f t="shared" si="60"/>
        <v>45051</v>
      </c>
      <c r="F654" s="20">
        <v>378.97</v>
      </c>
      <c r="G654" s="20">
        <v>3139394</v>
      </c>
      <c r="H654" s="20">
        <v>375.74</v>
      </c>
      <c r="I654" s="20">
        <v>380.09</v>
      </c>
      <c r="J654" s="22">
        <v>375.43</v>
      </c>
      <c r="K654" s="2">
        <f t="shared" si="61"/>
        <v>73006.075973177984</v>
      </c>
      <c r="L654" s="2">
        <f>IF(B654&lt;&gt;B653,L653*(1+Dashboard!$G$5)+Dashboard!$G$6, L653)</f>
        <v>73549.330410849478</v>
      </c>
      <c r="M654">
        <f t="shared" si="59"/>
        <v>0</v>
      </c>
      <c r="N654">
        <f t="shared" si="62"/>
        <v>192.64341761400107</v>
      </c>
      <c r="O654">
        <f>IF(B654&lt;&gt;B653, Dashboard!$L$6,0)</f>
        <v>0</v>
      </c>
      <c r="P654">
        <f t="shared" si="63"/>
        <v>160.16538985131567</v>
      </c>
      <c r="Q654">
        <f>IF(B654&lt;&gt;B653,IF(F654&lt;=AVERAGE(F632:F653),Dashboard!$N$6-Dashboard!$G$7,Dashboard!$N$6+Dashboard!$G$7),0)</f>
        <v>0</v>
      </c>
      <c r="R654">
        <f t="shared" si="64"/>
        <v>155.17339102719535</v>
      </c>
    </row>
    <row r="655" spans="1:18" x14ac:dyDescent="0.3">
      <c r="A655" s="1">
        <v>45143</v>
      </c>
      <c r="B655">
        <v>5</v>
      </c>
      <c r="C655" s="19">
        <v>8</v>
      </c>
      <c r="D655" s="20">
        <v>2023</v>
      </c>
      <c r="E655" s="21">
        <f t="shared" si="60"/>
        <v>45054</v>
      </c>
      <c r="F655" s="20">
        <v>379.18</v>
      </c>
      <c r="G655" s="20">
        <v>2957618</v>
      </c>
      <c r="H655" s="20">
        <v>379.41</v>
      </c>
      <c r="I655" s="20">
        <v>379.62</v>
      </c>
      <c r="J655" s="22">
        <v>377.88</v>
      </c>
      <c r="K655" s="2">
        <f t="shared" si="61"/>
        <v>73046.531090876932</v>
      </c>
      <c r="L655" s="2">
        <f>IF(B655&lt;&gt;B654,L654*(1+Dashboard!$G$5)+Dashboard!$G$6, L654)</f>
        <v>73549.330410849478</v>
      </c>
      <c r="M655">
        <f t="shared" si="59"/>
        <v>0</v>
      </c>
      <c r="N655">
        <f t="shared" si="62"/>
        <v>192.64341761400107</v>
      </c>
      <c r="O655">
        <f>IF(B655&lt;&gt;B654, Dashboard!$L$6,0)</f>
        <v>0</v>
      </c>
      <c r="P655">
        <f t="shared" si="63"/>
        <v>160.16538985131567</v>
      </c>
      <c r="Q655">
        <f>IF(B655&lt;&gt;B654,IF(F655&lt;=AVERAGE(F633:F654),Dashboard!$N$6-Dashboard!$G$7,Dashboard!$N$6+Dashboard!$G$7),0)</f>
        <v>0</v>
      </c>
      <c r="R655">
        <f t="shared" si="64"/>
        <v>155.17339102719535</v>
      </c>
    </row>
    <row r="656" spans="1:18" x14ac:dyDescent="0.3">
      <c r="A656" s="1">
        <v>45174</v>
      </c>
      <c r="B656">
        <v>5</v>
      </c>
      <c r="C656" s="19">
        <v>9</v>
      </c>
      <c r="D656" s="20">
        <v>2023</v>
      </c>
      <c r="E656" s="21">
        <f t="shared" si="60"/>
        <v>45055</v>
      </c>
      <c r="F656" s="20">
        <v>377.54</v>
      </c>
      <c r="G656" s="20">
        <v>2271049</v>
      </c>
      <c r="H656" s="20">
        <v>377.71</v>
      </c>
      <c r="I656" s="20">
        <v>378.58</v>
      </c>
      <c r="J656" s="22">
        <v>377.33</v>
      </c>
      <c r="K656" s="2">
        <f t="shared" si="61"/>
        <v>72730.595885989969</v>
      </c>
      <c r="L656" s="2">
        <f>IF(B656&lt;&gt;B655,L655*(1+Dashboard!$G$5)+Dashboard!$G$6, L655)</f>
        <v>73549.330410849478</v>
      </c>
      <c r="M656">
        <f t="shared" si="59"/>
        <v>0</v>
      </c>
      <c r="N656">
        <f t="shared" si="62"/>
        <v>192.64341761400107</v>
      </c>
      <c r="O656">
        <f>IF(B656&lt;&gt;B655, Dashboard!$L$6,0)</f>
        <v>0</v>
      </c>
      <c r="P656">
        <f t="shared" si="63"/>
        <v>160.16538985131567</v>
      </c>
      <c r="Q656">
        <f>IF(B656&lt;&gt;B655,IF(F656&lt;=AVERAGE(F634:F655),Dashboard!$N$6-Dashboard!$G$7,Dashboard!$N$6+Dashboard!$G$7),0)</f>
        <v>0</v>
      </c>
      <c r="R656">
        <f t="shared" si="64"/>
        <v>155.17339102719535</v>
      </c>
    </row>
    <row r="657" spans="1:18" x14ac:dyDescent="0.3">
      <c r="A657" s="1">
        <v>45204</v>
      </c>
      <c r="B657">
        <v>5</v>
      </c>
      <c r="C657" s="19">
        <v>10</v>
      </c>
      <c r="D657" s="20">
        <v>2023</v>
      </c>
      <c r="E657" s="21">
        <f t="shared" si="60"/>
        <v>45056</v>
      </c>
      <c r="F657" s="20">
        <v>379.19</v>
      </c>
      <c r="G657" s="20">
        <v>3512947</v>
      </c>
      <c r="H657" s="20">
        <v>380.28</v>
      </c>
      <c r="I657" s="20">
        <v>380.83</v>
      </c>
      <c r="J657" s="22">
        <v>375.64</v>
      </c>
      <c r="K657" s="2">
        <f t="shared" si="61"/>
        <v>73048.457525053062</v>
      </c>
      <c r="L657" s="2">
        <f>IF(B657&lt;&gt;B656,L656*(1+Dashboard!$G$5)+Dashboard!$G$6, L656)</f>
        <v>73549.330410849478</v>
      </c>
      <c r="M657">
        <f t="shared" si="59"/>
        <v>0</v>
      </c>
      <c r="N657">
        <f t="shared" si="62"/>
        <v>192.64341761400107</v>
      </c>
      <c r="O657">
        <f>IF(B657&lt;&gt;B656, Dashboard!$L$6,0)</f>
        <v>0</v>
      </c>
      <c r="P657">
        <f t="shared" si="63"/>
        <v>160.16538985131567</v>
      </c>
      <c r="Q657">
        <f>IF(B657&lt;&gt;B656,IF(F657&lt;=AVERAGE(F635:F656),Dashboard!$N$6-Dashboard!$G$7,Dashboard!$N$6+Dashboard!$G$7),0)</f>
        <v>0</v>
      </c>
      <c r="R657">
        <f t="shared" si="64"/>
        <v>155.17339102719535</v>
      </c>
    </row>
    <row r="658" spans="1:18" x14ac:dyDescent="0.3">
      <c r="A658" s="1">
        <v>45235</v>
      </c>
      <c r="B658">
        <v>5</v>
      </c>
      <c r="C658" s="19">
        <v>11</v>
      </c>
      <c r="D658" s="20">
        <v>2023</v>
      </c>
      <c r="E658" s="21">
        <f t="shared" si="60"/>
        <v>45057</v>
      </c>
      <c r="F658" s="20">
        <v>378.66</v>
      </c>
      <c r="G658" s="20">
        <v>2676622</v>
      </c>
      <c r="H658" s="20">
        <v>378.47</v>
      </c>
      <c r="I658" s="20">
        <v>378.88</v>
      </c>
      <c r="J658" s="22">
        <v>376.67</v>
      </c>
      <c r="K658" s="2">
        <f t="shared" si="61"/>
        <v>72946.356513717648</v>
      </c>
      <c r="L658" s="2">
        <f>IF(B658&lt;&gt;B657,L657*(1+Dashboard!$G$5)+Dashboard!$G$6, L657)</f>
        <v>73549.330410849478</v>
      </c>
      <c r="M658">
        <f t="shared" si="59"/>
        <v>0</v>
      </c>
      <c r="N658">
        <f t="shared" si="62"/>
        <v>192.64341761400107</v>
      </c>
      <c r="O658">
        <f>IF(B658&lt;&gt;B657, Dashboard!$L$6,0)</f>
        <v>0</v>
      </c>
      <c r="P658">
        <f t="shared" si="63"/>
        <v>160.16538985131567</v>
      </c>
      <c r="Q658">
        <f>IF(B658&lt;&gt;B657,IF(F658&lt;=AVERAGE(F636:F657),Dashboard!$N$6-Dashboard!$G$7,Dashboard!$N$6+Dashboard!$G$7),0)</f>
        <v>0</v>
      </c>
      <c r="R658">
        <f t="shared" si="64"/>
        <v>155.17339102719535</v>
      </c>
    </row>
    <row r="659" spans="1:18" x14ac:dyDescent="0.3">
      <c r="A659" s="1">
        <v>45265</v>
      </c>
      <c r="B659">
        <v>5</v>
      </c>
      <c r="C659" s="19">
        <v>12</v>
      </c>
      <c r="D659" s="20">
        <v>2023</v>
      </c>
      <c r="E659" s="21">
        <f t="shared" si="60"/>
        <v>45058</v>
      </c>
      <c r="F659" s="20">
        <v>378.15</v>
      </c>
      <c r="G659" s="20">
        <v>2531015</v>
      </c>
      <c r="H659" s="20">
        <v>379.85</v>
      </c>
      <c r="I659" s="20">
        <v>380.01</v>
      </c>
      <c r="J659" s="22">
        <v>375.83499999999998</v>
      </c>
      <c r="K659" s="2">
        <f t="shared" si="61"/>
        <v>72848.108370734495</v>
      </c>
      <c r="L659" s="2">
        <f>IF(B659&lt;&gt;B658,L658*(1+Dashboard!$G$5)+Dashboard!$G$6, L658)</f>
        <v>73549.330410849478</v>
      </c>
      <c r="M659">
        <f t="shared" si="59"/>
        <v>0</v>
      </c>
      <c r="N659">
        <f t="shared" si="62"/>
        <v>192.64341761400107</v>
      </c>
      <c r="O659">
        <f>IF(B659&lt;&gt;B658, Dashboard!$L$6,0)</f>
        <v>0</v>
      </c>
      <c r="P659">
        <f t="shared" si="63"/>
        <v>160.16538985131567</v>
      </c>
      <c r="Q659">
        <f>IF(B659&lt;&gt;B658,IF(F659&lt;=AVERAGE(F637:F658),Dashboard!$N$6-Dashboard!$G$7,Dashboard!$N$6+Dashboard!$G$7),0)</f>
        <v>0</v>
      </c>
      <c r="R659">
        <f t="shared" si="64"/>
        <v>155.17339102719535</v>
      </c>
    </row>
    <row r="660" spans="1:18" x14ac:dyDescent="0.3">
      <c r="A660" t="s">
        <v>363</v>
      </c>
      <c r="B660">
        <v>5</v>
      </c>
      <c r="C660" s="19">
        <v>15</v>
      </c>
      <c r="D660" s="20">
        <v>2023</v>
      </c>
      <c r="E660" s="21">
        <f t="shared" si="60"/>
        <v>45061</v>
      </c>
      <c r="F660" s="20">
        <v>379.46</v>
      </c>
      <c r="G660" s="20">
        <v>3882561</v>
      </c>
      <c r="H660" s="20">
        <v>378.74</v>
      </c>
      <c r="I660" s="20">
        <v>379.84</v>
      </c>
      <c r="J660" s="22">
        <v>376.91</v>
      </c>
      <c r="K660" s="2">
        <f t="shared" si="61"/>
        <v>73100.471247808848</v>
      </c>
      <c r="L660" s="2">
        <f>IF(B660&lt;&gt;B659,L659*(1+Dashboard!$G$5)+Dashboard!$G$6, L659)</f>
        <v>73549.330410849478</v>
      </c>
      <c r="M660">
        <f t="shared" si="59"/>
        <v>0</v>
      </c>
      <c r="N660">
        <f t="shared" si="62"/>
        <v>192.64341761400107</v>
      </c>
      <c r="O660">
        <f>IF(B660&lt;&gt;B659, Dashboard!$L$6,0)</f>
        <v>0</v>
      </c>
      <c r="P660">
        <f t="shared" si="63"/>
        <v>160.16538985131567</v>
      </c>
      <c r="Q660">
        <f>IF(B660&lt;&gt;B659,IF(F660&lt;=AVERAGE(F638:F659),Dashboard!$N$6-Dashboard!$G$7,Dashboard!$N$6+Dashboard!$G$7),0)</f>
        <v>0</v>
      </c>
      <c r="R660">
        <f t="shared" si="64"/>
        <v>155.17339102719535</v>
      </c>
    </row>
    <row r="661" spans="1:18" x14ac:dyDescent="0.3">
      <c r="A661" t="s">
        <v>362</v>
      </c>
      <c r="B661">
        <v>5</v>
      </c>
      <c r="C661" s="19">
        <v>16</v>
      </c>
      <c r="D661" s="20">
        <v>2023</v>
      </c>
      <c r="E661" s="21">
        <f t="shared" si="60"/>
        <v>45062</v>
      </c>
      <c r="F661" s="20">
        <v>376.95</v>
      </c>
      <c r="G661" s="20">
        <v>2277616</v>
      </c>
      <c r="H661" s="20">
        <v>378.39</v>
      </c>
      <c r="I661" s="20">
        <v>379.28</v>
      </c>
      <c r="J661" s="22">
        <v>376.91</v>
      </c>
      <c r="K661" s="2">
        <f t="shared" si="61"/>
        <v>72616.936269597703</v>
      </c>
      <c r="L661" s="2">
        <f>IF(B661&lt;&gt;B660,L660*(1+Dashboard!$G$5)+Dashboard!$G$6, L660)</f>
        <v>73549.330410849478</v>
      </c>
      <c r="M661">
        <f t="shared" si="59"/>
        <v>0</v>
      </c>
      <c r="N661">
        <f t="shared" si="62"/>
        <v>192.64341761400107</v>
      </c>
      <c r="O661">
        <f>IF(B661&lt;&gt;B660, Dashboard!$L$6,0)</f>
        <v>0</v>
      </c>
      <c r="P661">
        <f t="shared" si="63"/>
        <v>160.16538985131567</v>
      </c>
      <c r="Q661">
        <f>IF(B661&lt;&gt;B660,IF(F661&lt;=AVERAGE(F639:F660),Dashboard!$N$6-Dashboard!$G$7,Dashboard!$N$6+Dashboard!$G$7),0)</f>
        <v>0</v>
      </c>
      <c r="R661">
        <f t="shared" si="64"/>
        <v>155.17339102719535</v>
      </c>
    </row>
    <row r="662" spans="1:18" x14ac:dyDescent="0.3">
      <c r="A662" t="s">
        <v>361</v>
      </c>
      <c r="B662">
        <v>5</v>
      </c>
      <c r="C662" s="19">
        <v>17</v>
      </c>
      <c r="D662" s="20">
        <v>2023</v>
      </c>
      <c r="E662" s="21">
        <f t="shared" si="60"/>
        <v>45063</v>
      </c>
      <c r="F662" s="20">
        <v>381.45</v>
      </c>
      <c r="G662" s="20">
        <v>3222645</v>
      </c>
      <c r="H662" s="20">
        <v>378.85</v>
      </c>
      <c r="I662" s="20">
        <v>382.09</v>
      </c>
      <c r="J662" s="22">
        <v>377.28</v>
      </c>
      <c r="K662" s="2">
        <f t="shared" si="61"/>
        <v>73483.831648860709</v>
      </c>
      <c r="L662" s="2">
        <f>IF(B662&lt;&gt;B661,L661*(1+Dashboard!$G$5)+Dashboard!$G$6, L661)</f>
        <v>73549.330410849478</v>
      </c>
      <c r="M662">
        <f t="shared" si="59"/>
        <v>0</v>
      </c>
      <c r="N662">
        <f t="shared" si="62"/>
        <v>192.64341761400107</v>
      </c>
      <c r="O662">
        <f>IF(B662&lt;&gt;B661, Dashboard!$L$6,0)</f>
        <v>0</v>
      </c>
      <c r="P662">
        <f t="shared" si="63"/>
        <v>160.16538985131567</v>
      </c>
      <c r="Q662">
        <f>IF(B662&lt;&gt;B661,IF(F662&lt;=AVERAGE(F640:F661),Dashboard!$N$6-Dashboard!$G$7,Dashboard!$N$6+Dashboard!$G$7),0)</f>
        <v>0</v>
      </c>
      <c r="R662">
        <f t="shared" si="64"/>
        <v>155.17339102719535</v>
      </c>
    </row>
    <row r="663" spans="1:18" x14ac:dyDescent="0.3">
      <c r="A663" t="s">
        <v>360</v>
      </c>
      <c r="B663">
        <v>5</v>
      </c>
      <c r="C663" s="19">
        <v>18</v>
      </c>
      <c r="D663" s="20">
        <v>2023</v>
      </c>
      <c r="E663" s="21">
        <f t="shared" si="60"/>
        <v>45064</v>
      </c>
      <c r="F663" s="20">
        <v>385.18</v>
      </c>
      <c r="G663" s="20">
        <v>3340620</v>
      </c>
      <c r="H663" s="20">
        <v>381.26</v>
      </c>
      <c r="I663" s="20">
        <v>385.57</v>
      </c>
      <c r="J663" s="22">
        <v>381</v>
      </c>
      <c r="K663" s="2">
        <f t="shared" si="61"/>
        <v>74202.391596560934</v>
      </c>
      <c r="L663" s="2">
        <f>IF(B663&lt;&gt;B662,L662*(1+Dashboard!$G$5)+Dashboard!$G$6, L662)</f>
        <v>73549.330410849478</v>
      </c>
      <c r="M663">
        <f t="shared" si="59"/>
        <v>0</v>
      </c>
      <c r="N663">
        <f t="shared" si="62"/>
        <v>192.64341761400107</v>
      </c>
      <c r="O663">
        <f>IF(B663&lt;&gt;B662, Dashboard!$L$6,0)</f>
        <v>0</v>
      </c>
      <c r="P663">
        <f t="shared" si="63"/>
        <v>160.16538985131567</v>
      </c>
      <c r="Q663">
        <f>IF(B663&lt;&gt;B662,IF(F663&lt;=AVERAGE(F641:F662),Dashboard!$N$6-Dashboard!$G$7,Dashboard!$N$6+Dashboard!$G$7),0)</f>
        <v>0</v>
      </c>
      <c r="R663">
        <f t="shared" si="64"/>
        <v>155.17339102719535</v>
      </c>
    </row>
    <row r="664" spans="1:18" x14ac:dyDescent="0.3">
      <c r="A664" t="s">
        <v>359</v>
      </c>
      <c r="B664">
        <v>5</v>
      </c>
      <c r="C664" s="19">
        <v>19</v>
      </c>
      <c r="D664" s="20">
        <v>2023</v>
      </c>
      <c r="E664" s="21">
        <f t="shared" si="60"/>
        <v>45065</v>
      </c>
      <c r="F664" s="20">
        <v>384.57</v>
      </c>
      <c r="G664" s="20">
        <v>3649043</v>
      </c>
      <c r="H664" s="20">
        <v>386.02</v>
      </c>
      <c r="I664" s="20">
        <v>386.54</v>
      </c>
      <c r="J664" s="22">
        <v>383.44</v>
      </c>
      <c r="K664" s="2">
        <f t="shared" si="61"/>
        <v>74084.879111816394</v>
      </c>
      <c r="L664" s="2">
        <f>IF(B664&lt;&gt;B663,L663*(1+Dashboard!$G$5)+Dashboard!$G$6, L663)</f>
        <v>73549.330410849478</v>
      </c>
      <c r="M664">
        <f t="shared" si="59"/>
        <v>0</v>
      </c>
      <c r="N664">
        <f t="shared" si="62"/>
        <v>192.64341761400107</v>
      </c>
      <c r="O664">
        <f>IF(B664&lt;&gt;B663, Dashboard!$L$6,0)</f>
        <v>0</v>
      </c>
      <c r="P664">
        <f t="shared" si="63"/>
        <v>160.16538985131567</v>
      </c>
      <c r="Q664">
        <f>IF(B664&lt;&gt;B663,IF(F664&lt;=AVERAGE(F642:F663),Dashboard!$N$6-Dashboard!$G$7,Dashboard!$N$6+Dashboard!$G$7),0)</f>
        <v>0</v>
      </c>
      <c r="R664">
        <f t="shared" si="64"/>
        <v>155.17339102719535</v>
      </c>
    </row>
    <row r="665" spans="1:18" x14ac:dyDescent="0.3">
      <c r="A665" t="s">
        <v>358</v>
      </c>
      <c r="B665">
        <v>5</v>
      </c>
      <c r="C665" s="19">
        <v>22</v>
      </c>
      <c r="D665" s="20">
        <v>2023</v>
      </c>
      <c r="E665" s="21">
        <f t="shared" si="60"/>
        <v>45068</v>
      </c>
      <c r="F665" s="20">
        <v>384.78</v>
      </c>
      <c r="G665" s="20">
        <v>2784012</v>
      </c>
      <c r="H665" s="20">
        <v>384.66</v>
      </c>
      <c r="I665" s="20">
        <v>386.23</v>
      </c>
      <c r="J665" s="22">
        <v>383.47</v>
      </c>
      <c r="K665" s="2">
        <f t="shared" si="61"/>
        <v>74125.334229515327</v>
      </c>
      <c r="L665" s="2">
        <f>IF(B665&lt;&gt;B664,L664*(1+Dashboard!$G$5)+Dashboard!$G$6, L664)</f>
        <v>73549.330410849478</v>
      </c>
      <c r="M665">
        <f t="shared" ref="M665:M728" si="65">IF(B665&lt;&gt;B664,IF((L665-K665&gt;0),L665-K665,0),0)</f>
        <v>0</v>
      </c>
      <c r="N665">
        <f t="shared" si="62"/>
        <v>192.64341761400107</v>
      </c>
      <c r="O665">
        <f>IF(B665&lt;&gt;B664, Dashboard!$L$6,0)</f>
        <v>0</v>
      </c>
      <c r="P665">
        <f t="shared" si="63"/>
        <v>160.16538985131567</v>
      </c>
      <c r="Q665">
        <f>IF(B665&lt;&gt;B664,IF(F665&lt;=AVERAGE(F643:F664),Dashboard!$N$6-Dashboard!$G$7,Dashboard!$N$6+Dashboard!$G$7),0)</f>
        <v>0</v>
      </c>
      <c r="R665">
        <f t="shared" si="64"/>
        <v>155.17339102719535</v>
      </c>
    </row>
    <row r="666" spans="1:18" x14ac:dyDescent="0.3">
      <c r="A666" t="s">
        <v>357</v>
      </c>
      <c r="B666">
        <v>5</v>
      </c>
      <c r="C666" s="19">
        <v>23</v>
      </c>
      <c r="D666" s="20">
        <v>2023</v>
      </c>
      <c r="E666" s="21">
        <f t="shared" si="60"/>
        <v>45069</v>
      </c>
      <c r="F666" s="20">
        <v>380.48</v>
      </c>
      <c r="G666" s="20">
        <v>2887264</v>
      </c>
      <c r="H666" s="20">
        <v>383.19</v>
      </c>
      <c r="I666" s="20">
        <v>384.11</v>
      </c>
      <c r="J666" s="22">
        <v>380.08</v>
      </c>
      <c r="K666" s="2">
        <f t="shared" si="61"/>
        <v>73296.967533775125</v>
      </c>
      <c r="L666" s="2">
        <f>IF(B666&lt;&gt;B665,L665*(1+Dashboard!$G$5)+Dashboard!$G$6, L665)</f>
        <v>73549.330410849478</v>
      </c>
      <c r="M666">
        <f t="shared" si="65"/>
        <v>0</v>
      </c>
      <c r="N666">
        <f t="shared" si="62"/>
        <v>192.64341761400107</v>
      </c>
      <c r="O666">
        <f>IF(B666&lt;&gt;B665, Dashboard!$L$6,0)</f>
        <v>0</v>
      </c>
      <c r="P666">
        <f t="shared" si="63"/>
        <v>160.16538985131567</v>
      </c>
      <c r="Q666">
        <f>IF(B666&lt;&gt;B665,IF(F666&lt;=AVERAGE(F644:F665),Dashboard!$N$6-Dashboard!$G$7,Dashboard!$N$6+Dashboard!$G$7),0)</f>
        <v>0</v>
      </c>
      <c r="R666">
        <f t="shared" si="64"/>
        <v>155.17339102719535</v>
      </c>
    </row>
    <row r="667" spans="1:18" x14ac:dyDescent="0.3">
      <c r="A667" t="s">
        <v>356</v>
      </c>
      <c r="B667">
        <v>5</v>
      </c>
      <c r="C667" s="19">
        <v>24</v>
      </c>
      <c r="D667" s="20">
        <v>2023</v>
      </c>
      <c r="E667" s="21">
        <f t="shared" si="60"/>
        <v>45070</v>
      </c>
      <c r="F667" s="20">
        <v>377.63</v>
      </c>
      <c r="G667" s="20">
        <v>3611592</v>
      </c>
      <c r="H667" s="20">
        <v>378.91</v>
      </c>
      <c r="I667" s="20">
        <v>379.25</v>
      </c>
      <c r="J667" s="22">
        <v>376.57</v>
      </c>
      <c r="K667" s="2">
        <f t="shared" si="61"/>
        <v>72747.933793575226</v>
      </c>
      <c r="L667" s="2">
        <f>IF(B667&lt;&gt;B666,L666*(1+Dashboard!$G$5)+Dashboard!$G$6, L666)</f>
        <v>73549.330410849478</v>
      </c>
      <c r="M667">
        <f t="shared" si="65"/>
        <v>0</v>
      </c>
      <c r="N667">
        <f t="shared" si="62"/>
        <v>192.64341761400107</v>
      </c>
      <c r="O667">
        <f>IF(B667&lt;&gt;B666, Dashboard!$L$6,0)</f>
        <v>0</v>
      </c>
      <c r="P667">
        <f t="shared" si="63"/>
        <v>160.16538985131567</v>
      </c>
      <c r="Q667">
        <f>IF(B667&lt;&gt;B666,IF(F667&lt;=AVERAGE(F645:F666),Dashboard!$N$6-Dashboard!$G$7,Dashboard!$N$6+Dashboard!$G$7),0)</f>
        <v>0</v>
      </c>
      <c r="R667">
        <f t="shared" si="64"/>
        <v>155.17339102719535</v>
      </c>
    </row>
    <row r="668" spans="1:18" x14ac:dyDescent="0.3">
      <c r="A668" t="s">
        <v>355</v>
      </c>
      <c r="B668">
        <v>5</v>
      </c>
      <c r="C668" s="19">
        <v>25</v>
      </c>
      <c r="D668" s="20">
        <v>2023</v>
      </c>
      <c r="E668" s="21">
        <f t="shared" si="60"/>
        <v>45071</v>
      </c>
      <c r="F668" s="20">
        <v>380.92</v>
      </c>
      <c r="G668" s="20">
        <v>3315872</v>
      </c>
      <c r="H668" s="20">
        <v>380.99</v>
      </c>
      <c r="I668" s="20">
        <v>382.28</v>
      </c>
      <c r="J668" s="22">
        <v>378.92</v>
      </c>
      <c r="K668" s="2">
        <f t="shared" si="61"/>
        <v>73381.730637525296</v>
      </c>
      <c r="L668" s="2">
        <f>IF(B668&lt;&gt;B667,L667*(1+Dashboard!$G$5)+Dashboard!$G$6, L667)</f>
        <v>73549.330410849478</v>
      </c>
      <c r="M668">
        <f t="shared" si="65"/>
        <v>0</v>
      </c>
      <c r="N668">
        <f t="shared" si="62"/>
        <v>192.64341761400107</v>
      </c>
      <c r="O668">
        <f>IF(B668&lt;&gt;B667, Dashboard!$L$6,0)</f>
        <v>0</v>
      </c>
      <c r="P668">
        <f t="shared" si="63"/>
        <v>160.16538985131567</v>
      </c>
      <c r="Q668">
        <f>IF(B668&lt;&gt;B667,IF(F668&lt;=AVERAGE(F646:F667),Dashboard!$N$6-Dashboard!$G$7,Dashboard!$N$6+Dashboard!$G$7),0)</f>
        <v>0</v>
      </c>
      <c r="R668">
        <f t="shared" si="64"/>
        <v>155.17339102719535</v>
      </c>
    </row>
    <row r="669" spans="1:18" x14ac:dyDescent="0.3">
      <c r="A669" t="s">
        <v>354</v>
      </c>
      <c r="B669">
        <v>5</v>
      </c>
      <c r="C669" s="19">
        <v>26</v>
      </c>
      <c r="D669" s="20">
        <v>2023</v>
      </c>
      <c r="E669" s="21">
        <f t="shared" si="60"/>
        <v>45072</v>
      </c>
      <c r="F669" s="20">
        <v>385.87</v>
      </c>
      <c r="G669" s="20">
        <v>3042792</v>
      </c>
      <c r="H669" s="20">
        <v>381.64</v>
      </c>
      <c r="I669" s="20">
        <v>386.57</v>
      </c>
      <c r="J669" s="22">
        <v>381.53500000000003</v>
      </c>
      <c r="K669" s="2">
        <f t="shared" si="61"/>
        <v>74335.315554714587</v>
      </c>
      <c r="L669" s="2">
        <f>IF(B669&lt;&gt;B668,L668*(1+Dashboard!$G$5)+Dashboard!$G$6, L668)</f>
        <v>73549.330410849478</v>
      </c>
      <c r="M669">
        <f t="shared" si="65"/>
        <v>0</v>
      </c>
      <c r="N669">
        <f t="shared" si="62"/>
        <v>192.64341761400107</v>
      </c>
      <c r="O669">
        <f>IF(B669&lt;&gt;B668, Dashboard!$L$6,0)</f>
        <v>0</v>
      </c>
      <c r="P669">
        <f t="shared" si="63"/>
        <v>160.16538985131567</v>
      </c>
      <c r="Q669">
        <f>IF(B669&lt;&gt;B668,IF(F669&lt;=AVERAGE(F647:F668),Dashboard!$N$6-Dashboard!$G$7,Dashboard!$N$6+Dashboard!$G$7),0)</f>
        <v>0</v>
      </c>
      <c r="R669">
        <f t="shared" si="64"/>
        <v>155.17339102719535</v>
      </c>
    </row>
    <row r="670" spans="1:18" x14ac:dyDescent="0.3">
      <c r="A670" t="s">
        <v>353</v>
      </c>
      <c r="B670">
        <v>5</v>
      </c>
      <c r="C670" s="19">
        <v>30</v>
      </c>
      <c r="D670" s="20">
        <v>2023</v>
      </c>
      <c r="E670" s="21">
        <f t="shared" si="60"/>
        <v>45076</v>
      </c>
      <c r="F670" s="20">
        <v>385.99</v>
      </c>
      <c r="G670" s="20">
        <v>3968451</v>
      </c>
      <c r="H670" s="20">
        <v>387.76</v>
      </c>
      <c r="I670" s="20">
        <v>388.26</v>
      </c>
      <c r="J670" s="22">
        <v>384.76</v>
      </c>
      <c r="K670" s="2">
        <f t="shared" si="61"/>
        <v>74358.432764828278</v>
      </c>
      <c r="L670" s="2">
        <f>IF(B670&lt;&gt;B669,L669*(1+Dashboard!$G$5)+Dashboard!$G$6, L669)</f>
        <v>73549.330410849478</v>
      </c>
      <c r="M670">
        <f t="shared" si="65"/>
        <v>0</v>
      </c>
      <c r="N670">
        <f t="shared" si="62"/>
        <v>192.64341761400107</v>
      </c>
      <c r="O670">
        <f>IF(B670&lt;&gt;B669, Dashboard!$L$6,0)</f>
        <v>0</v>
      </c>
      <c r="P670">
        <f t="shared" si="63"/>
        <v>160.16538985131567</v>
      </c>
      <c r="Q670">
        <f>IF(B670&lt;&gt;B669,IF(F670&lt;=AVERAGE(F648:F669),Dashboard!$N$6-Dashboard!$G$7,Dashboard!$N$6+Dashboard!$G$7),0)</f>
        <v>0</v>
      </c>
      <c r="R670">
        <f t="shared" si="64"/>
        <v>155.17339102719535</v>
      </c>
    </row>
    <row r="671" spans="1:18" x14ac:dyDescent="0.3">
      <c r="A671" t="s">
        <v>352</v>
      </c>
      <c r="B671">
        <v>5</v>
      </c>
      <c r="C671" s="19">
        <v>31</v>
      </c>
      <c r="D671" s="20">
        <v>2023</v>
      </c>
      <c r="E671" s="21">
        <f t="shared" si="60"/>
        <v>45077</v>
      </c>
      <c r="F671" s="20">
        <v>383.89</v>
      </c>
      <c r="G671" s="20">
        <v>4205348</v>
      </c>
      <c r="H671" s="20">
        <v>384.31</v>
      </c>
      <c r="I671" s="20">
        <v>385.16</v>
      </c>
      <c r="J671" s="22">
        <v>382.42</v>
      </c>
      <c r="K671" s="2">
        <f t="shared" si="61"/>
        <v>73953.88158783887</v>
      </c>
      <c r="L671" s="2">
        <f>IF(B671&lt;&gt;B670,L670*(1+Dashboard!$G$5)+Dashboard!$G$6, L670)</f>
        <v>73549.330410849478</v>
      </c>
      <c r="M671">
        <f t="shared" si="65"/>
        <v>0</v>
      </c>
      <c r="N671">
        <f t="shared" si="62"/>
        <v>192.64341761400107</v>
      </c>
      <c r="O671">
        <f>IF(B671&lt;&gt;B670, Dashboard!$L$6,0)</f>
        <v>0</v>
      </c>
      <c r="P671">
        <f t="shared" si="63"/>
        <v>160.16538985131567</v>
      </c>
      <c r="Q671">
        <f>IF(B671&lt;&gt;B670,IF(F671&lt;=AVERAGE(F649:F670),Dashboard!$N$6-Dashboard!$G$7,Dashboard!$N$6+Dashboard!$G$7),0)</f>
        <v>0</v>
      </c>
      <c r="R671">
        <f t="shared" si="64"/>
        <v>155.17339102719535</v>
      </c>
    </row>
    <row r="672" spans="1:18" x14ac:dyDescent="0.3">
      <c r="A672" s="1">
        <v>44932</v>
      </c>
      <c r="B672">
        <v>6</v>
      </c>
      <c r="C672" s="19">
        <v>1</v>
      </c>
      <c r="D672" s="20">
        <v>2023</v>
      </c>
      <c r="E672" s="21">
        <f t="shared" si="60"/>
        <v>45078</v>
      </c>
      <c r="F672" s="20">
        <v>387.57</v>
      </c>
      <c r="G672" s="20">
        <v>3563555</v>
      </c>
      <c r="H672" s="20">
        <v>384.2</v>
      </c>
      <c r="I672" s="20">
        <v>388.57</v>
      </c>
      <c r="J672" s="22">
        <v>382.97</v>
      </c>
      <c r="K672" s="2">
        <f t="shared" si="61"/>
        <v>74662.809364658387</v>
      </c>
      <c r="L672" s="2">
        <f>IF(B672&lt;&gt;B671,L671*(1+Dashboard!$G$5)+Dashboard!$G$6, L671)</f>
        <v>76196.564518464947</v>
      </c>
      <c r="M672">
        <f t="shared" si="65"/>
        <v>1533.75515380656</v>
      </c>
      <c r="N672">
        <f t="shared" si="62"/>
        <v>192.64341761400107</v>
      </c>
      <c r="O672">
        <f>IF(B672&lt;&gt;B671, Dashboard!$L$6,0)</f>
        <v>1859.7282542371197</v>
      </c>
      <c r="P672">
        <f t="shared" si="63"/>
        <v>164.9638217584218</v>
      </c>
      <c r="Q672">
        <f>IF(B672&lt;&gt;B671,IF(F672&lt;=AVERAGE(F650:F671),Dashboard!$N$6-Dashboard!$G$7,Dashboard!$N$6+Dashboard!$G$7),0)</f>
        <v>2232.609610169322</v>
      </c>
      <c r="R672">
        <f t="shared" si="64"/>
        <v>160.98445195944242</v>
      </c>
    </row>
    <row r="673" spans="1:18" x14ac:dyDescent="0.3">
      <c r="A673" s="1">
        <v>44963</v>
      </c>
      <c r="B673">
        <v>6</v>
      </c>
      <c r="C673" s="19">
        <v>2</v>
      </c>
      <c r="D673" s="20">
        <v>2023</v>
      </c>
      <c r="E673" s="21">
        <f t="shared" si="60"/>
        <v>45079</v>
      </c>
      <c r="F673" s="20">
        <v>393.26</v>
      </c>
      <c r="G673" s="20">
        <v>7368902</v>
      </c>
      <c r="H673" s="20">
        <v>390.08</v>
      </c>
      <c r="I673" s="20">
        <v>393.96</v>
      </c>
      <c r="J673" s="22">
        <v>389.54</v>
      </c>
      <c r="K673" s="2">
        <f t="shared" si="61"/>
        <v>77315.222959804742</v>
      </c>
      <c r="L673" s="2">
        <f>IF(B673&lt;&gt;B672,L672*(1+Dashboard!$G$5)+Dashboard!$G$6, L672)</f>
        <v>76196.564518464947</v>
      </c>
      <c r="M673">
        <f t="shared" si="65"/>
        <v>0</v>
      </c>
      <c r="N673">
        <f t="shared" si="62"/>
        <v>196.60078055180986</v>
      </c>
      <c r="O673">
        <f>IF(B673&lt;&gt;B672, Dashboard!$L$6,0)</f>
        <v>0</v>
      </c>
      <c r="P673">
        <f t="shared" si="63"/>
        <v>164.9638217584218</v>
      </c>
      <c r="Q673">
        <f>IF(B673&lt;&gt;B672,IF(F673&lt;=AVERAGE(F651:F672),Dashboard!$N$6-Dashboard!$G$7,Dashboard!$N$6+Dashboard!$G$7),0)</f>
        <v>0</v>
      </c>
      <c r="R673">
        <f t="shared" si="64"/>
        <v>160.98445195944242</v>
      </c>
    </row>
    <row r="674" spans="1:18" x14ac:dyDescent="0.3">
      <c r="A674" s="1">
        <v>45052</v>
      </c>
      <c r="B674">
        <v>6</v>
      </c>
      <c r="C674" s="19">
        <v>5</v>
      </c>
      <c r="D674" s="20">
        <v>2023</v>
      </c>
      <c r="E674" s="21">
        <f t="shared" si="60"/>
        <v>45082</v>
      </c>
      <c r="F674" s="20">
        <v>392.5</v>
      </c>
      <c r="G674" s="20">
        <v>3481154</v>
      </c>
      <c r="H674" s="20">
        <v>393.54</v>
      </c>
      <c r="I674" s="20">
        <v>394.77</v>
      </c>
      <c r="J674" s="22">
        <v>391.79</v>
      </c>
      <c r="K674" s="2">
        <f t="shared" si="61"/>
        <v>77165.80636658537</v>
      </c>
      <c r="L674" s="2">
        <f>IF(B674&lt;&gt;B673,L673*(1+Dashboard!$G$5)+Dashboard!$G$6, L673)</f>
        <v>76196.564518464947</v>
      </c>
      <c r="M674">
        <f t="shared" si="65"/>
        <v>0</v>
      </c>
      <c r="N674">
        <f t="shared" si="62"/>
        <v>196.60078055180986</v>
      </c>
      <c r="O674">
        <f>IF(B674&lt;&gt;B673, Dashboard!$L$6,0)</f>
        <v>0</v>
      </c>
      <c r="P674">
        <f t="shared" si="63"/>
        <v>164.9638217584218</v>
      </c>
      <c r="Q674">
        <f>IF(B674&lt;&gt;B673,IF(F674&lt;=AVERAGE(F652:F673),Dashboard!$N$6-Dashboard!$G$7,Dashboard!$N$6+Dashboard!$G$7),0)</f>
        <v>0</v>
      </c>
      <c r="R674">
        <f t="shared" si="64"/>
        <v>160.98445195944242</v>
      </c>
    </row>
    <row r="675" spans="1:18" x14ac:dyDescent="0.3">
      <c r="A675" s="1">
        <v>45083</v>
      </c>
      <c r="B675">
        <v>6</v>
      </c>
      <c r="C675" s="19">
        <v>6</v>
      </c>
      <c r="D675" s="20">
        <v>2023</v>
      </c>
      <c r="E675" s="21">
        <f t="shared" si="60"/>
        <v>45083</v>
      </c>
      <c r="F675" s="20">
        <v>393.31</v>
      </c>
      <c r="G675" s="20">
        <v>2894663</v>
      </c>
      <c r="H675" s="20">
        <v>392.05</v>
      </c>
      <c r="I675" s="20">
        <v>393.79</v>
      </c>
      <c r="J675" s="22">
        <v>391.41</v>
      </c>
      <c r="K675" s="2">
        <f t="shared" si="61"/>
        <v>77325.05299883234</v>
      </c>
      <c r="L675" s="2">
        <f>IF(B675&lt;&gt;B674,L674*(1+Dashboard!$G$5)+Dashboard!$G$6, L674)</f>
        <v>76196.564518464947</v>
      </c>
      <c r="M675">
        <f t="shared" si="65"/>
        <v>0</v>
      </c>
      <c r="N675">
        <f t="shared" si="62"/>
        <v>196.60078055180986</v>
      </c>
      <c r="O675">
        <f>IF(B675&lt;&gt;B674, Dashboard!$L$6,0)</f>
        <v>0</v>
      </c>
      <c r="P675">
        <f t="shared" si="63"/>
        <v>164.9638217584218</v>
      </c>
      <c r="Q675">
        <f>IF(B675&lt;&gt;B674,IF(F675&lt;=AVERAGE(F653:F674),Dashboard!$N$6-Dashboard!$G$7,Dashboard!$N$6+Dashboard!$G$7),0)</f>
        <v>0</v>
      </c>
      <c r="R675">
        <f t="shared" si="64"/>
        <v>160.98445195944242</v>
      </c>
    </row>
    <row r="676" spans="1:18" x14ac:dyDescent="0.3">
      <c r="A676" s="1">
        <v>45113</v>
      </c>
      <c r="B676">
        <v>6</v>
      </c>
      <c r="C676" s="19">
        <v>7</v>
      </c>
      <c r="D676" s="20">
        <v>2023</v>
      </c>
      <c r="E676" s="21">
        <f t="shared" si="60"/>
        <v>45084</v>
      </c>
      <c r="F676" s="20">
        <v>392.02</v>
      </c>
      <c r="G676" s="20">
        <v>3942893</v>
      </c>
      <c r="H676" s="20">
        <v>393.67</v>
      </c>
      <c r="I676" s="20">
        <v>394.76</v>
      </c>
      <c r="J676" s="22">
        <v>391.54</v>
      </c>
      <c r="K676" s="2">
        <f t="shared" si="61"/>
        <v>77071.437991920495</v>
      </c>
      <c r="L676" s="2">
        <f>IF(B676&lt;&gt;B675,L675*(1+Dashboard!$G$5)+Dashboard!$G$6, L675)</f>
        <v>76196.564518464947</v>
      </c>
      <c r="M676">
        <f t="shared" si="65"/>
        <v>0</v>
      </c>
      <c r="N676">
        <f t="shared" si="62"/>
        <v>196.60078055180986</v>
      </c>
      <c r="O676">
        <f>IF(B676&lt;&gt;B675, Dashboard!$L$6,0)</f>
        <v>0</v>
      </c>
      <c r="P676">
        <f t="shared" si="63"/>
        <v>164.9638217584218</v>
      </c>
      <c r="Q676">
        <f>IF(B676&lt;&gt;B675,IF(F676&lt;=AVERAGE(F654:F675),Dashboard!$N$6-Dashboard!$G$7,Dashboard!$N$6+Dashboard!$G$7),0)</f>
        <v>0</v>
      </c>
      <c r="R676">
        <f t="shared" si="64"/>
        <v>160.98445195944242</v>
      </c>
    </row>
    <row r="677" spans="1:18" x14ac:dyDescent="0.3">
      <c r="A677" s="1">
        <v>45144</v>
      </c>
      <c r="B677">
        <v>6</v>
      </c>
      <c r="C677" s="19">
        <v>8</v>
      </c>
      <c r="D677" s="20">
        <v>2023</v>
      </c>
      <c r="E677" s="21">
        <f t="shared" si="60"/>
        <v>45085</v>
      </c>
      <c r="F677" s="20">
        <v>394.37</v>
      </c>
      <c r="G677" s="20">
        <v>3460351</v>
      </c>
      <c r="H677" s="20">
        <v>391.96</v>
      </c>
      <c r="I677" s="20">
        <v>394.73</v>
      </c>
      <c r="J677" s="22">
        <v>391.29</v>
      </c>
      <c r="K677" s="2">
        <f t="shared" si="61"/>
        <v>77533.449826217256</v>
      </c>
      <c r="L677" s="2">
        <f>IF(B677&lt;&gt;B676,L676*(1+Dashboard!$G$5)+Dashboard!$G$6, L676)</f>
        <v>76196.564518464947</v>
      </c>
      <c r="M677">
        <f t="shared" si="65"/>
        <v>0</v>
      </c>
      <c r="N677">
        <f t="shared" si="62"/>
        <v>196.60078055180986</v>
      </c>
      <c r="O677">
        <f>IF(B677&lt;&gt;B676, Dashboard!$L$6,0)</f>
        <v>0</v>
      </c>
      <c r="P677">
        <f t="shared" si="63"/>
        <v>164.9638217584218</v>
      </c>
      <c r="Q677">
        <f>IF(B677&lt;&gt;B676,IF(F677&lt;=AVERAGE(F655:F676),Dashboard!$N$6-Dashboard!$G$7,Dashboard!$N$6+Dashboard!$G$7),0)</f>
        <v>0</v>
      </c>
      <c r="R677">
        <f t="shared" si="64"/>
        <v>160.98445195944242</v>
      </c>
    </row>
    <row r="678" spans="1:18" x14ac:dyDescent="0.3">
      <c r="A678" s="1">
        <v>45175</v>
      </c>
      <c r="B678">
        <v>6</v>
      </c>
      <c r="C678" s="19">
        <v>9</v>
      </c>
      <c r="D678" s="20">
        <v>2023</v>
      </c>
      <c r="E678" s="21">
        <f t="shared" si="60"/>
        <v>45086</v>
      </c>
      <c r="F678" s="20">
        <v>395.03</v>
      </c>
      <c r="G678" s="20">
        <v>3062868</v>
      </c>
      <c r="H678" s="20">
        <v>395.05</v>
      </c>
      <c r="I678" s="20">
        <v>396.93</v>
      </c>
      <c r="J678" s="22">
        <v>394.08</v>
      </c>
      <c r="K678" s="2">
        <f t="shared" si="61"/>
        <v>77663.206341381447</v>
      </c>
      <c r="L678" s="2">
        <f>IF(B678&lt;&gt;B677,L677*(1+Dashboard!$G$5)+Dashboard!$G$6, L677)</f>
        <v>76196.564518464947</v>
      </c>
      <c r="M678">
        <f t="shared" si="65"/>
        <v>0</v>
      </c>
      <c r="N678">
        <f t="shared" si="62"/>
        <v>196.60078055180986</v>
      </c>
      <c r="O678">
        <f>IF(B678&lt;&gt;B677, Dashboard!$L$6,0)</f>
        <v>0</v>
      </c>
      <c r="P678">
        <f t="shared" si="63"/>
        <v>164.9638217584218</v>
      </c>
      <c r="Q678">
        <f>IF(B678&lt;&gt;B677,IF(F678&lt;=AVERAGE(F656:F677),Dashboard!$N$6-Dashboard!$G$7,Dashboard!$N$6+Dashboard!$G$7),0)</f>
        <v>0</v>
      </c>
      <c r="R678">
        <f t="shared" si="64"/>
        <v>160.98445195944242</v>
      </c>
    </row>
    <row r="679" spans="1:18" x14ac:dyDescent="0.3">
      <c r="A679" s="1">
        <v>45266</v>
      </c>
      <c r="B679">
        <v>6</v>
      </c>
      <c r="C679" s="19">
        <v>12</v>
      </c>
      <c r="D679" s="20">
        <v>2023</v>
      </c>
      <c r="E679" s="21">
        <f t="shared" si="60"/>
        <v>45089</v>
      </c>
      <c r="F679" s="20">
        <v>398.66</v>
      </c>
      <c r="G679" s="20">
        <v>3797245</v>
      </c>
      <c r="H679" s="20">
        <v>395.98</v>
      </c>
      <c r="I679" s="20">
        <v>398.685</v>
      </c>
      <c r="J679" s="22">
        <v>395.3</v>
      </c>
      <c r="K679" s="2">
        <f t="shared" si="61"/>
        <v>78376.867174784522</v>
      </c>
      <c r="L679" s="2">
        <f>IF(B679&lt;&gt;B678,L678*(1+Dashboard!$G$5)+Dashboard!$G$6, L678)</f>
        <v>76196.564518464947</v>
      </c>
      <c r="M679">
        <f t="shared" si="65"/>
        <v>0</v>
      </c>
      <c r="N679">
        <f t="shared" si="62"/>
        <v>196.60078055180986</v>
      </c>
      <c r="O679">
        <f>IF(B679&lt;&gt;B678, Dashboard!$L$6,0)</f>
        <v>0</v>
      </c>
      <c r="P679">
        <f t="shared" si="63"/>
        <v>164.9638217584218</v>
      </c>
      <c r="Q679">
        <f>IF(B679&lt;&gt;B678,IF(F679&lt;=AVERAGE(F657:F678),Dashboard!$N$6-Dashboard!$G$7,Dashboard!$N$6+Dashboard!$G$7),0)</f>
        <v>0</v>
      </c>
      <c r="R679">
        <f t="shared" si="64"/>
        <v>160.98445195944242</v>
      </c>
    </row>
    <row r="680" spans="1:18" x14ac:dyDescent="0.3">
      <c r="A680" t="s">
        <v>351</v>
      </c>
      <c r="B680">
        <v>6</v>
      </c>
      <c r="C680" s="19">
        <v>13</v>
      </c>
      <c r="D680" s="20">
        <v>2023</v>
      </c>
      <c r="E680" s="21">
        <f t="shared" si="60"/>
        <v>45090</v>
      </c>
      <c r="F680" s="20">
        <v>401.29</v>
      </c>
      <c r="G680" s="20">
        <v>3913085</v>
      </c>
      <c r="H680" s="20">
        <v>400.01900000000001</v>
      </c>
      <c r="I680" s="20">
        <v>401.85</v>
      </c>
      <c r="J680" s="22">
        <v>399.4</v>
      </c>
      <c r="K680" s="2">
        <f t="shared" si="61"/>
        <v>78893.927227635781</v>
      </c>
      <c r="L680" s="2">
        <f>IF(B680&lt;&gt;B679,L679*(1+Dashboard!$G$5)+Dashboard!$G$6, L679)</f>
        <v>76196.564518464947</v>
      </c>
      <c r="M680">
        <f t="shared" si="65"/>
        <v>0</v>
      </c>
      <c r="N680">
        <f t="shared" si="62"/>
        <v>196.60078055180986</v>
      </c>
      <c r="O680">
        <f>IF(B680&lt;&gt;B679, Dashboard!$L$6,0)</f>
        <v>0</v>
      </c>
      <c r="P680">
        <f t="shared" si="63"/>
        <v>164.9638217584218</v>
      </c>
      <c r="Q680">
        <f>IF(B680&lt;&gt;B679,IF(F680&lt;=AVERAGE(F658:F679),Dashboard!$N$6-Dashboard!$G$7,Dashboard!$N$6+Dashboard!$G$7),0)</f>
        <v>0</v>
      </c>
      <c r="R680">
        <f t="shared" si="64"/>
        <v>160.98445195944242</v>
      </c>
    </row>
    <row r="681" spans="1:18" x14ac:dyDescent="0.3">
      <c r="A681" t="s">
        <v>350</v>
      </c>
      <c r="B681">
        <v>6</v>
      </c>
      <c r="C681" s="19">
        <v>14</v>
      </c>
      <c r="D681" s="20">
        <v>2023</v>
      </c>
      <c r="E681" s="21">
        <f t="shared" si="60"/>
        <v>45091</v>
      </c>
      <c r="F681" s="20">
        <v>401.6</v>
      </c>
      <c r="G681" s="20">
        <v>5161278</v>
      </c>
      <c r="H681" s="20">
        <v>401.61</v>
      </c>
      <c r="I681" s="20">
        <v>403.43599999999998</v>
      </c>
      <c r="J681" s="22">
        <v>398.46</v>
      </c>
      <c r="K681" s="2">
        <f t="shared" si="61"/>
        <v>78954.873469606842</v>
      </c>
      <c r="L681" s="2">
        <f>IF(B681&lt;&gt;B680,L680*(1+Dashboard!$G$5)+Dashboard!$G$6, L680)</f>
        <v>76196.564518464947</v>
      </c>
      <c r="M681">
        <f t="shared" si="65"/>
        <v>0</v>
      </c>
      <c r="N681">
        <f t="shared" si="62"/>
        <v>196.60078055180986</v>
      </c>
      <c r="O681">
        <f>IF(B681&lt;&gt;B680, Dashboard!$L$6,0)</f>
        <v>0</v>
      </c>
      <c r="P681">
        <f t="shared" si="63"/>
        <v>164.9638217584218</v>
      </c>
      <c r="Q681">
        <f>IF(B681&lt;&gt;B680,IF(F681&lt;=AVERAGE(F659:F680),Dashboard!$N$6-Dashboard!$G$7,Dashboard!$N$6+Dashboard!$G$7),0)</f>
        <v>0</v>
      </c>
      <c r="R681">
        <f t="shared" si="64"/>
        <v>160.98445195944242</v>
      </c>
    </row>
    <row r="682" spans="1:18" x14ac:dyDescent="0.3">
      <c r="A682" t="s">
        <v>349</v>
      </c>
      <c r="B682">
        <v>6</v>
      </c>
      <c r="C682" s="19">
        <v>15</v>
      </c>
      <c r="D682" s="20">
        <v>2023</v>
      </c>
      <c r="E682" s="21">
        <f t="shared" si="60"/>
        <v>45092</v>
      </c>
      <c r="F682" s="20">
        <v>406.75</v>
      </c>
      <c r="G682" s="20">
        <v>5284984</v>
      </c>
      <c r="H682" s="20">
        <v>401</v>
      </c>
      <c r="I682" s="20">
        <v>407.93</v>
      </c>
      <c r="J682" s="22">
        <v>400.89</v>
      </c>
      <c r="K682" s="2">
        <f t="shared" si="61"/>
        <v>79967.367489448661</v>
      </c>
      <c r="L682" s="2">
        <f>IF(B682&lt;&gt;B681,L681*(1+Dashboard!$G$5)+Dashboard!$G$6, L681)</f>
        <v>76196.564518464947</v>
      </c>
      <c r="M682">
        <f t="shared" si="65"/>
        <v>0</v>
      </c>
      <c r="N682">
        <f t="shared" si="62"/>
        <v>196.60078055180986</v>
      </c>
      <c r="O682">
        <f>IF(B682&lt;&gt;B681, Dashboard!$L$6,0)</f>
        <v>0</v>
      </c>
      <c r="P682">
        <f t="shared" si="63"/>
        <v>164.9638217584218</v>
      </c>
      <c r="Q682">
        <f>IF(B682&lt;&gt;B681,IF(F682&lt;=AVERAGE(F660:F681),Dashboard!$N$6-Dashboard!$G$7,Dashboard!$N$6+Dashboard!$G$7),0)</f>
        <v>0</v>
      </c>
      <c r="R682">
        <f t="shared" si="64"/>
        <v>160.98445195944242</v>
      </c>
    </row>
    <row r="683" spans="1:18" x14ac:dyDescent="0.3">
      <c r="A683" t="s">
        <v>348</v>
      </c>
      <c r="B683">
        <v>6</v>
      </c>
      <c r="C683" s="19">
        <v>16</v>
      </c>
      <c r="D683" s="20">
        <v>2023</v>
      </c>
      <c r="E683" s="21">
        <f t="shared" si="60"/>
        <v>45093</v>
      </c>
      <c r="F683" s="20">
        <v>405.25</v>
      </c>
      <c r="G683" s="20">
        <v>5141885</v>
      </c>
      <c r="H683" s="20">
        <v>408.69</v>
      </c>
      <c r="I683" s="20">
        <v>408.76</v>
      </c>
      <c r="J683" s="22">
        <v>404.89</v>
      </c>
      <c r="K683" s="2">
        <f t="shared" si="61"/>
        <v>79672.466318620951</v>
      </c>
      <c r="L683" s="2">
        <f>IF(B683&lt;&gt;B682,L682*(1+Dashboard!$G$5)+Dashboard!$G$6, L682)</f>
        <v>76196.564518464947</v>
      </c>
      <c r="M683">
        <f t="shared" si="65"/>
        <v>0</v>
      </c>
      <c r="N683">
        <f t="shared" si="62"/>
        <v>196.60078055180986</v>
      </c>
      <c r="O683">
        <f>IF(B683&lt;&gt;B682, Dashboard!$L$6,0)</f>
        <v>0</v>
      </c>
      <c r="P683">
        <f t="shared" si="63"/>
        <v>164.9638217584218</v>
      </c>
      <c r="Q683">
        <f>IF(B683&lt;&gt;B682,IF(F683&lt;=AVERAGE(F661:F682),Dashboard!$N$6-Dashboard!$G$7,Dashboard!$N$6+Dashboard!$G$7),0)</f>
        <v>0</v>
      </c>
      <c r="R683">
        <f t="shared" si="64"/>
        <v>160.98445195944242</v>
      </c>
    </row>
    <row r="684" spans="1:18" x14ac:dyDescent="0.3">
      <c r="A684" t="s">
        <v>347</v>
      </c>
      <c r="B684">
        <v>6</v>
      </c>
      <c r="C684" s="19">
        <v>20</v>
      </c>
      <c r="D684" s="20">
        <v>2023</v>
      </c>
      <c r="E684" s="21">
        <f t="shared" si="60"/>
        <v>45097</v>
      </c>
      <c r="F684" s="20">
        <v>403.38</v>
      </c>
      <c r="G684" s="20">
        <v>4246881</v>
      </c>
      <c r="H684" s="20">
        <v>403.49</v>
      </c>
      <c r="I684" s="20">
        <v>404.32</v>
      </c>
      <c r="J684" s="22">
        <v>401.26</v>
      </c>
      <c r="K684" s="2">
        <f t="shared" si="61"/>
        <v>79304.822858989064</v>
      </c>
      <c r="L684" s="2">
        <f>IF(B684&lt;&gt;B683,L683*(1+Dashboard!$G$5)+Dashboard!$G$6, L683)</f>
        <v>76196.564518464947</v>
      </c>
      <c r="M684">
        <f t="shared" si="65"/>
        <v>0</v>
      </c>
      <c r="N684">
        <f t="shared" si="62"/>
        <v>196.60078055180986</v>
      </c>
      <c r="O684">
        <f>IF(B684&lt;&gt;B683, Dashboard!$L$6,0)</f>
        <v>0</v>
      </c>
      <c r="P684">
        <f t="shared" si="63"/>
        <v>164.9638217584218</v>
      </c>
      <c r="Q684">
        <f>IF(B684&lt;&gt;B683,IF(F684&lt;=AVERAGE(F662:F683),Dashboard!$N$6-Dashboard!$G$7,Dashboard!$N$6+Dashboard!$G$7),0)</f>
        <v>0</v>
      </c>
      <c r="R684">
        <f t="shared" si="64"/>
        <v>160.98445195944242</v>
      </c>
    </row>
    <row r="685" spans="1:18" x14ac:dyDescent="0.3">
      <c r="A685" t="s">
        <v>346</v>
      </c>
      <c r="B685">
        <v>6</v>
      </c>
      <c r="C685" s="19">
        <v>21</v>
      </c>
      <c r="D685" s="20">
        <v>2023</v>
      </c>
      <c r="E685" s="21">
        <f t="shared" si="60"/>
        <v>45098</v>
      </c>
      <c r="F685" s="20">
        <v>401.17</v>
      </c>
      <c r="G685" s="20">
        <v>3423543</v>
      </c>
      <c r="H685" s="20">
        <v>402.31</v>
      </c>
      <c r="I685" s="20">
        <v>403.06</v>
      </c>
      <c r="J685" s="22">
        <v>400.67</v>
      </c>
      <c r="K685" s="2">
        <f t="shared" si="61"/>
        <v>78870.335133969566</v>
      </c>
      <c r="L685" s="2">
        <f>IF(B685&lt;&gt;B684,L684*(1+Dashboard!$G$5)+Dashboard!$G$6, L684)</f>
        <v>76196.564518464947</v>
      </c>
      <c r="M685">
        <f t="shared" si="65"/>
        <v>0</v>
      </c>
      <c r="N685">
        <f t="shared" si="62"/>
        <v>196.60078055180986</v>
      </c>
      <c r="O685">
        <f>IF(B685&lt;&gt;B684, Dashboard!$L$6,0)</f>
        <v>0</v>
      </c>
      <c r="P685">
        <f t="shared" si="63"/>
        <v>164.9638217584218</v>
      </c>
      <c r="Q685">
        <f>IF(B685&lt;&gt;B684,IF(F685&lt;=AVERAGE(F663:F684),Dashboard!$N$6-Dashboard!$G$7,Dashboard!$N$6+Dashboard!$G$7),0)</f>
        <v>0</v>
      </c>
      <c r="R685">
        <f t="shared" si="64"/>
        <v>160.98445195944242</v>
      </c>
    </row>
    <row r="686" spans="1:18" x14ac:dyDescent="0.3">
      <c r="A686" t="s">
        <v>345</v>
      </c>
      <c r="B686">
        <v>6</v>
      </c>
      <c r="C686" s="19">
        <v>22</v>
      </c>
      <c r="D686" s="20">
        <v>2023</v>
      </c>
      <c r="E686" s="21">
        <f t="shared" si="60"/>
        <v>45099</v>
      </c>
      <c r="F686" s="20">
        <v>402.63</v>
      </c>
      <c r="G686" s="20">
        <v>3141021</v>
      </c>
      <c r="H686" s="20">
        <v>400.28</v>
      </c>
      <c r="I686" s="20">
        <v>402.72</v>
      </c>
      <c r="J686" s="22">
        <v>399.95</v>
      </c>
      <c r="K686" s="2">
        <f t="shared" si="61"/>
        <v>79157.372273575209</v>
      </c>
      <c r="L686" s="2">
        <f>IF(B686&lt;&gt;B685,L685*(1+Dashboard!$G$5)+Dashboard!$G$6, L685)</f>
        <v>76196.564518464947</v>
      </c>
      <c r="M686">
        <f t="shared" si="65"/>
        <v>0</v>
      </c>
      <c r="N686">
        <f t="shared" si="62"/>
        <v>196.60078055180986</v>
      </c>
      <c r="O686">
        <f>IF(B686&lt;&gt;B685, Dashboard!$L$6,0)</f>
        <v>0</v>
      </c>
      <c r="P686">
        <f t="shared" si="63"/>
        <v>164.9638217584218</v>
      </c>
      <c r="Q686">
        <f>IF(B686&lt;&gt;B685,IF(F686&lt;=AVERAGE(F664:F685),Dashboard!$N$6-Dashboard!$G$7,Dashboard!$N$6+Dashboard!$G$7),0)</f>
        <v>0</v>
      </c>
      <c r="R686">
        <f t="shared" si="64"/>
        <v>160.98445195944242</v>
      </c>
    </row>
    <row r="687" spans="1:18" x14ac:dyDescent="0.3">
      <c r="A687" t="s">
        <v>344</v>
      </c>
      <c r="B687">
        <v>6</v>
      </c>
      <c r="C687" s="19">
        <v>23</v>
      </c>
      <c r="D687" s="20">
        <v>2023</v>
      </c>
      <c r="E687" s="21">
        <f t="shared" si="60"/>
        <v>45100</v>
      </c>
      <c r="F687" s="20">
        <v>399.61</v>
      </c>
      <c r="G687" s="20">
        <v>4215307</v>
      </c>
      <c r="H687" s="20">
        <v>399.33</v>
      </c>
      <c r="I687" s="20">
        <v>401.28</v>
      </c>
      <c r="J687" s="22">
        <v>398.93</v>
      </c>
      <c r="K687" s="2">
        <f t="shared" si="61"/>
        <v>78563.63791630874</v>
      </c>
      <c r="L687" s="2">
        <f>IF(B687&lt;&gt;B686,L686*(1+Dashboard!$G$5)+Dashboard!$G$6, L686)</f>
        <v>76196.564518464947</v>
      </c>
      <c r="M687">
        <f t="shared" si="65"/>
        <v>0</v>
      </c>
      <c r="N687">
        <f t="shared" si="62"/>
        <v>196.60078055180986</v>
      </c>
      <c r="O687">
        <f>IF(B687&lt;&gt;B686, Dashboard!$L$6,0)</f>
        <v>0</v>
      </c>
      <c r="P687">
        <f t="shared" si="63"/>
        <v>164.9638217584218</v>
      </c>
      <c r="Q687">
        <f>IF(B687&lt;&gt;B686,IF(F687&lt;=AVERAGE(F665:F686),Dashboard!$N$6-Dashboard!$G$7,Dashboard!$N$6+Dashboard!$G$7),0)</f>
        <v>0</v>
      </c>
      <c r="R687">
        <f t="shared" si="64"/>
        <v>160.98445195944242</v>
      </c>
    </row>
    <row r="688" spans="1:18" x14ac:dyDescent="0.3">
      <c r="A688" t="s">
        <v>343</v>
      </c>
      <c r="B688">
        <v>6</v>
      </c>
      <c r="C688" s="19">
        <v>26</v>
      </c>
      <c r="D688" s="20">
        <v>2023</v>
      </c>
      <c r="E688" s="21">
        <f t="shared" si="60"/>
        <v>45103</v>
      </c>
      <c r="F688" s="20">
        <v>397.96</v>
      </c>
      <c r="G688" s="20">
        <v>3250700</v>
      </c>
      <c r="H688" s="20">
        <v>399.04</v>
      </c>
      <c r="I688" s="20">
        <v>400.86</v>
      </c>
      <c r="J688" s="22">
        <v>397.73</v>
      </c>
      <c r="K688" s="2">
        <f t="shared" si="61"/>
        <v>78239.24662839825</v>
      </c>
      <c r="L688" s="2">
        <f>IF(B688&lt;&gt;B687,L687*(1+Dashboard!$G$5)+Dashboard!$G$6, L687)</f>
        <v>76196.564518464947</v>
      </c>
      <c r="M688">
        <f t="shared" si="65"/>
        <v>0</v>
      </c>
      <c r="N688">
        <f t="shared" si="62"/>
        <v>196.60078055180986</v>
      </c>
      <c r="O688">
        <f>IF(B688&lt;&gt;B687, Dashboard!$L$6,0)</f>
        <v>0</v>
      </c>
      <c r="P688">
        <f t="shared" si="63"/>
        <v>164.9638217584218</v>
      </c>
      <c r="Q688">
        <f>IF(B688&lt;&gt;B687,IF(F688&lt;=AVERAGE(F666:F687),Dashboard!$N$6-Dashboard!$G$7,Dashboard!$N$6+Dashboard!$G$7),0)</f>
        <v>0</v>
      </c>
      <c r="R688">
        <f t="shared" si="64"/>
        <v>160.98445195944242</v>
      </c>
    </row>
    <row r="689" spans="1:18" x14ac:dyDescent="0.3">
      <c r="A689" t="s">
        <v>342</v>
      </c>
      <c r="B689">
        <v>6</v>
      </c>
      <c r="C689" s="19">
        <v>27</v>
      </c>
      <c r="D689" s="20">
        <v>2023</v>
      </c>
      <c r="E689" s="21">
        <f t="shared" si="60"/>
        <v>45104</v>
      </c>
      <c r="F689" s="20">
        <v>402.37</v>
      </c>
      <c r="G689" s="20">
        <v>4302361</v>
      </c>
      <c r="H689" s="20">
        <v>398.8</v>
      </c>
      <c r="I689" s="20">
        <v>402.93</v>
      </c>
      <c r="J689" s="22">
        <v>398.39</v>
      </c>
      <c r="K689" s="2">
        <f t="shared" si="61"/>
        <v>79106.256070631731</v>
      </c>
      <c r="L689" s="2">
        <f>IF(B689&lt;&gt;B688,L688*(1+Dashboard!$G$5)+Dashboard!$G$6, L688)</f>
        <v>76196.564518464947</v>
      </c>
      <c r="M689">
        <f t="shared" si="65"/>
        <v>0</v>
      </c>
      <c r="N689">
        <f t="shared" si="62"/>
        <v>196.60078055180986</v>
      </c>
      <c r="O689">
        <f>IF(B689&lt;&gt;B688, Dashboard!$L$6,0)</f>
        <v>0</v>
      </c>
      <c r="P689">
        <f t="shared" si="63"/>
        <v>164.9638217584218</v>
      </c>
      <c r="Q689">
        <f>IF(B689&lt;&gt;B688,IF(F689&lt;=AVERAGE(F667:F688),Dashboard!$N$6-Dashboard!$G$7,Dashboard!$N$6+Dashboard!$G$7),0)</f>
        <v>0</v>
      </c>
      <c r="R689">
        <f t="shared" si="64"/>
        <v>160.98445195944242</v>
      </c>
    </row>
    <row r="690" spans="1:18" x14ac:dyDescent="0.3">
      <c r="A690" t="s">
        <v>341</v>
      </c>
      <c r="B690">
        <v>6</v>
      </c>
      <c r="C690" s="19">
        <v>28</v>
      </c>
      <c r="D690" s="20">
        <v>2023</v>
      </c>
      <c r="E690" s="21">
        <f t="shared" si="60"/>
        <v>45105</v>
      </c>
      <c r="F690" s="20">
        <v>402.55</v>
      </c>
      <c r="G690" s="20">
        <v>4320672</v>
      </c>
      <c r="H690" s="20">
        <v>401.35</v>
      </c>
      <c r="I690" s="20">
        <v>403.48500000000001</v>
      </c>
      <c r="J690" s="22">
        <v>400.71</v>
      </c>
      <c r="K690" s="2">
        <f t="shared" si="61"/>
        <v>79141.644211131061</v>
      </c>
      <c r="L690" s="2">
        <f>IF(B690&lt;&gt;B689,L689*(1+Dashboard!$G$5)+Dashboard!$G$6, L689)</f>
        <v>76196.564518464947</v>
      </c>
      <c r="M690">
        <f t="shared" si="65"/>
        <v>0</v>
      </c>
      <c r="N690">
        <f t="shared" si="62"/>
        <v>196.60078055180986</v>
      </c>
      <c r="O690">
        <f>IF(B690&lt;&gt;B689, Dashboard!$L$6,0)</f>
        <v>0</v>
      </c>
      <c r="P690">
        <f t="shared" si="63"/>
        <v>164.9638217584218</v>
      </c>
      <c r="Q690">
        <f>IF(B690&lt;&gt;B689,IF(F690&lt;=AVERAGE(F668:F689),Dashboard!$N$6-Dashboard!$G$7,Dashboard!$N$6+Dashboard!$G$7),0)</f>
        <v>0</v>
      </c>
      <c r="R690">
        <f t="shared" si="64"/>
        <v>160.98445195944242</v>
      </c>
    </row>
    <row r="691" spans="1:18" x14ac:dyDescent="0.3">
      <c r="A691" t="s">
        <v>340</v>
      </c>
      <c r="B691">
        <v>6</v>
      </c>
      <c r="C691" s="19">
        <v>29</v>
      </c>
      <c r="D691" s="20">
        <v>2023</v>
      </c>
      <c r="E691" s="21">
        <f t="shared" si="60"/>
        <v>45106</v>
      </c>
      <c r="F691" s="20">
        <v>402.51</v>
      </c>
      <c r="G691" s="20">
        <v>3914849</v>
      </c>
      <c r="H691" s="20">
        <v>400.6</v>
      </c>
      <c r="I691" s="20">
        <v>402.67</v>
      </c>
      <c r="J691" s="22">
        <v>400.19</v>
      </c>
      <c r="K691" s="2">
        <f t="shared" si="61"/>
        <v>79133.780179908979</v>
      </c>
      <c r="L691" s="2">
        <f>IF(B691&lt;&gt;B690,L690*(1+Dashboard!$G$5)+Dashboard!$G$6, L690)</f>
        <v>76196.564518464947</v>
      </c>
      <c r="M691">
        <f t="shared" si="65"/>
        <v>0</v>
      </c>
      <c r="N691">
        <f t="shared" si="62"/>
        <v>196.60078055180986</v>
      </c>
      <c r="O691">
        <f>IF(B691&lt;&gt;B690, Dashboard!$L$6,0)</f>
        <v>0</v>
      </c>
      <c r="P691">
        <f t="shared" si="63"/>
        <v>164.9638217584218</v>
      </c>
      <c r="Q691">
        <f>IF(B691&lt;&gt;B690,IF(F691&lt;=AVERAGE(F669:F690),Dashboard!$N$6-Dashboard!$G$7,Dashboard!$N$6+Dashboard!$G$7),0)</f>
        <v>0</v>
      </c>
      <c r="R691">
        <f t="shared" si="64"/>
        <v>160.98445195944242</v>
      </c>
    </row>
    <row r="692" spans="1:18" x14ac:dyDescent="0.3">
      <c r="A692" t="s">
        <v>339</v>
      </c>
      <c r="B692">
        <v>6</v>
      </c>
      <c r="C692" s="19">
        <v>30</v>
      </c>
      <c r="D692" s="20">
        <v>2023</v>
      </c>
      <c r="E692" s="21">
        <f t="shared" si="60"/>
        <v>45107</v>
      </c>
      <c r="F692" s="20">
        <v>407.28</v>
      </c>
      <c r="G692" s="20">
        <v>5173692</v>
      </c>
      <c r="H692" s="20">
        <v>405.4</v>
      </c>
      <c r="I692" s="20">
        <v>408.22</v>
      </c>
      <c r="J692" s="22">
        <v>405.29</v>
      </c>
      <c r="K692" s="2">
        <f t="shared" si="61"/>
        <v>80071.56590314112</v>
      </c>
      <c r="L692" s="2">
        <f>IF(B692&lt;&gt;B691,L691*(1+Dashboard!$G$5)+Dashboard!$G$6, L691)</f>
        <v>76196.564518464947</v>
      </c>
      <c r="M692">
        <f t="shared" si="65"/>
        <v>0</v>
      </c>
      <c r="N692">
        <f t="shared" si="62"/>
        <v>196.60078055180986</v>
      </c>
      <c r="O692">
        <f>IF(B692&lt;&gt;B691, Dashboard!$L$6,0)</f>
        <v>0</v>
      </c>
      <c r="P692">
        <f t="shared" si="63"/>
        <v>164.9638217584218</v>
      </c>
      <c r="Q692">
        <f>IF(B692&lt;&gt;B691,IF(F692&lt;=AVERAGE(F670:F691),Dashboard!$N$6-Dashboard!$G$7,Dashboard!$N$6+Dashboard!$G$7),0)</f>
        <v>0</v>
      </c>
      <c r="R692">
        <f t="shared" si="64"/>
        <v>160.98445195944242</v>
      </c>
    </row>
    <row r="693" spans="1:18" x14ac:dyDescent="0.3">
      <c r="A693" s="1">
        <v>44992</v>
      </c>
      <c r="B693">
        <v>7</v>
      </c>
      <c r="C693" s="19">
        <v>3</v>
      </c>
      <c r="D693" s="20">
        <v>2023</v>
      </c>
      <c r="E693" s="21">
        <f t="shared" si="60"/>
        <v>45110</v>
      </c>
      <c r="F693" s="20">
        <v>408.06</v>
      </c>
      <c r="G693" s="20">
        <v>2372019</v>
      </c>
      <c r="H693" s="20">
        <v>406.92</v>
      </c>
      <c r="I693" s="20">
        <v>408.06</v>
      </c>
      <c r="J693" s="22">
        <v>406.68</v>
      </c>
      <c r="K693" s="2">
        <f t="shared" si="61"/>
        <v>80224.914511971539</v>
      </c>
      <c r="L693" s="2">
        <f>IF(B693&lt;&gt;B692,L692*(1+Dashboard!$G$5)+Dashboard!$G$6, L692)</f>
        <v>78867.094286227439</v>
      </c>
      <c r="M693">
        <f t="shared" si="65"/>
        <v>0</v>
      </c>
      <c r="N693">
        <f t="shared" si="62"/>
        <v>196.60078055180986</v>
      </c>
      <c r="O693">
        <f>IF(B693&lt;&gt;B692, Dashboard!$L$6,0)</f>
        <v>1859.7282542371197</v>
      </c>
      <c r="P693">
        <f t="shared" si="63"/>
        <v>169.52130902558133</v>
      </c>
      <c r="Q693">
        <f>IF(B693&lt;&gt;B692,IF(F693&lt;=AVERAGE(F671:F692),Dashboard!$N$6-Dashboard!$G$7,Dashboard!$N$6+Dashboard!$G$7),0)</f>
        <v>2232.609610169322</v>
      </c>
      <c r="R693">
        <f t="shared" si="64"/>
        <v>166.47105770545963</v>
      </c>
    </row>
    <row r="694" spans="1:18" x14ac:dyDescent="0.3">
      <c r="A694" s="1">
        <v>45053</v>
      </c>
      <c r="B694">
        <v>7</v>
      </c>
      <c r="C694" s="19">
        <v>5</v>
      </c>
      <c r="D694" s="20">
        <v>2023</v>
      </c>
      <c r="E694" s="21">
        <f t="shared" si="60"/>
        <v>45112</v>
      </c>
      <c r="F694" s="20">
        <v>407.15</v>
      </c>
      <c r="G694" s="20">
        <v>4234124</v>
      </c>
      <c r="H694" s="20">
        <v>406.01</v>
      </c>
      <c r="I694" s="20">
        <v>407.84</v>
      </c>
      <c r="J694" s="22">
        <v>406.01</v>
      </c>
      <c r="K694" s="2">
        <f t="shared" si="61"/>
        <v>80046.007801669388</v>
      </c>
      <c r="L694" s="2">
        <f>IF(B694&lt;&gt;B693,L693*(1+Dashboard!$G$5)+Dashboard!$G$6, L693)</f>
        <v>78867.094286227439</v>
      </c>
      <c r="M694">
        <f t="shared" si="65"/>
        <v>0</v>
      </c>
      <c r="N694">
        <f t="shared" si="62"/>
        <v>196.60078055180986</v>
      </c>
      <c r="O694">
        <f>IF(B694&lt;&gt;B693, Dashboard!$L$6,0)</f>
        <v>0</v>
      </c>
      <c r="P694">
        <f t="shared" si="63"/>
        <v>169.52130902558133</v>
      </c>
      <c r="Q694">
        <f>IF(B694&lt;&gt;B693,IF(F694&lt;=AVERAGE(F672:F693),Dashboard!$N$6-Dashboard!$G$7,Dashboard!$N$6+Dashboard!$G$7),0)</f>
        <v>0</v>
      </c>
      <c r="R694">
        <f t="shared" si="64"/>
        <v>166.47105770545963</v>
      </c>
    </row>
    <row r="695" spans="1:18" x14ac:dyDescent="0.3">
      <c r="A695" s="1">
        <v>45084</v>
      </c>
      <c r="B695">
        <v>7</v>
      </c>
      <c r="C695" s="19">
        <v>6</v>
      </c>
      <c r="D695" s="20">
        <v>2023</v>
      </c>
      <c r="E695" s="21">
        <f t="shared" si="60"/>
        <v>45113</v>
      </c>
      <c r="F695" s="20">
        <v>403.83</v>
      </c>
      <c r="G695" s="20">
        <v>6040271</v>
      </c>
      <c r="H695" s="20">
        <v>403.78</v>
      </c>
      <c r="I695" s="20">
        <v>404.35</v>
      </c>
      <c r="J695" s="22">
        <v>401.56</v>
      </c>
      <c r="K695" s="2">
        <f t="shared" si="61"/>
        <v>79393.293210237374</v>
      </c>
      <c r="L695" s="2">
        <f>IF(B695&lt;&gt;B694,L694*(1+Dashboard!$G$5)+Dashboard!$G$6, L694)</f>
        <v>78867.094286227439</v>
      </c>
      <c r="M695">
        <f t="shared" si="65"/>
        <v>0</v>
      </c>
      <c r="N695">
        <f t="shared" si="62"/>
        <v>196.60078055180986</v>
      </c>
      <c r="O695">
        <f>IF(B695&lt;&gt;B694, Dashboard!$L$6,0)</f>
        <v>0</v>
      </c>
      <c r="P695">
        <f t="shared" si="63"/>
        <v>169.52130902558133</v>
      </c>
      <c r="Q695">
        <f>IF(B695&lt;&gt;B694,IF(F695&lt;=AVERAGE(F673:F694),Dashboard!$N$6-Dashboard!$G$7,Dashboard!$N$6+Dashboard!$G$7),0)</f>
        <v>0</v>
      </c>
      <c r="R695">
        <f t="shared" si="64"/>
        <v>166.47105770545963</v>
      </c>
    </row>
    <row r="696" spans="1:18" x14ac:dyDescent="0.3">
      <c r="A696" s="1">
        <v>45114</v>
      </c>
      <c r="B696">
        <v>7</v>
      </c>
      <c r="C696" s="19">
        <v>7</v>
      </c>
      <c r="D696" s="20">
        <v>2023</v>
      </c>
      <c r="E696" s="21">
        <f t="shared" si="60"/>
        <v>45114</v>
      </c>
      <c r="F696" s="20">
        <v>402.89</v>
      </c>
      <c r="G696" s="20">
        <v>3673249</v>
      </c>
      <c r="H696" s="20">
        <v>403.03</v>
      </c>
      <c r="I696" s="20">
        <v>406.67899999999997</v>
      </c>
      <c r="J696" s="22">
        <v>402.71</v>
      </c>
      <c r="K696" s="2">
        <f t="shared" si="61"/>
        <v>79208.488476518673</v>
      </c>
      <c r="L696" s="2">
        <f>IF(B696&lt;&gt;B695,L695*(1+Dashboard!$G$5)+Dashboard!$G$6, L695)</f>
        <v>78867.094286227439</v>
      </c>
      <c r="M696">
        <f t="shared" si="65"/>
        <v>0</v>
      </c>
      <c r="N696">
        <f t="shared" si="62"/>
        <v>196.60078055180986</v>
      </c>
      <c r="O696">
        <f>IF(B696&lt;&gt;B695, Dashboard!$L$6,0)</f>
        <v>0</v>
      </c>
      <c r="P696">
        <f t="shared" si="63"/>
        <v>169.52130902558133</v>
      </c>
      <c r="Q696">
        <f>IF(B696&lt;&gt;B695,IF(F696&lt;=AVERAGE(F674:F695),Dashboard!$N$6-Dashboard!$G$7,Dashboard!$N$6+Dashboard!$G$7),0)</f>
        <v>0</v>
      </c>
      <c r="R696">
        <f t="shared" si="64"/>
        <v>166.47105770545963</v>
      </c>
    </row>
    <row r="697" spans="1:18" x14ac:dyDescent="0.3">
      <c r="A697" s="1">
        <v>45206</v>
      </c>
      <c r="B697">
        <v>7</v>
      </c>
      <c r="C697" s="19">
        <v>10</v>
      </c>
      <c r="D697" s="20">
        <v>2023</v>
      </c>
      <c r="E697" s="21">
        <f t="shared" si="60"/>
        <v>45117</v>
      </c>
      <c r="F697" s="20">
        <v>403.97</v>
      </c>
      <c r="G697" s="20">
        <v>3362277</v>
      </c>
      <c r="H697" s="20">
        <v>402.63</v>
      </c>
      <c r="I697" s="20">
        <v>404.11</v>
      </c>
      <c r="J697" s="22">
        <v>402.06</v>
      </c>
      <c r="K697" s="2">
        <f t="shared" si="61"/>
        <v>79420.817319514637</v>
      </c>
      <c r="L697" s="2">
        <f>IF(B697&lt;&gt;B696,L696*(1+Dashboard!$G$5)+Dashboard!$G$6, L696)</f>
        <v>78867.094286227439</v>
      </c>
      <c r="M697">
        <f t="shared" si="65"/>
        <v>0</v>
      </c>
      <c r="N697">
        <f t="shared" si="62"/>
        <v>196.60078055180986</v>
      </c>
      <c r="O697">
        <f>IF(B697&lt;&gt;B696, Dashboard!$L$6,0)</f>
        <v>0</v>
      </c>
      <c r="P697">
        <f t="shared" si="63"/>
        <v>169.52130902558133</v>
      </c>
      <c r="Q697">
        <f>IF(B697&lt;&gt;B696,IF(F697&lt;=AVERAGE(F675:F696),Dashboard!$N$6-Dashboard!$G$7,Dashboard!$N$6+Dashboard!$G$7),0)</f>
        <v>0</v>
      </c>
      <c r="R697">
        <f t="shared" si="64"/>
        <v>166.47105770545963</v>
      </c>
    </row>
    <row r="698" spans="1:18" x14ac:dyDescent="0.3">
      <c r="A698" s="1">
        <v>45237</v>
      </c>
      <c r="B698">
        <v>7</v>
      </c>
      <c r="C698" s="19">
        <v>11</v>
      </c>
      <c r="D698" s="20">
        <v>2023</v>
      </c>
      <c r="E698" s="21">
        <f t="shared" si="60"/>
        <v>45118</v>
      </c>
      <c r="F698" s="20">
        <v>406.56</v>
      </c>
      <c r="G698" s="20">
        <v>3181871</v>
      </c>
      <c r="H698" s="20">
        <v>404.77</v>
      </c>
      <c r="I698" s="20">
        <v>407</v>
      </c>
      <c r="J698" s="22">
        <v>403.77</v>
      </c>
      <c r="K698" s="2">
        <f t="shared" si="61"/>
        <v>79930.013341143815</v>
      </c>
      <c r="L698" s="2">
        <f>IF(B698&lt;&gt;B697,L697*(1+Dashboard!$G$5)+Dashboard!$G$6, L697)</f>
        <v>78867.094286227439</v>
      </c>
      <c r="M698">
        <f t="shared" si="65"/>
        <v>0</v>
      </c>
      <c r="N698">
        <f t="shared" si="62"/>
        <v>196.60078055180986</v>
      </c>
      <c r="O698">
        <f>IF(B698&lt;&gt;B697, Dashboard!$L$6,0)</f>
        <v>0</v>
      </c>
      <c r="P698">
        <f t="shared" si="63"/>
        <v>169.52130902558133</v>
      </c>
      <c r="Q698">
        <f>IF(B698&lt;&gt;B697,IF(F698&lt;=AVERAGE(F676:F697),Dashboard!$N$6-Dashboard!$G$7,Dashboard!$N$6+Dashboard!$G$7),0)</f>
        <v>0</v>
      </c>
      <c r="R698">
        <f t="shared" si="64"/>
        <v>166.47105770545963</v>
      </c>
    </row>
    <row r="699" spans="1:18" x14ac:dyDescent="0.3">
      <c r="A699" s="1">
        <v>45267</v>
      </c>
      <c r="B699">
        <v>7</v>
      </c>
      <c r="C699" s="19">
        <v>12</v>
      </c>
      <c r="D699" s="20">
        <v>2023</v>
      </c>
      <c r="E699" s="21">
        <f t="shared" si="60"/>
        <v>45119</v>
      </c>
      <c r="F699" s="20">
        <v>409.76</v>
      </c>
      <c r="G699" s="20">
        <v>4246359</v>
      </c>
      <c r="H699" s="20">
        <v>410.19</v>
      </c>
      <c r="I699" s="20">
        <v>411.13</v>
      </c>
      <c r="J699" s="22">
        <v>408.79</v>
      </c>
      <c r="K699" s="2">
        <f t="shared" si="61"/>
        <v>80559.135838909613</v>
      </c>
      <c r="L699" s="2">
        <f>IF(B699&lt;&gt;B698,L698*(1+Dashboard!$G$5)+Dashboard!$G$6, L698)</f>
        <v>78867.094286227439</v>
      </c>
      <c r="M699">
        <f t="shared" si="65"/>
        <v>0</v>
      </c>
      <c r="N699">
        <f t="shared" si="62"/>
        <v>196.60078055180986</v>
      </c>
      <c r="O699">
        <f>IF(B699&lt;&gt;B698, Dashboard!$L$6,0)</f>
        <v>0</v>
      </c>
      <c r="P699">
        <f t="shared" si="63"/>
        <v>169.52130902558133</v>
      </c>
      <c r="Q699">
        <f>IF(B699&lt;&gt;B698,IF(F699&lt;=AVERAGE(F677:F698),Dashboard!$N$6-Dashboard!$G$7,Dashboard!$N$6+Dashboard!$G$7),0)</f>
        <v>0</v>
      </c>
      <c r="R699">
        <f t="shared" si="64"/>
        <v>166.47105770545963</v>
      </c>
    </row>
    <row r="700" spans="1:18" x14ac:dyDescent="0.3">
      <c r="A700" t="s">
        <v>338</v>
      </c>
      <c r="B700">
        <v>7</v>
      </c>
      <c r="C700" s="19">
        <v>13</v>
      </c>
      <c r="D700" s="20">
        <v>2023</v>
      </c>
      <c r="E700" s="21">
        <f t="shared" si="60"/>
        <v>45120</v>
      </c>
      <c r="F700" s="20">
        <v>413.1</v>
      </c>
      <c r="G700" s="20">
        <v>3273427</v>
      </c>
      <c r="H700" s="20">
        <v>411.54</v>
      </c>
      <c r="I700" s="20">
        <v>413.81</v>
      </c>
      <c r="J700" s="22">
        <v>411.13</v>
      </c>
      <c r="K700" s="2">
        <f t="shared" si="61"/>
        <v>81215.78244595266</v>
      </c>
      <c r="L700" s="2">
        <f>IF(B700&lt;&gt;B699,L699*(1+Dashboard!$G$5)+Dashboard!$G$6, L699)</f>
        <v>78867.094286227439</v>
      </c>
      <c r="M700">
        <f t="shared" si="65"/>
        <v>0</v>
      </c>
      <c r="N700">
        <f t="shared" si="62"/>
        <v>196.60078055180986</v>
      </c>
      <c r="O700">
        <f>IF(B700&lt;&gt;B699, Dashboard!$L$6,0)</f>
        <v>0</v>
      </c>
      <c r="P700">
        <f t="shared" si="63"/>
        <v>169.52130902558133</v>
      </c>
      <c r="Q700">
        <f>IF(B700&lt;&gt;B699,IF(F700&lt;=AVERAGE(F678:F699),Dashboard!$N$6-Dashboard!$G$7,Dashboard!$N$6+Dashboard!$G$7),0)</f>
        <v>0</v>
      </c>
      <c r="R700">
        <f t="shared" si="64"/>
        <v>166.47105770545963</v>
      </c>
    </row>
    <row r="701" spans="1:18" x14ac:dyDescent="0.3">
      <c r="A701" t="s">
        <v>337</v>
      </c>
      <c r="B701">
        <v>7</v>
      </c>
      <c r="C701" s="19">
        <v>14</v>
      </c>
      <c r="D701" s="20">
        <v>2023</v>
      </c>
      <c r="E701" s="21">
        <f t="shared" si="60"/>
        <v>45121</v>
      </c>
      <c r="F701" s="20">
        <v>412.77</v>
      </c>
      <c r="G701" s="20">
        <v>3680945</v>
      </c>
      <c r="H701" s="20">
        <v>413.94</v>
      </c>
      <c r="I701" s="20">
        <v>414.71</v>
      </c>
      <c r="J701" s="22">
        <v>412.08</v>
      </c>
      <c r="K701" s="2">
        <f t="shared" si="61"/>
        <v>81150.90418837055</v>
      </c>
      <c r="L701" s="2">
        <f>IF(B701&lt;&gt;B700,L700*(1+Dashboard!$G$5)+Dashboard!$G$6, L700)</f>
        <v>78867.094286227439</v>
      </c>
      <c r="M701">
        <f t="shared" si="65"/>
        <v>0</v>
      </c>
      <c r="N701">
        <f t="shared" si="62"/>
        <v>196.60078055180986</v>
      </c>
      <c r="O701">
        <f>IF(B701&lt;&gt;B700, Dashboard!$L$6,0)</f>
        <v>0</v>
      </c>
      <c r="P701">
        <f t="shared" si="63"/>
        <v>169.52130902558133</v>
      </c>
      <c r="Q701">
        <f>IF(B701&lt;&gt;B700,IF(F701&lt;=AVERAGE(F679:F700),Dashboard!$N$6-Dashboard!$G$7,Dashboard!$N$6+Dashboard!$G$7),0)</f>
        <v>0</v>
      </c>
      <c r="R701">
        <f t="shared" si="64"/>
        <v>166.47105770545963</v>
      </c>
    </row>
    <row r="702" spans="1:18" x14ac:dyDescent="0.3">
      <c r="A702" t="s">
        <v>336</v>
      </c>
      <c r="B702">
        <v>7</v>
      </c>
      <c r="C702" s="19">
        <v>17</v>
      </c>
      <c r="D702" s="20">
        <v>2023</v>
      </c>
      <c r="E702" s="21">
        <f t="shared" si="60"/>
        <v>45124</v>
      </c>
      <c r="F702" s="20">
        <v>414.21</v>
      </c>
      <c r="G702" s="20">
        <v>2968267</v>
      </c>
      <c r="H702" s="20">
        <v>412.65</v>
      </c>
      <c r="I702" s="20">
        <v>415.24950000000001</v>
      </c>
      <c r="J702" s="22">
        <v>412.63</v>
      </c>
      <c r="K702" s="2">
        <f t="shared" si="61"/>
        <v>81434.00931236516</v>
      </c>
      <c r="L702" s="2">
        <f>IF(B702&lt;&gt;B701,L701*(1+Dashboard!$G$5)+Dashboard!$G$6, L701)</f>
        <v>78867.094286227439</v>
      </c>
      <c r="M702">
        <f t="shared" si="65"/>
        <v>0</v>
      </c>
      <c r="N702">
        <f t="shared" si="62"/>
        <v>196.60078055180986</v>
      </c>
      <c r="O702">
        <f>IF(B702&lt;&gt;B701, Dashboard!$L$6,0)</f>
        <v>0</v>
      </c>
      <c r="P702">
        <f t="shared" si="63"/>
        <v>169.52130902558133</v>
      </c>
      <c r="Q702">
        <f>IF(B702&lt;&gt;B701,IF(F702&lt;=AVERAGE(F680:F701),Dashboard!$N$6-Dashboard!$G$7,Dashboard!$N$6+Dashboard!$G$7),0)</f>
        <v>0</v>
      </c>
      <c r="R702">
        <f t="shared" si="64"/>
        <v>166.47105770545963</v>
      </c>
    </row>
    <row r="703" spans="1:18" x14ac:dyDescent="0.3">
      <c r="A703" t="s">
        <v>335</v>
      </c>
      <c r="B703">
        <v>7</v>
      </c>
      <c r="C703" s="19">
        <v>18</v>
      </c>
      <c r="D703" s="20">
        <v>2023</v>
      </c>
      <c r="E703" s="21">
        <f t="shared" si="60"/>
        <v>45125</v>
      </c>
      <c r="F703" s="20">
        <v>417.35</v>
      </c>
      <c r="G703" s="20">
        <v>3597284</v>
      </c>
      <c r="H703" s="20">
        <v>413.91</v>
      </c>
      <c r="I703" s="20">
        <v>417.93</v>
      </c>
      <c r="J703" s="22">
        <v>413.54</v>
      </c>
      <c r="K703" s="2">
        <f t="shared" si="61"/>
        <v>82051.335763297844</v>
      </c>
      <c r="L703" s="2">
        <f>IF(B703&lt;&gt;B702,L702*(1+Dashboard!$G$5)+Dashboard!$G$6, L702)</f>
        <v>78867.094286227439</v>
      </c>
      <c r="M703">
        <f t="shared" si="65"/>
        <v>0</v>
      </c>
      <c r="N703">
        <f t="shared" si="62"/>
        <v>196.60078055180986</v>
      </c>
      <c r="O703">
        <f>IF(B703&lt;&gt;B702, Dashboard!$L$6,0)</f>
        <v>0</v>
      </c>
      <c r="P703">
        <f t="shared" si="63"/>
        <v>169.52130902558133</v>
      </c>
      <c r="Q703">
        <f>IF(B703&lt;&gt;B702,IF(F703&lt;=AVERAGE(F681:F702),Dashboard!$N$6-Dashboard!$G$7,Dashboard!$N$6+Dashboard!$G$7),0)</f>
        <v>0</v>
      </c>
      <c r="R703">
        <f t="shared" si="64"/>
        <v>166.47105770545963</v>
      </c>
    </row>
    <row r="704" spans="1:18" x14ac:dyDescent="0.3">
      <c r="A704" t="s">
        <v>334</v>
      </c>
      <c r="B704">
        <v>7</v>
      </c>
      <c r="C704" s="19">
        <v>19</v>
      </c>
      <c r="D704" s="20">
        <v>2023</v>
      </c>
      <c r="E704" s="21">
        <f t="shared" si="60"/>
        <v>45126</v>
      </c>
      <c r="F704" s="20">
        <v>418.25</v>
      </c>
      <c r="G704" s="20">
        <v>3494916</v>
      </c>
      <c r="H704" s="20">
        <v>418.07</v>
      </c>
      <c r="I704" s="20">
        <v>419.37</v>
      </c>
      <c r="J704" s="22">
        <v>417.49</v>
      </c>
      <c r="K704" s="2">
        <f t="shared" si="61"/>
        <v>82228.276465794479</v>
      </c>
      <c r="L704" s="2">
        <f>IF(B704&lt;&gt;B703,L703*(1+Dashboard!$G$5)+Dashboard!$G$6, L703)</f>
        <v>78867.094286227439</v>
      </c>
      <c r="M704">
        <f t="shared" si="65"/>
        <v>0</v>
      </c>
      <c r="N704">
        <f t="shared" si="62"/>
        <v>196.60078055180986</v>
      </c>
      <c r="O704">
        <f>IF(B704&lt;&gt;B703, Dashboard!$L$6,0)</f>
        <v>0</v>
      </c>
      <c r="P704">
        <f t="shared" si="63"/>
        <v>169.52130902558133</v>
      </c>
      <c r="Q704">
        <f>IF(B704&lt;&gt;B703,IF(F704&lt;=AVERAGE(F682:F703),Dashboard!$N$6-Dashboard!$G$7,Dashboard!$N$6+Dashboard!$G$7),0)</f>
        <v>0</v>
      </c>
      <c r="R704">
        <f t="shared" si="64"/>
        <v>166.47105770545963</v>
      </c>
    </row>
    <row r="705" spans="1:18" x14ac:dyDescent="0.3">
      <c r="A705" t="s">
        <v>333</v>
      </c>
      <c r="B705">
        <v>7</v>
      </c>
      <c r="C705" s="19">
        <v>20</v>
      </c>
      <c r="D705" s="20">
        <v>2023</v>
      </c>
      <c r="E705" s="21">
        <f t="shared" si="60"/>
        <v>45127</v>
      </c>
      <c r="F705" s="20">
        <v>415.52</v>
      </c>
      <c r="G705" s="20">
        <v>4084997</v>
      </c>
      <c r="H705" s="20">
        <v>417.3</v>
      </c>
      <c r="I705" s="20">
        <v>418.16</v>
      </c>
      <c r="J705" s="22">
        <v>414.82</v>
      </c>
      <c r="K705" s="2">
        <f t="shared" si="61"/>
        <v>81691.556334888024</v>
      </c>
      <c r="L705" s="2">
        <f>IF(B705&lt;&gt;B704,L704*(1+Dashboard!$G$5)+Dashboard!$G$6, L704)</f>
        <v>78867.094286227439</v>
      </c>
      <c r="M705">
        <f t="shared" si="65"/>
        <v>0</v>
      </c>
      <c r="N705">
        <f t="shared" si="62"/>
        <v>196.60078055180986</v>
      </c>
      <c r="O705">
        <f>IF(B705&lt;&gt;B704, Dashboard!$L$6,0)</f>
        <v>0</v>
      </c>
      <c r="P705">
        <f t="shared" si="63"/>
        <v>169.52130902558133</v>
      </c>
      <c r="Q705">
        <f>IF(B705&lt;&gt;B704,IF(F705&lt;=AVERAGE(F683:F704),Dashboard!$N$6-Dashboard!$G$7,Dashboard!$N$6+Dashboard!$G$7),0)</f>
        <v>0</v>
      </c>
      <c r="R705">
        <f t="shared" si="64"/>
        <v>166.47105770545963</v>
      </c>
    </row>
    <row r="706" spans="1:18" x14ac:dyDescent="0.3">
      <c r="A706" t="s">
        <v>332</v>
      </c>
      <c r="B706">
        <v>7</v>
      </c>
      <c r="C706" s="19">
        <v>21</v>
      </c>
      <c r="D706" s="20">
        <v>2023</v>
      </c>
      <c r="E706" s="21">
        <f t="shared" ref="E706:E769" si="66">DATE(D706,B706,C706)</f>
        <v>45128</v>
      </c>
      <c r="F706" s="20">
        <v>415.57</v>
      </c>
      <c r="G706" s="20">
        <v>3176713</v>
      </c>
      <c r="H706" s="20">
        <v>417.11</v>
      </c>
      <c r="I706" s="20">
        <v>417.3</v>
      </c>
      <c r="J706" s="22">
        <v>415.48</v>
      </c>
      <c r="K706" s="2">
        <f t="shared" si="61"/>
        <v>81701.386373915622</v>
      </c>
      <c r="L706" s="2">
        <f>IF(B706&lt;&gt;B705,L705*(1+Dashboard!$G$5)+Dashboard!$G$6, L705)</f>
        <v>78867.094286227439</v>
      </c>
      <c r="M706">
        <f t="shared" si="65"/>
        <v>0</v>
      </c>
      <c r="N706">
        <f t="shared" si="62"/>
        <v>196.60078055180986</v>
      </c>
      <c r="O706">
        <f>IF(B706&lt;&gt;B705, Dashboard!$L$6,0)</f>
        <v>0</v>
      </c>
      <c r="P706">
        <f t="shared" si="63"/>
        <v>169.52130902558133</v>
      </c>
      <c r="Q706">
        <f>IF(B706&lt;&gt;B705,IF(F706&lt;=AVERAGE(F684:F705),Dashboard!$N$6-Dashboard!$G$7,Dashboard!$N$6+Dashboard!$G$7),0)</f>
        <v>0</v>
      </c>
      <c r="R706">
        <f t="shared" si="64"/>
        <v>166.47105770545963</v>
      </c>
    </row>
    <row r="707" spans="1:18" x14ac:dyDescent="0.3">
      <c r="A707" t="s">
        <v>331</v>
      </c>
      <c r="B707">
        <v>7</v>
      </c>
      <c r="C707" s="19">
        <v>24</v>
      </c>
      <c r="D707" s="20">
        <v>2023</v>
      </c>
      <c r="E707" s="21">
        <f t="shared" si="66"/>
        <v>45131</v>
      </c>
      <c r="F707" s="20">
        <v>417.33</v>
      </c>
      <c r="G707" s="20">
        <v>3471126</v>
      </c>
      <c r="H707" s="20">
        <v>416.58</v>
      </c>
      <c r="I707" s="20">
        <v>418.1</v>
      </c>
      <c r="J707" s="22">
        <v>416.01499999999999</v>
      </c>
      <c r="K707" s="2">
        <f t="shared" ref="K707:K770" si="67">N707*F707</f>
        <v>82047.403747686811</v>
      </c>
      <c r="L707" s="2">
        <f>IF(B707&lt;&gt;B706,L706*(1+Dashboard!$G$5)+Dashboard!$G$6, L706)</f>
        <v>78867.094286227439</v>
      </c>
      <c r="M707">
        <f t="shared" si="65"/>
        <v>0</v>
      </c>
      <c r="N707">
        <f t="shared" si="62"/>
        <v>196.60078055180986</v>
      </c>
      <c r="O707">
        <f>IF(B707&lt;&gt;B706, Dashboard!$L$6,0)</f>
        <v>0</v>
      </c>
      <c r="P707">
        <f t="shared" si="63"/>
        <v>169.52130902558133</v>
      </c>
      <c r="Q707">
        <f>IF(B707&lt;&gt;B706,IF(F707&lt;=AVERAGE(F685:F706),Dashboard!$N$6-Dashboard!$G$7,Dashboard!$N$6+Dashboard!$G$7),0)</f>
        <v>0</v>
      </c>
      <c r="R707">
        <f t="shared" si="64"/>
        <v>166.47105770545963</v>
      </c>
    </row>
    <row r="708" spans="1:18" x14ac:dyDescent="0.3">
      <c r="A708" t="s">
        <v>330</v>
      </c>
      <c r="B708">
        <v>7</v>
      </c>
      <c r="C708" s="19">
        <v>25</v>
      </c>
      <c r="D708" s="20">
        <v>2023</v>
      </c>
      <c r="E708" s="21">
        <f t="shared" si="66"/>
        <v>45132</v>
      </c>
      <c r="F708" s="20">
        <v>418.56</v>
      </c>
      <c r="G708" s="20">
        <v>3949308</v>
      </c>
      <c r="H708" s="20">
        <v>417.08</v>
      </c>
      <c r="I708" s="20">
        <v>419.65</v>
      </c>
      <c r="J708" s="22">
        <v>417.06740000000002</v>
      </c>
      <c r="K708" s="2">
        <f t="shared" si="67"/>
        <v>82289.222707765541</v>
      </c>
      <c r="L708" s="2">
        <f>IF(B708&lt;&gt;B707,L707*(1+Dashboard!$G$5)+Dashboard!$G$6, L707)</f>
        <v>78867.094286227439</v>
      </c>
      <c r="M708">
        <f t="shared" si="65"/>
        <v>0</v>
      </c>
      <c r="N708">
        <f t="shared" ref="N708:N771" si="68">N707+M707/F707</f>
        <v>196.60078055180986</v>
      </c>
      <c r="O708">
        <f>IF(B708&lt;&gt;B707, Dashboard!$L$6,0)</f>
        <v>0</v>
      </c>
      <c r="P708">
        <f t="shared" ref="P708:P771" si="69">P707+O708/F708</f>
        <v>169.52130902558133</v>
      </c>
      <c r="Q708">
        <f>IF(B708&lt;&gt;B707,IF(F708&lt;=AVERAGE(F686:F707),Dashboard!$N$6-Dashboard!$G$7,Dashboard!$N$6+Dashboard!$G$7),0)</f>
        <v>0</v>
      </c>
      <c r="R708">
        <f t="shared" ref="R708:R771" si="70">R707+Q708/H708</f>
        <v>166.47105770545963</v>
      </c>
    </row>
    <row r="709" spans="1:18" x14ac:dyDescent="0.3">
      <c r="A709" t="s">
        <v>329</v>
      </c>
      <c r="B709">
        <v>7</v>
      </c>
      <c r="C709" s="19">
        <v>26</v>
      </c>
      <c r="D709" s="20">
        <v>2023</v>
      </c>
      <c r="E709" s="21">
        <f t="shared" si="66"/>
        <v>45133</v>
      </c>
      <c r="F709" s="20">
        <v>418.66</v>
      </c>
      <c r="G709" s="20">
        <v>6138837</v>
      </c>
      <c r="H709" s="20">
        <v>417.62</v>
      </c>
      <c r="I709" s="20">
        <v>419.89</v>
      </c>
      <c r="J709" s="22">
        <v>416.58</v>
      </c>
      <c r="K709" s="2">
        <f t="shared" si="67"/>
        <v>82308.882785820722</v>
      </c>
      <c r="L709" s="2">
        <f>IF(B709&lt;&gt;B708,L708*(1+Dashboard!$G$5)+Dashboard!$G$6, L708)</f>
        <v>78867.094286227439</v>
      </c>
      <c r="M709">
        <f t="shared" si="65"/>
        <v>0</v>
      </c>
      <c r="N709">
        <f t="shared" si="68"/>
        <v>196.60078055180986</v>
      </c>
      <c r="O709">
        <f>IF(B709&lt;&gt;B708, Dashboard!$L$6,0)</f>
        <v>0</v>
      </c>
      <c r="P709">
        <f t="shared" si="69"/>
        <v>169.52130902558133</v>
      </c>
      <c r="Q709">
        <f>IF(B709&lt;&gt;B708,IF(F709&lt;=AVERAGE(F687:F708),Dashboard!$N$6-Dashboard!$G$7,Dashboard!$N$6+Dashboard!$G$7),0)</f>
        <v>0</v>
      </c>
      <c r="R709">
        <f t="shared" si="70"/>
        <v>166.47105770545963</v>
      </c>
    </row>
    <row r="710" spans="1:18" x14ac:dyDescent="0.3">
      <c r="A710" t="s">
        <v>328</v>
      </c>
      <c r="B710">
        <v>7</v>
      </c>
      <c r="C710" s="19">
        <v>27</v>
      </c>
      <c r="D710" s="20">
        <v>2023</v>
      </c>
      <c r="E710" s="21">
        <f t="shared" si="66"/>
        <v>45134</v>
      </c>
      <c r="F710" s="20">
        <v>415.82</v>
      </c>
      <c r="G710" s="20">
        <v>4149443</v>
      </c>
      <c r="H710" s="20">
        <v>421.79</v>
      </c>
      <c r="I710" s="20">
        <v>422.15</v>
      </c>
      <c r="J710" s="22">
        <v>414.92</v>
      </c>
      <c r="K710" s="2">
        <f t="shared" si="67"/>
        <v>81750.536569053569</v>
      </c>
      <c r="L710" s="2">
        <f>IF(B710&lt;&gt;B709,L709*(1+Dashboard!$G$5)+Dashboard!$G$6, L709)</f>
        <v>78867.094286227439</v>
      </c>
      <c r="M710">
        <f t="shared" si="65"/>
        <v>0</v>
      </c>
      <c r="N710">
        <f t="shared" si="68"/>
        <v>196.60078055180986</v>
      </c>
      <c r="O710">
        <f>IF(B710&lt;&gt;B709, Dashboard!$L$6,0)</f>
        <v>0</v>
      </c>
      <c r="P710">
        <f t="shared" si="69"/>
        <v>169.52130902558133</v>
      </c>
      <c r="Q710">
        <f>IF(B710&lt;&gt;B709,IF(F710&lt;=AVERAGE(F688:F709),Dashboard!$N$6-Dashboard!$G$7,Dashboard!$N$6+Dashboard!$G$7),0)</f>
        <v>0</v>
      </c>
      <c r="R710">
        <f t="shared" si="70"/>
        <v>166.47105770545963</v>
      </c>
    </row>
    <row r="711" spans="1:18" x14ac:dyDescent="0.3">
      <c r="A711" t="s">
        <v>327</v>
      </c>
      <c r="B711">
        <v>7</v>
      </c>
      <c r="C711" s="19">
        <v>28</v>
      </c>
      <c r="D711" s="20">
        <v>2023</v>
      </c>
      <c r="E711" s="21">
        <f t="shared" si="66"/>
        <v>45135</v>
      </c>
      <c r="F711" s="20">
        <v>419.87</v>
      </c>
      <c r="G711" s="20">
        <v>2702729</v>
      </c>
      <c r="H711" s="20">
        <v>418.93</v>
      </c>
      <c r="I711" s="20">
        <v>420.62</v>
      </c>
      <c r="J711" s="22">
        <v>418.16</v>
      </c>
      <c r="K711" s="2">
        <f t="shared" si="67"/>
        <v>82546.769730288404</v>
      </c>
      <c r="L711" s="2">
        <f>IF(B711&lt;&gt;B710,L710*(1+Dashboard!$G$5)+Dashboard!$G$6, L710)</f>
        <v>78867.094286227439</v>
      </c>
      <c r="M711">
        <f t="shared" si="65"/>
        <v>0</v>
      </c>
      <c r="N711">
        <f t="shared" si="68"/>
        <v>196.60078055180986</v>
      </c>
      <c r="O711">
        <f>IF(B711&lt;&gt;B710, Dashboard!$L$6,0)</f>
        <v>0</v>
      </c>
      <c r="P711">
        <f t="shared" si="69"/>
        <v>169.52130902558133</v>
      </c>
      <c r="Q711">
        <f>IF(B711&lt;&gt;B710,IF(F711&lt;=AVERAGE(F689:F710),Dashboard!$N$6-Dashboard!$G$7,Dashboard!$N$6+Dashboard!$G$7),0)</f>
        <v>0</v>
      </c>
      <c r="R711">
        <f t="shared" si="70"/>
        <v>166.47105770545963</v>
      </c>
    </row>
    <row r="712" spans="1:18" x14ac:dyDescent="0.3">
      <c r="A712" t="s">
        <v>326</v>
      </c>
      <c r="B712">
        <v>7</v>
      </c>
      <c r="C712" s="19">
        <v>31</v>
      </c>
      <c r="D712" s="20">
        <v>2023</v>
      </c>
      <c r="E712" s="21">
        <f t="shared" si="66"/>
        <v>45138</v>
      </c>
      <c r="F712" s="20">
        <v>420.68</v>
      </c>
      <c r="G712" s="20">
        <v>3454537</v>
      </c>
      <c r="H712" s="20">
        <v>420.32</v>
      </c>
      <c r="I712" s="20">
        <v>420.97</v>
      </c>
      <c r="J712" s="22">
        <v>419.05</v>
      </c>
      <c r="K712" s="2">
        <f t="shared" si="67"/>
        <v>82706.016362535374</v>
      </c>
      <c r="L712" s="2">
        <f>IF(B712&lt;&gt;B711,L711*(1+Dashboard!$G$5)+Dashboard!$G$6, L711)</f>
        <v>78867.094286227439</v>
      </c>
      <c r="M712">
        <f t="shared" si="65"/>
        <v>0</v>
      </c>
      <c r="N712">
        <f t="shared" si="68"/>
        <v>196.60078055180986</v>
      </c>
      <c r="O712">
        <f>IF(B712&lt;&gt;B711, Dashboard!$L$6,0)</f>
        <v>0</v>
      </c>
      <c r="P712">
        <f t="shared" si="69"/>
        <v>169.52130902558133</v>
      </c>
      <c r="Q712">
        <f>IF(B712&lt;&gt;B711,IF(F712&lt;=AVERAGE(F690:F711),Dashboard!$N$6-Dashboard!$G$7,Dashboard!$N$6+Dashboard!$G$7),0)</f>
        <v>0</v>
      </c>
      <c r="R712">
        <f t="shared" si="70"/>
        <v>166.47105770545963</v>
      </c>
    </row>
    <row r="713" spans="1:18" x14ac:dyDescent="0.3">
      <c r="A713" s="1">
        <v>44934</v>
      </c>
      <c r="B713">
        <v>8</v>
      </c>
      <c r="C713" s="19">
        <v>1</v>
      </c>
      <c r="D713" s="20">
        <v>2023</v>
      </c>
      <c r="E713" s="21">
        <f t="shared" si="66"/>
        <v>45139</v>
      </c>
      <c r="F713" s="20">
        <v>419.38</v>
      </c>
      <c r="G713" s="20">
        <v>3137275</v>
      </c>
      <c r="H713" s="20">
        <v>419.26</v>
      </c>
      <c r="I713" s="20">
        <v>420.08</v>
      </c>
      <c r="J713" s="22">
        <v>418.55</v>
      </c>
      <c r="K713" s="2">
        <f t="shared" si="67"/>
        <v>82450.435347818013</v>
      </c>
      <c r="L713" s="2">
        <f>IF(B713&lt;&gt;B712,L712*(1+Dashboard!$G$5)+Dashboard!$G$6, L712)</f>
        <v>81561.124715946236</v>
      </c>
      <c r="M713">
        <f t="shared" si="65"/>
        <v>0</v>
      </c>
      <c r="N713">
        <f t="shared" si="68"/>
        <v>196.60078055180986</v>
      </c>
      <c r="O713">
        <f>IF(B713&lt;&gt;B712, Dashboard!$L$6,0)</f>
        <v>1859.7282542371197</v>
      </c>
      <c r="P713">
        <f t="shared" si="69"/>
        <v>173.9557795636068</v>
      </c>
      <c r="Q713">
        <f>IF(B713&lt;&gt;B712,IF(F713&lt;=AVERAGE(F691:F712),Dashboard!$N$6-Dashboard!$G$7,Dashboard!$N$6+Dashboard!$G$7),0)</f>
        <v>2232.609610169322</v>
      </c>
      <c r="R713">
        <f t="shared" si="70"/>
        <v>171.79617722597035</v>
      </c>
    </row>
    <row r="714" spans="1:18" x14ac:dyDescent="0.3">
      <c r="A714" s="1">
        <v>44965</v>
      </c>
      <c r="B714">
        <v>8</v>
      </c>
      <c r="C714" s="19">
        <v>2</v>
      </c>
      <c r="D714" s="20">
        <v>2023</v>
      </c>
      <c r="E714" s="21">
        <f t="shared" si="66"/>
        <v>45140</v>
      </c>
      <c r="F714" s="20">
        <v>413.57</v>
      </c>
      <c r="G714" s="20">
        <v>4979068</v>
      </c>
      <c r="H714" s="20">
        <v>416.46</v>
      </c>
      <c r="I714" s="20">
        <v>416.7</v>
      </c>
      <c r="J714" s="22">
        <v>412.88</v>
      </c>
      <c r="K714" s="2">
        <f t="shared" si="67"/>
        <v>81308.184812812004</v>
      </c>
      <c r="L714" s="2">
        <f>IF(B714&lt;&gt;B713,L713*(1+Dashboard!$G$5)+Dashboard!$G$6, L713)</f>
        <v>81561.124715946236</v>
      </c>
      <c r="M714">
        <f t="shared" si="65"/>
        <v>0</v>
      </c>
      <c r="N714">
        <f t="shared" si="68"/>
        <v>196.60078055180986</v>
      </c>
      <c r="O714">
        <f>IF(B714&lt;&gt;B713, Dashboard!$L$6,0)</f>
        <v>0</v>
      </c>
      <c r="P714">
        <f t="shared" si="69"/>
        <v>173.9557795636068</v>
      </c>
      <c r="Q714">
        <f>IF(B714&lt;&gt;B713,IF(F714&lt;=AVERAGE(F692:F713),Dashboard!$N$6-Dashboard!$G$7,Dashboard!$N$6+Dashboard!$G$7),0)</f>
        <v>0</v>
      </c>
      <c r="R714">
        <f t="shared" si="70"/>
        <v>171.79617722597035</v>
      </c>
    </row>
    <row r="715" spans="1:18" x14ac:dyDescent="0.3">
      <c r="A715" s="1">
        <v>44993</v>
      </c>
      <c r="B715">
        <v>8</v>
      </c>
      <c r="C715" s="19">
        <v>3</v>
      </c>
      <c r="D715" s="20">
        <v>2023</v>
      </c>
      <c r="E715" s="21">
        <f t="shared" si="66"/>
        <v>45141</v>
      </c>
      <c r="F715" s="20">
        <v>412.4</v>
      </c>
      <c r="G715" s="20">
        <v>3028199</v>
      </c>
      <c r="H715" s="20">
        <v>411.68</v>
      </c>
      <c r="I715" s="20">
        <v>414.19</v>
      </c>
      <c r="J715" s="22">
        <v>411.09</v>
      </c>
      <c r="K715" s="2">
        <f t="shared" si="67"/>
        <v>81078.161899566388</v>
      </c>
      <c r="L715" s="2">
        <f>IF(B715&lt;&gt;B714,L714*(1+Dashboard!$G$5)+Dashboard!$G$6, L714)</f>
        <v>81561.124715946236</v>
      </c>
      <c r="M715">
        <f t="shared" si="65"/>
        <v>0</v>
      </c>
      <c r="N715">
        <f t="shared" si="68"/>
        <v>196.60078055180986</v>
      </c>
      <c r="O715">
        <f>IF(B715&lt;&gt;B714, Dashboard!$L$6,0)</f>
        <v>0</v>
      </c>
      <c r="P715">
        <f t="shared" si="69"/>
        <v>173.9557795636068</v>
      </c>
      <c r="Q715">
        <f>IF(B715&lt;&gt;B714,IF(F715&lt;=AVERAGE(F693:F714),Dashboard!$N$6-Dashboard!$G$7,Dashboard!$N$6+Dashboard!$G$7),0)</f>
        <v>0</v>
      </c>
      <c r="R715">
        <f t="shared" si="70"/>
        <v>171.79617722597035</v>
      </c>
    </row>
    <row r="716" spans="1:18" x14ac:dyDescent="0.3">
      <c r="A716" s="1">
        <v>45024</v>
      </c>
      <c r="B716">
        <v>8</v>
      </c>
      <c r="C716" s="19">
        <v>4</v>
      </c>
      <c r="D716" s="20">
        <v>2023</v>
      </c>
      <c r="E716" s="21">
        <f t="shared" si="66"/>
        <v>45142</v>
      </c>
      <c r="F716" s="20">
        <v>410.38</v>
      </c>
      <c r="G716" s="20">
        <v>5717266</v>
      </c>
      <c r="H716" s="20">
        <v>414.15</v>
      </c>
      <c r="I716" s="20">
        <v>416.12849999999997</v>
      </c>
      <c r="J716" s="22">
        <v>410.03</v>
      </c>
      <c r="K716" s="2">
        <f t="shared" si="67"/>
        <v>80681.028322851736</v>
      </c>
      <c r="L716" s="2">
        <f>IF(B716&lt;&gt;B715,L715*(1+Dashboard!$G$5)+Dashboard!$G$6, L715)</f>
        <v>81561.124715946236</v>
      </c>
      <c r="M716">
        <f t="shared" si="65"/>
        <v>0</v>
      </c>
      <c r="N716">
        <f t="shared" si="68"/>
        <v>196.60078055180986</v>
      </c>
      <c r="O716">
        <f>IF(B716&lt;&gt;B715, Dashboard!$L$6,0)</f>
        <v>0</v>
      </c>
      <c r="P716">
        <f t="shared" si="69"/>
        <v>173.9557795636068</v>
      </c>
      <c r="Q716">
        <f>IF(B716&lt;&gt;B715,IF(F716&lt;=AVERAGE(F694:F715),Dashboard!$N$6-Dashboard!$G$7,Dashboard!$N$6+Dashboard!$G$7),0)</f>
        <v>0</v>
      </c>
      <c r="R716">
        <f t="shared" si="70"/>
        <v>171.79617722597035</v>
      </c>
    </row>
    <row r="717" spans="1:18" x14ac:dyDescent="0.3">
      <c r="A717" s="1">
        <v>45115</v>
      </c>
      <c r="B717">
        <v>8</v>
      </c>
      <c r="C717" s="19">
        <v>7</v>
      </c>
      <c r="D717" s="20">
        <v>2023</v>
      </c>
      <c r="E717" s="21">
        <f t="shared" si="66"/>
        <v>45145</v>
      </c>
      <c r="F717" s="20">
        <v>414.08</v>
      </c>
      <c r="G717" s="20">
        <v>2597977</v>
      </c>
      <c r="H717" s="20">
        <v>412.29</v>
      </c>
      <c r="I717" s="20">
        <v>414.24</v>
      </c>
      <c r="J717" s="22">
        <v>411.64</v>
      </c>
      <c r="K717" s="2">
        <f t="shared" si="67"/>
        <v>81408.451210893429</v>
      </c>
      <c r="L717" s="2">
        <f>IF(B717&lt;&gt;B716,L716*(1+Dashboard!$G$5)+Dashboard!$G$6, L716)</f>
        <v>81561.124715946236</v>
      </c>
      <c r="M717">
        <f t="shared" si="65"/>
        <v>0</v>
      </c>
      <c r="N717">
        <f t="shared" si="68"/>
        <v>196.60078055180986</v>
      </c>
      <c r="O717">
        <f>IF(B717&lt;&gt;B716, Dashboard!$L$6,0)</f>
        <v>0</v>
      </c>
      <c r="P717">
        <f t="shared" si="69"/>
        <v>173.9557795636068</v>
      </c>
      <c r="Q717">
        <f>IF(B717&lt;&gt;B716,IF(F717&lt;=AVERAGE(F695:F716),Dashboard!$N$6-Dashboard!$G$7,Dashboard!$N$6+Dashboard!$G$7),0)</f>
        <v>0</v>
      </c>
      <c r="R717">
        <f t="shared" si="70"/>
        <v>171.79617722597035</v>
      </c>
    </row>
    <row r="718" spans="1:18" x14ac:dyDescent="0.3">
      <c r="A718" s="1">
        <v>45146</v>
      </c>
      <c r="B718">
        <v>8</v>
      </c>
      <c r="C718" s="19">
        <v>8</v>
      </c>
      <c r="D718" s="20">
        <v>2023</v>
      </c>
      <c r="E718" s="21">
        <f t="shared" si="66"/>
        <v>45146</v>
      </c>
      <c r="F718" s="20">
        <v>412.29</v>
      </c>
      <c r="G718" s="20">
        <v>3780086</v>
      </c>
      <c r="H718" s="20">
        <v>411.76</v>
      </c>
      <c r="I718" s="20">
        <v>412.74</v>
      </c>
      <c r="J718" s="22">
        <v>409.125</v>
      </c>
      <c r="K718" s="2">
        <f t="shared" si="67"/>
        <v>81056.53581370569</v>
      </c>
      <c r="L718" s="2">
        <f>IF(B718&lt;&gt;B717,L717*(1+Dashboard!$G$5)+Dashboard!$G$6, L717)</f>
        <v>81561.124715946236</v>
      </c>
      <c r="M718">
        <f t="shared" si="65"/>
        <v>0</v>
      </c>
      <c r="N718">
        <f t="shared" si="68"/>
        <v>196.60078055180986</v>
      </c>
      <c r="O718">
        <f>IF(B718&lt;&gt;B717, Dashboard!$L$6,0)</f>
        <v>0</v>
      </c>
      <c r="P718">
        <f t="shared" si="69"/>
        <v>173.9557795636068</v>
      </c>
      <c r="Q718">
        <f>IF(B718&lt;&gt;B717,IF(F718&lt;=AVERAGE(F696:F717),Dashboard!$N$6-Dashboard!$G$7,Dashboard!$N$6+Dashboard!$G$7),0)</f>
        <v>0</v>
      </c>
      <c r="R718">
        <f t="shared" si="70"/>
        <v>171.79617722597035</v>
      </c>
    </row>
    <row r="719" spans="1:18" x14ac:dyDescent="0.3">
      <c r="A719" s="1">
        <v>45177</v>
      </c>
      <c r="B719">
        <v>8</v>
      </c>
      <c r="C719" s="19">
        <v>9</v>
      </c>
      <c r="D719" s="20">
        <v>2023</v>
      </c>
      <c r="E719" s="21">
        <f t="shared" si="66"/>
        <v>45147</v>
      </c>
      <c r="F719" s="20">
        <v>409.55</v>
      </c>
      <c r="G719" s="20">
        <v>3145934</v>
      </c>
      <c r="H719" s="20">
        <v>412.66</v>
      </c>
      <c r="I719" s="20">
        <v>412.73</v>
      </c>
      <c r="J719" s="22">
        <v>408.85</v>
      </c>
      <c r="K719" s="2">
        <f t="shared" si="67"/>
        <v>80517.849674993733</v>
      </c>
      <c r="L719" s="2">
        <f>IF(B719&lt;&gt;B718,L718*(1+Dashboard!$G$5)+Dashboard!$G$6, L718)</f>
        <v>81561.124715946236</v>
      </c>
      <c r="M719">
        <f t="shared" si="65"/>
        <v>0</v>
      </c>
      <c r="N719">
        <f t="shared" si="68"/>
        <v>196.60078055180986</v>
      </c>
      <c r="O719">
        <f>IF(B719&lt;&gt;B718, Dashboard!$L$6,0)</f>
        <v>0</v>
      </c>
      <c r="P719">
        <f t="shared" si="69"/>
        <v>173.9557795636068</v>
      </c>
      <c r="Q719">
        <f>IF(B719&lt;&gt;B718,IF(F719&lt;=AVERAGE(F697:F718),Dashboard!$N$6-Dashboard!$G$7,Dashboard!$N$6+Dashboard!$G$7),0)</f>
        <v>0</v>
      </c>
      <c r="R719">
        <f t="shared" si="70"/>
        <v>171.79617722597035</v>
      </c>
    </row>
    <row r="720" spans="1:18" x14ac:dyDescent="0.3">
      <c r="A720" s="1">
        <v>45207</v>
      </c>
      <c r="B720">
        <v>8</v>
      </c>
      <c r="C720" s="19">
        <v>10</v>
      </c>
      <c r="D720" s="20">
        <v>2023</v>
      </c>
      <c r="E720" s="21">
        <f t="shared" si="66"/>
        <v>45148</v>
      </c>
      <c r="F720" s="20">
        <v>409.79</v>
      </c>
      <c r="G720" s="20">
        <v>4588326</v>
      </c>
      <c r="H720" s="20">
        <v>411.8</v>
      </c>
      <c r="I720" s="20">
        <v>415.05</v>
      </c>
      <c r="J720" s="22">
        <v>408.62</v>
      </c>
      <c r="K720" s="2">
        <f t="shared" si="67"/>
        <v>80565.033862326163</v>
      </c>
      <c r="L720" s="2">
        <f>IF(B720&lt;&gt;B719,L719*(1+Dashboard!$G$5)+Dashboard!$G$6, L719)</f>
        <v>81561.124715946236</v>
      </c>
      <c r="M720">
        <f t="shared" si="65"/>
        <v>0</v>
      </c>
      <c r="N720">
        <f t="shared" si="68"/>
        <v>196.60078055180986</v>
      </c>
      <c r="O720">
        <f>IF(B720&lt;&gt;B719, Dashboard!$L$6,0)</f>
        <v>0</v>
      </c>
      <c r="P720">
        <f t="shared" si="69"/>
        <v>173.9557795636068</v>
      </c>
      <c r="Q720">
        <f>IF(B720&lt;&gt;B719,IF(F720&lt;=AVERAGE(F698:F719),Dashboard!$N$6-Dashboard!$G$7,Dashboard!$N$6+Dashboard!$G$7),0)</f>
        <v>0</v>
      </c>
      <c r="R720">
        <f t="shared" si="70"/>
        <v>171.79617722597035</v>
      </c>
    </row>
    <row r="721" spans="1:18" x14ac:dyDescent="0.3">
      <c r="A721" s="1">
        <v>45238</v>
      </c>
      <c r="B721">
        <v>8</v>
      </c>
      <c r="C721" s="19">
        <v>11</v>
      </c>
      <c r="D721" s="20">
        <v>2023</v>
      </c>
      <c r="E721" s="21">
        <f t="shared" si="66"/>
        <v>45149</v>
      </c>
      <c r="F721" s="20">
        <v>409.41</v>
      </c>
      <c r="G721" s="20">
        <v>2918862</v>
      </c>
      <c r="H721" s="20">
        <v>407.95</v>
      </c>
      <c r="I721" s="20">
        <v>410.41</v>
      </c>
      <c r="J721" s="22">
        <v>407.34</v>
      </c>
      <c r="K721" s="2">
        <f t="shared" si="67"/>
        <v>80490.325565716485</v>
      </c>
      <c r="L721" s="2">
        <f>IF(B721&lt;&gt;B720,L720*(1+Dashboard!$G$5)+Dashboard!$G$6, L720)</f>
        <v>81561.124715946236</v>
      </c>
      <c r="M721">
        <f t="shared" si="65"/>
        <v>0</v>
      </c>
      <c r="N721">
        <f t="shared" si="68"/>
        <v>196.60078055180986</v>
      </c>
      <c r="O721">
        <f>IF(B721&lt;&gt;B720, Dashboard!$L$6,0)</f>
        <v>0</v>
      </c>
      <c r="P721">
        <f t="shared" si="69"/>
        <v>173.9557795636068</v>
      </c>
      <c r="Q721">
        <f>IF(B721&lt;&gt;B720,IF(F721&lt;=AVERAGE(F699:F720),Dashboard!$N$6-Dashboard!$G$7,Dashboard!$N$6+Dashboard!$G$7),0)</f>
        <v>0</v>
      </c>
      <c r="R721">
        <f t="shared" si="70"/>
        <v>171.79617722597035</v>
      </c>
    </row>
    <row r="722" spans="1:18" x14ac:dyDescent="0.3">
      <c r="A722" t="s">
        <v>325</v>
      </c>
      <c r="B722">
        <v>8</v>
      </c>
      <c r="C722" s="19">
        <v>14</v>
      </c>
      <c r="D722" s="20">
        <v>2023</v>
      </c>
      <c r="E722" s="21">
        <f t="shared" si="66"/>
        <v>45152</v>
      </c>
      <c r="F722" s="20">
        <v>411.72</v>
      </c>
      <c r="G722" s="20">
        <v>2772912</v>
      </c>
      <c r="H722" s="20">
        <v>408.56</v>
      </c>
      <c r="I722" s="20">
        <v>411.74</v>
      </c>
      <c r="J722" s="22">
        <v>408.31</v>
      </c>
      <c r="K722" s="2">
        <f t="shared" si="67"/>
        <v>80944.473368791165</v>
      </c>
      <c r="L722" s="2">
        <f>IF(B722&lt;&gt;B721,L721*(1+Dashboard!$G$5)+Dashboard!$G$6, L721)</f>
        <v>81561.124715946236</v>
      </c>
      <c r="M722">
        <f t="shared" si="65"/>
        <v>0</v>
      </c>
      <c r="N722">
        <f t="shared" si="68"/>
        <v>196.60078055180986</v>
      </c>
      <c r="O722">
        <f>IF(B722&lt;&gt;B721, Dashboard!$L$6,0)</f>
        <v>0</v>
      </c>
      <c r="P722">
        <f t="shared" si="69"/>
        <v>173.9557795636068</v>
      </c>
      <c r="Q722">
        <f>IF(B722&lt;&gt;B721,IF(F722&lt;=AVERAGE(F700:F721),Dashboard!$N$6-Dashboard!$G$7,Dashboard!$N$6+Dashboard!$G$7),0)</f>
        <v>0</v>
      </c>
      <c r="R722">
        <f t="shared" si="70"/>
        <v>171.79617722597035</v>
      </c>
    </row>
    <row r="723" spans="1:18" x14ac:dyDescent="0.3">
      <c r="A723" t="s">
        <v>324</v>
      </c>
      <c r="B723">
        <v>8</v>
      </c>
      <c r="C723" s="19">
        <v>15</v>
      </c>
      <c r="D723" s="20">
        <v>2023</v>
      </c>
      <c r="E723" s="21">
        <f t="shared" si="66"/>
        <v>45153</v>
      </c>
      <c r="F723" s="20">
        <v>407</v>
      </c>
      <c r="G723" s="20">
        <v>4686119</v>
      </c>
      <c r="H723" s="20">
        <v>410.09</v>
      </c>
      <c r="I723" s="20">
        <v>411.71249999999998</v>
      </c>
      <c r="J723" s="22">
        <v>406.41</v>
      </c>
      <c r="K723" s="2">
        <f t="shared" si="67"/>
        <v>80016.517684586608</v>
      </c>
      <c r="L723" s="2">
        <f>IF(B723&lt;&gt;B722,L722*(1+Dashboard!$G$5)+Dashboard!$G$6, L722)</f>
        <v>81561.124715946236</v>
      </c>
      <c r="M723">
        <f t="shared" si="65"/>
        <v>0</v>
      </c>
      <c r="N723">
        <f t="shared" si="68"/>
        <v>196.60078055180986</v>
      </c>
      <c r="O723">
        <f>IF(B723&lt;&gt;B722, Dashboard!$L$6,0)</f>
        <v>0</v>
      </c>
      <c r="P723">
        <f t="shared" si="69"/>
        <v>173.9557795636068</v>
      </c>
      <c r="Q723">
        <f>IF(B723&lt;&gt;B722,IF(F723&lt;=AVERAGE(F701:F722),Dashboard!$N$6-Dashboard!$G$7,Dashboard!$N$6+Dashboard!$G$7),0)</f>
        <v>0</v>
      </c>
      <c r="R723">
        <f t="shared" si="70"/>
        <v>171.79617722597035</v>
      </c>
    </row>
    <row r="724" spans="1:18" x14ac:dyDescent="0.3">
      <c r="A724" t="s">
        <v>323</v>
      </c>
      <c r="B724">
        <v>8</v>
      </c>
      <c r="C724" s="19">
        <v>16</v>
      </c>
      <c r="D724" s="20">
        <v>2023</v>
      </c>
      <c r="E724" s="21">
        <f t="shared" si="66"/>
        <v>45154</v>
      </c>
      <c r="F724" s="20">
        <v>403.99</v>
      </c>
      <c r="G724" s="20">
        <v>3353653</v>
      </c>
      <c r="H724" s="20">
        <v>406.59</v>
      </c>
      <c r="I724" s="20">
        <v>408.11</v>
      </c>
      <c r="J724" s="22">
        <v>403.87</v>
      </c>
      <c r="K724" s="2">
        <f t="shared" si="67"/>
        <v>79424.749335125671</v>
      </c>
      <c r="L724" s="2">
        <f>IF(B724&lt;&gt;B723,L723*(1+Dashboard!$G$5)+Dashboard!$G$6, L723)</f>
        <v>81561.124715946236</v>
      </c>
      <c r="M724">
        <f t="shared" si="65"/>
        <v>0</v>
      </c>
      <c r="N724">
        <f t="shared" si="68"/>
        <v>196.60078055180986</v>
      </c>
      <c r="O724">
        <f>IF(B724&lt;&gt;B723, Dashboard!$L$6,0)</f>
        <v>0</v>
      </c>
      <c r="P724">
        <f t="shared" si="69"/>
        <v>173.9557795636068</v>
      </c>
      <c r="Q724">
        <f>IF(B724&lt;&gt;B723,IF(F724&lt;=AVERAGE(F702:F723),Dashboard!$N$6-Dashboard!$G$7,Dashboard!$N$6+Dashboard!$G$7),0)</f>
        <v>0</v>
      </c>
      <c r="R724">
        <f t="shared" si="70"/>
        <v>171.79617722597035</v>
      </c>
    </row>
    <row r="725" spans="1:18" x14ac:dyDescent="0.3">
      <c r="A725" t="s">
        <v>322</v>
      </c>
      <c r="B725">
        <v>8</v>
      </c>
      <c r="C725" s="19">
        <v>17</v>
      </c>
      <c r="D725" s="20">
        <v>2023</v>
      </c>
      <c r="E725" s="21">
        <f t="shared" si="66"/>
        <v>45155</v>
      </c>
      <c r="F725" s="20">
        <v>400.72</v>
      </c>
      <c r="G725" s="20">
        <v>7102504</v>
      </c>
      <c r="H725" s="20">
        <v>405.33</v>
      </c>
      <c r="I725" s="20">
        <v>405.58</v>
      </c>
      <c r="J725" s="22">
        <v>400.37</v>
      </c>
      <c r="K725" s="2">
        <f t="shared" si="67"/>
        <v>78781.864782721255</v>
      </c>
      <c r="L725" s="2">
        <f>IF(B725&lt;&gt;B724,L724*(1+Dashboard!$G$5)+Dashboard!$G$6, L724)</f>
        <v>81561.124715946236</v>
      </c>
      <c r="M725">
        <f t="shared" si="65"/>
        <v>0</v>
      </c>
      <c r="N725">
        <f t="shared" si="68"/>
        <v>196.60078055180986</v>
      </c>
      <c r="O725">
        <f>IF(B725&lt;&gt;B724, Dashboard!$L$6,0)</f>
        <v>0</v>
      </c>
      <c r="P725">
        <f t="shared" si="69"/>
        <v>173.9557795636068</v>
      </c>
      <c r="Q725">
        <f>IF(B725&lt;&gt;B724,IF(F725&lt;=AVERAGE(F703:F724),Dashboard!$N$6-Dashboard!$G$7,Dashboard!$N$6+Dashboard!$G$7),0)</f>
        <v>0</v>
      </c>
      <c r="R725">
        <f t="shared" si="70"/>
        <v>171.79617722597035</v>
      </c>
    </row>
    <row r="726" spans="1:18" x14ac:dyDescent="0.3">
      <c r="A726" t="s">
        <v>321</v>
      </c>
      <c r="B726">
        <v>8</v>
      </c>
      <c r="C726" s="19">
        <v>18</v>
      </c>
      <c r="D726" s="20">
        <v>2023</v>
      </c>
      <c r="E726" s="21">
        <f t="shared" si="66"/>
        <v>45156</v>
      </c>
      <c r="F726" s="20">
        <v>401.09</v>
      </c>
      <c r="G726" s="20">
        <v>4157667</v>
      </c>
      <c r="H726" s="20">
        <v>398.17</v>
      </c>
      <c r="I726" s="20">
        <v>402.02</v>
      </c>
      <c r="J726" s="22">
        <v>397.85</v>
      </c>
      <c r="K726" s="2">
        <f t="shared" si="67"/>
        <v>78854.607071525417</v>
      </c>
      <c r="L726" s="2">
        <f>IF(B726&lt;&gt;B725,L725*(1+Dashboard!$G$5)+Dashboard!$G$6, L725)</f>
        <v>81561.124715946236</v>
      </c>
      <c r="M726">
        <f t="shared" si="65"/>
        <v>0</v>
      </c>
      <c r="N726">
        <f t="shared" si="68"/>
        <v>196.60078055180986</v>
      </c>
      <c r="O726">
        <f>IF(B726&lt;&gt;B725, Dashboard!$L$6,0)</f>
        <v>0</v>
      </c>
      <c r="P726">
        <f t="shared" si="69"/>
        <v>173.9557795636068</v>
      </c>
      <c r="Q726">
        <f>IF(B726&lt;&gt;B725,IF(F726&lt;=AVERAGE(F704:F725),Dashboard!$N$6-Dashboard!$G$7,Dashboard!$N$6+Dashboard!$G$7),0)</f>
        <v>0</v>
      </c>
      <c r="R726">
        <f t="shared" si="70"/>
        <v>171.79617722597035</v>
      </c>
    </row>
    <row r="727" spans="1:18" x14ac:dyDescent="0.3">
      <c r="A727" t="s">
        <v>320</v>
      </c>
      <c r="B727">
        <v>8</v>
      </c>
      <c r="C727" s="19">
        <v>21</v>
      </c>
      <c r="D727" s="20">
        <v>2023</v>
      </c>
      <c r="E727" s="21">
        <f t="shared" si="66"/>
        <v>45159</v>
      </c>
      <c r="F727" s="20">
        <v>403.74</v>
      </c>
      <c r="G727" s="20">
        <v>3292434</v>
      </c>
      <c r="H727" s="20">
        <v>402.14</v>
      </c>
      <c r="I727" s="20">
        <v>404.39</v>
      </c>
      <c r="J727" s="22">
        <v>399.99</v>
      </c>
      <c r="K727" s="2">
        <f t="shared" si="67"/>
        <v>79375.599139987709</v>
      </c>
      <c r="L727" s="2">
        <f>IF(B727&lt;&gt;B726,L726*(1+Dashboard!$G$5)+Dashboard!$G$6, L726)</f>
        <v>81561.124715946236</v>
      </c>
      <c r="M727">
        <f t="shared" si="65"/>
        <v>0</v>
      </c>
      <c r="N727">
        <f t="shared" si="68"/>
        <v>196.60078055180986</v>
      </c>
      <c r="O727">
        <f>IF(B727&lt;&gt;B726, Dashboard!$L$6,0)</f>
        <v>0</v>
      </c>
      <c r="P727">
        <f t="shared" si="69"/>
        <v>173.9557795636068</v>
      </c>
      <c r="Q727">
        <f>IF(B727&lt;&gt;B726,IF(F727&lt;=AVERAGE(F705:F726),Dashboard!$N$6-Dashboard!$G$7,Dashboard!$N$6+Dashboard!$G$7),0)</f>
        <v>0</v>
      </c>
      <c r="R727">
        <f t="shared" si="70"/>
        <v>171.79617722597035</v>
      </c>
    </row>
    <row r="728" spans="1:18" x14ac:dyDescent="0.3">
      <c r="A728" t="s">
        <v>319</v>
      </c>
      <c r="B728">
        <v>8</v>
      </c>
      <c r="C728" s="19">
        <v>22</v>
      </c>
      <c r="D728" s="20">
        <v>2023</v>
      </c>
      <c r="E728" s="21">
        <f t="shared" si="66"/>
        <v>45160</v>
      </c>
      <c r="F728" s="20">
        <v>402.61</v>
      </c>
      <c r="G728" s="20">
        <v>2648051</v>
      </c>
      <c r="H728" s="20">
        <v>405.35</v>
      </c>
      <c r="I728" s="20">
        <v>405.4</v>
      </c>
      <c r="J728" s="22">
        <v>402.06</v>
      </c>
      <c r="K728" s="2">
        <f t="shared" si="67"/>
        <v>79153.440257964176</v>
      </c>
      <c r="L728" s="2">
        <f>IF(B728&lt;&gt;B727,L727*(1+Dashboard!$G$5)+Dashboard!$G$6, L727)</f>
        <v>81561.124715946236</v>
      </c>
      <c r="M728">
        <f t="shared" si="65"/>
        <v>0</v>
      </c>
      <c r="N728">
        <f t="shared" si="68"/>
        <v>196.60078055180986</v>
      </c>
      <c r="O728">
        <f>IF(B728&lt;&gt;B727, Dashboard!$L$6,0)</f>
        <v>0</v>
      </c>
      <c r="P728">
        <f t="shared" si="69"/>
        <v>173.9557795636068</v>
      </c>
      <c r="Q728">
        <f>IF(B728&lt;&gt;B727,IF(F728&lt;=AVERAGE(F706:F727),Dashboard!$N$6-Dashboard!$G$7,Dashboard!$N$6+Dashboard!$G$7),0)</f>
        <v>0</v>
      </c>
      <c r="R728">
        <f t="shared" si="70"/>
        <v>171.79617722597035</v>
      </c>
    </row>
    <row r="729" spans="1:18" x14ac:dyDescent="0.3">
      <c r="A729" t="s">
        <v>318</v>
      </c>
      <c r="B729">
        <v>8</v>
      </c>
      <c r="C729" s="19">
        <v>23</v>
      </c>
      <c r="D729" s="20">
        <v>2023</v>
      </c>
      <c r="E729" s="21">
        <f t="shared" si="66"/>
        <v>45161</v>
      </c>
      <c r="F729" s="20">
        <v>406.95</v>
      </c>
      <c r="G729" s="20">
        <v>3249964</v>
      </c>
      <c r="H729" s="20">
        <v>403.56</v>
      </c>
      <c r="I729" s="20">
        <v>407.67</v>
      </c>
      <c r="J729" s="22">
        <v>403.47</v>
      </c>
      <c r="K729" s="2">
        <f t="shared" si="67"/>
        <v>80006.687645559025</v>
      </c>
      <c r="L729" s="2">
        <f>IF(B729&lt;&gt;B728,L728*(1+Dashboard!$G$5)+Dashboard!$G$6, L728)</f>
        <v>81561.124715946236</v>
      </c>
      <c r="M729">
        <f t="shared" ref="M729:M792" si="71">IF(B729&lt;&gt;B728,IF((L729-K729&gt;0),L729-K729,0),0)</f>
        <v>0</v>
      </c>
      <c r="N729">
        <f t="shared" si="68"/>
        <v>196.60078055180986</v>
      </c>
      <c r="O729">
        <f>IF(B729&lt;&gt;B728, Dashboard!$L$6,0)</f>
        <v>0</v>
      </c>
      <c r="P729">
        <f t="shared" si="69"/>
        <v>173.9557795636068</v>
      </c>
      <c r="Q729">
        <f>IF(B729&lt;&gt;B728,IF(F729&lt;=AVERAGE(F707:F728),Dashboard!$N$6-Dashboard!$G$7,Dashboard!$N$6+Dashboard!$G$7),0)</f>
        <v>0</v>
      </c>
      <c r="R729">
        <f t="shared" si="70"/>
        <v>171.79617722597035</v>
      </c>
    </row>
    <row r="730" spans="1:18" x14ac:dyDescent="0.3">
      <c r="A730" t="s">
        <v>317</v>
      </c>
      <c r="B730">
        <v>8</v>
      </c>
      <c r="C730" s="19">
        <v>24</v>
      </c>
      <c r="D730" s="20">
        <v>2023</v>
      </c>
      <c r="E730" s="21">
        <f t="shared" si="66"/>
        <v>45162</v>
      </c>
      <c r="F730" s="20">
        <v>401.54</v>
      </c>
      <c r="G730" s="20">
        <v>3458791</v>
      </c>
      <c r="H730" s="20">
        <v>408.6</v>
      </c>
      <c r="I730" s="20">
        <v>409.07900000000001</v>
      </c>
      <c r="J730" s="22">
        <v>401.4</v>
      </c>
      <c r="K730" s="2">
        <f t="shared" si="67"/>
        <v>78943.077422773742</v>
      </c>
      <c r="L730" s="2">
        <f>IF(B730&lt;&gt;B729,L729*(1+Dashboard!$G$5)+Dashboard!$G$6, L729)</f>
        <v>81561.124715946236</v>
      </c>
      <c r="M730">
        <f t="shared" si="71"/>
        <v>0</v>
      </c>
      <c r="N730">
        <f t="shared" si="68"/>
        <v>196.60078055180986</v>
      </c>
      <c r="O730">
        <f>IF(B730&lt;&gt;B729, Dashboard!$L$6,0)</f>
        <v>0</v>
      </c>
      <c r="P730">
        <f t="shared" si="69"/>
        <v>173.9557795636068</v>
      </c>
      <c r="Q730">
        <f>IF(B730&lt;&gt;B729,IF(F730&lt;=AVERAGE(F708:F729),Dashboard!$N$6-Dashboard!$G$7,Dashboard!$N$6+Dashboard!$G$7),0)</f>
        <v>0</v>
      </c>
      <c r="R730">
        <f t="shared" si="70"/>
        <v>171.79617722597035</v>
      </c>
    </row>
    <row r="731" spans="1:18" x14ac:dyDescent="0.3">
      <c r="A731" t="s">
        <v>316</v>
      </c>
      <c r="B731">
        <v>8</v>
      </c>
      <c r="C731" s="19">
        <v>25</v>
      </c>
      <c r="D731" s="20">
        <v>2023</v>
      </c>
      <c r="E731" s="21">
        <f t="shared" si="66"/>
        <v>45163</v>
      </c>
      <c r="F731" s="20">
        <v>404.2</v>
      </c>
      <c r="G731" s="20">
        <v>4417835</v>
      </c>
      <c r="H731" s="20">
        <v>403.08</v>
      </c>
      <c r="I731" s="20">
        <v>405.8</v>
      </c>
      <c r="J731" s="22">
        <v>399.71</v>
      </c>
      <c r="K731" s="2">
        <f t="shared" si="67"/>
        <v>79466.035499041551</v>
      </c>
      <c r="L731" s="2">
        <f>IF(B731&lt;&gt;B730,L730*(1+Dashboard!$G$5)+Dashboard!$G$6, L730)</f>
        <v>81561.124715946236</v>
      </c>
      <c r="M731">
        <f t="shared" si="71"/>
        <v>0</v>
      </c>
      <c r="N731">
        <f t="shared" si="68"/>
        <v>196.60078055180986</v>
      </c>
      <c r="O731">
        <f>IF(B731&lt;&gt;B730, Dashboard!$L$6,0)</f>
        <v>0</v>
      </c>
      <c r="P731">
        <f t="shared" si="69"/>
        <v>173.9557795636068</v>
      </c>
      <c r="Q731">
        <f>IF(B731&lt;&gt;B730,IF(F731&lt;=AVERAGE(F709:F730),Dashboard!$N$6-Dashboard!$G$7,Dashboard!$N$6+Dashboard!$G$7),0)</f>
        <v>0</v>
      </c>
      <c r="R731">
        <f t="shared" si="70"/>
        <v>171.79617722597035</v>
      </c>
    </row>
    <row r="732" spans="1:18" x14ac:dyDescent="0.3">
      <c r="A732" t="s">
        <v>315</v>
      </c>
      <c r="B732">
        <v>8</v>
      </c>
      <c r="C732" s="19">
        <v>28</v>
      </c>
      <c r="D732" s="20">
        <v>2023</v>
      </c>
      <c r="E732" s="21">
        <f t="shared" si="66"/>
        <v>45166</v>
      </c>
      <c r="F732" s="20">
        <v>406.86</v>
      </c>
      <c r="G732" s="20">
        <v>3236711</v>
      </c>
      <c r="H732" s="20">
        <v>406.36</v>
      </c>
      <c r="I732" s="20">
        <v>407.44</v>
      </c>
      <c r="J732" s="22">
        <v>405.1</v>
      </c>
      <c r="K732" s="2">
        <f t="shared" si="67"/>
        <v>79988.99357530936</v>
      </c>
      <c r="L732" s="2">
        <f>IF(B732&lt;&gt;B731,L731*(1+Dashboard!$G$5)+Dashboard!$G$6, L731)</f>
        <v>81561.124715946236</v>
      </c>
      <c r="M732">
        <f t="shared" si="71"/>
        <v>0</v>
      </c>
      <c r="N732">
        <f t="shared" si="68"/>
        <v>196.60078055180986</v>
      </c>
      <c r="O732">
        <f>IF(B732&lt;&gt;B731, Dashboard!$L$6,0)</f>
        <v>0</v>
      </c>
      <c r="P732">
        <f t="shared" si="69"/>
        <v>173.9557795636068</v>
      </c>
      <c r="Q732">
        <f>IF(B732&lt;&gt;B731,IF(F732&lt;=AVERAGE(F710:F731),Dashboard!$N$6-Dashboard!$G$7,Dashboard!$N$6+Dashboard!$G$7),0)</f>
        <v>0</v>
      </c>
      <c r="R732">
        <f t="shared" si="70"/>
        <v>171.79617722597035</v>
      </c>
    </row>
    <row r="733" spans="1:18" x14ac:dyDescent="0.3">
      <c r="A733" t="s">
        <v>314</v>
      </c>
      <c r="B733">
        <v>8</v>
      </c>
      <c r="C733" s="19">
        <v>29</v>
      </c>
      <c r="D733" s="20">
        <v>2023</v>
      </c>
      <c r="E733" s="21">
        <f t="shared" si="66"/>
        <v>45167</v>
      </c>
      <c r="F733" s="20">
        <v>412.64</v>
      </c>
      <c r="G733" s="20">
        <v>3482664</v>
      </c>
      <c r="H733" s="20">
        <v>406.78</v>
      </c>
      <c r="I733" s="20">
        <v>412.98</v>
      </c>
      <c r="J733" s="22">
        <v>406.57</v>
      </c>
      <c r="K733" s="2">
        <f t="shared" si="67"/>
        <v>81125.346086898819</v>
      </c>
      <c r="L733" s="2">
        <f>IF(B733&lt;&gt;B732,L732*(1+Dashboard!$G$5)+Dashboard!$G$6, L732)</f>
        <v>81561.124715946236</v>
      </c>
      <c r="M733">
        <f t="shared" si="71"/>
        <v>0</v>
      </c>
      <c r="N733">
        <f t="shared" si="68"/>
        <v>196.60078055180986</v>
      </c>
      <c r="O733">
        <f>IF(B733&lt;&gt;B732, Dashboard!$L$6,0)</f>
        <v>0</v>
      </c>
      <c r="P733">
        <f t="shared" si="69"/>
        <v>173.9557795636068</v>
      </c>
      <c r="Q733">
        <f>IF(B733&lt;&gt;B732,IF(F733&lt;=AVERAGE(F711:F732),Dashboard!$N$6-Dashboard!$G$7,Dashboard!$N$6+Dashboard!$G$7),0)</f>
        <v>0</v>
      </c>
      <c r="R733">
        <f t="shared" si="70"/>
        <v>171.79617722597035</v>
      </c>
    </row>
    <row r="734" spans="1:18" x14ac:dyDescent="0.3">
      <c r="A734" t="s">
        <v>313</v>
      </c>
      <c r="B734">
        <v>8</v>
      </c>
      <c r="C734" s="19">
        <v>30</v>
      </c>
      <c r="D734" s="20">
        <v>2023</v>
      </c>
      <c r="E734" s="21">
        <f t="shared" si="66"/>
        <v>45168</v>
      </c>
      <c r="F734" s="20">
        <v>414.36</v>
      </c>
      <c r="G734" s="20">
        <v>3004516</v>
      </c>
      <c r="H734" s="20">
        <v>413.03</v>
      </c>
      <c r="I734" s="20">
        <v>415.0292</v>
      </c>
      <c r="J734" s="22">
        <v>412.4</v>
      </c>
      <c r="K734" s="2">
        <f t="shared" si="67"/>
        <v>81463.49942944794</v>
      </c>
      <c r="L734" s="2">
        <f>IF(B734&lt;&gt;B733,L733*(1+Dashboard!$G$5)+Dashboard!$G$6, L733)</f>
        <v>81561.124715946236</v>
      </c>
      <c r="M734">
        <f t="shared" si="71"/>
        <v>0</v>
      </c>
      <c r="N734">
        <f t="shared" si="68"/>
        <v>196.60078055180986</v>
      </c>
      <c r="O734">
        <f>IF(B734&lt;&gt;B733, Dashboard!$L$6,0)</f>
        <v>0</v>
      </c>
      <c r="P734">
        <f t="shared" si="69"/>
        <v>173.9557795636068</v>
      </c>
      <c r="Q734">
        <f>IF(B734&lt;&gt;B733,IF(F734&lt;=AVERAGE(F712:F733),Dashboard!$N$6-Dashboard!$G$7,Dashboard!$N$6+Dashboard!$G$7),0)</f>
        <v>0</v>
      </c>
      <c r="R734">
        <f t="shared" si="70"/>
        <v>171.79617722597035</v>
      </c>
    </row>
    <row r="735" spans="1:18" x14ac:dyDescent="0.3">
      <c r="A735" t="s">
        <v>312</v>
      </c>
      <c r="B735">
        <v>8</v>
      </c>
      <c r="C735" s="19">
        <v>31</v>
      </c>
      <c r="D735" s="20">
        <v>2023</v>
      </c>
      <c r="E735" s="21">
        <f t="shared" si="66"/>
        <v>45169</v>
      </c>
      <c r="F735" s="20">
        <v>413.83</v>
      </c>
      <c r="G735" s="20">
        <v>4751131</v>
      </c>
      <c r="H735" s="20">
        <v>414.98200000000003</v>
      </c>
      <c r="I735" s="20">
        <v>416.12</v>
      </c>
      <c r="J735" s="22">
        <v>413.66</v>
      </c>
      <c r="K735" s="2">
        <f t="shared" si="67"/>
        <v>81359.301015755467</v>
      </c>
      <c r="L735" s="2">
        <f>IF(B735&lt;&gt;B734,L734*(1+Dashboard!$G$5)+Dashboard!$G$6, L734)</f>
        <v>81561.124715946236</v>
      </c>
      <c r="M735">
        <f t="shared" si="71"/>
        <v>0</v>
      </c>
      <c r="N735">
        <f t="shared" si="68"/>
        <v>196.60078055180986</v>
      </c>
      <c r="O735">
        <f>IF(B735&lt;&gt;B734, Dashboard!$L$6,0)</f>
        <v>0</v>
      </c>
      <c r="P735">
        <f t="shared" si="69"/>
        <v>173.9557795636068</v>
      </c>
      <c r="Q735">
        <f>IF(B735&lt;&gt;B734,IF(F735&lt;=AVERAGE(F713:F734),Dashboard!$N$6-Dashboard!$G$7,Dashboard!$N$6+Dashboard!$G$7),0)</f>
        <v>0</v>
      </c>
      <c r="R735">
        <f t="shared" si="70"/>
        <v>171.79617722597035</v>
      </c>
    </row>
    <row r="736" spans="1:18" x14ac:dyDescent="0.3">
      <c r="A736" s="1">
        <v>44935</v>
      </c>
      <c r="B736">
        <v>9</v>
      </c>
      <c r="C736" s="19">
        <v>1</v>
      </c>
      <c r="D736" s="20">
        <v>2023</v>
      </c>
      <c r="E736" s="21">
        <f t="shared" si="66"/>
        <v>45170</v>
      </c>
      <c r="F736" s="20">
        <v>414.71</v>
      </c>
      <c r="G736" s="20">
        <v>3587971</v>
      </c>
      <c r="H736" s="20">
        <v>416.46</v>
      </c>
      <c r="I736" s="20">
        <v>416.88</v>
      </c>
      <c r="J736" s="22">
        <v>413.21</v>
      </c>
      <c r="K736" s="2">
        <f t="shared" si="67"/>
        <v>81532.309702641069</v>
      </c>
      <c r="L736" s="2">
        <f>IF(B736&lt;&gt;B735,L735*(1+Dashboard!$G$5)+Dashboard!$G$6, L735)</f>
        <v>84278.862613446559</v>
      </c>
      <c r="M736">
        <f t="shared" si="71"/>
        <v>2746.5529108054907</v>
      </c>
      <c r="N736">
        <f t="shared" si="68"/>
        <v>196.60078055180986</v>
      </c>
      <c r="O736">
        <f>IF(B736&lt;&gt;B735, Dashboard!$L$6,0)</f>
        <v>1859.7282542371197</v>
      </c>
      <c r="P736">
        <f t="shared" si="69"/>
        <v>178.44018614709194</v>
      </c>
      <c r="Q736">
        <f>IF(B736&lt;&gt;B735,IF(F736&lt;=AVERAGE(F714:F735),Dashboard!$N$6-Dashboard!$G$7,Dashboard!$N$6+Dashboard!$G$7),0)</f>
        <v>2232.609610169322</v>
      </c>
      <c r="R736">
        <f t="shared" si="70"/>
        <v>177.15709930772928</v>
      </c>
    </row>
    <row r="737" spans="1:18" x14ac:dyDescent="0.3">
      <c r="A737" s="1">
        <v>45055</v>
      </c>
      <c r="B737">
        <v>9</v>
      </c>
      <c r="C737" s="19">
        <v>5</v>
      </c>
      <c r="D737" s="20">
        <v>2023</v>
      </c>
      <c r="E737" s="21">
        <f t="shared" si="66"/>
        <v>45174</v>
      </c>
      <c r="F737" s="20">
        <v>412.9</v>
      </c>
      <c r="G737" s="20">
        <v>4426687</v>
      </c>
      <c r="H737" s="20">
        <v>414.2</v>
      </c>
      <c r="I737" s="20">
        <v>414.47</v>
      </c>
      <c r="J737" s="22">
        <v>412.77</v>
      </c>
      <c r="K737" s="2">
        <f t="shared" si="67"/>
        <v>83911.027882356546</v>
      </c>
      <c r="L737" s="2">
        <f>IF(B737&lt;&gt;B736,L736*(1+Dashboard!$G$5)+Dashboard!$G$6, L736)</f>
        <v>84278.862613446559</v>
      </c>
      <c r="M737">
        <f t="shared" si="71"/>
        <v>0</v>
      </c>
      <c r="N737">
        <f t="shared" si="68"/>
        <v>203.2236083370224</v>
      </c>
      <c r="O737">
        <f>IF(B737&lt;&gt;B736, Dashboard!$L$6,0)</f>
        <v>0</v>
      </c>
      <c r="P737">
        <f t="shared" si="69"/>
        <v>178.44018614709194</v>
      </c>
      <c r="Q737">
        <f>IF(B737&lt;&gt;B736,IF(F737&lt;=AVERAGE(F715:F736),Dashboard!$N$6-Dashboard!$G$7,Dashboard!$N$6+Dashboard!$G$7),0)</f>
        <v>0</v>
      </c>
      <c r="R737">
        <f t="shared" si="70"/>
        <v>177.15709930772928</v>
      </c>
    </row>
    <row r="738" spans="1:18" x14ac:dyDescent="0.3">
      <c r="A738" s="1">
        <v>45086</v>
      </c>
      <c r="B738">
        <v>9</v>
      </c>
      <c r="C738" s="19">
        <v>6</v>
      </c>
      <c r="D738" s="20">
        <v>2023</v>
      </c>
      <c r="E738" s="21">
        <f t="shared" si="66"/>
        <v>45175</v>
      </c>
      <c r="F738" s="20">
        <v>410.05</v>
      </c>
      <c r="G738" s="20">
        <v>3744068</v>
      </c>
      <c r="H738" s="20">
        <v>412.1</v>
      </c>
      <c r="I738" s="20">
        <v>412.13</v>
      </c>
      <c r="J738" s="22">
        <v>407.83</v>
      </c>
      <c r="K738" s="2">
        <f t="shared" si="67"/>
        <v>83331.840598596042</v>
      </c>
      <c r="L738" s="2">
        <f>IF(B738&lt;&gt;B737,L737*(1+Dashboard!$G$5)+Dashboard!$G$6, L737)</f>
        <v>84278.862613446559</v>
      </c>
      <c r="M738">
        <f t="shared" si="71"/>
        <v>0</v>
      </c>
      <c r="N738">
        <f t="shared" si="68"/>
        <v>203.2236083370224</v>
      </c>
      <c r="O738">
        <f>IF(B738&lt;&gt;B737, Dashboard!$L$6,0)</f>
        <v>0</v>
      </c>
      <c r="P738">
        <f t="shared" si="69"/>
        <v>178.44018614709194</v>
      </c>
      <c r="Q738">
        <f>IF(B738&lt;&gt;B737,IF(F738&lt;=AVERAGE(F716:F737),Dashboard!$N$6-Dashboard!$G$7,Dashboard!$N$6+Dashboard!$G$7),0)</f>
        <v>0</v>
      </c>
      <c r="R738">
        <f t="shared" si="70"/>
        <v>177.15709930772928</v>
      </c>
    </row>
    <row r="739" spans="1:18" x14ac:dyDescent="0.3">
      <c r="A739" s="1">
        <v>45116</v>
      </c>
      <c r="B739">
        <v>9</v>
      </c>
      <c r="C739" s="19">
        <v>7</v>
      </c>
      <c r="D739" s="20">
        <v>2023</v>
      </c>
      <c r="E739" s="21">
        <f t="shared" si="66"/>
        <v>45176</v>
      </c>
      <c r="F739" s="20">
        <v>408.83</v>
      </c>
      <c r="G739" s="20">
        <v>2245759</v>
      </c>
      <c r="H739" s="20">
        <v>407.17</v>
      </c>
      <c r="I739" s="20">
        <v>409.43</v>
      </c>
      <c r="J739" s="22">
        <v>406.85500000000002</v>
      </c>
      <c r="K739" s="2">
        <f t="shared" si="67"/>
        <v>83083.907796424857</v>
      </c>
      <c r="L739" s="2">
        <f>IF(B739&lt;&gt;B738,L738*(1+Dashboard!$G$5)+Dashboard!$G$6, L738)</f>
        <v>84278.862613446559</v>
      </c>
      <c r="M739">
        <f t="shared" si="71"/>
        <v>0</v>
      </c>
      <c r="N739">
        <f t="shared" si="68"/>
        <v>203.2236083370224</v>
      </c>
      <c r="O739">
        <f>IF(B739&lt;&gt;B738, Dashboard!$L$6,0)</f>
        <v>0</v>
      </c>
      <c r="P739">
        <f t="shared" si="69"/>
        <v>178.44018614709194</v>
      </c>
      <c r="Q739">
        <f>IF(B739&lt;&gt;B738,IF(F739&lt;=AVERAGE(F717:F738),Dashboard!$N$6-Dashboard!$G$7,Dashboard!$N$6+Dashboard!$G$7),0)</f>
        <v>0</v>
      </c>
      <c r="R739">
        <f t="shared" si="70"/>
        <v>177.15709930772928</v>
      </c>
    </row>
    <row r="740" spans="1:18" x14ac:dyDescent="0.3">
      <c r="A740" s="1">
        <v>45147</v>
      </c>
      <c r="B740">
        <v>9</v>
      </c>
      <c r="C740" s="19">
        <v>8</v>
      </c>
      <c r="D740" s="20">
        <v>2023</v>
      </c>
      <c r="E740" s="21">
        <f t="shared" si="66"/>
        <v>45177</v>
      </c>
      <c r="F740" s="20">
        <v>409.39</v>
      </c>
      <c r="G740" s="20">
        <v>4125223</v>
      </c>
      <c r="H740" s="20">
        <v>408.82</v>
      </c>
      <c r="I740" s="20">
        <v>410.84</v>
      </c>
      <c r="J740" s="22">
        <v>408.49</v>
      </c>
      <c r="K740" s="2">
        <f t="shared" si="67"/>
        <v>83197.7130170936</v>
      </c>
      <c r="L740" s="2">
        <f>IF(B740&lt;&gt;B739,L739*(1+Dashboard!$G$5)+Dashboard!$G$6, L739)</f>
        <v>84278.862613446559</v>
      </c>
      <c r="M740">
        <f t="shared" si="71"/>
        <v>0</v>
      </c>
      <c r="N740">
        <f t="shared" si="68"/>
        <v>203.2236083370224</v>
      </c>
      <c r="O740">
        <f>IF(B740&lt;&gt;B739, Dashboard!$L$6,0)</f>
        <v>0</v>
      </c>
      <c r="P740">
        <f t="shared" si="69"/>
        <v>178.44018614709194</v>
      </c>
      <c r="Q740">
        <f>IF(B740&lt;&gt;B739,IF(F740&lt;=AVERAGE(F718:F739),Dashboard!$N$6-Dashboard!$G$7,Dashboard!$N$6+Dashboard!$G$7),0)</f>
        <v>0</v>
      </c>
      <c r="R740">
        <f t="shared" si="70"/>
        <v>177.15709930772928</v>
      </c>
    </row>
    <row r="741" spans="1:18" x14ac:dyDescent="0.3">
      <c r="A741" s="1">
        <v>45239</v>
      </c>
      <c r="B741">
        <v>9</v>
      </c>
      <c r="C741" s="19">
        <v>11</v>
      </c>
      <c r="D741" s="20">
        <v>2023</v>
      </c>
      <c r="E741" s="21">
        <f t="shared" si="66"/>
        <v>45180</v>
      </c>
      <c r="F741" s="20">
        <v>412.08</v>
      </c>
      <c r="G741" s="20">
        <v>3346563</v>
      </c>
      <c r="H741" s="20">
        <v>411.88</v>
      </c>
      <c r="I741" s="20">
        <v>412.38</v>
      </c>
      <c r="J741" s="22">
        <v>410.29</v>
      </c>
      <c r="K741" s="2">
        <f t="shared" si="67"/>
        <v>83744.384523520188</v>
      </c>
      <c r="L741" s="2">
        <f>IF(B741&lt;&gt;B740,L740*(1+Dashboard!$G$5)+Dashboard!$G$6, L740)</f>
        <v>84278.862613446559</v>
      </c>
      <c r="M741">
        <f t="shared" si="71"/>
        <v>0</v>
      </c>
      <c r="N741">
        <f t="shared" si="68"/>
        <v>203.2236083370224</v>
      </c>
      <c r="O741">
        <f>IF(B741&lt;&gt;B740, Dashboard!$L$6,0)</f>
        <v>0</v>
      </c>
      <c r="P741">
        <f t="shared" si="69"/>
        <v>178.44018614709194</v>
      </c>
      <c r="Q741">
        <f>IF(B741&lt;&gt;B740,IF(F741&lt;=AVERAGE(F719:F740),Dashboard!$N$6-Dashboard!$G$7,Dashboard!$N$6+Dashboard!$G$7),0)</f>
        <v>0</v>
      </c>
      <c r="R741">
        <f t="shared" si="70"/>
        <v>177.15709930772928</v>
      </c>
    </row>
    <row r="742" spans="1:18" x14ac:dyDescent="0.3">
      <c r="A742" s="1">
        <v>45269</v>
      </c>
      <c r="B742">
        <v>9</v>
      </c>
      <c r="C742" s="19">
        <v>12</v>
      </c>
      <c r="D742" s="20">
        <v>2023</v>
      </c>
      <c r="E742" s="21">
        <f t="shared" si="66"/>
        <v>45181</v>
      </c>
      <c r="F742" s="20">
        <v>409.87</v>
      </c>
      <c r="G742" s="20">
        <v>7595296</v>
      </c>
      <c r="H742" s="20">
        <v>410.7</v>
      </c>
      <c r="I742" s="20">
        <v>412.15</v>
      </c>
      <c r="J742" s="22">
        <v>409.29</v>
      </c>
      <c r="K742" s="2">
        <f t="shared" si="67"/>
        <v>83295.260349095377</v>
      </c>
      <c r="L742" s="2">
        <f>IF(B742&lt;&gt;B741,L741*(1+Dashboard!$G$5)+Dashboard!$G$6, L741)</f>
        <v>84278.862613446559</v>
      </c>
      <c r="M742">
        <f t="shared" si="71"/>
        <v>0</v>
      </c>
      <c r="N742">
        <f t="shared" si="68"/>
        <v>203.2236083370224</v>
      </c>
      <c r="O742">
        <f>IF(B742&lt;&gt;B741, Dashboard!$L$6,0)</f>
        <v>0</v>
      </c>
      <c r="P742">
        <f t="shared" si="69"/>
        <v>178.44018614709194</v>
      </c>
      <c r="Q742">
        <f>IF(B742&lt;&gt;B741,IF(F742&lt;=AVERAGE(F720:F741),Dashboard!$N$6-Dashboard!$G$7,Dashboard!$N$6+Dashboard!$G$7),0)</f>
        <v>0</v>
      </c>
      <c r="R742">
        <f t="shared" si="70"/>
        <v>177.15709930772928</v>
      </c>
    </row>
    <row r="743" spans="1:18" x14ac:dyDescent="0.3">
      <c r="A743" t="s">
        <v>311</v>
      </c>
      <c r="B743">
        <v>9</v>
      </c>
      <c r="C743" s="19">
        <v>13</v>
      </c>
      <c r="D743" s="20">
        <v>2023</v>
      </c>
      <c r="E743" s="21">
        <f t="shared" si="66"/>
        <v>45182</v>
      </c>
      <c r="F743" s="20">
        <v>410.35</v>
      </c>
      <c r="G743" s="20">
        <v>2529748</v>
      </c>
      <c r="H743" s="20">
        <v>410.03</v>
      </c>
      <c r="I743" s="20">
        <v>411.4</v>
      </c>
      <c r="J743" s="22">
        <v>408.99</v>
      </c>
      <c r="K743" s="2">
        <f t="shared" si="67"/>
        <v>83392.80768109714</v>
      </c>
      <c r="L743" s="2">
        <f>IF(B743&lt;&gt;B742,L742*(1+Dashboard!$G$5)+Dashboard!$G$6, L742)</f>
        <v>84278.862613446559</v>
      </c>
      <c r="M743">
        <f t="shared" si="71"/>
        <v>0</v>
      </c>
      <c r="N743">
        <f t="shared" si="68"/>
        <v>203.2236083370224</v>
      </c>
      <c r="O743">
        <f>IF(B743&lt;&gt;B742, Dashboard!$L$6,0)</f>
        <v>0</v>
      </c>
      <c r="P743">
        <f t="shared" si="69"/>
        <v>178.44018614709194</v>
      </c>
      <c r="Q743">
        <f>IF(B743&lt;&gt;B742,IF(F743&lt;=AVERAGE(F721:F742),Dashboard!$N$6-Dashboard!$G$7,Dashboard!$N$6+Dashboard!$G$7),0)</f>
        <v>0</v>
      </c>
      <c r="R743">
        <f t="shared" si="70"/>
        <v>177.15709930772928</v>
      </c>
    </row>
    <row r="744" spans="1:18" x14ac:dyDescent="0.3">
      <c r="A744" t="s">
        <v>310</v>
      </c>
      <c r="B744">
        <v>9</v>
      </c>
      <c r="C744" s="19">
        <v>14</v>
      </c>
      <c r="D744" s="20">
        <v>2023</v>
      </c>
      <c r="E744" s="21">
        <f t="shared" si="66"/>
        <v>45183</v>
      </c>
      <c r="F744" s="20">
        <v>413.9</v>
      </c>
      <c r="G744" s="20">
        <v>3660901</v>
      </c>
      <c r="H744" s="20">
        <v>412.67</v>
      </c>
      <c r="I744" s="20">
        <v>414.51</v>
      </c>
      <c r="J744" s="22">
        <v>411.42</v>
      </c>
      <c r="K744" s="2">
        <f t="shared" si="67"/>
        <v>84114.251490693568</v>
      </c>
      <c r="L744" s="2">
        <f>IF(B744&lt;&gt;B743,L743*(1+Dashboard!$G$5)+Dashboard!$G$6, L743)</f>
        <v>84278.862613446559</v>
      </c>
      <c r="M744">
        <f t="shared" si="71"/>
        <v>0</v>
      </c>
      <c r="N744">
        <f t="shared" si="68"/>
        <v>203.2236083370224</v>
      </c>
      <c r="O744">
        <f>IF(B744&lt;&gt;B743, Dashboard!$L$6,0)</f>
        <v>0</v>
      </c>
      <c r="P744">
        <f t="shared" si="69"/>
        <v>178.44018614709194</v>
      </c>
      <c r="Q744">
        <f>IF(B744&lt;&gt;B743,IF(F744&lt;=AVERAGE(F722:F743),Dashboard!$N$6-Dashboard!$G$7,Dashboard!$N$6+Dashboard!$G$7),0)</f>
        <v>0</v>
      </c>
      <c r="R744">
        <f t="shared" si="70"/>
        <v>177.15709930772928</v>
      </c>
    </row>
    <row r="745" spans="1:18" x14ac:dyDescent="0.3">
      <c r="A745" t="s">
        <v>309</v>
      </c>
      <c r="B745">
        <v>9</v>
      </c>
      <c r="C745" s="19">
        <v>15</v>
      </c>
      <c r="D745" s="20">
        <v>2023</v>
      </c>
      <c r="E745" s="21">
        <f t="shared" si="66"/>
        <v>45184</v>
      </c>
      <c r="F745" s="20">
        <v>408.74</v>
      </c>
      <c r="G745" s="20">
        <v>4004030</v>
      </c>
      <c r="H745" s="20">
        <v>412.34</v>
      </c>
      <c r="I745" s="20">
        <v>412.67</v>
      </c>
      <c r="J745" s="22">
        <v>408.48</v>
      </c>
      <c r="K745" s="2">
        <f t="shared" si="67"/>
        <v>83065.617671674539</v>
      </c>
      <c r="L745" s="2">
        <f>IF(B745&lt;&gt;B744,L744*(1+Dashboard!$G$5)+Dashboard!$G$6, L744)</f>
        <v>84278.862613446559</v>
      </c>
      <c r="M745">
        <f t="shared" si="71"/>
        <v>0</v>
      </c>
      <c r="N745">
        <f t="shared" si="68"/>
        <v>203.2236083370224</v>
      </c>
      <c r="O745">
        <f>IF(B745&lt;&gt;B744, Dashboard!$L$6,0)</f>
        <v>0</v>
      </c>
      <c r="P745">
        <f t="shared" si="69"/>
        <v>178.44018614709194</v>
      </c>
      <c r="Q745">
        <f>IF(B745&lt;&gt;B744,IF(F745&lt;=AVERAGE(F723:F744),Dashboard!$N$6-Dashboard!$G$7,Dashboard!$N$6+Dashboard!$G$7),0)</f>
        <v>0</v>
      </c>
      <c r="R745">
        <f t="shared" si="70"/>
        <v>177.15709930772928</v>
      </c>
    </row>
    <row r="746" spans="1:18" x14ac:dyDescent="0.3">
      <c r="A746" t="s">
        <v>308</v>
      </c>
      <c r="B746">
        <v>9</v>
      </c>
      <c r="C746" s="19">
        <v>18</v>
      </c>
      <c r="D746" s="20">
        <v>2023</v>
      </c>
      <c r="E746" s="21">
        <f t="shared" si="66"/>
        <v>45187</v>
      </c>
      <c r="F746" s="20">
        <v>409.19</v>
      </c>
      <c r="G746" s="20">
        <v>3014571</v>
      </c>
      <c r="H746" s="20">
        <v>408.58</v>
      </c>
      <c r="I746" s="20">
        <v>410.34</v>
      </c>
      <c r="J746" s="22">
        <v>408.16</v>
      </c>
      <c r="K746" s="2">
        <f t="shared" si="67"/>
        <v>83157.068295426201</v>
      </c>
      <c r="L746" s="2">
        <f>IF(B746&lt;&gt;B745,L745*(1+Dashboard!$G$5)+Dashboard!$G$6, L745)</f>
        <v>84278.862613446559</v>
      </c>
      <c r="M746">
        <f t="shared" si="71"/>
        <v>0</v>
      </c>
      <c r="N746">
        <f t="shared" si="68"/>
        <v>203.2236083370224</v>
      </c>
      <c r="O746">
        <f>IF(B746&lt;&gt;B745, Dashboard!$L$6,0)</f>
        <v>0</v>
      </c>
      <c r="P746">
        <f t="shared" si="69"/>
        <v>178.44018614709194</v>
      </c>
      <c r="Q746">
        <f>IF(B746&lt;&gt;B745,IF(F746&lt;=AVERAGE(F724:F745),Dashboard!$N$6-Dashboard!$G$7,Dashboard!$N$6+Dashboard!$G$7),0)</f>
        <v>0</v>
      </c>
      <c r="R746">
        <f t="shared" si="70"/>
        <v>177.15709930772928</v>
      </c>
    </row>
    <row r="747" spans="1:18" x14ac:dyDescent="0.3">
      <c r="A747" t="s">
        <v>307</v>
      </c>
      <c r="B747">
        <v>9</v>
      </c>
      <c r="C747" s="19">
        <v>19</v>
      </c>
      <c r="D747" s="20">
        <v>2023</v>
      </c>
      <c r="E747" s="21">
        <f t="shared" si="66"/>
        <v>45188</v>
      </c>
      <c r="F747" s="20">
        <v>408.37</v>
      </c>
      <c r="G747" s="20">
        <v>3629773</v>
      </c>
      <c r="H747" s="20">
        <v>408.22</v>
      </c>
      <c r="I747" s="20">
        <v>408.80500000000001</v>
      </c>
      <c r="J747" s="22">
        <v>405.71</v>
      </c>
      <c r="K747" s="2">
        <f t="shared" si="67"/>
        <v>82990.424936589843</v>
      </c>
      <c r="L747" s="2">
        <f>IF(B747&lt;&gt;B746,L746*(1+Dashboard!$G$5)+Dashboard!$G$6, L746)</f>
        <v>84278.862613446559</v>
      </c>
      <c r="M747">
        <f t="shared" si="71"/>
        <v>0</v>
      </c>
      <c r="N747">
        <f t="shared" si="68"/>
        <v>203.2236083370224</v>
      </c>
      <c r="O747">
        <f>IF(B747&lt;&gt;B746, Dashboard!$L$6,0)</f>
        <v>0</v>
      </c>
      <c r="P747">
        <f t="shared" si="69"/>
        <v>178.44018614709194</v>
      </c>
      <c r="Q747">
        <f>IF(B747&lt;&gt;B746,IF(F747&lt;=AVERAGE(F725:F746),Dashboard!$N$6-Dashboard!$G$7,Dashboard!$N$6+Dashboard!$G$7),0)</f>
        <v>0</v>
      </c>
      <c r="R747">
        <f t="shared" si="70"/>
        <v>177.15709930772928</v>
      </c>
    </row>
    <row r="748" spans="1:18" x14ac:dyDescent="0.3">
      <c r="A748" t="s">
        <v>306</v>
      </c>
      <c r="B748">
        <v>9</v>
      </c>
      <c r="C748" s="19">
        <v>20</v>
      </c>
      <c r="D748" s="20">
        <v>2023</v>
      </c>
      <c r="E748" s="21">
        <f t="shared" si="66"/>
        <v>45189</v>
      </c>
      <c r="F748" s="20">
        <v>404.55</v>
      </c>
      <c r="G748" s="20">
        <v>4009415</v>
      </c>
      <c r="H748" s="20">
        <v>409.46</v>
      </c>
      <c r="I748" s="20">
        <v>409.84</v>
      </c>
      <c r="J748" s="22">
        <v>404.33</v>
      </c>
      <c r="K748" s="2">
        <f t="shared" si="67"/>
        <v>82214.110752742417</v>
      </c>
      <c r="L748" s="2">
        <f>IF(B748&lt;&gt;B747,L747*(1+Dashboard!$G$5)+Dashboard!$G$6, L747)</f>
        <v>84278.862613446559</v>
      </c>
      <c r="M748">
        <f t="shared" si="71"/>
        <v>0</v>
      </c>
      <c r="N748">
        <f t="shared" si="68"/>
        <v>203.2236083370224</v>
      </c>
      <c r="O748">
        <f>IF(B748&lt;&gt;B747, Dashboard!$L$6,0)</f>
        <v>0</v>
      </c>
      <c r="P748">
        <f t="shared" si="69"/>
        <v>178.44018614709194</v>
      </c>
      <c r="Q748">
        <f>IF(B748&lt;&gt;B747,IF(F748&lt;=AVERAGE(F726:F747),Dashboard!$N$6-Dashboard!$G$7,Dashboard!$N$6+Dashboard!$G$7),0)</f>
        <v>0</v>
      </c>
      <c r="R748">
        <f t="shared" si="70"/>
        <v>177.15709930772928</v>
      </c>
    </row>
    <row r="749" spans="1:18" x14ac:dyDescent="0.3">
      <c r="A749" t="s">
        <v>305</v>
      </c>
      <c r="B749">
        <v>9</v>
      </c>
      <c r="C749" s="19">
        <v>21</v>
      </c>
      <c r="D749" s="20">
        <v>2023</v>
      </c>
      <c r="E749" s="21">
        <f t="shared" si="66"/>
        <v>45190</v>
      </c>
      <c r="F749" s="20">
        <v>397.92</v>
      </c>
      <c r="G749" s="20">
        <v>4633139</v>
      </c>
      <c r="H749" s="20">
        <v>401.8</v>
      </c>
      <c r="I749" s="20">
        <v>402.05</v>
      </c>
      <c r="J749" s="22">
        <v>397.69</v>
      </c>
      <c r="K749" s="2">
        <f t="shared" si="67"/>
        <v>80866.738229467956</v>
      </c>
      <c r="L749" s="2">
        <f>IF(B749&lt;&gt;B748,L748*(1+Dashboard!$G$5)+Dashboard!$G$6, L748)</f>
        <v>84278.862613446559</v>
      </c>
      <c r="M749">
        <f t="shared" si="71"/>
        <v>0</v>
      </c>
      <c r="N749">
        <f t="shared" si="68"/>
        <v>203.2236083370224</v>
      </c>
      <c r="O749">
        <f>IF(B749&lt;&gt;B748, Dashboard!$L$6,0)</f>
        <v>0</v>
      </c>
      <c r="P749">
        <f t="shared" si="69"/>
        <v>178.44018614709194</v>
      </c>
      <c r="Q749">
        <f>IF(B749&lt;&gt;B748,IF(F749&lt;=AVERAGE(F727:F748),Dashboard!$N$6-Dashboard!$G$7,Dashboard!$N$6+Dashboard!$G$7),0)</f>
        <v>0</v>
      </c>
      <c r="R749">
        <f t="shared" si="70"/>
        <v>177.15709930772928</v>
      </c>
    </row>
    <row r="750" spans="1:18" x14ac:dyDescent="0.3">
      <c r="A750" t="s">
        <v>304</v>
      </c>
      <c r="B750">
        <v>9</v>
      </c>
      <c r="C750" s="19">
        <v>22</v>
      </c>
      <c r="D750" s="20">
        <v>2023</v>
      </c>
      <c r="E750" s="21">
        <f t="shared" si="66"/>
        <v>45191</v>
      </c>
      <c r="F750" s="20">
        <v>396.96</v>
      </c>
      <c r="G750" s="20">
        <v>7206528</v>
      </c>
      <c r="H750" s="20">
        <v>398.79500000000002</v>
      </c>
      <c r="I750" s="20">
        <v>400.32600000000002</v>
      </c>
      <c r="J750" s="22">
        <v>396.55500000000001</v>
      </c>
      <c r="K750" s="2">
        <f t="shared" si="67"/>
        <v>80671.643565464401</v>
      </c>
      <c r="L750" s="2">
        <f>IF(B750&lt;&gt;B749,L749*(1+Dashboard!$G$5)+Dashboard!$G$6, L749)</f>
        <v>84278.862613446559</v>
      </c>
      <c r="M750">
        <f t="shared" si="71"/>
        <v>0</v>
      </c>
      <c r="N750">
        <f t="shared" si="68"/>
        <v>203.2236083370224</v>
      </c>
      <c r="O750">
        <f>IF(B750&lt;&gt;B749, Dashboard!$L$6,0)</f>
        <v>0</v>
      </c>
      <c r="P750">
        <f t="shared" si="69"/>
        <v>178.44018614709194</v>
      </c>
      <c r="Q750">
        <f>IF(B750&lt;&gt;B749,IF(F750&lt;=AVERAGE(F728:F749),Dashboard!$N$6-Dashboard!$G$7,Dashboard!$N$6+Dashboard!$G$7),0)</f>
        <v>0</v>
      </c>
      <c r="R750">
        <f t="shared" si="70"/>
        <v>177.15709930772928</v>
      </c>
    </row>
    <row r="751" spans="1:18" x14ac:dyDescent="0.3">
      <c r="A751" t="s">
        <v>303</v>
      </c>
      <c r="B751">
        <v>9</v>
      </c>
      <c r="C751" s="19">
        <v>25</v>
      </c>
      <c r="D751" s="20">
        <v>2023</v>
      </c>
      <c r="E751" s="21">
        <f t="shared" si="66"/>
        <v>45194</v>
      </c>
      <c r="F751" s="20">
        <v>398.61</v>
      </c>
      <c r="G751" s="20">
        <v>3227900</v>
      </c>
      <c r="H751" s="20">
        <v>395.76</v>
      </c>
      <c r="I751" s="20">
        <v>398.63920000000002</v>
      </c>
      <c r="J751" s="22">
        <v>395.37</v>
      </c>
      <c r="K751" s="2">
        <f t="shared" si="67"/>
        <v>81006.962519220499</v>
      </c>
      <c r="L751" s="2">
        <f>IF(B751&lt;&gt;B750,L750*(1+Dashboard!$G$5)+Dashboard!$G$6, L750)</f>
        <v>84278.862613446559</v>
      </c>
      <c r="M751">
        <f t="shared" si="71"/>
        <v>0</v>
      </c>
      <c r="N751">
        <f t="shared" si="68"/>
        <v>203.2236083370224</v>
      </c>
      <c r="O751">
        <f>IF(B751&lt;&gt;B750, Dashboard!$L$6,0)</f>
        <v>0</v>
      </c>
      <c r="P751">
        <f t="shared" si="69"/>
        <v>178.44018614709194</v>
      </c>
      <c r="Q751">
        <f>IF(B751&lt;&gt;B750,IF(F751&lt;=AVERAGE(F729:F750),Dashboard!$N$6-Dashboard!$G$7,Dashboard!$N$6+Dashboard!$G$7),0)</f>
        <v>0</v>
      </c>
      <c r="R751">
        <f t="shared" si="70"/>
        <v>177.15709930772928</v>
      </c>
    </row>
    <row r="752" spans="1:18" x14ac:dyDescent="0.3">
      <c r="A752" t="s">
        <v>302</v>
      </c>
      <c r="B752">
        <v>9</v>
      </c>
      <c r="C752" s="19">
        <v>26</v>
      </c>
      <c r="D752" s="20">
        <v>2023</v>
      </c>
      <c r="E752" s="21">
        <f t="shared" si="66"/>
        <v>45195</v>
      </c>
      <c r="F752" s="20">
        <v>392.76</v>
      </c>
      <c r="G752" s="20">
        <v>5734734</v>
      </c>
      <c r="H752" s="20">
        <v>395.72</v>
      </c>
      <c r="I752" s="20">
        <v>396.36</v>
      </c>
      <c r="J752" s="22">
        <v>391.96</v>
      </c>
      <c r="K752" s="2">
        <f t="shared" si="67"/>
        <v>79818.104410448912</v>
      </c>
      <c r="L752" s="2">
        <f>IF(B752&lt;&gt;B751,L751*(1+Dashboard!$G$5)+Dashboard!$G$6, L751)</f>
        <v>84278.862613446559</v>
      </c>
      <c r="M752">
        <f t="shared" si="71"/>
        <v>0</v>
      </c>
      <c r="N752">
        <f t="shared" si="68"/>
        <v>203.2236083370224</v>
      </c>
      <c r="O752">
        <f>IF(B752&lt;&gt;B751, Dashboard!$L$6,0)</f>
        <v>0</v>
      </c>
      <c r="P752">
        <f t="shared" si="69"/>
        <v>178.44018614709194</v>
      </c>
      <c r="Q752">
        <f>IF(B752&lt;&gt;B751,IF(F752&lt;=AVERAGE(F730:F751),Dashboard!$N$6-Dashboard!$G$7,Dashboard!$N$6+Dashboard!$G$7),0)</f>
        <v>0</v>
      </c>
      <c r="R752">
        <f t="shared" si="70"/>
        <v>177.15709930772928</v>
      </c>
    </row>
    <row r="753" spans="1:18" x14ac:dyDescent="0.3">
      <c r="A753" t="s">
        <v>301</v>
      </c>
      <c r="B753">
        <v>9</v>
      </c>
      <c r="C753" s="19">
        <v>27</v>
      </c>
      <c r="D753" s="20">
        <v>2023</v>
      </c>
      <c r="E753" s="21">
        <f t="shared" si="66"/>
        <v>45196</v>
      </c>
      <c r="F753" s="20">
        <v>392.85</v>
      </c>
      <c r="G753" s="20">
        <v>4837698</v>
      </c>
      <c r="H753" s="20">
        <v>393.84</v>
      </c>
      <c r="I753" s="20">
        <v>394.39</v>
      </c>
      <c r="J753" s="22">
        <v>389.45</v>
      </c>
      <c r="K753" s="2">
        <f t="shared" si="67"/>
        <v>79836.394535199259</v>
      </c>
      <c r="L753" s="2">
        <f>IF(B753&lt;&gt;B752,L752*(1+Dashboard!$G$5)+Dashboard!$G$6, L752)</f>
        <v>84278.862613446559</v>
      </c>
      <c r="M753">
        <f t="shared" si="71"/>
        <v>0</v>
      </c>
      <c r="N753">
        <f t="shared" si="68"/>
        <v>203.2236083370224</v>
      </c>
      <c r="O753">
        <f>IF(B753&lt;&gt;B752, Dashboard!$L$6,0)</f>
        <v>0</v>
      </c>
      <c r="P753">
        <f t="shared" si="69"/>
        <v>178.44018614709194</v>
      </c>
      <c r="Q753">
        <f>IF(B753&lt;&gt;B752,IF(F753&lt;=AVERAGE(F731:F752),Dashboard!$N$6-Dashboard!$G$7,Dashboard!$N$6+Dashboard!$G$7),0)</f>
        <v>0</v>
      </c>
      <c r="R753">
        <f t="shared" si="70"/>
        <v>177.15709930772928</v>
      </c>
    </row>
    <row r="754" spans="1:18" x14ac:dyDescent="0.3">
      <c r="A754" t="s">
        <v>300</v>
      </c>
      <c r="B754">
        <v>9</v>
      </c>
      <c r="C754" s="19">
        <v>28</v>
      </c>
      <c r="D754" s="20">
        <v>2023</v>
      </c>
      <c r="E754" s="21">
        <f t="shared" si="66"/>
        <v>45197</v>
      </c>
      <c r="F754" s="20">
        <v>393.64</v>
      </c>
      <c r="G754" s="20">
        <v>4065775</v>
      </c>
      <c r="H754" s="20">
        <v>390.87</v>
      </c>
      <c r="I754" s="20">
        <v>395.27</v>
      </c>
      <c r="J754" s="22">
        <v>390.33</v>
      </c>
      <c r="K754" s="2">
        <f t="shared" si="67"/>
        <v>79996.941185785501</v>
      </c>
      <c r="L754" s="2">
        <f>IF(B754&lt;&gt;B753,L753*(1+Dashboard!$G$5)+Dashboard!$G$6, L753)</f>
        <v>84278.862613446559</v>
      </c>
      <c r="M754">
        <f t="shared" si="71"/>
        <v>0</v>
      </c>
      <c r="N754">
        <f t="shared" si="68"/>
        <v>203.2236083370224</v>
      </c>
      <c r="O754">
        <f>IF(B754&lt;&gt;B753, Dashboard!$L$6,0)</f>
        <v>0</v>
      </c>
      <c r="P754">
        <f t="shared" si="69"/>
        <v>178.44018614709194</v>
      </c>
      <c r="Q754">
        <f>IF(B754&lt;&gt;B753,IF(F754&lt;=AVERAGE(F732:F753),Dashboard!$N$6-Dashboard!$G$7,Dashboard!$N$6+Dashboard!$G$7),0)</f>
        <v>0</v>
      </c>
      <c r="R754">
        <f t="shared" si="70"/>
        <v>177.15709930772928</v>
      </c>
    </row>
    <row r="755" spans="1:18" x14ac:dyDescent="0.3">
      <c r="A755" t="s">
        <v>299</v>
      </c>
      <c r="B755">
        <v>9</v>
      </c>
      <c r="C755" s="19">
        <v>29</v>
      </c>
      <c r="D755" s="20">
        <v>2023</v>
      </c>
      <c r="E755" s="21">
        <f t="shared" si="66"/>
        <v>45198</v>
      </c>
      <c r="F755" s="20">
        <v>392.7</v>
      </c>
      <c r="G755" s="20">
        <v>5766585</v>
      </c>
      <c r="H755" s="20">
        <v>396.62</v>
      </c>
      <c r="I755" s="20">
        <v>396.74</v>
      </c>
      <c r="J755" s="22">
        <v>391.3</v>
      </c>
      <c r="K755" s="2">
        <f t="shared" si="67"/>
        <v>79805.910993948695</v>
      </c>
      <c r="L755" s="2">
        <f>IF(B755&lt;&gt;B754,L754*(1+Dashboard!$G$5)+Dashboard!$G$6, L754)</f>
        <v>84278.862613446559</v>
      </c>
      <c r="M755">
        <f t="shared" si="71"/>
        <v>0</v>
      </c>
      <c r="N755">
        <f t="shared" si="68"/>
        <v>203.2236083370224</v>
      </c>
      <c r="O755">
        <f>IF(B755&lt;&gt;B754, Dashboard!$L$6,0)</f>
        <v>0</v>
      </c>
      <c r="P755">
        <f t="shared" si="69"/>
        <v>178.44018614709194</v>
      </c>
      <c r="Q755">
        <f>IF(B755&lt;&gt;B754,IF(F755&lt;=AVERAGE(F733:F754),Dashboard!$N$6-Dashboard!$G$7,Dashboard!$N$6+Dashboard!$G$7),0)</f>
        <v>0</v>
      </c>
      <c r="R755">
        <f t="shared" si="70"/>
        <v>177.15709930772928</v>
      </c>
    </row>
    <row r="756" spans="1:18" x14ac:dyDescent="0.3">
      <c r="A756" s="1">
        <v>44967</v>
      </c>
      <c r="B756">
        <v>10</v>
      </c>
      <c r="C756" s="19">
        <v>2</v>
      </c>
      <c r="D756" s="20">
        <v>2023</v>
      </c>
      <c r="E756" s="21">
        <f t="shared" si="66"/>
        <v>45201</v>
      </c>
      <c r="F756" s="20">
        <v>392.67</v>
      </c>
      <c r="G756" s="20">
        <v>5886153</v>
      </c>
      <c r="H756" s="20">
        <v>391.9</v>
      </c>
      <c r="I756" s="20">
        <v>393.75990000000002</v>
      </c>
      <c r="J756" s="22">
        <v>389.97</v>
      </c>
      <c r="K756" s="2">
        <f t="shared" si="67"/>
        <v>79799.814285698594</v>
      </c>
      <c r="L756" s="2">
        <f>IF(B756&lt;&gt;B755,L755*(1+Dashboard!$G$5)+Dashboard!$G$6, L755)</f>
        <v>87020.516604444885</v>
      </c>
      <c r="M756">
        <f t="shared" si="71"/>
        <v>7220.702318746291</v>
      </c>
      <c r="N756">
        <f t="shared" si="68"/>
        <v>203.2236083370224</v>
      </c>
      <c r="O756">
        <f>IF(B756&lt;&gt;B755, Dashboard!$L$6,0)</f>
        <v>1859.7282542371197</v>
      </c>
      <c r="P756">
        <f t="shared" si="69"/>
        <v>183.17629599565973</v>
      </c>
      <c r="Q756">
        <f>IF(B756&lt;&gt;B755,IF(F756&lt;=AVERAGE(F734:F755),Dashboard!$N$6-Dashboard!$G$7,Dashboard!$N$6+Dashboard!$G$7),0)</f>
        <v>1232.609610169322</v>
      </c>
      <c r="R756">
        <f t="shared" si="70"/>
        <v>180.30231392923815</v>
      </c>
    </row>
    <row r="757" spans="1:18" x14ac:dyDescent="0.3">
      <c r="A757" s="1">
        <v>44995</v>
      </c>
      <c r="B757">
        <v>10</v>
      </c>
      <c r="C757" s="19">
        <v>3</v>
      </c>
      <c r="D757" s="20">
        <v>2023</v>
      </c>
      <c r="E757" s="21">
        <f t="shared" si="66"/>
        <v>45202</v>
      </c>
      <c r="F757" s="20">
        <v>387.39</v>
      </c>
      <c r="G757" s="20">
        <v>6886663</v>
      </c>
      <c r="H757" s="20">
        <v>390.58</v>
      </c>
      <c r="I757" s="20">
        <v>391.93</v>
      </c>
      <c r="J757" s="22">
        <v>386.03</v>
      </c>
      <c r="K757" s="2">
        <f t="shared" si="67"/>
        <v>85850.4034619296</v>
      </c>
      <c r="L757" s="2">
        <f>IF(B757&lt;&gt;B756,L756*(1+Dashboard!$G$5)+Dashboard!$G$6, L756)</f>
        <v>87020.516604444885</v>
      </c>
      <c r="M757">
        <f t="shared" si="71"/>
        <v>0</v>
      </c>
      <c r="N757">
        <f t="shared" si="68"/>
        <v>221.61233759758798</v>
      </c>
      <c r="O757">
        <f>IF(B757&lt;&gt;B756, Dashboard!$L$6,0)</f>
        <v>0</v>
      </c>
      <c r="P757">
        <f t="shared" si="69"/>
        <v>183.17629599565973</v>
      </c>
      <c r="Q757">
        <f>IF(B757&lt;&gt;B756,IF(F757&lt;=AVERAGE(F735:F756),Dashboard!$N$6-Dashboard!$G$7,Dashboard!$N$6+Dashboard!$G$7),0)</f>
        <v>0</v>
      </c>
      <c r="R757">
        <f t="shared" si="70"/>
        <v>180.30231392923815</v>
      </c>
    </row>
    <row r="758" spans="1:18" x14ac:dyDescent="0.3">
      <c r="A758" s="1">
        <v>45026</v>
      </c>
      <c r="B758">
        <v>10</v>
      </c>
      <c r="C758" s="19">
        <v>4</v>
      </c>
      <c r="D758" s="20">
        <v>2023</v>
      </c>
      <c r="E758" s="21">
        <f t="shared" si="66"/>
        <v>45203</v>
      </c>
      <c r="F758" s="20">
        <v>390.24</v>
      </c>
      <c r="G758" s="20">
        <v>4333740</v>
      </c>
      <c r="H758" s="20">
        <v>387.73</v>
      </c>
      <c r="I758" s="20">
        <v>390.85</v>
      </c>
      <c r="J758" s="22">
        <v>386.4</v>
      </c>
      <c r="K758" s="2">
        <f t="shared" si="67"/>
        <v>86481.998624082742</v>
      </c>
      <c r="L758" s="2">
        <f>IF(B758&lt;&gt;B757,L757*(1+Dashboard!$G$5)+Dashboard!$G$6, L757)</f>
        <v>87020.516604444885</v>
      </c>
      <c r="M758">
        <f t="shared" si="71"/>
        <v>0</v>
      </c>
      <c r="N758">
        <f t="shared" si="68"/>
        <v>221.61233759758798</v>
      </c>
      <c r="O758">
        <f>IF(B758&lt;&gt;B757, Dashboard!$L$6,0)</f>
        <v>0</v>
      </c>
      <c r="P758">
        <f t="shared" si="69"/>
        <v>183.17629599565973</v>
      </c>
      <c r="Q758">
        <f>IF(B758&lt;&gt;B757,IF(F758&lt;=AVERAGE(F736:F757),Dashboard!$N$6-Dashboard!$G$7,Dashboard!$N$6+Dashboard!$G$7),0)</f>
        <v>0</v>
      </c>
      <c r="R758">
        <f t="shared" si="70"/>
        <v>180.30231392923815</v>
      </c>
    </row>
    <row r="759" spans="1:18" x14ac:dyDescent="0.3">
      <c r="A759" s="1">
        <v>45056</v>
      </c>
      <c r="B759">
        <v>10</v>
      </c>
      <c r="C759" s="19">
        <v>5</v>
      </c>
      <c r="D759" s="20">
        <v>2023</v>
      </c>
      <c r="E759" s="21">
        <f t="shared" si="66"/>
        <v>45204</v>
      </c>
      <c r="F759" s="20">
        <v>389.91</v>
      </c>
      <c r="G759" s="20">
        <v>3329091</v>
      </c>
      <c r="H759" s="20">
        <v>389.89</v>
      </c>
      <c r="I759" s="20">
        <v>390.78890000000001</v>
      </c>
      <c r="J759" s="22">
        <v>386.95</v>
      </c>
      <c r="K759" s="2">
        <f t="shared" si="67"/>
        <v>86408.866552675536</v>
      </c>
      <c r="L759" s="2">
        <f>IF(B759&lt;&gt;B758,L758*(1+Dashboard!$G$5)+Dashboard!$G$6, L758)</f>
        <v>87020.516604444885</v>
      </c>
      <c r="M759">
        <f t="shared" si="71"/>
        <v>0</v>
      </c>
      <c r="N759">
        <f t="shared" si="68"/>
        <v>221.61233759758798</v>
      </c>
      <c r="O759">
        <f>IF(B759&lt;&gt;B758, Dashboard!$L$6,0)</f>
        <v>0</v>
      </c>
      <c r="P759">
        <f t="shared" si="69"/>
        <v>183.17629599565973</v>
      </c>
      <c r="Q759">
        <f>IF(B759&lt;&gt;B758,IF(F759&lt;=AVERAGE(F737:F758),Dashboard!$N$6-Dashboard!$G$7,Dashboard!$N$6+Dashboard!$G$7),0)</f>
        <v>0</v>
      </c>
      <c r="R759">
        <f t="shared" si="70"/>
        <v>180.30231392923815</v>
      </c>
    </row>
    <row r="760" spans="1:18" x14ac:dyDescent="0.3">
      <c r="A760" s="1">
        <v>45087</v>
      </c>
      <c r="B760">
        <v>10</v>
      </c>
      <c r="C760" s="19">
        <v>6</v>
      </c>
      <c r="D760" s="20">
        <v>2023</v>
      </c>
      <c r="E760" s="21">
        <f t="shared" si="66"/>
        <v>45205</v>
      </c>
      <c r="F760" s="20">
        <v>394.56</v>
      </c>
      <c r="G760" s="20">
        <v>4897219</v>
      </c>
      <c r="H760" s="20">
        <v>387.69</v>
      </c>
      <c r="I760" s="20">
        <v>396.08499999999998</v>
      </c>
      <c r="J760" s="22">
        <v>386.41039999999998</v>
      </c>
      <c r="K760" s="2">
        <f t="shared" si="67"/>
        <v>87439.363922504315</v>
      </c>
      <c r="L760" s="2">
        <f>IF(B760&lt;&gt;B759,L759*(1+Dashboard!$G$5)+Dashboard!$G$6, L759)</f>
        <v>87020.516604444885</v>
      </c>
      <c r="M760">
        <f t="shared" si="71"/>
        <v>0</v>
      </c>
      <c r="N760">
        <f t="shared" si="68"/>
        <v>221.61233759758798</v>
      </c>
      <c r="O760">
        <f>IF(B760&lt;&gt;B759, Dashboard!$L$6,0)</f>
        <v>0</v>
      </c>
      <c r="P760">
        <f t="shared" si="69"/>
        <v>183.17629599565973</v>
      </c>
      <c r="Q760">
        <f>IF(B760&lt;&gt;B759,IF(F760&lt;=AVERAGE(F738:F759),Dashboard!$N$6-Dashboard!$G$7,Dashboard!$N$6+Dashboard!$G$7),0)</f>
        <v>0</v>
      </c>
      <c r="R760">
        <f t="shared" si="70"/>
        <v>180.30231392923815</v>
      </c>
    </row>
    <row r="761" spans="1:18" x14ac:dyDescent="0.3">
      <c r="A761" s="1">
        <v>45179</v>
      </c>
      <c r="B761">
        <v>10</v>
      </c>
      <c r="C761" s="19">
        <v>9</v>
      </c>
      <c r="D761" s="20">
        <v>2023</v>
      </c>
      <c r="E761" s="21">
        <f t="shared" si="66"/>
        <v>45208</v>
      </c>
      <c r="F761" s="20">
        <v>397.19</v>
      </c>
      <c r="G761" s="20">
        <v>2959502</v>
      </c>
      <c r="H761" s="20">
        <v>392.8</v>
      </c>
      <c r="I761" s="20">
        <v>397.69</v>
      </c>
      <c r="J761" s="22">
        <v>392.31</v>
      </c>
      <c r="K761" s="2">
        <f t="shared" si="67"/>
        <v>88022.204370385967</v>
      </c>
      <c r="L761" s="2">
        <f>IF(B761&lt;&gt;B760,L760*(1+Dashboard!$G$5)+Dashboard!$G$6, L760)</f>
        <v>87020.516604444885</v>
      </c>
      <c r="M761">
        <f t="shared" si="71"/>
        <v>0</v>
      </c>
      <c r="N761">
        <f t="shared" si="68"/>
        <v>221.61233759758798</v>
      </c>
      <c r="O761">
        <f>IF(B761&lt;&gt;B760, Dashboard!$L$6,0)</f>
        <v>0</v>
      </c>
      <c r="P761">
        <f t="shared" si="69"/>
        <v>183.17629599565973</v>
      </c>
      <c r="Q761">
        <f>IF(B761&lt;&gt;B760,IF(F761&lt;=AVERAGE(F739:F760),Dashboard!$N$6-Dashboard!$G$7,Dashboard!$N$6+Dashboard!$G$7),0)</f>
        <v>0</v>
      </c>
      <c r="R761">
        <f t="shared" si="70"/>
        <v>180.30231392923815</v>
      </c>
    </row>
    <row r="762" spans="1:18" x14ac:dyDescent="0.3">
      <c r="A762" s="1">
        <v>45209</v>
      </c>
      <c r="B762">
        <v>10</v>
      </c>
      <c r="C762" s="19">
        <v>10</v>
      </c>
      <c r="D762" s="20">
        <v>2023</v>
      </c>
      <c r="E762" s="21">
        <f t="shared" si="66"/>
        <v>45209</v>
      </c>
      <c r="F762" s="20">
        <v>399.24</v>
      </c>
      <c r="G762" s="20">
        <v>3289640</v>
      </c>
      <c r="H762" s="20">
        <v>397.77</v>
      </c>
      <c r="I762" s="20">
        <v>401.68</v>
      </c>
      <c r="J762" s="22">
        <v>397.38749999999999</v>
      </c>
      <c r="K762" s="2">
        <f t="shared" si="67"/>
        <v>88476.509662461031</v>
      </c>
      <c r="L762" s="2">
        <f>IF(B762&lt;&gt;B761,L761*(1+Dashboard!$G$5)+Dashboard!$G$6, L761)</f>
        <v>87020.516604444885</v>
      </c>
      <c r="M762">
        <f t="shared" si="71"/>
        <v>0</v>
      </c>
      <c r="N762">
        <f t="shared" si="68"/>
        <v>221.61233759758798</v>
      </c>
      <c r="O762">
        <f>IF(B762&lt;&gt;B761, Dashboard!$L$6,0)</f>
        <v>0</v>
      </c>
      <c r="P762">
        <f t="shared" si="69"/>
        <v>183.17629599565973</v>
      </c>
      <c r="Q762">
        <f>IF(B762&lt;&gt;B761,IF(F762&lt;=AVERAGE(F740:F761),Dashboard!$N$6-Dashboard!$G$7,Dashboard!$N$6+Dashboard!$G$7),0)</f>
        <v>0</v>
      </c>
      <c r="R762">
        <f t="shared" si="70"/>
        <v>180.30231392923815</v>
      </c>
    </row>
    <row r="763" spans="1:18" x14ac:dyDescent="0.3">
      <c r="A763" s="1">
        <v>45240</v>
      </c>
      <c r="B763">
        <v>10</v>
      </c>
      <c r="C763" s="19">
        <v>11</v>
      </c>
      <c r="D763" s="20">
        <v>2023</v>
      </c>
      <c r="E763" s="21">
        <f t="shared" si="66"/>
        <v>45210</v>
      </c>
      <c r="F763" s="20">
        <v>400.93</v>
      </c>
      <c r="G763" s="20">
        <v>4181784</v>
      </c>
      <c r="H763" s="20">
        <v>400.27</v>
      </c>
      <c r="I763" s="20">
        <v>401.09</v>
      </c>
      <c r="J763" s="22">
        <v>397.99</v>
      </c>
      <c r="K763" s="2">
        <f t="shared" si="67"/>
        <v>88851.034513000952</v>
      </c>
      <c r="L763" s="2">
        <f>IF(B763&lt;&gt;B762,L762*(1+Dashboard!$G$5)+Dashboard!$G$6, L762)</f>
        <v>87020.516604444885</v>
      </c>
      <c r="M763">
        <f t="shared" si="71"/>
        <v>0</v>
      </c>
      <c r="N763">
        <f t="shared" si="68"/>
        <v>221.61233759758798</v>
      </c>
      <c r="O763">
        <f>IF(B763&lt;&gt;B762, Dashboard!$L$6,0)</f>
        <v>0</v>
      </c>
      <c r="P763">
        <f t="shared" si="69"/>
        <v>183.17629599565973</v>
      </c>
      <c r="Q763">
        <f>IF(B763&lt;&gt;B762,IF(F763&lt;=AVERAGE(F741:F762),Dashboard!$N$6-Dashboard!$G$7,Dashboard!$N$6+Dashboard!$G$7),0)</f>
        <v>0</v>
      </c>
      <c r="R763">
        <f t="shared" si="70"/>
        <v>180.30231392923815</v>
      </c>
    </row>
    <row r="764" spans="1:18" x14ac:dyDescent="0.3">
      <c r="A764" s="1">
        <v>45270</v>
      </c>
      <c r="B764">
        <v>10</v>
      </c>
      <c r="C764" s="19">
        <v>12</v>
      </c>
      <c r="D764" s="20">
        <v>2023</v>
      </c>
      <c r="E764" s="21">
        <f t="shared" si="66"/>
        <v>45211</v>
      </c>
      <c r="F764" s="20">
        <v>398.52</v>
      </c>
      <c r="G764" s="20">
        <v>3872929</v>
      </c>
      <c r="H764" s="20">
        <v>401.48</v>
      </c>
      <c r="I764" s="20">
        <v>401.8</v>
      </c>
      <c r="J764" s="22">
        <v>396.2</v>
      </c>
      <c r="K764" s="2">
        <f t="shared" si="67"/>
        <v>88316.948779390761</v>
      </c>
      <c r="L764" s="2">
        <f>IF(B764&lt;&gt;B763,L763*(1+Dashboard!$G$5)+Dashboard!$G$6, L763)</f>
        <v>87020.516604444885</v>
      </c>
      <c r="M764">
        <f t="shared" si="71"/>
        <v>0</v>
      </c>
      <c r="N764">
        <f t="shared" si="68"/>
        <v>221.61233759758798</v>
      </c>
      <c r="O764">
        <f>IF(B764&lt;&gt;B763, Dashboard!$L$6,0)</f>
        <v>0</v>
      </c>
      <c r="P764">
        <f t="shared" si="69"/>
        <v>183.17629599565973</v>
      </c>
      <c r="Q764">
        <f>IF(B764&lt;&gt;B763,IF(F764&lt;=AVERAGE(F742:F763),Dashboard!$N$6-Dashboard!$G$7,Dashboard!$N$6+Dashboard!$G$7),0)</f>
        <v>0</v>
      </c>
      <c r="R764">
        <f t="shared" si="70"/>
        <v>180.30231392923815</v>
      </c>
    </row>
    <row r="765" spans="1:18" x14ac:dyDescent="0.3">
      <c r="A765" t="s">
        <v>298</v>
      </c>
      <c r="B765">
        <v>10</v>
      </c>
      <c r="C765" s="19">
        <v>13</v>
      </c>
      <c r="D765" s="20">
        <v>2023</v>
      </c>
      <c r="E765" s="21">
        <f t="shared" si="66"/>
        <v>45212</v>
      </c>
      <c r="F765" s="20">
        <v>396.42</v>
      </c>
      <c r="G765" s="20">
        <v>3772219</v>
      </c>
      <c r="H765" s="20">
        <v>399.81</v>
      </c>
      <c r="I765" s="20">
        <v>400.96</v>
      </c>
      <c r="J765" s="22">
        <v>394.96</v>
      </c>
      <c r="K765" s="2">
        <f t="shared" si="67"/>
        <v>87851.562870435824</v>
      </c>
      <c r="L765" s="2">
        <f>IF(B765&lt;&gt;B764,L764*(1+Dashboard!$G$5)+Dashboard!$G$6, L764)</f>
        <v>87020.516604444885</v>
      </c>
      <c r="M765">
        <f t="shared" si="71"/>
        <v>0</v>
      </c>
      <c r="N765">
        <f t="shared" si="68"/>
        <v>221.61233759758798</v>
      </c>
      <c r="O765">
        <f>IF(B765&lt;&gt;B764, Dashboard!$L$6,0)</f>
        <v>0</v>
      </c>
      <c r="P765">
        <f t="shared" si="69"/>
        <v>183.17629599565973</v>
      </c>
      <c r="Q765">
        <f>IF(B765&lt;&gt;B764,IF(F765&lt;=AVERAGE(F743:F764),Dashboard!$N$6-Dashboard!$G$7,Dashboard!$N$6+Dashboard!$G$7),0)</f>
        <v>0</v>
      </c>
      <c r="R765">
        <f t="shared" si="70"/>
        <v>180.30231392923815</v>
      </c>
    </row>
    <row r="766" spans="1:18" x14ac:dyDescent="0.3">
      <c r="A766" t="s">
        <v>297</v>
      </c>
      <c r="B766">
        <v>10</v>
      </c>
      <c r="C766" s="19">
        <v>16</v>
      </c>
      <c r="D766" s="20">
        <v>2023</v>
      </c>
      <c r="E766" s="21">
        <f t="shared" si="66"/>
        <v>45215</v>
      </c>
      <c r="F766" s="20">
        <v>400.57</v>
      </c>
      <c r="G766" s="20">
        <v>5150941</v>
      </c>
      <c r="H766" s="20">
        <v>398.57</v>
      </c>
      <c r="I766" s="20">
        <v>401.6</v>
      </c>
      <c r="J766" s="22">
        <v>398.34</v>
      </c>
      <c r="K766" s="2">
        <f t="shared" si="67"/>
        <v>88771.25407146581</v>
      </c>
      <c r="L766" s="2">
        <f>IF(B766&lt;&gt;B765,L765*(1+Dashboard!$G$5)+Dashboard!$G$6, L765)</f>
        <v>87020.516604444885</v>
      </c>
      <c r="M766">
        <f t="shared" si="71"/>
        <v>0</v>
      </c>
      <c r="N766">
        <f t="shared" si="68"/>
        <v>221.61233759758798</v>
      </c>
      <c r="O766">
        <f>IF(B766&lt;&gt;B765, Dashboard!$L$6,0)</f>
        <v>0</v>
      </c>
      <c r="P766">
        <f t="shared" si="69"/>
        <v>183.17629599565973</v>
      </c>
      <c r="Q766">
        <f>IF(B766&lt;&gt;B765,IF(F766&lt;=AVERAGE(F744:F765),Dashboard!$N$6-Dashboard!$G$7,Dashboard!$N$6+Dashboard!$G$7),0)</f>
        <v>0</v>
      </c>
      <c r="R766">
        <f t="shared" si="70"/>
        <v>180.30231392923815</v>
      </c>
    </row>
    <row r="767" spans="1:18" x14ac:dyDescent="0.3">
      <c r="A767" t="s">
        <v>296</v>
      </c>
      <c r="B767">
        <v>10</v>
      </c>
      <c r="C767" s="19">
        <v>17</v>
      </c>
      <c r="D767" s="20">
        <v>2023</v>
      </c>
      <c r="E767" s="21">
        <f t="shared" si="66"/>
        <v>45216</v>
      </c>
      <c r="F767" s="20">
        <v>400.58</v>
      </c>
      <c r="G767" s="20">
        <v>4214609</v>
      </c>
      <c r="H767" s="20">
        <v>397.63</v>
      </c>
      <c r="I767" s="20">
        <v>402.5</v>
      </c>
      <c r="J767" s="22">
        <v>397.3075</v>
      </c>
      <c r="K767" s="2">
        <f t="shared" si="67"/>
        <v>88773.470194841793</v>
      </c>
      <c r="L767" s="2">
        <f>IF(B767&lt;&gt;B766,L766*(1+Dashboard!$G$5)+Dashboard!$G$6, L766)</f>
        <v>87020.516604444885</v>
      </c>
      <c r="M767">
        <f t="shared" si="71"/>
        <v>0</v>
      </c>
      <c r="N767">
        <f t="shared" si="68"/>
        <v>221.61233759758798</v>
      </c>
      <c r="O767">
        <f>IF(B767&lt;&gt;B766, Dashboard!$L$6,0)</f>
        <v>0</v>
      </c>
      <c r="P767">
        <f t="shared" si="69"/>
        <v>183.17629599565973</v>
      </c>
      <c r="Q767">
        <f>IF(B767&lt;&gt;B766,IF(F767&lt;=AVERAGE(F745:F766),Dashboard!$N$6-Dashboard!$G$7,Dashboard!$N$6+Dashboard!$G$7),0)</f>
        <v>0</v>
      </c>
      <c r="R767">
        <f t="shared" si="70"/>
        <v>180.30231392923815</v>
      </c>
    </row>
    <row r="768" spans="1:18" x14ac:dyDescent="0.3">
      <c r="A768" t="s">
        <v>295</v>
      </c>
      <c r="B768">
        <v>10</v>
      </c>
      <c r="C768" s="19">
        <v>18</v>
      </c>
      <c r="D768" s="20">
        <v>2023</v>
      </c>
      <c r="E768" s="21">
        <f t="shared" si="66"/>
        <v>45217</v>
      </c>
      <c r="F768" s="20">
        <v>395.22</v>
      </c>
      <c r="G768" s="20">
        <v>7329261</v>
      </c>
      <c r="H768" s="20">
        <v>398.89</v>
      </c>
      <c r="I768" s="20">
        <v>399.81</v>
      </c>
      <c r="J768" s="22">
        <v>394.22</v>
      </c>
      <c r="K768" s="2">
        <f t="shared" si="67"/>
        <v>87585.628065318728</v>
      </c>
      <c r="L768" s="2">
        <f>IF(B768&lt;&gt;B767,L767*(1+Dashboard!$G$5)+Dashboard!$G$6, L767)</f>
        <v>87020.516604444885</v>
      </c>
      <c r="M768">
        <f t="shared" si="71"/>
        <v>0</v>
      </c>
      <c r="N768">
        <f t="shared" si="68"/>
        <v>221.61233759758798</v>
      </c>
      <c r="O768">
        <f>IF(B768&lt;&gt;B767, Dashboard!$L$6,0)</f>
        <v>0</v>
      </c>
      <c r="P768">
        <f t="shared" si="69"/>
        <v>183.17629599565973</v>
      </c>
      <c r="Q768">
        <f>IF(B768&lt;&gt;B767,IF(F768&lt;=AVERAGE(F746:F767),Dashboard!$N$6-Dashboard!$G$7,Dashboard!$N$6+Dashboard!$G$7),0)</f>
        <v>0</v>
      </c>
      <c r="R768">
        <f t="shared" si="70"/>
        <v>180.30231392923815</v>
      </c>
    </row>
    <row r="769" spans="1:18" x14ac:dyDescent="0.3">
      <c r="A769" t="s">
        <v>294</v>
      </c>
      <c r="B769">
        <v>10</v>
      </c>
      <c r="C769" s="19">
        <v>19</v>
      </c>
      <c r="D769" s="20">
        <v>2023</v>
      </c>
      <c r="E769" s="21">
        <f t="shared" si="66"/>
        <v>45218</v>
      </c>
      <c r="F769" s="20">
        <v>391.87</v>
      </c>
      <c r="G769" s="20">
        <v>6708903</v>
      </c>
      <c r="H769" s="20">
        <v>395.97</v>
      </c>
      <c r="I769" s="20">
        <v>397.6</v>
      </c>
      <c r="J769" s="22">
        <v>391.13499999999999</v>
      </c>
      <c r="K769" s="2">
        <f t="shared" si="67"/>
        <v>86843.226734366806</v>
      </c>
      <c r="L769" s="2">
        <f>IF(B769&lt;&gt;B768,L768*(1+Dashboard!$G$5)+Dashboard!$G$6, L768)</f>
        <v>87020.516604444885</v>
      </c>
      <c r="M769">
        <f t="shared" si="71"/>
        <v>0</v>
      </c>
      <c r="N769">
        <f t="shared" si="68"/>
        <v>221.61233759758798</v>
      </c>
      <c r="O769">
        <f>IF(B769&lt;&gt;B768, Dashboard!$L$6,0)</f>
        <v>0</v>
      </c>
      <c r="P769">
        <f t="shared" si="69"/>
        <v>183.17629599565973</v>
      </c>
      <c r="Q769">
        <f>IF(B769&lt;&gt;B768,IF(F769&lt;=AVERAGE(F747:F768),Dashboard!$N$6-Dashboard!$G$7,Dashboard!$N$6+Dashboard!$G$7),0)</f>
        <v>0</v>
      </c>
      <c r="R769">
        <f t="shared" si="70"/>
        <v>180.30231392923815</v>
      </c>
    </row>
    <row r="770" spans="1:18" x14ac:dyDescent="0.3">
      <c r="A770" t="s">
        <v>293</v>
      </c>
      <c r="B770">
        <v>10</v>
      </c>
      <c r="C770" s="19">
        <v>20</v>
      </c>
      <c r="D770" s="20">
        <v>2023</v>
      </c>
      <c r="E770" s="21">
        <f t="shared" ref="E770:E833" si="72">DATE(D770,B770,C770)</f>
        <v>45219</v>
      </c>
      <c r="F770" s="20">
        <v>386.99</v>
      </c>
      <c r="G770" s="20">
        <v>7549614</v>
      </c>
      <c r="H770" s="20">
        <v>391.38</v>
      </c>
      <c r="I770" s="20">
        <v>391.82</v>
      </c>
      <c r="J770" s="22">
        <v>386.84</v>
      </c>
      <c r="K770" s="2">
        <f t="shared" si="67"/>
        <v>85761.758526890568</v>
      </c>
      <c r="L770" s="2">
        <f>IF(B770&lt;&gt;B769,L769*(1+Dashboard!$G$5)+Dashboard!$G$6, L769)</f>
        <v>87020.516604444885</v>
      </c>
      <c r="M770">
        <f t="shared" si="71"/>
        <v>0</v>
      </c>
      <c r="N770">
        <f t="shared" si="68"/>
        <v>221.61233759758798</v>
      </c>
      <c r="O770">
        <f>IF(B770&lt;&gt;B769, Dashboard!$L$6,0)</f>
        <v>0</v>
      </c>
      <c r="P770">
        <f t="shared" si="69"/>
        <v>183.17629599565973</v>
      </c>
      <c r="Q770">
        <f>IF(B770&lt;&gt;B769,IF(F770&lt;=AVERAGE(F748:F769),Dashboard!$N$6-Dashboard!$G$7,Dashboard!$N$6+Dashboard!$G$7),0)</f>
        <v>0</v>
      </c>
      <c r="R770">
        <f t="shared" si="70"/>
        <v>180.30231392923815</v>
      </c>
    </row>
    <row r="771" spans="1:18" x14ac:dyDescent="0.3">
      <c r="A771" t="s">
        <v>292</v>
      </c>
      <c r="B771">
        <v>10</v>
      </c>
      <c r="C771" s="19">
        <v>23</v>
      </c>
      <c r="D771" s="20">
        <v>2023</v>
      </c>
      <c r="E771" s="21">
        <f t="shared" si="72"/>
        <v>45222</v>
      </c>
      <c r="F771" s="20">
        <v>386.31</v>
      </c>
      <c r="G771" s="20">
        <v>5537131</v>
      </c>
      <c r="H771" s="20">
        <v>385.48</v>
      </c>
      <c r="I771" s="20">
        <v>389.94</v>
      </c>
      <c r="J771" s="22">
        <v>383.85</v>
      </c>
      <c r="K771" s="2">
        <f t="shared" ref="K771:K834" si="73">N771*F771</f>
        <v>85611.062137324217</v>
      </c>
      <c r="L771" s="2">
        <f>IF(B771&lt;&gt;B770,L770*(1+Dashboard!$G$5)+Dashboard!$G$6, L770)</f>
        <v>87020.516604444885</v>
      </c>
      <c r="M771">
        <f t="shared" si="71"/>
        <v>0</v>
      </c>
      <c r="N771">
        <f t="shared" si="68"/>
        <v>221.61233759758798</v>
      </c>
      <c r="O771">
        <f>IF(B771&lt;&gt;B770, Dashboard!$L$6,0)</f>
        <v>0</v>
      </c>
      <c r="P771">
        <f t="shared" si="69"/>
        <v>183.17629599565973</v>
      </c>
      <c r="Q771">
        <f>IF(B771&lt;&gt;B770,IF(F771&lt;=AVERAGE(F749:F770),Dashboard!$N$6-Dashboard!$G$7,Dashboard!$N$6+Dashboard!$G$7),0)</f>
        <v>0</v>
      </c>
      <c r="R771">
        <f t="shared" si="70"/>
        <v>180.30231392923815</v>
      </c>
    </row>
    <row r="772" spans="1:18" x14ac:dyDescent="0.3">
      <c r="A772" t="s">
        <v>291</v>
      </c>
      <c r="B772">
        <v>10</v>
      </c>
      <c r="C772" s="19">
        <v>24</v>
      </c>
      <c r="D772" s="20">
        <v>2023</v>
      </c>
      <c r="E772" s="21">
        <f t="shared" si="72"/>
        <v>45223</v>
      </c>
      <c r="F772" s="20">
        <v>389.2</v>
      </c>
      <c r="G772" s="20">
        <v>4451513</v>
      </c>
      <c r="H772" s="20">
        <v>388.28</v>
      </c>
      <c r="I772" s="20">
        <v>390.26</v>
      </c>
      <c r="J772" s="22">
        <v>386.55</v>
      </c>
      <c r="K772" s="2">
        <f t="shared" si="73"/>
        <v>86251.521792981235</v>
      </c>
      <c r="L772" s="2">
        <f>IF(B772&lt;&gt;B771,L771*(1+Dashboard!$G$5)+Dashboard!$G$6, L771)</f>
        <v>87020.516604444885</v>
      </c>
      <c r="M772">
        <f t="shared" si="71"/>
        <v>0</v>
      </c>
      <c r="N772">
        <f t="shared" ref="N772:N835" si="74">N771+M771/F771</f>
        <v>221.61233759758798</v>
      </c>
      <c r="O772">
        <f>IF(B772&lt;&gt;B771, Dashboard!$L$6,0)</f>
        <v>0</v>
      </c>
      <c r="P772">
        <f t="shared" ref="P772:P835" si="75">P771+O772/F772</f>
        <v>183.17629599565973</v>
      </c>
      <c r="Q772">
        <f>IF(B772&lt;&gt;B771,IF(F772&lt;=AVERAGE(F750:F771),Dashboard!$N$6-Dashboard!$G$7,Dashboard!$N$6+Dashboard!$G$7),0)</f>
        <v>0</v>
      </c>
      <c r="R772">
        <f t="shared" ref="R772:R835" si="76">R771+Q772/H772</f>
        <v>180.30231392923815</v>
      </c>
    </row>
    <row r="773" spans="1:18" x14ac:dyDescent="0.3">
      <c r="A773" t="s">
        <v>290</v>
      </c>
      <c r="B773">
        <v>10</v>
      </c>
      <c r="C773" s="19">
        <v>25</v>
      </c>
      <c r="D773" s="20">
        <v>2023</v>
      </c>
      <c r="E773" s="21">
        <f t="shared" si="72"/>
        <v>45224</v>
      </c>
      <c r="F773" s="20">
        <v>383.71</v>
      </c>
      <c r="G773" s="20">
        <v>5471214</v>
      </c>
      <c r="H773" s="20">
        <v>387.6</v>
      </c>
      <c r="I773" s="20">
        <v>387.68</v>
      </c>
      <c r="J773" s="22">
        <v>383.12</v>
      </c>
      <c r="K773" s="2">
        <f t="shared" si="73"/>
        <v>85034.870059570487</v>
      </c>
      <c r="L773" s="2">
        <f>IF(B773&lt;&gt;B772,L772*(1+Dashboard!$G$5)+Dashboard!$G$6, L772)</f>
        <v>87020.516604444885</v>
      </c>
      <c r="M773">
        <f t="shared" si="71"/>
        <v>0</v>
      </c>
      <c r="N773">
        <f t="shared" si="74"/>
        <v>221.61233759758798</v>
      </c>
      <c r="O773">
        <f>IF(B773&lt;&gt;B772, Dashboard!$L$6,0)</f>
        <v>0</v>
      </c>
      <c r="P773">
        <f t="shared" si="75"/>
        <v>183.17629599565973</v>
      </c>
      <c r="Q773">
        <f>IF(B773&lt;&gt;B772,IF(F773&lt;=AVERAGE(F751:F772),Dashboard!$N$6-Dashboard!$G$7,Dashboard!$N$6+Dashboard!$G$7),0)</f>
        <v>0</v>
      </c>
      <c r="R773">
        <f t="shared" si="76"/>
        <v>180.30231392923815</v>
      </c>
    </row>
    <row r="774" spans="1:18" x14ac:dyDescent="0.3">
      <c r="A774" t="s">
        <v>289</v>
      </c>
      <c r="B774">
        <v>10</v>
      </c>
      <c r="C774" s="19">
        <v>26</v>
      </c>
      <c r="D774" s="20">
        <v>2023</v>
      </c>
      <c r="E774" s="21">
        <f t="shared" si="72"/>
        <v>45225</v>
      </c>
      <c r="F774" s="20">
        <v>379</v>
      </c>
      <c r="G774" s="20">
        <v>6959401</v>
      </c>
      <c r="H774" s="20">
        <v>382.63</v>
      </c>
      <c r="I774" s="20">
        <v>383.39710000000002</v>
      </c>
      <c r="J774" s="22">
        <v>378.15</v>
      </c>
      <c r="K774" s="2">
        <f t="shared" si="73"/>
        <v>83991.07594948585</v>
      </c>
      <c r="L774" s="2">
        <f>IF(B774&lt;&gt;B773,L773*(1+Dashboard!$G$5)+Dashboard!$G$6, L773)</f>
        <v>87020.516604444885</v>
      </c>
      <c r="M774">
        <f t="shared" si="71"/>
        <v>0</v>
      </c>
      <c r="N774">
        <f t="shared" si="74"/>
        <v>221.61233759758798</v>
      </c>
      <c r="O774">
        <f>IF(B774&lt;&gt;B773, Dashboard!$L$6,0)</f>
        <v>0</v>
      </c>
      <c r="P774">
        <f t="shared" si="75"/>
        <v>183.17629599565973</v>
      </c>
      <c r="Q774">
        <f>IF(B774&lt;&gt;B773,IF(F774&lt;=AVERAGE(F752:F773),Dashboard!$N$6-Dashboard!$G$7,Dashboard!$N$6+Dashboard!$G$7),0)</f>
        <v>0</v>
      </c>
      <c r="R774">
        <f t="shared" si="76"/>
        <v>180.30231392923815</v>
      </c>
    </row>
    <row r="775" spans="1:18" x14ac:dyDescent="0.3">
      <c r="A775" t="s">
        <v>288</v>
      </c>
      <c r="B775">
        <v>10</v>
      </c>
      <c r="C775" s="19">
        <v>27</v>
      </c>
      <c r="D775" s="20">
        <v>2023</v>
      </c>
      <c r="E775" s="21">
        <f t="shared" si="72"/>
        <v>45226</v>
      </c>
      <c r="F775" s="20">
        <v>377.32</v>
      </c>
      <c r="G775" s="20">
        <v>5638752</v>
      </c>
      <c r="H775" s="20">
        <v>380.53</v>
      </c>
      <c r="I775" s="20">
        <v>380.89</v>
      </c>
      <c r="J775" s="22">
        <v>375.94499999999999</v>
      </c>
      <c r="K775" s="2">
        <f t="shared" si="73"/>
        <v>83618.767222321898</v>
      </c>
      <c r="L775" s="2">
        <f>IF(B775&lt;&gt;B774,L774*(1+Dashboard!$G$5)+Dashboard!$G$6, L774)</f>
        <v>87020.516604444885</v>
      </c>
      <c r="M775">
        <f t="shared" si="71"/>
        <v>0</v>
      </c>
      <c r="N775">
        <f t="shared" si="74"/>
        <v>221.61233759758798</v>
      </c>
      <c r="O775">
        <f>IF(B775&lt;&gt;B774, Dashboard!$L$6,0)</f>
        <v>0</v>
      </c>
      <c r="P775">
        <f t="shared" si="75"/>
        <v>183.17629599565973</v>
      </c>
      <c r="Q775">
        <f>IF(B775&lt;&gt;B774,IF(F775&lt;=AVERAGE(F753:F774),Dashboard!$N$6-Dashboard!$G$7,Dashboard!$N$6+Dashboard!$G$7),0)</f>
        <v>0</v>
      </c>
      <c r="R775">
        <f t="shared" si="76"/>
        <v>180.30231392923815</v>
      </c>
    </row>
    <row r="776" spans="1:18" x14ac:dyDescent="0.3">
      <c r="A776" t="s">
        <v>287</v>
      </c>
      <c r="B776">
        <v>10</v>
      </c>
      <c r="C776" s="19">
        <v>30</v>
      </c>
      <c r="D776" s="20">
        <v>2023</v>
      </c>
      <c r="E776" s="21">
        <f t="shared" si="72"/>
        <v>45229</v>
      </c>
      <c r="F776" s="20">
        <v>381.86</v>
      </c>
      <c r="G776" s="20">
        <v>5795761</v>
      </c>
      <c r="H776" s="20">
        <v>379.91</v>
      </c>
      <c r="I776" s="20">
        <v>382.8</v>
      </c>
      <c r="J776" s="22">
        <v>378.71</v>
      </c>
      <c r="K776" s="2">
        <f t="shared" si="73"/>
        <v>84624.887235014947</v>
      </c>
      <c r="L776" s="2">
        <f>IF(B776&lt;&gt;B775,L775*(1+Dashboard!$G$5)+Dashboard!$G$6, L775)</f>
        <v>87020.516604444885</v>
      </c>
      <c r="M776">
        <f t="shared" si="71"/>
        <v>0</v>
      </c>
      <c r="N776">
        <f t="shared" si="74"/>
        <v>221.61233759758798</v>
      </c>
      <c r="O776">
        <f>IF(B776&lt;&gt;B775, Dashboard!$L$6,0)</f>
        <v>0</v>
      </c>
      <c r="P776">
        <f t="shared" si="75"/>
        <v>183.17629599565973</v>
      </c>
      <c r="Q776">
        <f>IF(B776&lt;&gt;B775,IF(F776&lt;=AVERAGE(F754:F775),Dashboard!$N$6-Dashboard!$G$7,Dashboard!$N$6+Dashboard!$G$7),0)</f>
        <v>0</v>
      </c>
      <c r="R776">
        <f t="shared" si="76"/>
        <v>180.30231392923815</v>
      </c>
    </row>
    <row r="777" spans="1:18" x14ac:dyDescent="0.3">
      <c r="A777" t="s">
        <v>286</v>
      </c>
      <c r="B777">
        <v>10</v>
      </c>
      <c r="C777" s="19">
        <v>31</v>
      </c>
      <c r="D777" s="20">
        <v>2023</v>
      </c>
      <c r="E777" s="21">
        <f t="shared" si="72"/>
        <v>45230</v>
      </c>
      <c r="F777" s="20">
        <v>384.17</v>
      </c>
      <c r="G777" s="20">
        <v>4523160</v>
      </c>
      <c r="H777" s="20">
        <v>382.35</v>
      </c>
      <c r="I777" s="20">
        <v>384.48</v>
      </c>
      <c r="J777" s="22">
        <v>380.56</v>
      </c>
      <c r="K777" s="2">
        <f t="shared" si="73"/>
        <v>85136.811734865376</v>
      </c>
      <c r="L777" s="2">
        <f>IF(B777&lt;&gt;B776,L776*(1+Dashboard!$G$5)+Dashboard!$G$6, L776)</f>
        <v>87020.516604444885</v>
      </c>
      <c r="M777">
        <f t="shared" si="71"/>
        <v>0</v>
      </c>
      <c r="N777">
        <f t="shared" si="74"/>
        <v>221.61233759758798</v>
      </c>
      <c r="O777">
        <f>IF(B777&lt;&gt;B776, Dashboard!$L$6,0)</f>
        <v>0</v>
      </c>
      <c r="P777">
        <f t="shared" si="75"/>
        <v>183.17629599565973</v>
      </c>
      <c r="Q777">
        <f>IF(B777&lt;&gt;B776,IF(F777&lt;=AVERAGE(F755:F776),Dashboard!$N$6-Dashboard!$G$7,Dashboard!$N$6+Dashboard!$G$7),0)</f>
        <v>0</v>
      </c>
      <c r="R777">
        <f t="shared" si="76"/>
        <v>180.30231392923815</v>
      </c>
    </row>
    <row r="778" spans="1:18" x14ac:dyDescent="0.3">
      <c r="A778" s="1">
        <v>44937</v>
      </c>
      <c r="B778">
        <v>11</v>
      </c>
      <c r="C778" s="19">
        <v>1</v>
      </c>
      <c r="D778" s="20">
        <v>2023</v>
      </c>
      <c r="E778" s="21">
        <f t="shared" si="72"/>
        <v>45231</v>
      </c>
      <c r="F778" s="20">
        <v>388.4</v>
      </c>
      <c r="G778" s="20">
        <v>5549159</v>
      </c>
      <c r="H778" s="20">
        <v>385.09</v>
      </c>
      <c r="I778" s="20">
        <v>389.08</v>
      </c>
      <c r="J778" s="22">
        <v>384.62</v>
      </c>
      <c r="K778" s="2">
        <f t="shared" si="73"/>
        <v>86074.231922903171</v>
      </c>
      <c r="L778" s="2">
        <f>IF(B778&lt;&gt;B777,L777*(1+Dashboard!$G$5)+Dashboard!$G$6, L777)</f>
        <v>89786.297150563987</v>
      </c>
      <c r="M778">
        <f t="shared" si="71"/>
        <v>3712.0652276608162</v>
      </c>
      <c r="N778">
        <f t="shared" si="74"/>
        <v>221.61233759758798</v>
      </c>
      <c r="O778">
        <f>IF(B778&lt;&gt;B777, Dashboard!$L$6,0)</f>
        <v>1859.7282542371197</v>
      </c>
      <c r="P778">
        <f t="shared" si="75"/>
        <v>187.96447378720742</v>
      </c>
      <c r="Q778">
        <f>IF(B778&lt;&gt;B777,IF(F778&lt;=AVERAGE(F756:F777),Dashboard!$N$6-Dashboard!$G$7,Dashboard!$N$6+Dashboard!$G$7),0)</f>
        <v>1232.609610169322</v>
      </c>
      <c r="R778">
        <f t="shared" si="76"/>
        <v>183.50314908509606</v>
      </c>
    </row>
    <row r="779" spans="1:18" x14ac:dyDescent="0.3">
      <c r="A779" s="1">
        <v>44968</v>
      </c>
      <c r="B779">
        <v>11</v>
      </c>
      <c r="C779" s="19">
        <v>2</v>
      </c>
      <c r="D779" s="20">
        <v>2023</v>
      </c>
      <c r="E779" s="21">
        <f t="shared" si="72"/>
        <v>45232</v>
      </c>
      <c r="F779" s="20">
        <v>395.78</v>
      </c>
      <c r="G779" s="20">
        <v>4752164</v>
      </c>
      <c r="H779" s="20">
        <v>391.93</v>
      </c>
      <c r="I779" s="20">
        <v>395.90960000000001</v>
      </c>
      <c r="J779" s="22">
        <v>391.92</v>
      </c>
      <c r="K779" s="2">
        <f t="shared" si="73"/>
        <v>91492.329264289947</v>
      </c>
      <c r="L779" s="2">
        <f>IF(B779&lt;&gt;B778,L778*(1+Dashboard!$G$5)+Dashboard!$G$6, L778)</f>
        <v>89786.297150563987</v>
      </c>
      <c r="M779">
        <f t="shared" si="71"/>
        <v>0</v>
      </c>
      <c r="N779">
        <f t="shared" si="74"/>
        <v>231.16966310649843</v>
      </c>
      <c r="O779">
        <f>IF(B779&lt;&gt;B778, Dashboard!$L$6,0)</f>
        <v>0</v>
      </c>
      <c r="P779">
        <f t="shared" si="75"/>
        <v>187.96447378720742</v>
      </c>
      <c r="Q779">
        <f>IF(B779&lt;&gt;B778,IF(F779&lt;=AVERAGE(F757:F778),Dashboard!$N$6-Dashboard!$G$7,Dashboard!$N$6+Dashboard!$G$7),0)</f>
        <v>0</v>
      </c>
      <c r="R779">
        <f t="shared" si="76"/>
        <v>183.50314908509606</v>
      </c>
    </row>
    <row r="780" spans="1:18" x14ac:dyDescent="0.3">
      <c r="A780" s="1">
        <v>44996</v>
      </c>
      <c r="B780">
        <v>11</v>
      </c>
      <c r="C780" s="19">
        <v>3</v>
      </c>
      <c r="D780" s="20">
        <v>2023</v>
      </c>
      <c r="E780" s="21">
        <f t="shared" si="72"/>
        <v>45233</v>
      </c>
      <c r="F780" s="20">
        <v>399.44</v>
      </c>
      <c r="G780" s="20">
        <v>5981435</v>
      </c>
      <c r="H780" s="20">
        <v>397.92</v>
      </c>
      <c r="I780" s="20">
        <v>400.85</v>
      </c>
      <c r="J780" s="22">
        <v>397.84</v>
      </c>
      <c r="K780" s="2">
        <f t="shared" si="73"/>
        <v>92338.410231259739</v>
      </c>
      <c r="L780" s="2">
        <f>IF(B780&lt;&gt;B779,L779*(1+Dashboard!$G$5)+Dashboard!$G$6, L779)</f>
        <v>89786.297150563987</v>
      </c>
      <c r="M780">
        <f t="shared" si="71"/>
        <v>0</v>
      </c>
      <c r="N780">
        <f t="shared" si="74"/>
        <v>231.16966310649843</v>
      </c>
      <c r="O780">
        <f>IF(B780&lt;&gt;B779, Dashboard!$L$6,0)</f>
        <v>0</v>
      </c>
      <c r="P780">
        <f t="shared" si="75"/>
        <v>187.96447378720742</v>
      </c>
      <c r="Q780">
        <f>IF(B780&lt;&gt;B779,IF(F780&lt;=AVERAGE(F758:F779),Dashboard!$N$6-Dashboard!$G$7,Dashboard!$N$6+Dashboard!$G$7),0)</f>
        <v>0</v>
      </c>
      <c r="R780">
        <f t="shared" si="76"/>
        <v>183.50314908509606</v>
      </c>
    </row>
    <row r="781" spans="1:18" x14ac:dyDescent="0.3">
      <c r="A781" s="1">
        <v>45088</v>
      </c>
      <c r="B781">
        <v>11</v>
      </c>
      <c r="C781" s="19">
        <v>6</v>
      </c>
      <c r="D781" s="20">
        <v>2023</v>
      </c>
      <c r="E781" s="21">
        <f t="shared" si="72"/>
        <v>45236</v>
      </c>
      <c r="F781" s="20">
        <v>400.21</v>
      </c>
      <c r="G781" s="20">
        <v>4007105</v>
      </c>
      <c r="H781" s="20">
        <v>400.12</v>
      </c>
      <c r="I781" s="20">
        <v>400.733</v>
      </c>
      <c r="J781" s="22">
        <v>398.46</v>
      </c>
      <c r="K781" s="2">
        <f t="shared" si="73"/>
        <v>92516.410871851738</v>
      </c>
      <c r="L781" s="2">
        <f>IF(B781&lt;&gt;B780,L780*(1+Dashboard!$G$5)+Dashboard!$G$6, L780)</f>
        <v>89786.297150563987</v>
      </c>
      <c r="M781">
        <f t="shared" si="71"/>
        <v>0</v>
      </c>
      <c r="N781">
        <f t="shared" si="74"/>
        <v>231.16966310649843</v>
      </c>
      <c r="O781">
        <f>IF(B781&lt;&gt;B780, Dashboard!$L$6,0)</f>
        <v>0</v>
      </c>
      <c r="P781">
        <f t="shared" si="75"/>
        <v>187.96447378720742</v>
      </c>
      <c r="Q781">
        <f>IF(B781&lt;&gt;B780,IF(F781&lt;=AVERAGE(F759:F780),Dashboard!$N$6-Dashboard!$G$7,Dashboard!$N$6+Dashboard!$G$7),0)</f>
        <v>0</v>
      </c>
      <c r="R781">
        <f t="shared" si="76"/>
        <v>183.50314908509606</v>
      </c>
    </row>
    <row r="782" spans="1:18" x14ac:dyDescent="0.3">
      <c r="A782" s="1">
        <v>45118</v>
      </c>
      <c r="B782">
        <v>11</v>
      </c>
      <c r="C782" s="19">
        <v>7</v>
      </c>
      <c r="D782" s="20">
        <v>2023</v>
      </c>
      <c r="E782" s="21">
        <f t="shared" si="72"/>
        <v>45237</v>
      </c>
      <c r="F782" s="20">
        <v>401.34</v>
      </c>
      <c r="G782" s="20">
        <v>3358578</v>
      </c>
      <c r="H782" s="20">
        <v>400.26</v>
      </c>
      <c r="I782" s="20">
        <v>402.04</v>
      </c>
      <c r="J782" s="22">
        <v>399.23</v>
      </c>
      <c r="K782" s="2">
        <f t="shared" si="73"/>
        <v>92777.632591162081</v>
      </c>
      <c r="L782" s="2">
        <f>IF(B782&lt;&gt;B781,L781*(1+Dashboard!$G$5)+Dashboard!$G$6, L781)</f>
        <v>89786.297150563987</v>
      </c>
      <c r="M782">
        <f t="shared" si="71"/>
        <v>0</v>
      </c>
      <c r="N782">
        <f t="shared" si="74"/>
        <v>231.16966310649843</v>
      </c>
      <c r="O782">
        <f>IF(B782&lt;&gt;B781, Dashboard!$L$6,0)</f>
        <v>0</v>
      </c>
      <c r="P782">
        <f t="shared" si="75"/>
        <v>187.96447378720742</v>
      </c>
      <c r="Q782">
        <f>IF(B782&lt;&gt;B781,IF(F782&lt;=AVERAGE(F760:F781),Dashboard!$N$6-Dashboard!$G$7,Dashboard!$N$6+Dashboard!$G$7),0)</f>
        <v>0</v>
      </c>
      <c r="R782">
        <f t="shared" si="76"/>
        <v>183.50314908509606</v>
      </c>
    </row>
    <row r="783" spans="1:18" x14ac:dyDescent="0.3">
      <c r="A783" s="1">
        <v>45149</v>
      </c>
      <c r="B783">
        <v>11</v>
      </c>
      <c r="C783" s="19">
        <v>8</v>
      </c>
      <c r="D783" s="20">
        <v>2023</v>
      </c>
      <c r="E783" s="21">
        <f t="shared" si="72"/>
        <v>45238</v>
      </c>
      <c r="F783" s="20">
        <v>401.67</v>
      </c>
      <c r="G783" s="20">
        <v>3731858</v>
      </c>
      <c r="H783" s="20">
        <v>401.99</v>
      </c>
      <c r="I783" s="20">
        <v>402.50259999999997</v>
      </c>
      <c r="J783" s="22">
        <v>399.56</v>
      </c>
      <c r="K783" s="2">
        <f t="shared" si="73"/>
        <v>92853.918579987236</v>
      </c>
      <c r="L783" s="2">
        <f>IF(B783&lt;&gt;B782,L782*(1+Dashboard!$G$5)+Dashboard!$G$6, L782)</f>
        <v>89786.297150563987</v>
      </c>
      <c r="M783">
        <f t="shared" si="71"/>
        <v>0</v>
      </c>
      <c r="N783">
        <f t="shared" si="74"/>
        <v>231.16966310649843</v>
      </c>
      <c r="O783">
        <f>IF(B783&lt;&gt;B782, Dashboard!$L$6,0)</f>
        <v>0</v>
      </c>
      <c r="P783">
        <f t="shared" si="75"/>
        <v>187.96447378720742</v>
      </c>
      <c r="Q783">
        <f>IF(B783&lt;&gt;B782,IF(F783&lt;=AVERAGE(F761:F782),Dashboard!$N$6-Dashboard!$G$7,Dashboard!$N$6+Dashboard!$G$7),0)</f>
        <v>0</v>
      </c>
      <c r="R783">
        <f t="shared" si="76"/>
        <v>183.50314908509606</v>
      </c>
    </row>
    <row r="784" spans="1:18" x14ac:dyDescent="0.3">
      <c r="A784" s="1">
        <v>45180</v>
      </c>
      <c r="B784">
        <v>11</v>
      </c>
      <c r="C784" s="19">
        <v>9</v>
      </c>
      <c r="D784" s="20">
        <v>2023</v>
      </c>
      <c r="E784" s="21">
        <f t="shared" si="72"/>
        <v>45239</v>
      </c>
      <c r="F784" s="20">
        <v>398.64</v>
      </c>
      <c r="G784" s="20">
        <v>4145615</v>
      </c>
      <c r="H784" s="20">
        <v>402.81</v>
      </c>
      <c r="I784" s="20">
        <v>402.88</v>
      </c>
      <c r="J784" s="22">
        <v>398.21</v>
      </c>
      <c r="K784" s="2">
        <f t="shared" si="73"/>
        <v>92153.474500774537</v>
      </c>
      <c r="L784" s="2">
        <f>IF(B784&lt;&gt;B783,L783*(1+Dashboard!$G$5)+Dashboard!$G$6, L783)</f>
        <v>89786.297150563987</v>
      </c>
      <c r="M784">
        <f t="shared" si="71"/>
        <v>0</v>
      </c>
      <c r="N784">
        <f t="shared" si="74"/>
        <v>231.16966310649843</v>
      </c>
      <c r="O784">
        <f>IF(B784&lt;&gt;B783, Dashboard!$L$6,0)</f>
        <v>0</v>
      </c>
      <c r="P784">
        <f t="shared" si="75"/>
        <v>187.96447378720742</v>
      </c>
      <c r="Q784">
        <f>IF(B784&lt;&gt;B783,IF(F784&lt;=AVERAGE(F762:F783),Dashboard!$N$6-Dashboard!$G$7,Dashboard!$N$6+Dashboard!$G$7),0)</f>
        <v>0</v>
      </c>
      <c r="R784">
        <f t="shared" si="76"/>
        <v>183.50314908509606</v>
      </c>
    </row>
    <row r="785" spans="1:18" x14ac:dyDescent="0.3">
      <c r="A785" s="1">
        <v>45210</v>
      </c>
      <c r="B785">
        <v>11</v>
      </c>
      <c r="C785" s="19">
        <v>10</v>
      </c>
      <c r="D785" s="20">
        <v>2023</v>
      </c>
      <c r="E785" s="21">
        <f t="shared" si="72"/>
        <v>45240</v>
      </c>
      <c r="F785" s="20">
        <v>404.86</v>
      </c>
      <c r="G785" s="20">
        <v>3994439</v>
      </c>
      <c r="H785" s="20">
        <v>400.59</v>
      </c>
      <c r="I785" s="20">
        <v>405.10899999999998</v>
      </c>
      <c r="J785" s="22">
        <v>399.14</v>
      </c>
      <c r="K785" s="2">
        <f t="shared" si="73"/>
        <v>93591.349805296952</v>
      </c>
      <c r="L785" s="2">
        <f>IF(B785&lt;&gt;B784,L784*(1+Dashboard!$G$5)+Dashboard!$G$6, L784)</f>
        <v>89786.297150563987</v>
      </c>
      <c r="M785">
        <f t="shared" si="71"/>
        <v>0</v>
      </c>
      <c r="N785">
        <f t="shared" si="74"/>
        <v>231.16966310649843</v>
      </c>
      <c r="O785">
        <f>IF(B785&lt;&gt;B784, Dashboard!$L$6,0)</f>
        <v>0</v>
      </c>
      <c r="P785">
        <f t="shared" si="75"/>
        <v>187.96447378720742</v>
      </c>
      <c r="Q785">
        <f>IF(B785&lt;&gt;B784,IF(F785&lt;=AVERAGE(F763:F784),Dashboard!$N$6-Dashboard!$G$7,Dashboard!$N$6+Dashboard!$G$7),0)</f>
        <v>0</v>
      </c>
      <c r="R785">
        <f t="shared" si="76"/>
        <v>183.50314908509606</v>
      </c>
    </row>
    <row r="786" spans="1:18" x14ac:dyDescent="0.3">
      <c r="A786" t="s">
        <v>285</v>
      </c>
      <c r="B786">
        <v>11</v>
      </c>
      <c r="C786" s="19">
        <v>13</v>
      </c>
      <c r="D786" s="20">
        <v>2023</v>
      </c>
      <c r="E786" s="21">
        <f t="shared" si="72"/>
        <v>45243</v>
      </c>
      <c r="F786" s="20">
        <v>404.45</v>
      </c>
      <c r="G786" s="20">
        <v>2872941</v>
      </c>
      <c r="H786" s="20">
        <v>403.59</v>
      </c>
      <c r="I786" s="20">
        <v>405.49</v>
      </c>
      <c r="J786" s="22">
        <v>402.82</v>
      </c>
      <c r="K786" s="2">
        <f t="shared" si="73"/>
        <v>93496.570243423295</v>
      </c>
      <c r="L786" s="2">
        <f>IF(B786&lt;&gt;B785,L785*(1+Dashboard!$G$5)+Dashboard!$G$6, L785)</f>
        <v>89786.297150563987</v>
      </c>
      <c r="M786">
        <f t="shared" si="71"/>
        <v>0</v>
      </c>
      <c r="N786">
        <f t="shared" si="74"/>
        <v>231.16966310649843</v>
      </c>
      <c r="O786">
        <f>IF(B786&lt;&gt;B785, Dashboard!$L$6,0)</f>
        <v>0</v>
      </c>
      <c r="P786">
        <f t="shared" si="75"/>
        <v>187.96447378720742</v>
      </c>
      <c r="Q786">
        <f>IF(B786&lt;&gt;B785,IF(F786&lt;=AVERAGE(F764:F785),Dashboard!$N$6-Dashboard!$G$7,Dashboard!$N$6+Dashboard!$G$7),0)</f>
        <v>0</v>
      </c>
      <c r="R786">
        <f t="shared" si="76"/>
        <v>183.50314908509606</v>
      </c>
    </row>
    <row r="787" spans="1:18" x14ac:dyDescent="0.3">
      <c r="A787" t="s">
        <v>284</v>
      </c>
      <c r="B787">
        <v>11</v>
      </c>
      <c r="C787" s="19">
        <v>14</v>
      </c>
      <c r="D787" s="20">
        <v>2023</v>
      </c>
      <c r="E787" s="21">
        <f t="shared" si="72"/>
        <v>45244</v>
      </c>
      <c r="F787" s="20">
        <v>412.22</v>
      </c>
      <c r="G787" s="20">
        <v>6973115</v>
      </c>
      <c r="H787" s="20">
        <v>410.04</v>
      </c>
      <c r="I787" s="20">
        <v>413.51</v>
      </c>
      <c r="J787" s="22">
        <v>409.88560000000001</v>
      </c>
      <c r="K787" s="2">
        <f t="shared" si="73"/>
        <v>95292.758525760786</v>
      </c>
      <c r="L787" s="2">
        <f>IF(B787&lt;&gt;B786,L786*(1+Dashboard!$G$5)+Dashboard!$G$6, L786)</f>
        <v>89786.297150563987</v>
      </c>
      <c r="M787">
        <f t="shared" si="71"/>
        <v>0</v>
      </c>
      <c r="N787">
        <f t="shared" si="74"/>
        <v>231.16966310649843</v>
      </c>
      <c r="O787">
        <f>IF(B787&lt;&gt;B786, Dashboard!$L$6,0)</f>
        <v>0</v>
      </c>
      <c r="P787">
        <f t="shared" si="75"/>
        <v>187.96447378720742</v>
      </c>
      <c r="Q787">
        <f>IF(B787&lt;&gt;B786,IF(F787&lt;=AVERAGE(F765:F786),Dashboard!$N$6-Dashboard!$G$7,Dashboard!$N$6+Dashboard!$G$7),0)</f>
        <v>0</v>
      </c>
      <c r="R787">
        <f t="shared" si="76"/>
        <v>183.50314908509606</v>
      </c>
    </row>
    <row r="788" spans="1:18" x14ac:dyDescent="0.3">
      <c r="A788" t="s">
        <v>283</v>
      </c>
      <c r="B788">
        <v>11</v>
      </c>
      <c r="C788" s="19">
        <v>15</v>
      </c>
      <c r="D788" s="20">
        <v>2023</v>
      </c>
      <c r="E788" s="21">
        <f t="shared" si="72"/>
        <v>45245</v>
      </c>
      <c r="F788" s="20">
        <v>413.12</v>
      </c>
      <c r="G788" s="20">
        <v>4414807</v>
      </c>
      <c r="H788" s="20">
        <v>413.54</v>
      </c>
      <c r="I788" s="20">
        <v>414.72</v>
      </c>
      <c r="J788" s="22">
        <v>412.37</v>
      </c>
      <c r="K788" s="2">
        <f t="shared" si="73"/>
        <v>95500.811222556629</v>
      </c>
      <c r="L788" s="2">
        <f>IF(B788&lt;&gt;B787,L787*(1+Dashboard!$G$5)+Dashboard!$G$6, L787)</f>
        <v>89786.297150563987</v>
      </c>
      <c r="M788">
        <f t="shared" si="71"/>
        <v>0</v>
      </c>
      <c r="N788">
        <f t="shared" si="74"/>
        <v>231.16966310649843</v>
      </c>
      <c r="O788">
        <f>IF(B788&lt;&gt;B787, Dashboard!$L$6,0)</f>
        <v>0</v>
      </c>
      <c r="P788">
        <f t="shared" si="75"/>
        <v>187.96447378720742</v>
      </c>
      <c r="Q788">
        <f>IF(B788&lt;&gt;B787,IF(F788&lt;=AVERAGE(F766:F787),Dashboard!$N$6-Dashboard!$G$7,Dashboard!$N$6+Dashboard!$G$7),0)</f>
        <v>0</v>
      </c>
      <c r="R788">
        <f t="shared" si="76"/>
        <v>183.50314908509606</v>
      </c>
    </row>
    <row r="789" spans="1:18" x14ac:dyDescent="0.3">
      <c r="A789" t="s">
        <v>282</v>
      </c>
      <c r="B789">
        <v>11</v>
      </c>
      <c r="C789" s="19">
        <v>16</v>
      </c>
      <c r="D789" s="20">
        <v>2023</v>
      </c>
      <c r="E789" s="21">
        <f t="shared" si="72"/>
        <v>45246</v>
      </c>
      <c r="F789" s="20">
        <v>413.7</v>
      </c>
      <c r="G789" s="20">
        <v>3798889</v>
      </c>
      <c r="H789" s="20">
        <v>412.74</v>
      </c>
      <c r="I789" s="20">
        <v>413.95</v>
      </c>
      <c r="J789" s="22">
        <v>411.75</v>
      </c>
      <c r="K789" s="2">
        <f t="shared" si="73"/>
        <v>95634.889627158394</v>
      </c>
      <c r="L789" s="2">
        <f>IF(B789&lt;&gt;B788,L788*(1+Dashboard!$G$5)+Dashboard!$G$6, L788)</f>
        <v>89786.297150563987</v>
      </c>
      <c r="M789">
        <f t="shared" si="71"/>
        <v>0</v>
      </c>
      <c r="N789">
        <f t="shared" si="74"/>
        <v>231.16966310649843</v>
      </c>
      <c r="O789">
        <f>IF(B789&lt;&gt;B788, Dashboard!$L$6,0)</f>
        <v>0</v>
      </c>
      <c r="P789">
        <f t="shared" si="75"/>
        <v>187.96447378720742</v>
      </c>
      <c r="Q789">
        <f>IF(B789&lt;&gt;B788,IF(F789&lt;=AVERAGE(F767:F788),Dashboard!$N$6-Dashboard!$G$7,Dashboard!$N$6+Dashboard!$G$7),0)</f>
        <v>0</v>
      </c>
      <c r="R789">
        <f t="shared" si="76"/>
        <v>183.50314908509606</v>
      </c>
    </row>
    <row r="790" spans="1:18" x14ac:dyDescent="0.3">
      <c r="A790" t="s">
        <v>281</v>
      </c>
      <c r="B790">
        <v>11</v>
      </c>
      <c r="C790" s="19">
        <v>17</v>
      </c>
      <c r="D790" s="20">
        <v>2023</v>
      </c>
      <c r="E790" s="21">
        <f t="shared" si="72"/>
        <v>45247</v>
      </c>
      <c r="F790" s="20">
        <v>414.31</v>
      </c>
      <c r="G790" s="20">
        <v>4700139</v>
      </c>
      <c r="H790" s="20">
        <v>413.94</v>
      </c>
      <c r="I790" s="20">
        <v>414.79</v>
      </c>
      <c r="J790" s="22">
        <v>412.87</v>
      </c>
      <c r="K790" s="2">
        <f t="shared" si="73"/>
        <v>95775.903121653362</v>
      </c>
      <c r="L790" s="2">
        <f>IF(B790&lt;&gt;B789,L789*(1+Dashboard!$G$5)+Dashboard!$G$6, L789)</f>
        <v>89786.297150563987</v>
      </c>
      <c r="M790">
        <f t="shared" si="71"/>
        <v>0</v>
      </c>
      <c r="N790">
        <f t="shared" si="74"/>
        <v>231.16966310649843</v>
      </c>
      <c r="O790">
        <f>IF(B790&lt;&gt;B789, Dashboard!$L$6,0)</f>
        <v>0</v>
      </c>
      <c r="P790">
        <f t="shared" si="75"/>
        <v>187.96447378720742</v>
      </c>
      <c r="Q790">
        <f>IF(B790&lt;&gt;B789,IF(F790&lt;=AVERAGE(F768:F789),Dashboard!$N$6-Dashboard!$G$7,Dashboard!$N$6+Dashboard!$G$7),0)</f>
        <v>0</v>
      </c>
      <c r="R790">
        <f t="shared" si="76"/>
        <v>183.50314908509606</v>
      </c>
    </row>
    <row r="791" spans="1:18" x14ac:dyDescent="0.3">
      <c r="A791" t="s">
        <v>280</v>
      </c>
      <c r="B791">
        <v>11</v>
      </c>
      <c r="C791" s="19">
        <v>20</v>
      </c>
      <c r="D791" s="20">
        <v>2023</v>
      </c>
      <c r="E791" s="21">
        <f t="shared" si="72"/>
        <v>45250</v>
      </c>
      <c r="F791" s="20">
        <v>417.43</v>
      </c>
      <c r="G791" s="20">
        <v>3524412</v>
      </c>
      <c r="H791" s="20">
        <v>413.99</v>
      </c>
      <c r="I791" s="20">
        <v>418.2</v>
      </c>
      <c r="J791" s="22">
        <v>413.97989999999999</v>
      </c>
      <c r="K791" s="2">
        <f t="shared" si="73"/>
        <v>96497.15247054564</v>
      </c>
      <c r="L791" s="2">
        <f>IF(B791&lt;&gt;B790,L790*(1+Dashboard!$G$5)+Dashboard!$G$6, L790)</f>
        <v>89786.297150563987</v>
      </c>
      <c r="M791">
        <f t="shared" si="71"/>
        <v>0</v>
      </c>
      <c r="N791">
        <f t="shared" si="74"/>
        <v>231.16966310649843</v>
      </c>
      <c r="O791">
        <f>IF(B791&lt;&gt;B790, Dashboard!$L$6,0)</f>
        <v>0</v>
      </c>
      <c r="P791">
        <f t="shared" si="75"/>
        <v>187.96447378720742</v>
      </c>
      <c r="Q791">
        <f>IF(B791&lt;&gt;B790,IF(F791&lt;=AVERAGE(F769:F790),Dashboard!$N$6-Dashboard!$G$7,Dashboard!$N$6+Dashboard!$G$7),0)</f>
        <v>0</v>
      </c>
      <c r="R791">
        <f t="shared" si="76"/>
        <v>183.50314908509606</v>
      </c>
    </row>
    <row r="792" spans="1:18" x14ac:dyDescent="0.3">
      <c r="A792" t="s">
        <v>279</v>
      </c>
      <c r="B792">
        <v>11</v>
      </c>
      <c r="C792" s="19">
        <v>21</v>
      </c>
      <c r="D792" s="20">
        <v>2023</v>
      </c>
      <c r="E792" s="21">
        <f t="shared" si="72"/>
        <v>45251</v>
      </c>
      <c r="F792" s="20">
        <v>416.34</v>
      </c>
      <c r="G792" s="20">
        <v>5248187</v>
      </c>
      <c r="H792" s="20">
        <v>416.4</v>
      </c>
      <c r="I792" s="20">
        <v>416.84</v>
      </c>
      <c r="J792" s="22">
        <v>415.3</v>
      </c>
      <c r="K792" s="2">
        <f t="shared" si="73"/>
        <v>96245.177537759548</v>
      </c>
      <c r="L792" s="2">
        <f>IF(B792&lt;&gt;B791,L791*(1+Dashboard!$G$5)+Dashboard!$G$6, L791)</f>
        <v>89786.297150563987</v>
      </c>
      <c r="M792">
        <f t="shared" si="71"/>
        <v>0</v>
      </c>
      <c r="N792">
        <f t="shared" si="74"/>
        <v>231.16966310649843</v>
      </c>
      <c r="O792">
        <f>IF(B792&lt;&gt;B791, Dashboard!$L$6,0)</f>
        <v>0</v>
      </c>
      <c r="P792">
        <f t="shared" si="75"/>
        <v>187.96447378720742</v>
      </c>
      <c r="Q792">
        <f>IF(B792&lt;&gt;B791,IF(F792&lt;=AVERAGE(F770:F791),Dashboard!$N$6-Dashboard!$G$7,Dashboard!$N$6+Dashboard!$G$7),0)</f>
        <v>0</v>
      </c>
      <c r="R792">
        <f t="shared" si="76"/>
        <v>183.50314908509606</v>
      </c>
    </row>
    <row r="793" spans="1:18" x14ac:dyDescent="0.3">
      <c r="A793" t="s">
        <v>278</v>
      </c>
      <c r="B793">
        <v>11</v>
      </c>
      <c r="C793" s="19">
        <v>22</v>
      </c>
      <c r="D793" s="20">
        <v>2023</v>
      </c>
      <c r="E793" s="21">
        <f t="shared" si="72"/>
        <v>45252</v>
      </c>
      <c r="F793" s="20">
        <v>418.14</v>
      </c>
      <c r="G793" s="20">
        <v>3694064</v>
      </c>
      <c r="H793" s="20">
        <v>418.07</v>
      </c>
      <c r="I793" s="20">
        <v>419.31</v>
      </c>
      <c r="J793" s="22">
        <v>417.06</v>
      </c>
      <c r="K793" s="2">
        <f t="shared" si="73"/>
        <v>96661.282931351248</v>
      </c>
      <c r="L793" s="2">
        <f>IF(B793&lt;&gt;B792,L792*(1+Dashboard!$G$5)+Dashboard!$G$6, L792)</f>
        <v>89786.297150563987</v>
      </c>
      <c r="M793">
        <f t="shared" ref="M793:M856" si="77">IF(B793&lt;&gt;B792,IF((L793-K793&gt;0),L793-K793,0),0)</f>
        <v>0</v>
      </c>
      <c r="N793">
        <f t="shared" si="74"/>
        <v>231.16966310649843</v>
      </c>
      <c r="O793">
        <f>IF(B793&lt;&gt;B792, Dashboard!$L$6,0)</f>
        <v>0</v>
      </c>
      <c r="P793">
        <f t="shared" si="75"/>
        <v>187.96447378720742</v>
      </c>
      <c r="Q793">
        <f>IF(B793&lt;&gt;B792,IF(F793&lt;=AVERAGE(F771:F792),Dashboard!$N$6-Dashboard!$G$7,Dashboard!$N$6+Dashboard!$G$7),0)</f>
        <v>0</v>
      </c>
      <c r="R793">
        <f t="shared" si="76"/>
        <v>183.50314908509606</v>
      </c>
    </row>
    <row r="794" spans="1:18" x14ac:dyDescent="0.3">
      <c r="A794" t="s">
        <v>277</v>
      </c>
      <c r="B794">
        <v>11</v>
      </c>
      <c r="C794" s="19">
        <v>24</v>
      </c>
      <c r="D794" s="20">
        <v>2023</v>
      </c>
      <c r="E794" s="21">
        <f t="shared" si="72"/>
        <v>45254</v>
      </c>
      <c r="F794" s="20">
        <v>418.37</v>
      </c>
      <c r="G794" s="20">
        <v>1351272</v>
      </c>
      <c r="H794" s="20">
        <v>418.19</v>
      </c>
      <c r="I794" s="20">
        <v>418.49</v>
      </c>
      <c r="J794" s="22">
        <v>417.84</v>
      </c>
      <c r="K794" s="2">
        <f t="shared" si="73"/>
        <v>96714.451953865748</v>
      </c>
      <c r="L794" s="2">
        <f>IF(B794&lt;&gt;B793,L793*(1+Dashboard!$G$5)+Dashboard!$G$6, L793)</f>
        <v>89786.297150563987</v>
      </c>
      <c r="M794">
        <f t="shared" si="77"/>
        <v>0</v>
      </c>
      <c r="N794">
        <f t="shared" si="74"/>
        <v>231.16966310649843</v>
      </c>
      <c r="O794">
        <f>IF(B794&lt;&gt;B793, Dashboard!$L$6,0)</f>
        <v>0</v>
      </c>
      <c r="P794">
        <f t="shared" si="75"/>
        <v>187.96447378720742</v>
      </c>
      <c r="Q794">
        <f>IF(B794&lt;&gt;B793,IF(F794&lt;=AVERAGE(F772:F793),Dashboard!$N$6-Dashboard!$G$7,Dashboard!$N$6+Dashboard!$G$7),0)</f>
        <v>0</v>
      </c>
      <c r="R794">
        <f t="shared" si="76"/>
        <v>183.50314908509606</v>
      </c>
    </row>
    <row r="795" spans="1:18" x14ac:dyDescent="0.3">
      <c r="A795" t="s">
        <v>276</v>
      </c>
      <c r="B795">
        <v>11</v>
      </c>
      <c r="C795" s="19">
        <v>27</v>
      </c>
      <c r="D795" s="20">
        <v>2023</v>
      </c>
      <c r="E795" s="21">
        <f t="shared" si="72"/>
        <v>45257</v>
      </c>
      <c r="F795" s="20">
        <v>417.64</v>
      </c>
      <c r="G795" s="20">
        <v>3632552</v>
      </c>
      <c r="H795" s="20">
        <v>417.79</v>
      </c>
      <c r="I795" s="20">
        <v>418.52730000000003</v>
      </c>
      <c r="J795" s="22">
        <v>417.23</v>
      </c>
      <c r="K795" s="2">
        <f t="shared" si="73"/>
        <v>96545.698099797999</v>
      </c>
      <c r="L795" s="2">
        <f>IF(B795&lt;&gt;B794,L794*(1+Dashboard!$G$5)+Dashboard!$G$6, L794)</f>
        <v>89786.297150563987</v>
      </c>
      <c r="M795">
        <f t="shared" si="77"/>
        <v>0</v>
      </c>
      <c r="N795">
        <f t="shared" si="74"/>
        <v>231.16966310649843</v>
      </c>
      <c r="O795">
        <f>IF(B795&lt;&gt;B794, Dashboard!$L$6,0)</f>
        <v>0</v>
      </c>
      <c r="P795">
        <f t="shared" si="75"/>
        <v>187.96447378720742</v>
      </c>
      <c r="Q795">
        <f>IF(B795&lt;&gt;B794,IF(F795&lt;=AVERAGE(F773:F794),Dashboard!$N$6-Dashboard!$G$7,Dashboard!$N$6+Dashboard!$G$7),0)</f>
        <v>0</v>
      </c>
      <c r="R795">
        <f t="shared" si="76"/>
        <v>183.50314908509606</v>
      </c>
    </row>
    <row r="796" spans="1:18" x14ac:dyDescent="0.3">
      <c r="A796" t="s">
        <v>275</v>
      </c>
      <c r="B796">
        <v>11</v>
      </c>
      <c r="C796" s="19">
        <v>28</v>
      </c>
      <c r="D796" s="20">
        <v>2023</v>
      </c>
      <c r="E796" s="21">
        <f t="shared" si="72"/>
        <v>45258</v>
      </c>
      <c r="F796" s="20">
        <v>418.05</v>
      </c>
      <c r="G796" s="20">
        <v>3382442</v>
      </c>
      <c r="H796" s="20">
        <v>417.25</v>
      </c>
      <c r="I796" s="20">
        <v>419.25</v>
      </c>
      <c r="J796" s="22">
        <v>416.71</v>
      </c>
      <c r="K796" s="2">
        <f t="shared" si="73"/>
        <v>96640.47766167167</v>
      </c>
      <c r="L796" s="2">
        <f>IF(B796&lt;&gt;B795,L795*(1+Dashboard!$G$5)+Dashboard!$G$6, L795)</f>
        <v>89786.297150563987</v>
      </c>
      <c r="M796">
        <f t="shared" si="77"/>
        <v>0</v>
      </c>
      <c r="N796">
        <f t="shared" si="74"/>
        <v>231.16966310649843</v>
      </c>
      <c r="O796">
        <f>IF(B796&lt;&gt;B795, Dashboard!$L$6,0)</f>
        <v>0</v>
      </c>
      <c r="P796">
        <f t="shared" si="75"/>
        <v>187.96447378720742</v>
      </c>
      <c r="Q796">
        <f>IF(B796&lt;&gt;B795,IF(F796&lt;=AVERAGE(F774:F795),Dashboard!$N$6-Dashboard!$G$7,Dashboard!$N$6+Dashboard!$G$7),0)</f>
        <v>0</v>
      </c>
      <c r="R796">
        <f t="shared" si="76"/>
        <v>183.50314908509606</v>
      </c>
    </row>
    <row r="797" spans="1:18" x14ac:dyDescent="0.3">
      <c r="A797" t="s">
        <v>274</v>
      </c>
      <c r="B797">
        <v>11</v>
      </c>
      <c r="C797" s="19">
        <v>29</v>
      </c>
      <c r="D797" s="20">
        <v>2023</v>
      </c>
      <c r="E797" s="21">
        <f t="shared" si="72"/>
        <v>45259</v>
      </c>
      <c r="F797" s="20">
        <v>417.78</v>
      </c>
      <c r="G797" s="20">
        <v>4092618</v>
      </c>
      <c r="H797" s="20">
        <v>420.05900000000003</v>
      </c>
      <c r="I797" s="20">
        <v>421.12</v>
      </c>
      <c r="J797" s="22">
        <v>417.36500000000001</v>
      </c>
      <c r="K797" s="2">
        <f t="shared" si="73"/>
        <v>96578.061852632905</v>
      </c>
      <c r="L797" s="2">
        <f>IF(B797&lt;&gt;B796,L796*(1+Dashboard!$G$5)+Dashboard!$G$6, L796)</f>
        <v>89786.297150563987</v>
      </c>
      <c r="M797">
        <f t="shared" si="77"/>
        <v>0</v>
      </c>
      <c r="N797">
        <f t="shared" si="74"/>
        <v>231.16966310649843</v>
      </c>
      <c r="O797">
        <f>IF(B797&lt;&gt;B796, Dashboard!$L$6,0)</f>
        <v>0</v>
      </c>
      <c r="P797">
        <f t="shared" si="75"/>
        <v>187.96447378720742</v>
      </c>
      <c r="Q797">
        <f>IF(B797&lt;&gt;B796,IF(F797&lt;=AVERAGE(F775:F796),Dashboard!$N$6-Dashboard!$G$7,Dashboard!$N$6+Dashboard!$G$7),0)</f>
        <v>0</v>
      </c>
      <c r="R797">
        <f t="shared" si="76"/>
        <v>183.50314908509606</v>
      </c>
    </row>
    <row r="798" spans="1:18" x14ac:dyDescent="0.3">
      <c r="A798" t="s">
        <v>273</v>
      </c>
      <c r="B798">
        <v>11</v>
      </c>
      <c r="C798" s="19">
        <v>30</v>
      </c>
      <c r="D798" s="20">
        <v>2023</v>
      </c>
      <c r="E798" s="21">
        <f t="shared" si="72"/>
        <v>45260</v>
      </c>
      <c r="F798" s="20">
        <v>419.4</v>
      </c>
      <c r="G798" s="20">
        <v>4405690</v>
      </c>
      <c r="H798" s="20">
        <v>418.54</v>
      </c>
      <c r="I798" s="20">
        <v>419.7</v>
      </c>
      <c r="J798" s="22">
        <v>416.57</v>
      </c>
      <c r="K798" s="2">
        <f t="shared" si="73"/>
        <v>96952.556706865435</v>
      </c>
      <c r="L798" s="2">
        <f>IF(B798&lt;&gt;B797,L797*(1+Dashboard!$G$5)+Dashboard!$G$6, L797)</f>
        <v>89786.297150563987</v>
      </c>
      <c r="M798">
        <f t="shared" si="77"/>
        <v>0</v>
      </c>
      <c r="N798">
        <f t="shared" si="74"/>
        <v>231.16966310649843</v>
      </c>
      <c r="O798">
        <f>IF(B798&lt;&gt;B797, Dashboard!$L$6,0)</f>
        <v>0</v>
      </c>
      <c r="P798">
        <f t="shared" si="75"/>
        <v>187.96447378720742</v>
      </c>
      <c r="Q798">
        <f>IF(B798&lt;&gt;B797,IF(F798&lt;=AVERAGE(F776:F797),Dashboard!$N$6-Dashboard!$G$7,Dashboard!$N$6+Dashboard!$G$7),0)</f>
        <v>0</v>
      </c>
      <c r="R798">
        <f t="shared" si="76"/>
        <v>183.50314908509606</v>
      </c>
    </row>
    <row r="799" spans="1:18" x14ac:dyDescent="0.3">
      <c r="A799" s="1">
        <v>44938</v>
      </c>
      <c r="B799">
        <v>12</v>
      </c>
      <c r="C799" s="19">
        <v>1</v>
      </c>
      <c r="D799" s="20">
        <v>2023</v>
      </c>
      <c r="E799" s="21">
        <f t="shared" si="72"/>
        <v>45261</v>
      </c>
      <c r="F799" s="20">
        <v>421.86</v>
      </c>
      <c r="G799" s="20">
        <v>4973625</v>
      </c>
      <c r="H799" s="20">
        <v>418.83</v>
      </c>
      <c r="I799" s="20">
        <v>422.37</v>
      </c>
      <c r="J799" s="22">
        <v>418.25</v>
      </c>
      <c r="K799" s="2">
        <f t="shared" si="73"/>
        <v>97521.234078107431</v>
      </c>
      <c r="L799" s="2">
        <f>IF(B799&lt;&gt;B798,L798*(1+Dashboard!$G$5)+Dashboard!$G$6, L798)</f>
        <v>92576.416565488937</v>
      </c>
      <c r="M799">
        <f t="shared" si="77"/>
        <v>0</v>
      </c>
      <c r="N799">
        <f t="shared" si="74"/>
        <v>231.16966310649843</v>
      </c>
      <c r="O799">
        <f>IF(B799&lt;&gt;B798, Dashboard!$L$6,0)</f>
        <v>1859.7282542371197</v>
      </c>
      <c r="P799">
        <f t="shared" si="75"/>
        <v>192.37287528115593</v>
      </c>
      <c r="Q799">
        <f>IF(B799&lt;&gt;B798,IF(F799&lt;=AVERAGE(F777:F798),Dashboard!$N$6-Dashboard!$G$7,Dashboard!$N$6+Dashboard!$G$7),0)</f>
        <v>2232.609610169322</v>
      </c>
      <c r="R799">
        <f t="shared" si="76"/>
        <v>188.83373574357162</v>
      </c>
    </row>
    <row r="800" spans="1:18" x14ac:dyDescent="0.3">
      <c r="A800" s="1">
        <v>45028</v>
      </c>
      <c r="B800">
        <v>12</v>
      </c>
      <c r="C800" s="19">
        <v>4</v>
      </c>
      <c r="D800" s="20">
        <v>2023</v>
      </c>
      <c r="E800" s="21">
        <f t="shared" si="72"/>
        <v>45264</v>
      </c>
      <c r="F800" s="20">
        <v>419.74</v>
      </c>
      <c r="G800" s="20">
        <v>5806079</v>
      </c>
      <c r="H800" s="20">
        <v>418.65</v>
      </c>
      <c r="I800" s="20">
        <v>419.87</v>
      </c>
      <c r="J800" s="22">
        <v>417.5</v>
      </c>
      <c r="K800" s="2">
        <f t="shared" si="73"/>
        <v>97031.154392321652</v>
      </c>
      <c r="L800" s="2">
        <f>IF(B800&lt;&gt;B799,L799*(1+Dashboard!$G$5)+Dashboard!$G$6, L799)</f>
        <v>92576.416565488937</v>
      </c>
      <c r="M800">
        <f t="shared" si="77"/>
        <v>0</v>
      </c>
      <c r="N800">
        <f t="shared" si="74"/>
        <v>231.16966310649843</v>
      </c>
      <c r="O800">
        <f>IF(B800&lt;&gt;B799, Dashboard!$L$6,0)</f>
        <v>0</v>
      </c>
      <c r="P800">
        <f t="shared" si="75"/>
        <v>192.37287528115593</v>
      </c>
      <c r="Q800">
        <f>IF(B800&lt;&gt;B799,IF(F800&lt;=AVERAGE(F778:F799),Dashboard!$N$6-Dashboard!$G$7,Dashboard!$N$6+Dashboard!$G$7),0)</f>
        <v>0</v>
      </c>
      <c r="R800">
        <f t="shared" si="76"/>
        <v>188.83373574357162</v>
      </c>
    </row>
    <row r="801" spans="1:18" x14ac:dyDescent="0.3">
      <c r="A801" s="1">
        <v>45058</v>
      </c>
      <c r="B801">
        <v>12</v>
      </c>
      <c r="C801" s="19">
        <v>5</v>
      </c>
      <c r="D801" s="20">
        <v>2023</v>
      </c>
      <c r="E801" s="21">
        <f t="shared" si="72"/>
        <v>45265</v>
      </c>
      <c r="F801" s="20">
        <v>419.61</v>
      </c>
      <c r="G801" s="20">
        <v>3419283</v>
      </c>
      <c r="H801" s="20">
        <v>418.34</v>
      </c>
      <c r="I801" s="20">
        <v>420.47</v>
      </c>
      <c r="J801" s="22">
        <v>418</v>
      </c>
      <c r="K801" s="2">
        <f t="shared" si="73"/>
        <v>97001.102336117809</v>
      </c>
      <c r="L801" s="2">
        <f>IF(B801&lt;&gt;B800,L800*(1+Dashboard!$G$5)+Dashboard!$G$6, L800)</f>
        <v>92576.416565488937</v>
      </c>
      <c r="M801">
        <f t="shared" si="77"/>
        <v>0</v>
      </c>
      <c r="N801">
        <f t="shared" si="74"/>
        <v>231.16966310649843</v>
      </c>
      <c r="O801">
        <f>IF(B801&lt;&gt;B800, Dashboard!$L$6,0)</f>
        <v>0</v>
      </c>
      <c r="P801">
        <f t="shared" si="75"/>
        <v>192.37287528115593</v>
      </c>
      <c r="Q801">
        <f>IF(B801&lt;&gt;B800,IF(F801&lt;=AVERAGE(F779:F800),Dashboard!$N$6-Dashboard!$G$7,Dashboard!$N$6+Dashboard!$G$7),0)</f>
        <v>0</v>
      </c>
      <c r="R801">
        <f t="shared" si="76"/>
        <v>188.83373574357162</v>
      </c>
    </row>
    <row r="802" spans="1:18" x14ac:dyDescent="0.3">
      <c r="A802" s="1">
        <v>45089</v>
      </c>
      <c r="B802">
        <v>12</v>
      </c>
      <c r="C802" s="19">
        <v>6</v>
      </c>
      <c r="D802" s="20">
        <v>2023</v>
      </c>
      <c r="E802" s="21">
        <f t="shared" si="72"/>
        <v>45266</v>
      </c>
      <c r="F802" s="20">
        <v>417.86</v>
      </c>
      <c r="G802" s="20">
        <v>4201801</v>
      </c>
      <c r="H802" s="20">
        <v>421.61</v>
      </c>
      <c r="I802" s="20">
        <v>421.67</v>
      </c>
      <c r="J802" s="22">
        <v>417.46</v>
      </c>
      <c r="K802" s="2">
        <f t="shared" si="73"/>
        <v>96596.555425681436</v>
      </c>
      <c r="L802" s="2">
        <f>IF(B802&lt;&gt;B801,L801*(1+Dashboard!$G$5)+Dashboard!$G$6, L801)</f>
        <v>92576.416565488937</v>
      </c>
      <c r="M802">
        <f t="shared" si="77"/>
        <v>0</v>
      </c>
      <c r="N802">
        <f t="shared" si="74"/>
        <v>231.16966310649843</v>
      </c>
      <c r="O802">
        <f>IF(B802&lt;&gt;B801, Dashboard!$L$6,0)</f>
        <v>0</v>
      </c>
      <c r="P802">
        <f t="shared" si="75"/>
        <v>192.37287528115593</v>
      </c>
      <c r="Q802">
        <f>IF(B802&lt;&gt;B801,IF(F802&lt;=AVERAGE(F780:F801),Dashboard!$N$6-Dashboard!$G$7,Dashboard!$N$6+Dashboard!$G$7),0)</f>
        <v>0</v>
      </c>
      <c r="R802">
        <f t="shared" si="76"/>
        <v>188.83373574357162</v>
      </c>
    </row>
    <row r="803" spans="1:18" x14ac:dyDescent="0.3">
      <c r="A803" s="1">
        <v>45119</v>
      </c>
      <c r="B803">
        <v>12</v>
      </c>
      <c r="C803" s="19">
        <v>7</v>
      </c>
      <c r="D803" s="20">
        <v>2023</v>
      </c>
      <c r="E803" s="21">
        <f t="shared" si="72"/>
        <v>45267</v>
      </c>
      <c r="F803" s="20">
        <v>421.13</v>
      </c>
      <c r="G803" s="20">
        <v>3248251</v>
      </c>
      <c r="H803" s="20">
        <v>419.81</v>
      </c>
      <c r="I803" s="20">
        <v>421.67</v>
      </c>
      <c r="J803" s="22">
        <v>419.28</v>
      </c>
      <c r="K803" s="2">
        <f t="shared" si="73"/>
        <v>97352.480224039682</v>
      </c>
      <c r="L803" s="2">
        <f>IF(B803&lt;&gt;B802,L802*(1+Dashboard!$G$5)+Dashboard!$G$6, L802)</f>
        <v>92576.416565488937</v>
      </c>
      <c r="M803">
        <f t="shared" si="77"/>
        <v>0</v>
      </c>
      <c r="N803">
        <f t="shared" si="74"/>
        <v>231.16966310649843</v>
      </c>
      <c r="O803">
        <f>IF(B803&lt;&gt;B802, Dashboard!$L$6,0)</f>
        <v>0</v>
      </c>
      <c r="P803">
        <f t="shared" si="75"/>
        <v>192.37287528115593</v>
      </c>
      <c r="Q803">
        <f>IF(B803&lt;&gt;B802,IF(F803&lt;=AVERAGE(F781:F802),Dashboard!$N$6-Dashboard!$G$7,Dashboard!$N$6+Dashboard!$G$7),0)</f>
        <v>0</v>
      </c>
      <c r="R803">
        <f t="shared" si="76"/>
        <v>188.83373574357162</v>
      </c>
    </row>
    <row r="804" spans="1:18" x14ac:dyDescent="0.3">
      <c r="A804" s="1">
        <v>45150</v>
      </c>
      <c r="B804">
        <v>12</v>
      </c>
      <c r="C804" s="19">
        <v>8</v>
      </c>
      <c r="D804" s="20">
        <v>2023</v>
      </c>
      <c r="E804" s="21">
        <f t="shared" si="72"/>
        <v>45268</v>
      </c>
      <c r="F804" s="20">
        <v>422.92</v>
      </c>
      <c r="G804" s="20">
        <v>5125278</v>
      </c>
      <c r="H804" s="20">
        <v>420.37</v>
      </c>
      <c r="I804" s="20">
        <v>423.37</v>
      </c>
      <c r="J804" s="22">
        <v>420.15</v>
      </c>
      <c r="K804" s="2">
        <f t="shared" si="73"/>
        <v>97766.27392100032</v>
      </c>
      <c r="L804" s="2">
        <f>IF(B804&lt;&gt;B803,L803*(1+Dashboard!$G$5)+Dashboard!$G$6, L803)</f>
        <v>92576.416565488937</v>
      </c>
      <c r="M804">
        <f t="shared" si="77"/>
        <v>0</v>
      </c>
      <c r="N804">
        <f t="shared" si="74"/>
        <v>231.16966310649843</v>
      </c>
      <c r="O804">
        <f>IF(B804&lt;&gt;B803, Dashboard!$L$6,0)</f>
        <v>0</v>
      </c>
      <c r="P804">
        <f t="shared" si="75"/>
        <v>192.37287528115593</v>
      </c>
      <c r="Q804">
        <f>IF(B804&lt;&gt;B803,IF(F804&lt;=AVERAGE(F782:F803),Dashboard!$N$6-Dashboard!$G$7,Dashboard!$N$6+Dashboard!$G$7),0)</f>
        <v>0</v>
      </c>
      <c r="R804">
        <f t="shared" si="76"/>
        <v>188.83373574357162</v>
      </c>
    </row>
    <row r="805" spans="1:18" x14ac:dyDescent="0.3">
      <c r="A805" s="1">
        <v>45242</v>
      </c>
      <c r="B805">
        <v>12</v>
      </c>
      <c r="C805" s="19">
        <v>11</v>
      </c>
      <c r="D805" s="20">
        <v>2023</v>
      </c>
      <c r="E805" s="21">
        <f t="shared" si="72"/>
        <v>45271</v>
      </c>
      <c r="F805" s="20">
        <v>424.56</v>
      </c>
      <c r="G805" s="20">
        <v>5247086</v>
      </c>
      <c r="H805" s="20">
        <v>422.41</v>
      </c>
      <c r="I805" s="20">
        <v>424.71</v>
      </c>
      <c r="J805" s="22">
        <v>422.22</v>
      </c>
      <c r="K805" s="2">
        <f t="shared" si="73"/>
        <v>98145.392168494975</v>
      </c>
      <c r="L805" s="2">
        <f>IF(B805&lt;&gt;B804,L804*(1+Dashboard!$G$5)+Dashboard!$G$6, L804)</f>
        <v>92576.416565488937</v>
      </c>
      <c r="M805">
        <f t="shared" si="77"/>
        <v>0</v>
      </c>
      <c r="N805">
        <f t="shared" si="74"/>
        <v>231.16966310649843</v>
      </c>
      <c r="O805">
        <f>IF(B805&lt;&gt;B804, Dashboard!$L$6,0)</f>
        <v>0</v>
      </c>
      <c r="P805">
        <f t="shared" si="75"/>
        <v>192.37287528115593</v>
      </c>
      <c r="Q805">
        <f>IF(B805&lt;&gt;B804,IF(F805&lt;=AVERAGE(F783:F804),Dashboard!$N$6-Dashboard!$G$7,Dashboard!$N$6+Dashboard!$G$7),0)</f>
        <v>0</v>
      </c>
      <c r="R805">
        <f t="shared" si="76"/>
        <v>188.83373574357162</v>
      </c>
    </row>
    <row r="806" spans="1:18" x14ac:dyDescent="0.3">
      <c r="A806" s="1">
        <v>45272</v>
      </c>
      <c r="B806">
        <v>12</v>
      </c>
      <c r="C806" s="19">
        <v>12</v>
      </c>
      <c r="D806" s="20">
        <v>2023</v>
      </c>
      <c r="E806" s="21">
        <f t="shared" si="72"/>
        <v>45272</v>
      </c>
      <c r="F806" s="20">
        <v>426.67</v>
      </c>
      <c r="G806" s="20">
        <v>5982557</v>
      </c>
      <c r="H806" s="20">
        <v>424.22</v>
      </c>
      <c r="I806" s="20">
        <v>426.67</v>
      </c>
      <c r="J806" s="22">
        <v>423.27390000000003</v>
      </c>
      <c r="K806" s="2">
        <f t="shared" si="73"/>
        <v>98633.160157649691</v>
      </c>
      <c r="L806" s="2">
        <f>IF(B806&lt;&gt;B805,L805*(1+Dashboard!$G$5)+Dashboard!$G$6, L805)</f>
        <v>92576.416565488937</v>
      </c>
      <c r="M806">
        <f t="shared" si="77"/>
        <v>0</v>
      </c>
      <c r="N806">
        <f t="shared" si="74"/>
        <v>231.16966310649843</v>
      </c>
      <c r="O806">
        <f>IF(B806&lt;&gt;B805, Dashboard!$L$6,0)</f>
        <v>0</v>
      </c>
      <c r="P806">
        <f t="shared" si="75"/>
        <v>192.37287528115593</v>
      </c>
      <c r="Q806">
        <f>IF(B806&lt;&gt;B805,IF(F806&lt;=AVERAGE(F784:F805),Dashboard!$N$6-Dashboard!$G$7,Dashboard!$N$6+Dashboard!$G$7),0)</f>
        <v>0</v>
      </c>
      <c r="R806">
        <f t="shared" si="76"/>
        <v>188.83373574357162</v>
      </c>
    </row>
    <row r="807" spans="1:18" x14ac:dyDescent="0.3">
      <c r="A807" t="s">
        <v>272</v>
      </c>
      <c r="B807">
        <v>12</v>
      </c>
      <c r="C807" s="19">
        <v>13</v>
      </c>
      <c r="D807" s="20">
        <v>2023</v>
      </c>
      <c r="E807" s="21">
        <f t="shared" si="72"/>
        <v>45273</v>
      </c>
      <c r="F807" s="20">
        <v>432.48</v>
      </c>
      <c r="G807" s="20">
        <v>8659116</v>
      </c>
      <c r="H807" s="20">
        <v>426.88</v>
      </c>
      <c r="I807" s="20">
        <v>432.61</v>
      </c>
      <c r="J807" s="22">
        <v>426.51</v>
      </c>
      <c r="K807" s="2">
        <f t="shared" si="73"/>
        <v>99976.255900298449</v>
      </c>
      <c r="L807" s="2">
        <f>IF(B807&lt;&gt;B806,L806*(1+Dashboard!$G$5)+Dashboard!$G$6, L806)</f>
        <v>92576.416565488937</v>
      </c>
      <c r="M807">
        <f t="shared" si="77"/>
        <v>0</v>
      </c>
      <c r="N807">
        <f t="shared" si="74"/>
        <v>231.16966310649843</v>
      </c>
      <c r="O807">
        <f>IF(B807&lt;&gt;B806, Dashboard!$L$6,0)</f>
        <v>0</v>
      </c>
      <c r="P807">
        <f t="shared" si="75"/>
        <v>192.37287528115593</v>
      </c>
      <c r="Q807">
        <f>IF(B807&lt;&gt;B806,IF(F807&lt;=AVERAGE(F785:F806),Dashboard!$N$6-Dashboard!$G$7,Dashboard!$N$6+Dashboard!$G$7),0)</f>
        <v>0</v>
      </c>
      <c r="R807">
        <f t="shared" si="76"/>
        <v>188.83373574357162</v>
      </c>
    </row>
    <row r="808" spans="1:18" x14ac:dyDescent="0.3">
      <c r="A808" t="s">
        <v>271</v>
      </c>
      <c r="B808">
        <v>12</v>
      </c>
      <c r="C808" s="19">
        <v>14</v>
      </c>
      <c r="D808" s="20">
        <v>2023</v>
      </c>
      <c r="E808" s="21">
        <f t="shared" si="72"/>
        <v>45274</v>
      </c>
      <c r="F808" s="20">
        <v>433.75</v>
      </c>
      <c r="G808" s="20">
        <v>8349143</v>
      </c>
      <c r="H808" s="20">
        <v>434.22</v>
      </c>
      <c r="I808" s="20">
        <v>435.36419999999998</v>
      </c>
      <c r="J808" s="22">
        <v>431.24</v>
      </c>
      <c r="K808" s="2">
        <f t="shared" si="73"/>
        <v>100269.8413724437</v>
      </c>
      <c r="L808" s="2">
        <f>IF(B808&lt;&gt;B807,L807*(1+Dashboard!$G$5)+Dashboard!$G$6, L807)</f>
        <v>92576.416565488937</v>
      </c>
      <c r="M808">
        <f t="shared" si="77"/>
        <v>0</v>
      </c>
      <c r="N808">
        <f t="shared" si="74"/>
        <v>231.16966310649843</v>
      </c>
      <c r="O808">
        <f>IF(B808&lt;&gt;B807, Dashboard!$L$6,0)</f>
        <v>0</v>
      </c>
      <c r="P808">
        <f t="shared" si="75"/>
        <v>192.37287528115593</v>
      </c>
      <c r="Q808">
        <f>IF(B808&lt;&gt;B807,IF(F808&lt;=AVERAGE(F786:F807),Dashboard!$N$6-Dashboard!$G$7,Dashboard!$N$6+Dashboard!$G$7),0)</f>
        <v>0</v>
      </c>
      <c r="R808">
        <f t="shared" si="76"/>
        <v>188.83373574357162</v>
      </c>
    </row>
    <row r="809" spans="1:18" x14ac:dyDescent="0.3">
      <c r="A809" t="s">
        <v>270</v>
      </c>
      <c r="B809">
        <v>12</v>
      </c>
      <c r="C809" s="19">
        <v>15</v>
      </c>
      <c r="D809" s="20">
        <v>2023</v>
      </c>
      <c r="E809" s="21">
        <f t="shared" si="72"/>
        <v>45275</v>
      </c>
      <c r="F809" s="20">
        <v>433.09</v>
      </c>
      <c r="G809" s="20">
        <v>5326041</v>
      </c>
      <c r="H809" s="20">
        <v>433.19</v>
      </c>
      <c r="I809" s="20">
        <v>434.25</v>
      </c>
      <c r="J809" s="22">
        <v>432.24</v>
      </c>
      <c r="K809" s="2">
        <f t="shared" si="73"/>
        <v>100117.2693947934</v>
      </c>
      <c r="L809" s="2">
        <f>IF(B809&lt;&gt;B808,L808*(1+Dashboard!$G$5)+Dashboard!$G$6, L808)</f>
        <v>92576.416565488937</v>
      </c>
      <c r="M809">
        <f t="shared" si="77"/>
        <v>0</v>
      </c>
      <c r="N809">
        <f t="shared" si="74"/>
        <v>231.16966310649843</v>
      </c>
      <c r="O809">
        <f>IF(B809&lt;&gt;B808, Dashboard!$L$6,0)</f>
        <v>0</v>
      </c>
      <c r="P809">
        <f t="shared" si="75"/>
        <v>192.37287528115593</v>
      </c>
      <c r="Q809">
        <f>IF(B809&lt;&gt;B808,IF(F809&lt;=AVERAGE(F787:F808),Dashboard!$N$6-Dashboard!$G$7,Dashboard!$N$6+Dashboard!$G$7),0)</f>
        <v>0</v>
      </c>
      <c r="R809">
        <f t="shared" si="76"/>
        <v>188.83373574357162</v>
      </c>
    </row>
    <row r="810" spans="1:18" x14ac:dyDescent="0.3">
      <c r="A810" t="s">
        <v>269</v>
      </c>
      <c r="B810">
        <v>12</v>
      </c>
      <c r="C810" s="19">
        <v>18</v>
      </c>
      <c r="D810" s="20">
        <v>2023</v>
      </c>
      <c r="E810" s="21">
        <f t="shared" si="72"/>
        <v>45278</v>
      </c>
      <c r="F810" s="20">
        <v>435.54</v>
      </c>
      <c r="G810" s="20">
        <v>4280475</v>
      </c>
      <c r="H810" s="20">
        <v>434.64</v>
      </c>
      <c r="I810" s="20">
        <v>436.4</v>
      </c>
      <c r="J810" s="22">
        <v>434.45</v>
      </c>
      <c r="K810" s="2">
        <f t="shared" si="73"/>
        <v>100683.63506940434</v>
      </c>
      <c r="L810" s="2">
        <f>IF(B810&lt;&gt;B809,L809*(1+Dashboard!$G$5)+Dashboard!$G$6, L809)</f>
        <v>92576.416565488937</v>
      </c>
      <c r="M810">
        <f t="shared" si="77"/>
        <v>0</v>
      </c>
      <c r="N810">
        <f t="shared" si="74"/>
        <v>231.16966310649843</v>
      </c>
      <c r="O810">
        <f>IF(B810&lt;&gt;B809, Dashboard!$L$6,0)</f>
        <v>0</v>
      </c>
      <c r="P810">
        <f t="shared" si="75"/>
        <v>192.37287528115593</v>
      </c>
      <c r="Q810">
        <f>IF(B810&lt;&gt;B809,IF(F810&lt;=AVERAGE(F788:F809),Dashboard!$N$6-Dashboard!$G$7,Dashboard!$N$6+Dashboard!$G$7),0)</f>
        <v>0</v>
      </c>
      <c r="R810">
        <f t="shared" si="76"/>
        <v>188.83373574357162</v>
      </c>
    </row>
    <row r="811" spans="1:18" x14ac:dyDescent="0.3">
      <c r="A811" t="s">
        <v>268</v>
      </c>
      <c r="B811">
        <v>12</v>
      </c>
      <c r="C811" s="19">
        <v>19</v>
      </c>
      <c r="D811" s="20">
        <v>2023</v>
      </c>
      <c r="E811" s="21">
        <f t="shared" si="72"/>
        <v>45279</v>
      </c>
      <c r="F811" s="20">
        <v>438.19</v>
      </c>
      <c r="G811" s="20">
        <v>4061508</v>
      </c>
      <c r="H811" s="20">
        <v>436.04</v>
      </c>
      <c r="I811" s="20">
        <v>438.22</v>
      </c>
      <c r="J811" s="22">
        <v>435.95</v>
      </c>
      <c r="K811" s="2">
        <f t="shared" si="73"/>
        <v>101296.23467663655</v>
      </c>
      <c r="L811" s="2">
        <f>IF(B811&lt;&gt;B810,L810*(1+Dashboard!$G$5)+Dashboard!$G$6, L810)</f>
        <v>92576.416565488937</v>
      </c>
      <c r="M811">
        <f t="shared" si="77"/>
        <v>0</v>
      </c>
      <c r="N811">
        <f t="shared" si="74"/>
        <v>231.16966310649843</v>
      </c>
      <c r="O811">
        <f>IF(B811&lt;&gt;B810, Dashboard!$L$6,0)</f>
        <v>0</v>
      </c>
      <c r="P811">
        <f t="shared" si="75"/>
        <v>192.37287528115593</v>
      </c>
      <c r="Q811">
        <f>IF(B811&lt;&gt;B810,IF(F811&lt;=AVERAGE(F789:F810),Dashboard!$N$6-Dashboard!$G$7,Dashboard!$N$6+Dashboard!$G$7),0)</f>
        <v>0</v>
      </c>
      <c r="R811">
        <f t="shared" si="76"/>
        <v>188.83373574357162</v>
      </c>
    </row>
    <row r="812" spans="1:18" x14ac:dyDescent="0.3">
      <c r="A812" t="s">
        <v>267</v>
      </c>
      <c r="B812">
        <v>12</v>
      </c>
      <c r="C812" s="19">
        <v>20</v>
      </c>
      <c r="D812" s="20">
        <v>2023</v>
      </c>
      <c r="E812" s="21">
        <f t="shared" si="72"/>
        <v>45280</v>
      </c>
      <c r="F812" s="20">
        <v>430.09</v>
      </c>
      <c r="G812" s="20">
        <v>5783234</v>
      </c>
      <c r="H812" s="20">
        <v>435.51</v>
      </c>
      <c r="I812" s="20">
        <v>437.30500000000001</v>
      </c>
      <c r="J812" s="22">
        <v>429.9</v>
      </c>
      <c r="K812" s="2">
        <f t="shared" si="73"/>
        <v>99423.760405473906</v>
      </c>
      <c r="L812" s="2">
        <f>IF(B812&lt;&gt;B811,L811*(1+Dashboard!$G$5)+Dashboard!$G$6, L811)</f>
        <v>92576.416565488937</v>
      </c>
      <c r="M812">
        <f t="shared" si="77"/>
        <v>0</v>
      </c>
      <c r="N812">
        <f t="shared" si="74"/>
        <v>231.16966310649843</v>
      </c>
      <c r="O812">
        <f>IF(B812&lt;&gt;B811, Dashboard!$L$6,0)</f>
        <v>0</v>
      </c>
      <c r="P812">
        <f t="shared" si="75"/>
        <v>192.37287528115593</v>
      </c>
      <c r="Q812">
        <f>IF(B812&lt;&gt;B811,IF(F812&lt;=AVERAGE(F790:F811),Dashboard!$N$6-Dashboard!$G$7,Dashboard!$N$6+Dashboard!$G$7),0)</f>
        <v>0</v>
      </c>
      <c r="R812">
        <f t="shared" si="76"/>
        <v>188.83373574357162</v>
      </c>
    </row>
    <row r="813" spans="1:18" x14ac:dyDescent="0.3">
      <c r="A813" t="s">
        <v>266</v>
      </c>
      <c r="B813">
        <v>12</v>
      </c>
      <c r="C813" s="19">
        <v>21</v>
      </c>
      <c r="D813" s="20">
        <v>2023</v>
      </c>
      <c r="E813" s="21">
        <f t="shared" si="72"/>
        <v>45281</v>
      </c>
      <c r="F813" s="20">
        <v>434.28</v>
      </c>
      <c r="G813" s="20">
        <v>4621606</v>
      </c>
      <c r="H813" s="20">
        <v>433.13</v>
      </c>
      <c r="I813" s="20">
        <v>434.64</v>
      </c>
      <c r="J813" s="22">
        <v>430.85520000000002</v>
      </c>
      <c r="K813" s="2">
        <f t="shared" si="73"/>
        <v>100392.36129389014</v>
      </c>
      <c r="L813" s="2">
        <f>IF(B813&lt;&gt;B812,L812*(1+Dashboard!$G$5)+Dashboard!$G$6, L812)</f>
        <v>92576.416565488937</v>
      </c>
      <c r="M813">
        <f t="shared" si="77"/>
        <v>0</v>
      </c>
      <c r="N813">
        <f t="shared" si="74"/>
        <v>231.16966310649843</v>
      </c>
      <c r="O813">
        <f>IF(B813&lt;&gt;B812, Dashboard!$L$6,0)</f>
        <v>0</v>
      </c>
      <c r="P813">
        <f t="shared" si="75"/>
        <v>192.37287528115593</v>
      </c>
      <c r="Q813">
        <f>IF(B813&lt;&gt;B812,IF(F813&lt;=AVERAGE(F791:F812),Dashboard!$N$6-Dashboard!$G$7,Dashboard!$N$6+Dashboard!$G$7),0)</f>
        <v>0</v>
      </c>
      <c r="R813">
        <f t="shared" si="76"/>
        <v>188.83373574357162</v>
      </c>
    </row>
    <row r="814" spans="1:18" x14ac:dyDescent="0.3">
      <c r="A814" t="s">
        <v>265</v>
      </c>
      <c r="B814">
        <v>12</v>
      </c>
      <c r="C814" s="19">
        <v>22</v>
      </c>
      <c r="D814" s="20">
        <v>2023</v>
      </c>
      <c r="E814" s="21">
        <f t="shared" si="72"/>
        <v>45282</v>
      </c>
      <c r="F814" s="20">
        <v>435.29</v>
      </c>
      <c r="G814" s="20">
        <v>4037829</v>
      </c>
      <c r="H814" s="20">
        <v>435.46</v>
      </c>
      <c r="I814" s="20">
        <v>436.83800000000002</v>
      </c>
      <c r="J814" s="22">
        <v>433.48</v>
      </c>
      <c r="K814" s="2">
        <f t="shared" si="73"/>
        <v>100625.84265362771</v>
      </c>
      <c r="L814" s="2">
        <f>IF(B814&lt;&gt;B813,L813*(1+Dashboard!$G$5)+Dashboard!$G$6, L813)</f>
        <v>92576.416565488937</v>
      </c>
      <c r="M814">
        <f t="shared" si="77"/>
        <v>0</v>
      </c>
      <c r="N814">
        <f t="shared" si="74"/>
        <v>231.16966310649843</v>
      </c>
      <c r="O814">
        <f>IF(B814&lt;&gt;B813, Dashboard!$L$6,0)</f>
        <v>0</v>
      </c>
      <c r="P814">
        <f t="shared" si="75"/>
        <v>192.37287528115593</v>
      </c>
      <c r="Q814">
        <f>IF(B814&lt;&gt;B813,IF(F814&lt;=AVERAGE(F792:F813),Dashboard!$N$6-Dashboard!$G$7,Dashboard!$N$6+Dashboard!$G$7),0)</f>
        <v>0</v>
      </c>
      <c r="R814">
        <f t="shared" si="76"/>
        <v>188.83373574357162</v>
      </c>
    </row>
    <row r="815" spans="1:18" x14ac:dyDescent="0.3">
      <c r="A815" t="s">
        <v>264</v>
      </c>
      <c r="B815">
        <v>12</v>
      </c>
      <c r="C815" s="19">
        <v>26</v>
      </c>
      <c r="D815" s="20">
        <v>2023</v>
      </c>
      <c r="E815" s="21">
        <f t="shared" si="72"/>
        <v>45286</v>
      </c>
      <c r="F815" s="20">
        <v>437.1</v>
      </c>
      <c r="G815" s="20">
        <v>3835837</v>
      </c>
      <c r="H815" s="20">
        <v>435.666</v>
      </c>
      <c r="I815" s="20">
        <v>437.92</v>
      </c>
      <c r="J815" s="22">
        <v>435.58</v>
      </c>
      <c r="K815" s="2">
        <f t="shared" si="73"/>
        <v>101044.25974385047</v>
      </c>
      <c r="L815" s="2">
        <f>IF(B815&lt;&gt;B814,L814*(1+Dashboard!$G$5)+Dashboard!$G$6, L814)</f>
        <v>92576.416565488937</v>
      </c>
      <c r="M815">
        <f t="shared" si="77"/>
        <v>0</v>
      </c>
      <c r="N815">
        <f t="shared" si="74"/>
        <v>231.16966310649843</v>
      </c>
      <c r="O815">
        <f>IF(B815&lt;&gt;B814, Dashboard!$L$6,0)</f>
        <v>0</v>
      </c>
      <c r="P815">
        <f t="shared" si="75"/>
        <v>192.37287528115593</v>
      </c>
      <c r="Q815">
        <f>IF(B815&lt;&gt;B814,IF(F815&lt;=AVERAGE(F793:F814),Dashboard!$N$6-Dashboard!$G$7,Dashboard!$N$6+Dashboard!$G$7),0)</f>
        <v>0</v>
      </c>
      <c r="R815">
        <f t="shared" si="76"/>
        <v>188.83373574357162</v>
      </c>
    </row>
    <row r="816" spans="1:18" x14ac:dyDescent="0.3">
      <c r="A816" t="s">
        <v>263</v>
      </c>
      <c r="B816">
        <v>12</v>
      </c>
      <c r="C816" s="19">
        <v>27</v>
      </c>
      <c r="D816" s="20">
        <v>2023</v>
      </c>
      <c r="E816" s="21">
        <f t="shared" si="72"/>
        <v>45287</v>
      </c>
      <c r="F816" s="20">
        <v>437.9</v>
      </c>
      <c r="G816" s="20">
        <v>4271009</v>
      </c>
      <c r="H816" s="20">
        <v>436.89499999999998</v>
      </c>
      <c r="I816" s="20">
        <v>438.02</v>
      </c>
      <c r="J816" s="22">
        <v>436.42</v>
      </c>
      <c r="K816" s="2">
        <f t="shared" si="73"/>
        <v>101229.19547433566</v>
      </c>
      <c r="L816" s="2">
        <f>IF(B816&lt;&gt;B815,L815*(1+Dashboard!$G$5)+Dashboard!$G$6, L815)</f>
        <v>92576.416565488937</v>
      </c>
      <c r="M816">
        <f t="shared" si="77"/>
        <v>0</v>
      </c>
      <c r="N816">
        <f t="shared" si="74"/>
        <v>231.16966310649843</v>
      </c>
      <c r="O816">
        <f>IF(B816&lt;&gt;B815, Dashboard!$L$6,0)</f>
        <v>0</v>
      </c>
      <c r="P816">
        <f t="shared" si="75"/>
        <v>192.37287528115593</v>
      </c>
      <c r="Q816">
        <f>IF(B816&lt;&gt;B815,IF(F816&lt;=AVERAGE(F794:F815),Dashboard!$N$6-Dashboard!$G$7,Dashboard!$N$6+Dashboard!$G$7),0)</f>
        <v>0</v>
      </c>
      <c r="R816">
        <f t="shared" si="76"/>
        <v>188.83373574357162</v>
      </c>
    </row>
    <row r="817" spans="1:18" x14ac:dyDescent="0.3">
      <c r="A817" t="s">
        <v>262</v>
      </c>
      <c r="B817">
        <v>12</v>
      </c>
      <c r="C817" s="19">
        <v>28</v>
      </c>
      <c r="D817" s="20">
        <v>2023</v>
      </c>
      <c r="E817" s="21">
        <f t="shared" si="72"/>
        <v>45288</v>
      </c>
      <c r="F817" s="20">
        <v>437.97</v>
      </c>
      <c r="G817" s="20">
        <v>4703655</v>
      </c>
      <c r="H817" s="20">
        <v>438.25</v>
      </c>
      <c r="I817" s="20">
        <v>438.84</v>
      </c>
      <c r="J817" s="22">
        <v>437.66</v>
      </c>
      <c r="K817" s="2">
        <f t="shared" si="73"/>
        <v>101245.37735075313</v>
      </c>
      <c r="L817" s="2">
        <f>IF(B817&lt;&gt;B816,L816*(1+Dashboard!$G$5)+Dashboard!$G$6, L816)</f>
        <v>92576.416565488937</v>
      </c>
      <c r="M817">
        <f t="shared" si="77"/>
        <v>0</v>
      </c>
      <c r="N817">
        <f t="shared" si="74"/>
        <v>231.16966310649843</v>
      </c>
      <c r="O817">
        <f>IF(B817&lt;&gt;B816, Dashboard!$L$6,0)</f>
        <v>0</v>
      </c>
      <c r="P817">
        <f t="shared" si="75"/>
        <v>192.37287528115593</v>
      </c>
      <c r="Q817">
        <f>IF(B817&lt;&gt;B816,IF(F817&lt;=AVERAGE(F795:F816),Dashboard!$N$6-Dashboard!$G$7,Dashboard!$N$6+Dashboard!$G$7),0)</f>
        <v>0</v>
      </c>
      <c r="R817">
        <f t="shared" si="76"/>
        <v>188.83373574357162</v>
      </c>
    </row>
    <row r="818" spans="1:18" x14ac:dyDescent="0.3">
      <c r="A818" t="s">
        <v>261</v>
      </c>
      <c r="B818">
        <v>12</v>
      </c>
      <c r="C818" s="19">
        <v>29</v>
      </c>
      <c r="D818" s="20">
        <v>2023</v>
      </c>
      <c r="E818" s="21">
        <f t="shared" si="72"/>
        <v>45289</v>
      </c>
      <c r="F818" s="20">
        <v>436.8</v>
      </c>
      <c r="G818" s="20">
        <v>4376885</v>
      </c>
      <c r="H818" s="20">
        <v>437.87</v>
      </c>
      <c r="I818" s="20">
        <v>438.34</v>
      </c>
      <c r="J818" s="22">
        <v>434.94</v>
      </c>
      <c r="K818" s="2">
        <f t="shared" si="73"/>
        <v>100974.90884491852</v>
      </c>
      <c r="L818" s="2">
        <f>IF(B818&lt;&gt;B817,L817*(1+Dashboard!$G$5)+Dashboard!$G$6, L817)</f>
        <v>92576.416565488937</v>
      </c>
      <c r="M818">
        <f t="shared" si="77"/>
        <v>0</v>
      </c>
      <c r="N818">
        <f t="shared" si="74"/>
        <v>231.16966310649843</v>
      </c>
      <c r="O818">
        <f>IF(B818&lt;&gt;B817, Dashboard!$L$6,0)</f>
        <v>0</v>
      </c>
      <c r="P818">
        <f t="shared" si="75"/>
        <v>192.37287528115593</v>
      </c>
      <c r="Q818">
        <f>IF(B818&lt;&gt;B817,IF(F818&lt;=AVERAGE(F796:F817),Dashboard!$N$6-Dashboard!$G$7,Dashboard!$N$6+Dashboard!$G$7),0)</f>
        <v>0</v>
      </c>
      <c r="R818">
        <f t="shared" si="76"/>
        <v>188.83373574357162</v>
      </c>
    </row>
    <row r="819" spans="1:18" x14ac:dyDescent="0.3">
      <c r="A819" s="1">
        <v>45323</v>
      </c>
      <c r="B819">
        <v>1</v>
      </c>
      <c r="C819" s="19">
        <v>2</v>
      </c>
      <c r="D819" s="20">
        <v>2024</v>
      </c>
      <c r="E819" s="21">
        <f t="shared" si="72"/>
        <v>45293</v>
      </c>
      <c r="F819" s="20">
        <v>434.01</v>
      </c>
      <c r="G819" s="20">
        <v>9076041</v>
      </c>
      <c r="H819" s="20">
        <v>433.91</v>
      </c>
      <c r="I819" s="20">
        <v>435.27</v>
      </c>
      <c r="J819" s="22">
        <v>432.36</v>
      </c>
      <c r="K819" s="2">
        <f t="shared" si="73"/>
        <v>100329.94548485139</v>
      </c>
      <c r="L819" s="2">
        <f>IF(B819&lt;&gt;B818,L818*(1+Dashboard!$G$5)+Dashboard!$G$6, L818)</f>
        <v>95391.089031265234</v>
      </c>
      <c r="M819">
        <f t="shared" si="77"/>
        <v>0</v>
      </c>
      <c r="N819">
        <f t="shared" si="74"/>
        <v>231.16966310649843</v>
      </c>
      <c r="O819">
        <f>IF(B819&lt;&gt;B818, Dashboard!$L$6,0)</f>
        <v>1859.7282542371197</v>
      </c>
      <c r="P819">
        <f t="shared" si="75"/>
        <v>196.65786469208453</v>
      </c>
      <c r="Q819">
        <f>IF(B819&lt;&gt;B818,IF(F819&lt;=AVERAGE(F797:F818),Dashboard!$N$6-Dashboard!$G$7,Dashboard!$N$6+Dashboard!$G$7),0)</f>
        <v>2232.609610169322</v>
      </c>
      <c r="R819">
        <f t="shared" si="76"/>
        <v>193.979064521819</v>
      </c>
    </row>
    <row r="820" spans="1:18" x14ac:dyDescent="0.3">
      <c r="A820" s="1">
        <v>45352</v>
      </c>
      <c r="B820">
        <v>1</v>
      </c>
      <c r="C820" s="19">
        <v>3</v>
      </c>
      <c r="D820" s="20">
        <v>2024</v>
      </c>
      <c r="E820" s="21">
        <f t="shared" si="72"/>
        <v>45294</v>
      </c>
      <c r="F820" s="20">
        <v>430.79</v>
      </c>
      <c r="G820" s="20">
        <v>4805049</v>
      </c>
      <c r="H820" s="20">
        <v>432.32</v>
      </c>
      <c r="I820" s="20">
        <v>433</v>
      </c>
      <c r="J820" s="22">
        <v>430.25</v>
      </c>
      <c r="K820" s="2">
        <f t="shared" si="73"/>
        <v>99585.579169648467</v>
      </c>
      <c r="L820" s="2">
        <f>IF(B820&lt;&gt;B819,L819*(1+Dashboard!$G$5)+Dashboard!$G$6, L819)</f>
        <v>95391.089031265234</v>
      </c>
      <c r="M820">
        <f t="shared" si="77"/>
        <v>0</v>
      </c>
      <c r="N820">
        <f t="shared" si="74"/>
        <v>231.16966310649843</v>
      </c>
      <c r="O820">
        <f>IF(B820&lt;&gt;B819, Dashboard!$L$6,0)</f>
        <v>0</v>
      </c>
      <c r="P820">
        <f t="shared" si="75"/>
        <v>196.65786469208453</v>
      </c>
      <c r="Q820">
        <f>IF(B820&lt;&gt;B819,IF(F820&lt;=AVERAGE(F798:F819),Dashboard!$N$6-Dashboard!$G$7,Dashboard!$N$6+Dashboard!$G$7),0)</f>
        <v>0</v>
      </c>
      <c r="R820">
        <f t="shared" si="76"/>
        <v>193.979064521819</v>
      </c>
    </row>
    <row r="821" spans="1:18" x14ac:dyDescent="0.3">
      <c r="A821" s="1">
        <v>45383</v>
      </c>
      <c r="B821">
        <v>1</v>
      </c>
      <c r="C821" s="19">
        <v>4</v>
      </c>
      <c r="D821" s="20">
        <v>2024</v>
      </c>
      <c r="E821" s="21">
        <f t="shared" si="72"/>
        <v>45295</v>
      </c>
      <c r="F821" s="20">
        <v>429.43</v>
      </c>
      <c r="G821" s="20">
        <v>3945259</v>
      </c>
      <c r="H821" s="20">
        <v>430.33</v>
      </c>
      <c r="I821" s="20">
        <v>432.78</v>
      </c>
      <c r="J821" s="22">
        <v>429.21</v>
      </c>
      <c r="K821" s="2">
        <f t="shared" si="73"/>
        <v>99271.188427823625</v>
      </c>
      <c r="L821" s="2">
        <f>IF(B821&lt;&gt;B820,L820*(1+Dashboard!$G$5)+Dashboard!$G$6, L820)</f>
        <v>95391.089031265234</v>
      </c>
      <c r="M821">
        <f t="shared" si="77"/>
        <v>0</v>
      </c>
      <c r="N821">
        <f t="shared" si="74"/>
        <v>231.16966310649843</v>
      </c>
      <c r="O821">
        <f>IF(B821&lt;&gt;B820, Dashboard!$L$6,0)</f>
        <v>0</v>
      </c>
      <c r="P821">
        <f t="shared" si="75"/>
        <v>196.65786469208453</v>
      </c>
      <c r="Q821">
        <f>IF(B821&lt;&gt;B820,IF(F821&lt;=AVERAGE(F799:F820),Dashboard!$N$6-Dashboard!$G$7,Dashboard!$N$6+Dashboard!$G$7),0)</f>
        <v>0</v>
      </c>
      <c r="R821">
        <f t="shared" si="76"/>
        <v>193.979064521819</v>
      </c>
    </row>
    <row r="822" spans="1:18" x14ac:dyDescent="0.3">
      <c r="A822" s="1">
        <v>45413</v>
      </c>
      <c r="B822">
        <v>1</v>
      </c>
      <c r="C822" s="19">
        <v>5</v>
      </c>
      <c r="D822" s="20">
        <v>2024</v>
      </c>
      <c r="E822" s="21">
        <f t="shared" si="72"/>
        <v>45296</v>
      </c>
      <c r="F822" s="20">
        <v>429.98</v>
      </c>
      <c r="G822" s="20">
        <v>5724608</v>
      </c>
      <c r="H822" s="20">
        <v>429.59</v>
      </c>
      <c r="I822" s="20">
        <v>432.3</v>
      </c>
      <c r="J822" s="22">
        <v>428.64</v>
      </c>
      <c r="K822" s="2">
        <f t="shared" si="73"/>
        <v>99398.331742532202</v>
      </c>
      <c r="L822" s="2">
        <f>IF(B822&lt;&gt;B821,L821*(1+Dashboard!$G$5)+Dashboard!$G$6, L821)</f>
        <v>95391.089031265234</v>
      </c>
      <c r="M822">
        <f t="shared" si="77"/>
        <v>0</v>
      </c>
      <c r="N822">
        <f t="shared" si="74"/>
        <v>231.16966310649843</v>
      </c>
      <c r="O822">
        <f>IF(B822&lt;&gt;B821, Dashboard!$L$6,0)</f>
        <v>0</v>
      </c>
      <c r="P822">
        <f t="shared" si="75"/>
        <v>196.65786469208453</v>
      </c>
      <c r="Q822">
        <f>IF(B822&lt;&gt;B821,IF(F822&lt;=AVERAGE(F800:F821),Dashboard!$N$6-Dashboard!$G$7,Dashboard!$N$6+Dashboard!$G$7),0)</f>
        <v>0</v>
      </c>
      <c r="R822">
        <f t="shared" si="76"/>
        <v>193.979064521819</v>
      </c>
    </row>
    <row r="823" spans="1:18" x14ac:dyDescent="0.3">
      <c r="A823" s="1">
        <v>45505</v>
      </c>
      <c r="B823">
        <v>1</v>
      </c>
      <c r="C823" s="19">
        <v>8</v>
      </c>
      <c r="D823" s="20">
        <v>2024</v>
      </c>
      <c r="E823" s="21">
        <f t="shared" si="72"/>
        <v>45299</v>
      </c>
      <c r="F823" s="20">
        <v>436.13</v>
      </c>
      <c r="G823" s="20">
        <v>7222362</v>
      </c>
      <c r="H823" s="20">
        <v>430.45</v>
      </c>
      <c r="I823" s="20">
        <v>436.27</v>
      </c>
      <c r="J823" s="22">
        <v>430.37</v>
      </c>
      <c r="K823" s="2">
        <f t="shared" si="73"/>
        <v>100820.02517063716</v>
      </c>
      <c r="L823" s="2">
        <f>IF(B823&lt;&gt;B822,L822*(1+Dashboard!$G$5)+Dashboard!$G$6, L822)</f>
        <v>95391.089031265234</v>
      </c>
      <c r="M823">
        <f t="shared" si="77"/>
        <v>0</v>
      </c>
      <c r="N823">
        <f t="shared" si="74"/>
        <v>231.16966310649843</v>
      </c>
      <c r="O823">
        <f>IF(B823&lt;&gt;B822, Dashboard!$L$6,0)</f>
        <v>0</v>
      </c>
      <c r="P823">
        <f t="shared" si="75"/>
        <v>196.65786469208453</v>
      </c>
      <c r="Q823">
        <f>IF(B823&lt;&gt;B822,IF(F823&lt;=AVERAGE(F801:F822),Dashboard!$N$6-Dashboard!$G$7,Dashboard!$N$6+Dashboard!$G$7),0)</f>
        <v>0</v>
      </c>
      <c r="R823">
        <f t="shared" si="76"/>
        <v>193.979064521819</v>
      </c>
    </row>
    <row r="824" spans="1:18" x14ac:dyDescent="0.3">
      <c r="A824" s="1">
        <v>45536</v>
      </c>
      <c r="B824">
        <v>1</v>
      </c>
      <c r="C824" s="19">
        <v>9</v>
      </c>
      <c r="D824" s="20">
        <v>2024</v>
      </c>
      <c r="E824" s="21">
        <f t="shared" si="72"/>
        <v>45300</v>
      </c>
      <c r="F824" s="20">
        <v>435.07</v>
      </c>
      <c r="G824" s="20">
        <v>7939567</v>
      </c>
      <c r="H824" s="20">
        <v>433.62</v>
      </c>
      <c r="I824" s="20">
        <v>436.43</v>
      </c>
      <c r="J824" s="22">
        <v>433.16329999999999</v>
      </c>
      <c r="K824" s="2">
        <f t="shared" si="73"/>
        <v>100574.98532774427</v>
      </c>
      <c r="L824" s="2">
        <f>IF(B824&lt;&gt;B823,L823*(1+Dashboard!$G$5)+Dashboard!$G$6, L823)</f>
        <v>95391.089031265234</v>
      </c>
      <c r="M824">
        <f t="shared" si="77"/>
        <v>0</v>
      </c>
      <c r="N824">
        <f t="shared" si="74"/>
        <v>231.16966310649843</v>
      </c>
      <c r="O824">
        <f>IF(B824&lt;&gt;B823, Dashboard!$L$6,0)</f>
        <v>0</v>
      </c>
      <c r="P824">
        <f t="shared" si="75"/>
        <v>196.65786469208453</v>
      </c>
      <c r="Q824">
        <f>IF(B824&lt;&gt;B823,IF(F824&lt;=AVERAGE(F802:F823),Dashboard!$N$6-Dashboard!$G$7,Dashboard!$N$6+Dashboard!$G$7),0)</f>
        <v>0</v>
      </c>
      <c r="R824">
        <f t="shared" si="76"/>
        <v>193.979064521819</v>
      </c>
    </row>
    <row r="825" spans="1:18" x14ac:dyDescent="0.3">
      <c r="A825" s="1">
        <v>45566</v>
      </c>
      <c r="B825">
        <v>1</v>
      </c>
      <c r="C825" s="19">
        <v>10</v>
      </c>
      <c r="D825" s="20">
        <v>2024</v>
      </c>
      <c r="E825" s="21">
        <f t="shared" si="72"/>
        <v>45301</v>
      </c>
      <c r="F825" s="20">
        <v>437.94</v>
      </c>
      <c r="G825" s="20">
        <v>4278841</v>
      </c>
      <c r="H825" s="20">
        <v>435.77</v>
      </c>
      <c r="I825" s="20">
        <v>438.73500000000001</v>
      </c>
      <c r="J825" s="22">
        <v>435.48</v>
      </c>
      <c r="K825" s="2">
        <f t="shared" si="73"/>
        <v>101238.44226085993</v>
      </c>
      <c r="L825" s="2">
        <f>IF(B825&lt;&gt;B824,L824*(1+Dashboard!$G$5)+Dashboard!$G$6, L824)</f>
        <v>95391.089031265234</v>
      </c>
      <c r="M825">
        <f t="shared" si="77"/>
        <v>0</v>
      </c>
      <c r="N825">
        <f t="shared" si="74"/>
        <v>231.16966310649843</v>
      </c>
      <c r="O825">
        <f>IF(B825&lt;&gt;B824, Dashboard!$L$6,0)</f>
        <v>0</v>
      </c>
      <c r="P825">
        <f t="shared" si="75"/>
        <v>196.65786469208453</v>
      </c>
      <c r="Q825">
        <f>IF(B825&lt;&gt;B824,IF(F825&lt;=AVERAGE(F803:F824),Dashboard!$N$6-Dashboard!$G$7,Dashboard!$N$6+Dashboard!$G$7),0)</f>
        <v>0</v>
      </c>
      <c r="R825">
        <f t="shared" si="76"/>
        <v>193.979064521819</v>
      </c>
    </row>
    <row r="826" spans="1:18" x14ac:dyDescent="0.3">
      <c r="A826" s="1">
        <v>45597</v>
      </c>
      <c r="B826">
        <v>1</v>
      </c>
      <c r="C826" s="19">
        <v>11</v>
      </c>
      <c r="D826" s="20">
        <v>2024</v>
      </c>
      <c r="E826" s="21">
        <f t="shared" si="72"/>
        <v>45302</v>
      </c>
      <c r="F826" s="20">
        <v>437.79</v>
      </c>
      <c r="G826" s="20">
        <v>4796587</v>
      </c>
      <c r="H826" s="20">
        <v>438.94</v>
      </c>
      <c r="I826" s="20">
        <v>439.35500000000002</v>
      </c>
      <c r="J826" s="22">
        <v>434</v>
      </c>
      <c r="K826" s="2">
        <f t="shared" si="73"/>
        <v>101203.76681139396</v>
      </c>
      <c r="L826" s="2">
        <f>IF(B826&lt;&gt;B825,L825*(1+Dashboard!$G$5)+Dashboard!$G$6, L825)</f>
        <v>95391.089031265234</v>
      </c>
      <c r="M826">
        <f t="shared" si="77"/>
        <v>0</v>
      </c>
      <c r="N826">
        <f t="shared" si="74"/>
        <v>231.16966310649843</v>
      </c>
      <c r="O826">
        <f>IF(B826&lt;&gt;B825, Dashboard!$L$6,0)</f>
        <v>0</v>
      </c>
      <c r="P826">
        <f t="shared" si="75"/>
        <v>196.65786469208453</v>
      </c>
      <c r="Q826">
        <f>IF(B826&lt;&gt;B825,IF(F826&lt;=AVERAGE(F804:F825),Dashboard!$N$6-Dashboard!$G$7,Dashboard!$N$6+Dashboard!$G$7),0)</f>
        <v>0</v>
      </c>
      <c r="R826">
        <f t="shared" si="76"/>
        <v>193.979064521819</v>
      </c>
    </row>
    <row r="827" spans="1:18" x14ac:dyDescent="0.3">
      <c r="A827" s="1">
        <v>45627</v>
      </c>
      <c r="B827">
        <v>1</v>
      </c>
      <c r="C827" s="19">
        <v>12</v>
      </c>
      <c r="D827" s="20">
        <v>2024</v>
      </c>
      <c r="E827" s="21">
        <f t="shared" si="72"/>
        <v>45303</v>
      </c>
      <c r="F827" s="20">
        <v>437.99</v>
      </c>
      <c r="G827" s="20">
        <v>5182669</v>
      </c>
      <c r="H827" s="20">
        <v>439.11</v>
      </c>
      <c r="I827" s="20">
        <v>439.8</v>
      </c>
      <c r="J827" s="22">
        <v>436.73</v>
      </c>
      <c r="K827" s="2">
        <f t="shared" si="73"/>
        <v>101250.00074401525</v>
      </c>
      <c r="L827" s="2">
        <f>IF(B827&lt;&gt;B826,L826*(1+Dashboard!$G$5)+Dashboard!$G$6, L826)</f>
        <v>95391.089031265234</v>
      </c>
      <c r="M827">
        <f t="shared" si="77"/>
        <v>0</v>
      </c>
      <c r="N827">
        <f t="shared" si="74"/>
        <v>231.16966310649843</v>
      </c>
      <c r="O827">
        <f>IF(B827&lt;&gt;B826, Dashboard!$L$6,0)</f>
        <v>0</v>
      </c>
      <c r="P827">
        <f t="shared" si="75"/>
        <v>196.65786469208453</v>
      </c>
      <c r="Q827">
        <f>IF(B827&lt;&gt;B826,IF(F827&lt;=AVERAGE(F805:F826),Dashboard!$N$6-Dashboard!$G$7,Dashboard!$N$6+Dashboard!$G$7),0)</f>
        <v>0</v>
      </c>
      <c r="R827">
        <f t="shared" si="76"/>
        <v>193.979064521819</v>
      </c>
    </row>
    <row r="828" spans="1:18" x14ac:dyDescent="0.3">
      <c r="A828" t="s">
        <v>260</v>
      </c>
      <c r="B828">
        <v>1</v>
      </c>
      <c r="C828" s="19">
        <v>16</v>
      </c>
      <c r="D828" s="20">
        <v>2024</v>
      </c>
      <c r="E828" s="21">
        <f t="shared" si="72"/>
        <v>45307</v>
      </c>
      <c r="F828" s="20">
        <v>436.5</v>
      </c>
      <c r="G828" s="20">
        <v>5730839</v>
      </c>
      <c r="H828" s="20">
        <v>436.79</v>
      </c>
      <c r="I828" s="20">
        <v>437.98</v>
      </c>
      <c r="J828" s="22">
        <v>434.74</v>
      </c>
      <c r="K828" s="2">
        <f t="shared" si="73"/>
        <v>100905.55794598657</v>
      </c>
      <c r="L828" s="2">
        <f>IF(B828&lt;&gt;B827,L827*(1+Dashboard!$G$5)+Dashboard!$G$6, L827)</f>
        <v>95391.089031265234</v>
      </c>
      <c r="M828">
        <f t="shared" si="77"/>
        <v>0</v>
      </c>
      <c r="N828">
        <f t="shared" si="74"/>
        <v>231.16966310649843</v>
      </c>
      <c r="O828">
        <f>IF(B828&lt;&gt;B827, Dashboard!$L$6,0)</f>
        <v>0</v>
      </c>
      <c r="P828">
        <f t="shared" si="75"/>
        <v>196.65786469208453</v>
      </c>
      <c r="Q828">
        <f>IF(B828&lt;&gt;B827,IF(F828&lt;=AVERAGE(F806:F827),Dashboard!$N$6-Dashboard!$G$7,Dashboard!$N$6+Dashboard!$G$7),0)</f>
        <v>0</v>
      </c>
      <c r="R828">
        <f t="shared" si="76"/>
        <v>193.979064521819</v>
      </c>
    </row>
    <row r="829" spans="1:18" x14ac:dyDescent="0.3">
      <c r="A829" t="s">
        <v>259</v>
      </c>
      <c r="B829">
        <v>1</v>
      </c>
      <c r="C829" s="19">
        <v>17</v>
      </c>
      <c r="D829" s="20">
        <v>2024</v>
      </c>
      <c r="E829" s="21">
        <f t="shared" si="72"/>
        <v>45308</v>
      </c>
      <c r="F829" s="20">
        <v>434.07</v>
      </c>
      <c r="G829" s="20">
        <v>6044611</v>
      </c>
      <c r="H829" s="20">
        <v>433.6</v>
      </c>
      <c r="I829" s="20">
        <v>434.48</v>
      </c>
      <c r="J829" s="22">
        <v>431.81</v>
      </c>
      <c r="K829" s="2">
        <f t="shared" si="73"/>
        <v>100343.81566463778</v>
      </c>
      <c r="L829" s="2">
        <f>IF(B829&lt;&gt;B828,L828*(1+Dashboard!$G$5)+Dashboard!$G$6, L828)</f>
        <v>95391.089031265234</v>
      </c>
      <c r="M829">
        <f t="shared" si="77"/>
        <v>0</v>
      </c>
      <c r="N829">
        <f t="shared" si="74"/>
        <v>231.16966310649843</v>
      </c>
      <c r="O829">
        <f>IF(B829&lt;&gt;B828, Dashboard!$L$6,0)</f>
        <v>0</v>
      </c>
      <c r="P829">
        <f t="shared" si="75"/>
        <v>196.65786469208453</v>
      </c>
      <c r="Q829">
        <f>IF(B829&lt;&gt;B828,IF(F829&lt;=AVERAGE(F807:F828),Dashboard!$N$6-Dashboard!$G$7,Dashboard!$N$6+Dashboard!$G$7),0)</f>
        <v>0</v>
      </c>
      <c r="R829">
        <f t="shared" si="76"/>
        <v>193.979064521819</v>
      </c>
    </row>
    <row r="830" spans="1:18" x14ac:dyDescent="0.3">
      <c r="A830" t="s">
        <v>258</v>
      </c>
      <c r="B830">
        <v>1</v>
      </c>
      <c r="C830" s="19">
        <v>18</v>
      </c>
      <c r="D830" s="20">
        <v>2024</v>
      </c>
      <c r="E830" s="21">
        <f t="shared" si="72"/>
        <v>45309</v>
      </c>
      <c r="F830" s="20">
        <v>437.93</v>
      </c>
      <c r="G830" s="20">
        <v>4331285</v>
      </c>
      <c r="H830" s="20">
        <v>435.58</v>
      </c>
      <c r="I830" s="20">
        <v>438.39</v>
      </c>
      <c r="J830" s="22">
        <v>434.16</v>
      </c>
      <c r="K830" s="2">
        <f t="shared" si="73"/>
        <v>101236.13056422886</v>
      </c>
      <c r="L830" s="2">
        <f>IF(B830&lt;&gt;B829,L829*(1+Dashboard!$G$5)+Dashboard!$G$6, L829)</f>
        <v>95391.089031265234</v>
      </c>
      <c r="M830">
        <f t="shared" si="77"/>
        <v>0</v>
      </c>
      <c r="N830">
        <f t="shared" si="74"/>
        <v>231.16966310649843</v>
      </c>
      <c r="O830">
        <f>IF(B830&lt;&gt;B829, Dashboard!$L$6,0)</f>
        <v>0</v>
      </c>
      <c r="P830">
        <f t="shared" si="75"/>
        <v>196.65786469208453</v>
      </c>
      <c r="Q830">
        <f>IF(B830&lt;&gt;B829,IF(F830&lt;=AVERAGE(F808:F829),Dashboard!$N$6-Dashboard!$G$7,Dashboard!$N$6+Dashboard!$G$7),0)</f>
        <v>0</v>
      </c>
      <c r="R830">
        <f t="shared" si="76"/>
        <v>193.979064521819</v>
      </c>
    </row>
    <row r="831" spans="1:18" x14ac:dyDescent="0.3">
      <c r="A831" t="s">
        <v>257</v>
      </c>
      <c r="B831">
        <v>1</v>
      </c>
      <c r="C831" s="19">
        <v>19</v>
      </c>
      <c r="D831" s="20">
        <v>2024</v>
      </c>
      <c r="E831" s="21">
        <f t="shared" si="72"/>
        <v>45310</v>
      </c>
      <c r="F831" s="20">
        <v>443.29</v>
      </c>
      <c r="G831" s="20">
        <v>4836802</v>
      </c>
      <c r="H831" s="20">
        <v>439</v>
      </c>
      <c r="I831" s="20">
        <v>443.61</v>
      </c>
      <c r="J831" s="22">
        <v>438.31</v>
      </c>
      <c r="K831" s="2">
        <f t="shared" si="73"/>
        <v>102475.1999584797</v>
      </c>
      <c r="L831" s="2">
        <f>IF(B831&lt;&gt;B830,L830*(1+Dashboard!$G$5)+Dashboard!$G$6, L830)</f>
        <v>95391.089031265234</v>
      </c>
      <c r="M831">
        <f t="shared" si="77"/>
        <v>0</v>
      </c>
      <c r="N831">
        <f t="shared" si="74"/>
        <v>231.16966310649843</v>
      </c>
      <c r="O831">
        <f>IF(B831&lt;&gt;B830, Dashboard!$L$6,0)</f>
        <v>0</v>
      </c>
      <c r="P831">
        <f t="shared" si="75"/>
        <v>196.65786469208453</v>
      </c>
      <c r="Q831">
        <f>IF(B831&lt;&gt;B830,IF(F831&lt;=AVERAGE(F809:F830),Dashboard!$N$6-Dashboard!$G$7,Dashboard!$N$6+Dashboard!$G$7),0)</f>
        <v>0</v>
      </c>
      <c r="R831">
        <f t="shared" si="76"/>
        <v>193.979064521819</v>
      </c>
    </row>
    <row r="832" spans="1:18" x14ac:dyDescent="0.3">
      <c r="A832" t="s">
        <v>256</v>
      </c>
      <c r="B832">
        <v>1</v>
      </c>
      <c r="C832" s="19">
        <v>22</v>
      </c>
      <c r="D832" s="20">
        <v>2024</v>
      </c>
      <c r="E832" s="21">
        <f t="shared" si="72"/>
        <v>45313</v>
      </c>
      <c r="F832" s="20">
        <v>444.3</v>
      </c>
      <c r="G832" s="20">
        <v>5870412</v>
      </c>
      <c r="H832" s="20">
        <v>444.77</v>
      </c>
      <c r="I832" s="20">
        <v>445.92</v>
      </c>
      <c r="J832" s="22">
        <v>443.68</v>
      </c>
      <c r="K832" s="2">
        <f t="shared" si="73"/>
        <v>102708.68131821726</v>
      </c>
      <c r="L832" s="2">
        <f>IF(B832&lt;&gt;B831,L831*(1+Dashboard!$G$5)+Dashboard!$G$6, L831)</f>
        <v>95391.089031265234</v>
      </c>
      <c r="M832">
        <f t="shared" si="77"/>
        <v>0</v>
      </c>
      <c r="N832">
        <f t="shared" si="74"/>
        <v>231.16966310649843</v>
      </c>
      <c r="O832">
        <f>IF(B832&lt;&gt;B831, Dashboard!$L$6,0)</f>
        <v>0</v>
      </c>
      <c r="P832">
        <f t="shared" si="75"/>
        <v>196.65786469208453</v>
      </c>
      <c r="Q832">
        <f>IF(B832&lt;&gt;B831,IF(F832&lt;=AVERAGE(F810:F831),Dashboard!$N$6-Dashboard!$G$7,Dashboard!$N$6+Dashboard!$G$7),0)</f>
        <v>0</v>
      </c>
      <c r="R832">
        <f t="shared" si="76"/>
        <v>193.979064521819</v>
      </c>
    </row>
    <row r="833" spans="1:18" x14ac:dyDescent="0.3">
      <c r="A833" t="s">
        <v>255</v>
      </c>
      <c r="B833">
        <v>1</v>
      </c>
      <c r="C833" s="19">
        <v>23</v>
      </c>
      <c r="D833" s="20">
        <v>2024</v>
      </c>
      <c r="E833" s="21">
        <f t="shared" si="72"/>
        <v>45314</v>
      </c>
      <c r="F833" s="20">
        <v>445.62</v>
      </c>
      <c r="G833" s="20">
        <v>3251586</v>
      </c>
      <c r="H833" s="20">
        <v>444.83</v>
      </c>
      <c r="I833" s="20">
        <v>445.82</v>
      </c>
      <c r="J833" s="22">
        <v>443.78</v>
      </c>
      <c r="K833" s="2">
        <f t="shared" si="73"/>
        <v>103013.82527351784</v>
      </c>
      <c r="L833" s="2">
        <f>IF(B833&lt;&gt;B832,L832*(1+Dashboard!$G$5)+Dashboard!$G$6, L832)</f>
        <v>95391.089031265234</v>
      </c>
      <c r="M833">
        <f t="shared" si="77"/>
        <v>0</v>
      </c>
      <c r="N833">
        <f t="shared" si="74"/>
        <v>231.16966310649843</v>
      </c>
      <c r="O833">
        <f>IF(B833&lt;&gt;B832, Dashboard!$L$6,0)</f>
        <v>0</v>
      </c>
      <c r="P833">
        <f t="shared" si="75"/>
        <v>196.65786469208453</v>
      </c>
      <c r="Q833">
        <f>IF(B833&lt;&gt;B832,IF(F833&lt;=AVERAGE(F811:F832),Dashboard!$N$6-Dashboard!$G$7,Dashboard!$N$6+Dashboard!$G$7),0)</f>
        <v>0</v>
      </c>
      <c r="R833">
        <f t="shared" si="76"/>
        <v>193.979064521819</v>
      </c>
    </row>
    <row r="834" spans="1:18" x14ac:dyDescent="0.3">
      <c r="A834" t="s">
        <v>254</v>
      </c>
      <c r="B834">
        <v>1</v>
      </c>
      <c r="C834" s="19">
        <v>24</v>
      </c>
      <c r="D834" s="20">
        <v>2024</v>
      </c>
      <c r="E834" s="21">
        <f t="shared" ref="E834:E897" si="78">DATE(D834,B834,C834)</f>
        <v>45315</v>
      </c>
      <c r="F834" s="20">
        <v>445.99</v>
      </c>
      <c r="G834" s="20">
        <v>4568204</v>
      </c>
      <c r="H834" s="20">
        <v>448.32</v>
      </c>
      <c r="I834" s="20">
        <v>449.18959999999998</v>
      </c>
      <c r="J834" s="22">
        <v>445.75</v>
      </c>
      <c r="K834" s="2">
        <f t="shared" si="73"/>
        <v>103099.35804886725</v>
      </c>
      <c r="L834" s="2">
        <f>IF(B834&lt;&gt;B833,L833*(1+Dashboard!$G$5)+Dashboard!$G$6, L833)</f>
        <v>95391.089031265234</v>
      </c>
      <c r="M834">
        <f t="shared" si="77"/>
        <v>0</v>
      </c>
      <c r="N834">
        <f t="shared" si="74"/>
        <v>231.16966310649843</v>
      </c>
      <c r="O834">
        <f>IF(B834&lt;&gt;B833, Dashboard!$L$6,0)</f>
        <v>0</v>
      </c>
      <c r="P834">
        <f t="shared" si="75"/>
        <v>196.65786469208453</v>
      </c>
      <c r="Q834">
        <f>IF(B834&lt;&gt;B833,IF(F834&lt;=AVERAGE(F812:F833),Dashboard!$N$6-Dashboard!$G$7,Dashboard!$N$6+Dashboard!$G$7),0)</f>
        <v>0</v>
      </c>
      <c r="R834">
        <f t="shared" si="76"/>
        <v>193.979064521819</v>
      </c>
    </row>
    <row r="835" spans="1:18" x14ac:dyDescent="0.3">
      <c r="A835" t="s">
        <v>253</v>
      </c>
      <c r="B835">
        <v>1</v>
      </c>
      <c r="C835" s="19">
        <v>25</v>
      </c>
      <c r="D835" s="20">
        <v>2024</v>
      </c>
      <c r="E835" s="21">
        <f t="shared" si="78"/>
        <v>45316</v>
      </c>
      <c r="F835" s="20">
        <v>448.5</v>
      </c>
      <c r="G835" s="20">
        <v>4167055</v>
      </c>
      <c r="H835" s="20">
        <v>448.14</v>
      </c>
      <c r="I835" s="20">
        <v>448.76</v>
      </c>
      <c r="J835" s="22">
        <v>446.11</v>
      </c>
      <c r="K835" s="2">
        <f t="shared" ref="K835:K898" si="79">N835*F835</f>
        <v>103679.59390326454</v>
      </c>
      <c r="L835" s="2">
        <f>IF(B835&lt;&gt;B834,L834*(1+Dashboard!$G$5)+Dashboard!$G$6, L834)</f>
        <v>95391.089031265234</v>
      </c>
      <c r="M835">
        <f t="shared" si="77"/>
        <v>0</v>
      </c>
      <c r="N835">
        <f t="shared" si="74"/>
        <v>231.16966310649843</v>
      </c>
      <c r="O835">
        <f>IF(B835&lt;&gt;B834, Dashboard!$L$6,0)</f>
        <v>0</v>
      </c>
      <c r="P835">
        <f t="shared" si="75"/>
        <v>196.65786469208453</v>
      </c>
      <c r="Q835">
        <f>IF(B835&lt;&gt;B834,IF(F835&lt;=AVERAGE(F813:F834),Dashboard!$N$6-Dashboard!$G$7,Dashboard!$N$6+Dashboard!$G$7),0)</f>
        <v>0</v>
      </c>
      <c r="R835">
        <f t="shared" si="76"/>
        <v>193.979064521819</v>
      </c>
    </row>
    <row r="836" spans="1:18" x14ac:dyDescent="0.3">
      <c r="A836" t="s">
        <v>252</v>
      </c>
      <c r="B836">
        <v>1</v>
      </c>
      <c r="C836" s="19">
        <v>26</v>
      </c>
      <c r="D836" s="20">
        <v>2024</v>
      </c>
      <c r="E836" s="21">
        <f t="shared" si="78"/>
        <v>45317</v>
      </c>
      <c r="F836" s="20">
        <v>448.23</v>
      </c>
      <c r="G836" s="20">
        <v>6404023</v>
      </c>
      <c r="H836" s="20">
        <v>448.1</v>
      </c>
      <c r="I836" s="20">
        <v>449.51</v>
      </c>
      <c r="J836" s="22">
        <v>447.16</v>
      </c>
      <c r="K836" s="2">
        <f t="shared" si="79"/>
        <v>103617.17809422579</v>
      </c>
      <c r="L836" s="2">
        <f>IF(B836&lt;&gt;B835,L835*(1+Dashboard!$G$5)+Dashboard!$G$6, L835)</f>
        <v>95391.089031265234</v>
      </c>
      <c r="M836">
        <f t="shared" si="77"/>
        <v>0</v>
      </c>
      <c r="N836">
        <f t="shared" ref="N836:N899" si="80">N835+M835/F835</f>
        <v>231.16966310649843</v>
      </c>
      <c r="O836">
        <f>IF(B836&lt;&gt;B835, Dashboard!$L$6,0)</f>
        <v>0</v>
      </c>
      <c r="P836">
        <f t="shared" ref="P836:P899" si="81">P835+O836/F836</f>
        <v>196.65786469208453</v>
      </c>
      <c r="Q836">
        <f>IF(B836&lt;&gt;B835,IF(F836&lt;=AVERAGE(F814:F835),Dashboard!$N$6-Dashboard!$G$7,Dashboard!$N$6+Dashboard!$G$7),0)</f>
        <v>0</v>
      </c>
      <c r="R836">
        <f t="shared" ref="R836:R899" si="82">R835+Q836/H836</f>
        <v>193.979064521819</v>
      </c>
    </row>
    <row r="837" spans="1:18" x14ac:dyDescent="0.3">
      <c r="A837" t="s">
        <v>251</v>
      </c>
      <c r="B837">
        <v>1</v>
      </c>
      <c r="C837" s="19">
        <v>29</v>
      </c>
      <c r="D837" s="20">
        <v>2024</v>
      </c>
      <c r="E837" s="21">
        <f t="shared" si="78"/>
        <v>45320</v>
      </c>
      <c r="F837" s="20">
        <v>451.49</v>
      </c>
      <c r="G837" s="20">
        <v>4543252</v>
      </c>
      <c r="H837" s="20">
        <v>448.23</v>
      </c>
      <c r="I837" s="20">
        <v>451.60980000000001</v>
      </c>
      <c r="J837" s="22">
        <v>447.71120000000002</v>
      </c>
      <c r="K837" s="2">
        <f t="shared" si="79"/>
        <v>104370.79119595297</v>
      </c>
      <c r="L837" s="2">
        <f>IF(B837&lt;&gt;B836,L836*(1+Dashboard!$G$5)+Dashboard!$G$6, L836)</f>
        <v>95391.089031265234</v>
      </c>
      <c r="M837">
        <f t="shared" si="77"/>
        <v>0</v>
      </c>
      <c r="N837">
        <f t="shared" si="80"/>
        <v>231.16966310649843</v>
      </c>
      <c r="O837">
        <f>IF(B837&lt;&gt;B836, Dashboard!$L$6,0)</f>
        <v>0</v>
      </c>
      <c r="P837">
        <f t="shared" si="81"/>
        <v>196.65786469208453</v>
      </c>
      <c r="Q837">
        <f>IF(B837&lt;&gt;B836,IF(F837&lt;=AVERAGE(F815:F836),Dashboard!$N$6-Dashboard!$G$7,Dashboard!$N$6+Dashboard!$G$7),0)</f>
        <v>0</v>
      </c>
      <c r="R837">
        <f t="shared" si="82"/>
        <v>193.979064521819</v>
      </c>
    </row>
    <row r="838" spans="1:18" x14ac:dyDescent="0.3">
      <c r="A838" t="s">
        <v>250</v>
      </c>
      <c r="B838">
        <v>1</v>
      </c>
      <c r="C838" s="19">
        <v>30</v>
      </c>
      <c r="D838" s="20">
        <v>2024</v>
      </c>
      <c r="E838" s="21">
        <f t="shared" si="78"/>
        <v>45321</v>
      </c>
      <c r="F838" s="20">
        <v>451.17</v>
      </c>
      <c r="G838" s="20">
        <v>3409953</v>
      </c>
      <c r="H838" s="20">
        <v>450.84</v>
      </c>
      <c r="I838" s="20">
        <v>451.81</v>
      </c>
      <c r="J838" s="22">
        <v>450.44</v>
      </c>
      <c r="K838" s="2">
        <f t="shared" si="79"/>
        <v>104296.8169037589</v>
      </c>
      <c r="L838" s="2">
        <f>IF(B838&lt;&gt;B837,L837*(1+Dashboard!$G$5)+Dashboard!$G$6, L837)</f>
        <v>95391.089031265234</v>
      </c>
      <c r="M838">
        <f t="shared" si="77"/>
        <v>0</v>
      </c>
      <c r="N838">
        <f t="shared" si="80"/>
        <v>231.16966310649843</v>
      </c>
      <c r="O838">
        <f>IF(B838&lt;&gt;B837, Dashboard!$L$6,0)</f>
        <v>0</v>
      </c>
      <c r="P838">
        <f t="shared" si="81"/>
        <v>196.65786469208453</v>
      </c>
      <c r="Q838">
        <f>IF(B838&lt;&gt;B837,IF(F838&lt;=AVERAGE(F816:F837),Dashboard!$N$6-Dashboard!$G$7,Dashboard!$N$6+Dashboard!$G$7),0)</f>
        <v>0</v>
      </c>
      <c r="R838">
        <f t="shared" si="82"/>
        <v>193.979064521819</v>
      </c>
    </row>
    <row r="839" spans="1:18" x14ac:dyDescent="0.3">
      <c r="A839" t="s">
        <v>249</v>
      </c>
      <c r="B839">
        <v>1</v>
      </c>
      <c r="C839" s="19">
        <v>31</v>
      </c>
      <c r="D839" s="20">
        <v>2024</v>
      </c>
      <c r="E839" s="21">
        <f t="shared" si="78"/>
        <v>45322</v>
      </c>
      <c r="F839" s="20">
        <v>443.82</v>
      </c>
      <c r="G839" s="20">
        <v>7108043</v>
      </c>
      <c r="H839" s="20">
        <v>449.04</v>
      </c>
      <c r="I839" s="20">
        <v>449.46499999999997</v>
      </c>
      <c r="J839" s="22">
        <v>443.75</v>
      </c>
      <c r="K839" s="2">
        <f t="shared" si="79"/>
        <v>102597.71987992614</v>
      </c>
      <c r="L839" s="2">
        <f>IF(B839&lt;&gt;B838,L838*(1+Dashboard!$G$5)+Dashboard!$G$6, L838)</f>
        <v>95391.089031265234</v>
      </c>
      <c r="M839">
        <f t="shared" si="77"/>
        <v>0</v>
      </c>
      <c r="N839">
        <f t="shared" si="80"/>
        <v>231.16966310649843</v>
      </c>
      <c r="O839">
        <f>IF(B839&lt;&gt;B838, Dashboard!$L$6,0)</f>
        <v>0</v>
      </c>
      <c r="P839">
        <f t="shared" si="81"/>
        <v>196.65786469208453</v>
      </c>
      <c r="Q839">
        <f>IF(B839&lt;&gt;B838,IF(F839&lt;=AVERAGE(F817:F838),Dashboard!$N$6-Dashboard!$G$7,Dashboard!$N$6+Dashboard!$G$7),0)</f>
        <v>0</v>
      </c>
      <c r="R839">
        <f t="shared" si="82"/>
        <v>193.979064521819</v>
      </c>
    </row>
    <row r="840" spans="1:18" x14ac:dyDescent="0.3">
      <c r="A840" s="1">
        <v>45293</v>
      </c>
      <c r="B840">
        <v>2</v>
      </c>
      <c r="C840" s="19">
        <v>1</v>
      </c>
      <c r="D840" s="20">
        <v>2024</v>
      </c>
      <c r="E840" s="21">
        <f t="shared" si="78"/>
        <v>45323</v>
      </c>
      <c r="F840" s="20">
        <v>449.66</v>
      </c>
      <c r="G840" s="20">
        <v>6138360</v>
      </c>
      <c r="H840" s="20">
        <v>445.35</v>
      </c>
      <c r="I840" s="20">
        <v>449.66</v>
      </c>
      <c r="J840" s="22">
        <v>444.65019999999998</v>
      </c>
      <c r="K840" s="2">
        <f t="shared" si="79"/>
        <v>103947.75071246809</v>
      </c>
      <c r="L840" s="2">
        <f>IF(B840&lt;&gt;B839,L839*(1+Dashboard!$G$5)+Dashboard!$G$6, L839)</f>
        <v>98230.530614740361</v>
      </c>
      <c r="M840">
        <f t="shared" si="77"/>
        <v>0</v>
      </c>
      <c r="N840">
        <f t="shared" si="80"/>
        <v>231.16966310649843</v>
      </c>
      <c r="O840">
        <f>IF(B840&lt;&gt;B839, Dashboard!$L$6,0)</f>
        <v>1859.7282542371197</v>
      </c>
      <c r="P840">
        <f t="shared" si="81"/>
        <v>200.79371901365442</v>
      </c>
      <c r="Q840">
        <f>IF(B840&lt;&gt;B839,IF(F840&lt;=AVERAGE(F818:F839),Dashboard!$N$6-Dashboard!$G$7,Dashboard!$N$6+Dashboard!$G$7),0)</f>
        <v>2232.609610169322</v>
      </c>
      <c r="R840">
        <f t="shared" si="82"/>
        <v>198.99222183667095</v>
      </c>
    </row>
    <row r="841" spans="1:18" x14ac:dyDescent="0.3">
      <c r="A841" s="1">
        <v>45324</v>
      </c>
      <c r="B841">
        <v>2</v>
      </c>
      <c r="C841" s="19">
        <v>2</v>
      </c>
      <c r="D841" s="20">
        <v>2024</v>
      </c>
      <c r="E841" s="21">
        <f t="shared" si="78"/>
        <v>45324</v>
      </c>
      <c r="F841" s="20">
        <v>454.28</v>
      </c>
      <c r="G841" s="20">
        <v>6253482</v>
      </c>
      <c r="H841" s="20">
        <v>450.01</v>
      </c>
      <c r="I841" s="20">
        <v>455.88</v>
      </c>
      <c r="J841" s="22">
        <v>449.69</v>
      </c>
      <c r="K841" s="2">
        <f t="shared" si="79"/>
        <v>105015.7545560201</v>
      </c>
      <c r="L841" s="2">
        <f>IF(B841&lt;&gt;B840,L840*(1+Dashboard!$G$5)+Dashboard!$G$6, L840)</f>
        <v>98230.530614740361</v>
      </c>
      <c r="M841">
        <f t="shared" si="77"/>
        <v>0</v>
      </c>
      <c r="N841">
        <f t="shared" si="80"/>
        <v>231.16966310649843</v>
      </c>
      <c r="O841">
        <f>IF(B841&lt;&gt;B840, Dashboard!$L$6,0)</f>
        <v>0</v>
      </c>
      <c r="P841">
        <f t="shared" si="81"/>
        <v>200.79371901365442</v>
      </c>
      <c r="Q841">
        <f>IF(B841&lt;&gt;B840,IF(F841&lt;=AVERAGE(F819:F840),Dashboard!$N$6-Dashboard!$G$7,Dashboard!$N$6+Dashboard!$G$7),0)</f>
        <v>0</v>
      </c>
      <c r="R841">
        <f t="shared" si="82"/>
        <v>198.99222183667095</v>
      </c>
    </row>
    <row r="842" spans="1:18" x14ac:dyDescent="0.3">
      <c r="A842" s="1">
        <v>45414</v>
      </c>
      <c r="B842">
        <v>2</v>
      </c>
      <c r="C842" s="19">
        <v>5</v>
      </c>
      <c r="D842" s="20">
        <v>2024</v>
      </c>
      <c r="E842" s="21">
        <f t="shared" si="78"/>
        <v>45327</v>
      </c>
      <c r="F842" s="20">
        <v>452.62</v>
      </c>
      <c r="G842" s="20">
        <v>7101857</v>
      </c>
      <c r="H842" s="20">
        <v>453.73</v>
      </c>
      <c r="I842" s="20">
        <v>454.15</v>
      </c>
      <c r="J842" s="22">
        <v>450.54</v>
      </c>
      <c r="K842" s="2">
        <f t="shared" si="79"/>
        <v>104632.01291526332</v>
      </c>
      <c r="L842" s="2">
        <f>IF(B842&lt;&gt;B841,L841*(1+Dashboard!$G$5)+Dashboard!$G$6, L841)</f>
        <v>98230.530614740361</v>
      </c>
      <c r="M842">
        <f t="shared" si="77"/>
        <v>0</v>
      </c>
      <c r="N842">
        <f t="shared" si="80"/>
        <v>231.16966310649843</v>
      </c>
      <c r="O842">
        <f>IF(B842&lt;&gt;B841, Dashboard!$L$6,0)</f>
        <v>0</v>
      </c>
      <c r="P842">
        <f t="shared" si="81"/>
        <v>200.79371901365442</v>
      </c>
      <c r="Q842">
        <f>IF(B842&lt;&gt;B841,IF(F842&lt;=AVERAGE(F820:F841),Dashboard!$N$6-Dashboard!$G$7,Dashboard!$N$6+Dashboard!$G$7),0)</f>
        <v>0</v>
      </c>
      <c r="R842">
        <f t="shared" si="82"/>
        <v>198.99222183667095</v>
      </c>
    </row>
    <row r="843" spans="1:18" x14ac:dyDescent="0.3">
      <c r="A843" s="1">
        <v>45445</v>
      </c>
      <c r="B843">
        <v>2</v>
      </c>
      <c r="C843" s="19">
        <v>6</v>
      </c>
      <c r="D843" s="20">
        <v>2024</v>
      </c>
      <c r="E843" s="21">
        <f t="shared" si="78"/>
        <v>45328</v>
      </c>
      <c r="F843" s="20">
        <v>454.03</v>
      </c>
      <c r="G843" s="20">
        <v>4383601</v>
      </c>
      <c r="H843" s="20">
        <v>453.58</v>
      </c>
      <c r="I843" s="20">
        <v>454.29</v>
      </c>
      <c r="J843" s="22">
        <v>452.21</v>
      </c>
      <c r="K843" s="2">
        <f t="shared" si="79"/>
        <v>104957.96214024347</v>
      </c>
      <c r="L843" s="2">
        <f>IF(B843&lt;&gt;B842,L842*(1+Dashboard!$G$5)+Dashboard!$G$6, L842)</f>
        <v>98230.530614740361</v>
      </c>
      <c r="M843">
        <f t="shared" si="77"/>
        <v>0</v>
      </c>
      <c r="N843">
        <f t="shared" si="80"/>
        <v>231.16966310649843</v>
      </c>
      <c r="O843">
        <f>IF(B843&lt;&gt;B842, Dashboard!$L$6,0)</f>
        <v>0</v>
      </c>
      <c r="P843">
        <f t="shared" si="81"/>
        <v>200.79371901365442</v>
      </c>
      <c r="Q843">
        <f>IF(B843&lt;&gt;B842,IF(F843&lt;=AVERAGE(F821:F842),Dashboard!$N$6-Dashboard!$G$7,Dashboard!$N$6+Dashboard!$G$7),0)</f>
        <v>0</v>
      </c>
      <c r="R843">
        <f t="shared" si="82"/>
        <v>198.99222183667095</v>
      </c>
    </row>
    <row r="844" spans="1:18" x14ac:dyDescent="0.3">
      <c r="A844" s="1">
        <v>45475</v>
      </c>
      <c r="B844">
        <v>2</v>
      </c>
      <c r="C844" s="19">
        <v>7</v>
      </c>
      <c r="D844" s="20">
        <v>2024</v>
      </c>
      <c r="E844" s="21">
        <f t="shared" si="78"/>
        <v>45329</v>
      </c>
      <c r="F844" s="20">
        <v>457.76</v>
      </c>
      <c r="G844" s="20">
        <v>6763415</v>
      </c>
      <c r="H844" s="20">
        <v>456.15</v>
      </c>
      <c r="I844" s="20">
        <v>458.18</v>
      </c>
      <c r="J844" s="22">
        <v>455.27</v>
      </c>
      <c r="K844" s="2">
        <f t="shared" si="79"/>
        <v>105820.22498363072</v>
      </c>
      <c r="L844" s="2">
        <f>IF(B844&lt;&gt;B843,L843*(1+Dashboard!$G$5)+Dashboard!$G$6, L843)</f>
        <v>98230.530614740361</v>
      </c>
      <c r="M844">
        <f t="shared" si="77"/>
        <v>0</v>
      </c>
      <c r="N844">
        <f t="shared" si="80"/>
        <v>231.16966310649843</v>
      </c>
      <c r="O844">
        <f>IF(B844&lt;&gt;B843, Dashboard!$L$6,0)</f>
        <v>0</v>
      </c>
      <c r="P844">
        <f t="shared" si="81"/>
        <v>200.79371901365442</v>
      </c>
      <c r="Q844">
        <f>IF(B844&lt;&gt;B843,IF(F844&lt;=AVERAGE(F822:F843),Dashboard!$N$6-Dashboard!$G$7,Dashboard!$N$6+Dashboard!$G$7),0)</f>
        <v>0</v>
      </c>
      <c r="R844">
        <f t="shared" si="82"/>
        <v>198.99222183667095</v>
      </c>
    </row>
    <row r="845" spans="1:18" x14ac:dyDescent="0.3">
      <c r="A845" s="1">
        <v>45506</v>
      </c>
      <c r="B845">
        <v>2</v>
      </c>
      <c r="C845" s="19">
        <v>8</v>
      </c>
      <c r="D845" s="20">
        <v>2024</v>
      </c>
      <c r="E845" s="21">
        <f t="shared" si="78"/>
        <v>45330</v>
      </c>
      <c r="F845" s="20">
        <v>458.07</v>
      </c>
      <c r="G845" s="20">
        <v>4184592</v>
      </c>
      <c r="H845" s="20">
        <v>457.81</v>
      </c>
      <c r="I845" s="20">
        <v>458.33</v>
      </c>
      <c r="J845" s="22">
        <v>457.03</v>
      </c>
      <c r="K845" s="2">
        <f t="shared" si="79"/>
        <v>105891.88757919373</v>
      </c>
      <c r="L845" s="2">
        <f>IF(B845&lt;&gt;B844,L844*(1+Dashboard!$G$5)+Dashboard!$G$6, L844)</f>
        <v>98230.530614740361</v>
      </c>
      <c r="M845">
        <f t="shared" si="77"/>
        <v>0</v>
      </c>
      <c r="N845">
        <f t="shared" si="80"/>
        <v>231.16966310649843</v>
      </c>
      <c r="O845">
        <f>IF(B845&lt;&gt;B844, Dashboard!$L$6,0)</f>
        <v>0</v>
      </c>
      <c r="P845">
        <f t="shared" si="81"/>
        <v>200.79371901365442</v>
      </c>
      <c r="Q845">
        <f>IF(B845&lt;&gt;B844,IF(F845&lt;=AVERAGE(F823:F844),Dashboard!$N$6-Dashboard!$G$7,Dashboard!$N$6+Dashboard!$G$7),0)</f>
        <v>0</v>
      </c>
      <c r="R845">
        <f t="shared" si="82"/>
        <v>198.99222183667095</v>
      </c>
    </row>
    <row r="846" spans="1:18" x14ac:dyDescent="0.3">
      <c r="A846" s="1">
        <v>45537</v>
      </c>
      <c r="B846">
        <v>2</v>
      </c>
      <c r="C846" s="19">
        <v>9</v>
      </c>
      <c r="D846" s="20">
        <v>2024</v>
      </c>
      <c r="E846" s="21">
        <f t="shared" si="78"/>
        <v>45331</v>
      </c>
      <c r="F846" s="20">
        <v>460.67</v>
      </c>
      <c r="G846" s="20">
        <v>4002594</v>
      </c>
      <c r="H846" s="20">
        <v>458.54</v>
      </c>
      <c r="I846" s="20">
        <v>461.03</v>
      </c>
      <c r="J846" s="22">
        <v>458.17</v>
      </c>
      <c r="K846" s="2">
        <f t="shared" si="79"/>
        <v>106492.92870327063</v>
      </c>
      <c r="L846" s="2">
        <f>IF(B846&lt;&gt;B845,L845*(1+Dashboard!$G$5)+Dashboard!$G$6, L845)</f>
        <v>98230.530614740361</v>
      </c>
      <c r="M846">
        <f t="shared" si="77"/>
        <v>0</v>
      </c>
      <c r="N846">
        <f t="shared" si="80"/>
        <v>231.16966310649843</v>
      </c>
      <c r="O846">
        <f>IF(B846&lt;&gt;B845, Dashboard!$L$6,0)</f>
        <v>0</v>
      </c>
      <c r="P846">
        <f t="shared" si="81"/>
        <v>200.79371901365442</v>
      </c>
      <c r="Q846">
        <f>IF(B846&lt;&gt;B845,IF(F846&lt;=AVERAGE(F824:F845),Dashboard!$N$6-Dashboard!$G$7,Dashboard!$N$6+Dashboard!$G$7),0)</f>
        <v>0</v>
      </c>
      <c r="R846">
        <f t="shared" si="82"/>
        <v>198.99222183667095</v>
      </c>
    </row>
    <row r="847" spans="1:18" x14ac:dyDescent="0.3">
      <c r="A847" s="1">
        <v>45628</v>
      </c>
      <c r="B847">
        <v>2</v>
      </c>
      <c r="C847" s="19">
        <v>12</v>
      </c>
      <c r="D847" s="20">
        <v>2024</v>
      </c>
      <c r="E847" s="21">
        <f t="shared" si="78"/>
        <v>45334</v>
      </c>
      <c r="F847" s="20">
        <v>460.46</v>
      </c>
      <c r="G847" s="20">
        <v>4564233</v>
      </c>
      <c r="H847" s="20">
        <v>460.61</v>
      </c>
      <c r="I847" s="20">
        <v>462.74</v>
      </c>
      <c r="J847" s="22">
        <v>459.75</v>
      </c>
      <c r="K847" s="2">
        <f t="shared" si="79"/>
        <v>106444.38307401826</v>
      </c>
      <c r="L847" s="2">
        <f>IF(B847&lt;&gt;B846,L846*(1+Dashboard!$G$5)+Dashboard!$G$6, L846)</f>
        <v>98230.530614740361</v>
      </c>
      <c r="M847">
        <f t="shared" si="77"/>
        <v>0</v>
      </c>
      <c r="N847">
        <f t="shared" si="80"/>
        <v>231.16966310649843</v>
      </c>
      <c r="O847">
        <f>IF(B847&lt;&gt;B846, Dashboard!$L$6,0)</f>
        <v>0</v>
      </c>
      <c r="P847">
        <f t="shared" si="81"/>
        <v>200.79371901365442</v>
      </c>
      <c r="Q847">
        <f>IF(B847&lt;&gt;B846,IF(F847&lt;=AVERAGE(F825:F846),Dashboard!$N$6-Dashboard!$G$7,Dashboard!$N$6+Dashboard!$G$7),0)</f>
        <v>0</v>
      </c>
      <c r="R847">
        <f t="shared" si="82"/>
        <v>198.99222183667095</v>
      </c>
    </row>
    <row r="848" spans="1:18" x14ac:dyDescent="0.3">
      <c r="A848" t="s">
        <v>248</v>
      </c>
      <c r="B848">
        <v>2</v>
      </c>
      <c r="C848" s="19">
        <v>13</v>
      </c>
      <c r="D848" s="20">
        <v>2024</v>
      </c>
      <c r="E848" s="21">
        <f t="shared" si="78"/>
        <v>45335</v>
      </c>
      <c r="F848" s="20">
        <v>453.97</v>
      </c>
      <c r="G848" s="20">
        <v>8152242</v>
      </c>
      <c r="H848" s="20">
        <v>454.48</v>
      </c>
      <c r="I848" s="20">
        <v>455.7</v>
      </c>
      <c r="J848" s="22">
        <v>450.995</v>
      </c>
      <c r="K848" s="2">
        <f t="shared" si="79"/>
        <v>104944.0919604571</v>
      </c>
      <c r="L848" s="2">
        <f>IF(B848&lt;&gt;B847,L847*(1+Dashboard!$G$5)+Dashboard!$G$6, L847)</f>
        <v>98230.530614740361</v>
      </c>
      <c r="M848">
        <f t="shared" si="77"/>
        <v>0</v>
      </c>
      <c r="N848">
        <f t="shared" si="80"/>
        <v>231.16966310649843</v>
      </c>
      <c r="O848">
        <f>IF(B848&lt;&gt;B847, Dashboard!$L$6,0)</f>
        <v>0</v>
      </c>
      <c r="P848">
        <f t="shared" si="81"/>
        <v>200.79371901365442</v>
      </c>
      <c r="Q848">
        <f>IF(B848&lt;&gt;B847,IF(F848&lt;=AVERAGE(F826:F847),Dashboard!$N$6-Dashboard!$G$7,Dashboard!$N$6+Dashboard!$G$7),0)</f>
        <v>0</v>
      </c>
      <c r="R848">
        <f t="shared" si="82"/>
        <v>198.99222183667095</v>
      </c>
    </row>
    <row r="849" spans="1:18" x14ac:dyDescent="0.3">
      <c r="A849" t="s">
        <v>247</v>
      </c>
      <c r="B849">
        <v>2</v>
      </c>
      <c r="C849" s="19">
        <v>14</v>
      </c>
      <c r="D849" s="20">
        <v>2024</v>
      </c>
      <c r="E849" s="21">
        <f t="shared" si="78"/>
        <v>45336</v>
      </c>
      <c r="F849" s="20">
        <v>458.29</v>
      </c>
      <c r="G849" s="20">
        <v>5624009</v>
      </c>
      <c r="H849" s="20">
        <v>456.57499999999999</v>
      </c>
      <c r="I849" s="20">
        <v>458.67</v>
      </c>
      <c r="J849" s="22">
        <v>454.4</v>
      </c>
      <c r="K849" s="2">
        <f t="shared" si="79"/>
        <v>105942.74490507717</v>
      </c>
      <c r="L849" s="2">
        <f>IF(B849&lt;&gt;B848,L848*(1+Dashboard!$G$5)+Dashboard!$G$6, L848)</f>
        <v>98230.530614740361</v>
      </c>
      <c r="M849">
        <f t="shared" si="77"/>
        <v>0</v>
      </c>
      <c r="N849">
        <f t="shared" si="80"/>
        <v>231.16966310649843</v>
      </c>
      <c r="O849">
        <f>IF(B849&lt;&gt;B848, Dashboard!$L$6,0)</f>
        <v>0</v>
      </c>
      <c r="P849">
        <f t="shared" si="81"/>
        <v>200.79371901365442</v>
      </c>
      <c r="Q849">
        <f>IF(B849&lt;&gt;B848,IF(F849&lt;=AVERAGE(F827:F848),Dashboard!$N$6-Dashboard!$G$7,Dashboard!$N$6+Dashboard!$G$7),0)</f>
        <v>0</v>
      </c>
      <c r="R849">
        <f t="shared" si="82"/>
        <v>198.99222183667095</v>
      </c>
    </row>
    <row r="850" spans="1:18" x14ac:dyDescent="0.3">
      <c r="A850" t="s">
        <v>246</v>
      </c>
      <c r="B850">
        <v>2</v>
      </c>
      <c r="C850" s="19">
        <v>15</v>
      </c>
      <c r="D850" s="20">
        <v>2024</v>
      </c>
      <c r="E850" s="21">
        <f t="shared" si="78"/>
        <v>45337</v>
      </c>
      <c r="F850" s="20">
        <v>461.39</v>
      </c>
      <c r="G850" s="20">
        <v>5695711</v>
      </c>
      <c r="H850" s="20">
        <v>458.9</v>
      </c>
      <c r="I850" s="20">
        <v>461.54</v>
      </c>
      <c r="J850" s="22">
        <v>458.43</v>
      </c>
      <c r="K850" s="2">
        <f t="shared" si="79"/>
        <v>106659.37086070731</v>
      </c>
      <c r="L850" s="2">
        <f>IF(B850&lt;&gt;B849,L849*(1+Dashboard!$G$5)+Dashboard!$G$6, L849)</f>
        <v>98230.530614740361</v>
      </c>
      <c r="M850">
        <f t="shared" si="77"/>
        <v>0</v>
      </c>
      <c r="N850">
        <f t="shared" si="80"/>
        <v>231.16966310649843</v>
      </c>
      <c r="O850">
        <f>IF(B850&lt;&gt;B849, Dashboard!$L$6,0)</f>
        <v>0</v>
      </c>
      <c r="P850">
        <f t="shared" si="81"/>
        <v>200.79371901365442</v>
      </c>
      <c r="Q850">
        <f>IF(B850&lt;&gt;B849,IF(F850&lt;=AVERAGE(F828:F849),Dashboard!$N$6-Dashboard!$G$7,Dashboard!$N$6+Dashboard!$G$7),0)</f>
        <v>0</v>
      </c>
      <c r="R850">
        <f t="shared" si="82"/>
        <v>198.99222183667095</v>
      </c>
    </row>
    <row r="851" spans="1:18" x14ac:dyDescent="0.3">
      <c r="A851" t="s">
        <v>245</v>
      </c>
      <c r="B851">
        <v>2</v>
      </c>
      <c r="C851" s="19">
        <v>16</v>
      </c>
      <c r="D851" s="20">
        <v>2024</v>
      </c>
      <c r="E851" s="21">
        <f t="shared" si="78"/>
        <v>45338</v>
      </c>
      <c r="F851" s="20">
        <v>459.03</v>
      </c>
      <c r="G851" s="20">
        <v>5527893</v>
      </c>
      <c r="H851" s="20">
        <v>461.08</v>
      </c>
      <c r="I851" s="20">
        <v>462.15</v>
      </c>
      <c r="J851" s="22">
        <v>458.4</v>
      </c>
      <c r="K851" s="2">
        <f t="shared" si="79"/>
        <v>106113.81045577597</v>
      </c>
      <c r="L851" s="2">
        <f>IF(B851&lt;&gt;B850,L850*(1+Dashboard!$G$5)+Dashboard!$G$6, L850)</f>
        <v>98230.530614740361</v>
      </c>
      <c r="M851">
        <f t="shared" si="77"/>
        <v>0</v>
      </c>
      <c r="N851">
        <f t="shared" si="80"/>
        <v>231.16966310649843</v>
      </c>
      <c r="O851">
        <f>IF(B851&lt;&gt;B850, Dashboard!$L$6,0)</f>
        <v>0</v>
      </c>
      <c r="P851">
        <f t="shared" si="81"/>
        <v>200.79371901365442</v>
      </c>
      <c r="Q851">
        <f>IF(B851&lt;&gt;B850,IF(F851&lt;=AVERAGE(F829:F850),Dashboard!$N$6-Dashboard!$G$7,Dashboard!$N$6+Dashboard!$G$7),0)</f>
        <v>0</v>
      </c>
      <c r="R851">
        <f t="shared" si="82"/>
        <v>198.99222183667095</v>
      </c>
    </row>
    <row r="852" spans="1:18" x14ac:dyDescent="0.3">
      <c r="A852" t="s">
        <v>244</v>
      </c>
      <c r="B852">
        <v>2</v>
      </c>
      <c r="C852" s="19">
        <v>20</v>
      </c>
      <c r="D852" s="20">
        <v>2024</v>
      </c>
      <c r="E852" s="21">
        <f t="shared" si="78"/>
        <v>45342</v>
      </c>
      <c r="F852" s="20">
        <v>456.51</v>
      </c>
      <c r="G852" s="20">
        <v>5306784</v>
      </c>
      <c r="H852" s="20">
        <v>457.44</v>
      </c>
      <c r="I852" s="20">
        <v>458.06</v>
      </c>
      <c r="J852" s="22">
        <v>454.43</v>
      </c>
      <c r="K852" s="2">
        <f t="shared" si="79"/>
        <v>105531.26290474759</v>
      </c>
      <c r="L852" s="2">
        <f>IF(B852&lt;&gt;B851,L851*(1+Dashboard!$G$5)+Dashboard!$G$6, L851)</f>
        <v>98230.530614740361</v>
      </c>
      <c r="M852">
        <f t="shared" si="77"/>
        <v>0</v>
      </c>
      <c r="N852">
        <f t="shared" si="80"/>
        <v>231.16966310649843</v>
      </c>
      <c r="O852">
        <f>IF(B852&lt;&gt;B851, Dashboard!$L$6,0)</f>
        <v>0</v>
      </c>
      <c r="P852">
        <f t="shared" si="81"/>
        <v>200.79371901365442</v>
      </c>
      <c r="Q852">
        <f>IF(B852&lt;&gt;B851,IF(F852&lt;=AVERAGE(F830:F851),Dashboard!$N$6-Dashboard!$G$7,Dashboard!$N$6+Dashboard!$G$7),0)</f>
        <v>0</v>
      </c>
      <c r="R852">
        <f t="shared" si="82"/>
        <v>198.99222183667095</v>
      </c>
    </row>
    <row r="853" spans="1:18" x14ac:dyDescent="0.3">
      <c r="A853" t="s">
        <v>243</v>
      </c>
      <c r="B853">
        <v>2</v>
      </c>
      <c r="C853" s="19">
        <v>21</v>
      </c>
      <c r="D853" s="20">
        <v>2024</v>
      </c>
      <c r="E853" s="21">
        <f t="shared" si="78"/>
        <v>45343</v>
      </c>
      <c r="F853" s="20">
        <v>456.97</v>
      </c>
      <c r="G853" s="20">
        <v>4223078</v>
      </c>
      <c r="H853" s="20">
        <v>455.32</v>
      </c>
      <c r="I853" s="20">
        <v>457.12</v>
      </c>
      <c r="J853" s="22">
        <v>453.6</v>
      </c>
      <c r="K853" s="2">
        <f t="shared" si="79"/>
        <v>105637.60094977659</v>
      </c>
      <c r="L853" s="2">
        <f>IF(B853&lt;&gt;B852,L852*(1+Dashboard!$G$5)+Dashboard!$G$6, L852)</f>
        <v>98230.530614740361</v>
      </c>
      <c r="M853">
        <f t="shared" si="77"/>
        <v>0</v>
      </c>
      <c r="N853">
        <f t="shared" si="80"/>
        <v>231.16966310649843</v>
      </c>
      <c r="O853">
        <f>IF(B853&lt;&gt;B852, Dashboard!$L$6,0)</f>
        <v>0</v>
      </c>
      <c r="P853">
        <f t="shared" si="81"/>
        <v>200.79371901365442</v>
      </c>
      <c r="Q853">
        <f>IF(B853&lt;&gt;B852,IF(F853&lt;=AVERAGE(F831:F852),Dashboard!$N$6-Dashboard!$G$7,Dashboard!$N$6+Dashboard!$G$7),0)</f>
        <v>0</v>
      </c>
      <c r="R853">
        <f t="shared" si="82"/>
        <v>198.99222183667095</v>
      </c>
    </row>
    <row r="854" spans="1:18" x14ac:dyDescent="0.3">
      <c r="A854" t="s">
        <v>242</v>
      </c>
      <c r="B854">
        <v>2</v>
      </c>
      <c r="C854" s="19">
        <v>22</v>
      </c>
      <c r="D854" s="20">
        <v>2024</v>
      </c>
      <c r="E854" s="21">
        <f t="shared" si="78"/>
        <v>45344</v>
      </c>
      <c r="F854" s="20">
        <v>466.57</v>
      </c>
      <c r="G854" s="20">
        <v>4328536</v>
      </c>
      <c r="H854" s="20">
        <v>463.22</v>
      </c>
      <c r="I854" s="20">
        <v>467.33</v>
      </c>
      <c r="J854" s="22">
        <v>462.315</v>
      </c>
      <c r="K854" s="2">
        <f t="shared" si="79"/>
        <v>107856.82971559897</v>
      </c>
      <c r="L854" s="2">
        <f>IF(B854&lt;&gt;B853,L853*(1+Dashboard!$G$5)+Dashboard!$G$6, L853)</f>
        <v>98230.530614740361</v>
      </c>
      <c r="M854">
        <f t="shared" si="77"/>
        <v>0</v>
      </c>
      <c r="N854">
        <f t="shared" si="80"/>
        <v>231.16966310649843</v>
      </c>
      <c r="O854">
        <f>IF(B854&lt;&gt;B853, Dashboard!$L$6,0)</f>
        <v>0</v>
      </c>
      <c r="P854">
        <f t="shared" si="81"/>
        <v>200.79371901365442</v>
      </c>
      <c r="Q854">
        <f>IF(B854&lt;&gt;B853,IF(F854&lt;=AVERAGE(F832:F853),Dashboard!$N$6-Dashboard!$G$7,Dashboard!$N$6+Dashboard!$G$7),0)</f>
        <v>0</v>
      </c>
      <c r="R854">
        <f t="shared" si="82"/>
        <v>198.99222183667095</v>
      </c>
    </row>
    <row r="855" spans="1:18" x14ac:dyDescent="0.3">
      <c r="A855" t="s">
        <v>241</v>
      </c>
      <c r="B855">
        <v>2</v>
      </c>
      <c r="C855" s="19">
        <v>23</v>
      </c>
      <c r="D855" s="20">
        <v>2024</v>
      </c>
      <c r="E855" s="21">
        <f t="shared" si="78"/>
        <v>45345</v>
      </c>
      <c r="F855" s="20">
        <v>466.78</v>
      </c>
      <c r="G855" s="20">
        <v>4050621</v>
      </c>
      <c r="H855" s="20">
        <v>468.09</v>
      </c>
      <c r="I855" s="20">
        <v>468.87</v>
      </c>
      <c r="J855" s="22">
        <v>466.09070000000003</v>
      </c>
      <c r="K855" s="2">
        <f t="shared" si="79"/>
        <v>107905.37534485133</v>
      </c>
      <c r="L855" s="2">
        <f>IF(B855&lt;&gt;B854,L854*(1+Dashboard!$G$5)+Dashboard!$G$6, L854)</f>
        <v>98230.530614740361</v>
      </c>
      <c r="M855">
        <f t="shared" si="77"/>
        <v>0</v>
      </c>
      <c r="N855">
        <f t="shared" si="80"/>
        <v>231.16966310649843</v>
      </c>
      <c r="O855">
        <f>IF(B855&lt;&gt;B854, Dashboard!$L$6,0)</f>
        <v>0</v>
      </c>
      <c r="P855">
        <f t="shared" si="81"/>
        <v>200.79371901365442</v>
      </c>
      <c r="Q855">
        <f>IF(B855&lt;&gt;B854,IF(F855&lt;=AVERAGE(F833:F854),Dashboard!$N$6-Dashboard!$G$7,Dashboard!$N$6+Dashboard!$G$7),0)</f>
        <v>0</v>
      </c>
      <c r="R855">
        <f t="shared" si="82"/>
        <v>198.99222183667095</v>
      </c>
    </row>
    <row r="856" spans="1:18" x14ac:dyDescent="0.3">
      <c r="A856" t="s">
        <v>240</v>
      </c>
      <c r="B856">
        <v>2</v>
      </c>
      <c r="C856" s="19">
        <v>26</v>
      </c>
      <c r="D856" s="20">
        <v>2024</v>
      </c>
      <c r="E856" s="21">
        <f t="shared" si="78"/>
        <v>45348</v>
      </c>
      <c r="F856" s="20">
        <v>465.07</v>
      </c>
      <c r="G856" s="20">
        <v>3450804</v>
      </c>
      <c r="H856" s="20">
        <v>467.19</v>
      </c>
      <c r="I856" s="20">
        <v>467.59</v>
      </c>
      <c r="J856" s="22">
        <v>464.94</v>
      </c>
      <c r="K856" s="2">
        <f t="shared" si="79"/>
        <v>107510.07522093922</v>
      </c>
      <c r="L856" s="2">
        <f>IF(B856&lt;&gt;B855,L855*(1+Dashboard!$G$5)+Dashboard!$G$6, L855)</f>
        <v>98230.530614740361</v>
      </c>
      <c r="M856">
        <f t="shared" si="77"/>
        <v>0</v>
      </c>
      <c r="N856">
        <f t="shared" si="80"/>
        <v>231.16966310649843</v>
      </c>
      <c r="O856">
        <f>IF(B856&lt;&gt;B855, Dashboard!$L$6,0)</f>
        <v>0</v>
      </c>
      <c r="P856">
        <f t="shared" si="81"/>
        <v>200.79371901365442</v>
      </c>
      <c r="Q856">
        <f>IF(B856&lt;&gt;B855,IF(F856&lt;=AVERAGE(F834:F855),Dashboard!$N$6-Dashboard!$G$7,Dashboard!$N$6+Dashboard!$G$7),0)</f>
        <v>0</v>
      </c>
      <c r="R856">
        <f t="shared" si="82"/>
        <v>198.99222183667095</v>
      </c>
    </row>
    <row r="857" spans="1:18" x14ac:dyDescent="0.3">
      <c r="A857" t="s">
        <v>239</v>
      </c>
      <c r="B857">
        <v>2</v>
      </c>
      <c r="C857" s="19">
        <v>27</v>
      </c>
      <c r="D857" s="20">
        <v>2024</v>
      </c>
      <c r="E857" s="21">
        <f t="shared" si="78"/>
        <v>45349</v>
      </c>
      <c r="F857" s="20">
        <v>465.93</v>
      </c>
      <c r="G857" s="20">
        <v>3586943</v>
      </c>
      <c r="H857" s="20">
        <v>465.71</v>
      </c>
      <c r="I857" s="20">
        <v>466.12</v>
      </c>
      <c r="J857" s="22">
        <v>463.91</v>
      </c>
      <c r="K857" s="2">
        <f t="shared" si="79"/>
        <v>107708.88113121082</v>
      </c>
      <c r="L857" s="2">
        <f>IF(B857&lt;&gt;B856,L856*(1+Dashboard!$G$5)+Dashboard!$G$6, L856)</f>
        <v>98230.530614740361</v>
      </c>
      <c r="M857">
        <f t="shared" ref="M857:M920" si="83">IF(B857&lt;&gt;B856,IF((L857-K857&gt;0),L857-K857,0),0)</f>
        <v>0</v>
      </c>
      <c r="N857">
        <f t="shared" si="80"/>
        <v>231.16966310649843</v>
      </c>
      <c r="O857">
        <f>IF(B857&lt;&gt;B856, Dashboard!$L$6,0)</f>
        <v>0</v>
      </c>
      <c r="P857">
        <f t="shared" si="81"/>
        <v>200.79371901365442</v>
      </c>
      <c r="Q857">
        <f>IF(B857&lt;&gt;B856,IF(F857&lt;=AVERAGE(F835:F856),Dashboard!$N$6-Dashboard!$G$7,Dashboard!$N$6+Dashboard!$G$7),0)</f>
        <v>0</v>
      </c>
      <c r="R857">
        <f t="shared" si="82"/>
        <v>198.99222183667095</v>
      </c>
    </row>
    <row r="858" spans="1:18" x14ac:dyDescent="0.3">
      <c r="A858" t="s">
        <v>238</v>
      </c>
      <c r="B858">
        <v>2</v>
      </c>
      <c r="C858" s="19">
        <v>28</v>
      </c>
      <c r="D858" s="20">
        <v>2024</v>
      </c>
      <c r="E858" s="21">
        <f t="shared" si="78"/>
        <v>45350</v>
      </c>
      <c r="F858" s="20">
        <v>465.21</v>
      </c>
      <c r="G858" s="20">
        <v>2800602</v>
      </c>
      <c r="H858" s="20">
        <v>464.49</v>
      </c>
      <c r="I858" s="20">
        <v>465.83</v>
      </c>
      <c r="J858" s="22">
        <v>464.11</v>
      </c>
      <c r="K858" s="2">
        <f t="shared" si="79"/>
        <v>107542.43897377413</v>
      </c>
      <c r="L858" s="2">
        <f>IF(B858&lt;&gt;B857,L857*(1+Dashboard!$G$5)+Dashboard!$G$6, L857)</f>
        <v>98230.530614740361</v>
      </c>
      <c r="M858">
        <f t="shared" si="83"/>
        <v>0</v>
      </c>
      <c r="N858">
        <f t="shared" si="80"/>
        <v>231.16966310649843</v>
      </c>
      <c r="O858">
        <f>IF(B858&lt;&gt;B857, Dashboard!$L$6,0)</f>
        <v>0</v>
      </c>
      <c r="P858">
        <f t="shared" si="81"/>
        <v>200.79371901365442</v>
      </c>
      <c r="Q858">
        <f>IF(B858&lt;&gt;B857,IF(F858&lt;=AVERAGE(F836:F857),Dashboard!$N$6-Dashboard!$G$7,Dashboard!$N$6+Dashboard!$G$7),0)</f>
        <v>0</v>
      </c>
      <c r="R858">
        <f t="shared" si="82"/>
        <v>198.99222183667095</v>
      </c>
    </row>
    <row r="859" spans="1:18" x14ac:dyDescent="0.3">
      <c r="A859" t="s">
        <v>237</v>
      </c>
      <c r="B859">
        <v>2</v>
      </c>
      <c r="C859" s="19">
        <v>29</v>
      </c>
      <c r="D859" s="20">
        <v>2024</v>
      </c>
      <c r="E859" s="21">
        <f t="shared" si="78"/>
        <v>45351</v>
      </c>
      <c r="F859" s="20">
        <v>466.93</v>
      </c>
      <c r="G859" s="20">
        <v>7332921</v>
      </c>
      <c r="H859" s="20">
        <v>466.97</v>
      </c>
      <c r="I859" s="20">
        <v>468.49</v>
      </c>
      <c r="J859" s="22">
        <v>464.47</v>
      </c>
      <c r="K859" s="2">
        <f t="shared" si="79"/>
        <v>107940.05079431731</v>
      </c>
      <c r="L859" s="2">
        <f>IF(B859&lt;&gt;B858,L858*(1+Dashboard!$G$5)+Dashboard!$G$6, L858)</f>
        <v>98230.530614740361</v>
      </c>
      <c r="M859">
        <f t="shared" si="83"/>
        <v>0</v>
      </c>
      <c r="N859">
        <f t="shared" si="80"/>
        <v>231.16966310649843</v>
      </c>
      <c r="O859">
        <f>IF(B859&lt;&gt;B858, Dashboard!$L$6,0)</f>
        <v>0</v>
      </c>
      <c r="P859">
        <f t="shared" si="81"/>
        <v>200.79371901365442</v>
      </c>
      <c r="Q859">
        <f>IF(B859&lt;&gt;B858,IF(F859&lt;=AVERAGE(F837:F858),Dashboard!$N$6-Dashboard!$G$7,Dashboard!$N$6+Dashboard!$G$7),0)</f>
        <v>0</v>
      </c>
      <c r="R859">
        <f t="shared" si="82"/>
        <v>198.99222183667095</v>
      </c>
    </row>
    <row r="860" spans="1:18" x14ac:dyDescent="0.3">
      <c r="A860" s="1">
        <v>45294</v>
      </c>
      <c r="B860">
        <v>3</v>
      </c>
      <c r="C860" s="19">
        <v>1</v>
      </c>
      <c r="D860" s="20">
        <v>2024</v>
      </c>
      <c r="E860" s="21">
        <f t="shared" si="78"/>
        <v>45352</v>
      </c>
      <c r="F860" s="20">
        <v>471.43</v>
      </c>
      <c r="G860" s="20">
        <v>4839421</v>
      </c>
      <c r="H860" s="20">
        <v>467.83</v>
      </c>
      <c r="I860" s="20">
        <v>471.77</v>
      </c>
      <c r="J860" s="22">
        <v>467.43</v>
      </c>
      <c r="K860" s="2">
        <f t="shared" si="79"/>
        <v>108980.31427829656</v>
      </c>
      <c r="L860" s="2">
        <f>IF(B860&lt;&gt;B859,L859*(1+Dashboard!$G$5)+Dashboard!$G$6, L859)</f>
        <v>101094.95928415007</v>
      </c>
      <c r="M860">
        <f t="shared" si="83"/>
        <v>0</v>
      </c>
      <c r="N860">
        <f t="shared" si="80"/>
        <v>231.16966310649843</v>
      </c>
      <c r="O860">
        <f>IF(B860&lt;&gt;B859, Dashboard!$L$6,0)</f>
        <v>1859.7282542371197</v>
      </c>
      <c r="P860">
        <f t="shared" si="81"/>
        <v>204.73858517456299</v>
      </c>
      <c r="Q860">
        <f>IF(B860&lt;&gt;B859,IF(F860&lt;=AVERAGE(F838:F859),Dashboard!$N$6-Dashboard!$G$7,Dashboard!$N$6+Dashboard!$G$7),0)</f>
        <v>2232.609610169322</v>
      </c>
      <c r="R860">
        <f t="shared" si="82"/>
        <v>203.76448870747728</v>
      </c>
    </row>
    <row r="861" spans="1:18" x14ac:dyDescent="0.3">
      <c r="A861" s="1">
        <v>45385</v>
      </c>
      <c r="B861">
        <v>3</v>
      </c>
      <c r="C861" s="19">
        <v>4</v>
      </c>
      <c r="D861" s="20">
        <v>2024</v>
      </c>
      <c r="E861" s="21">
        <f t="shared" si="78"/>
        <v>45355</v>
      </c>
      <c r="F861" s="20">
        <v>470.87</v>
      </c>
      <c r="G861" s="20">
        <v>3970242</v>
      </c>
      <c r="H861" s="20">
        <v>470.61</v>
      </c>
      <c r="I861" s="20">
        <v>472.6</v>
      </c>
      <c r="J861" s="22">
        <v>470.6</v>
      </c>
      <c r="K861" s="2">
        <f t="shared" si="79"/>
        <v>108850.85926695692</v>
      </c>
      <c r="L861" s="2">
        <f>IF(B861&lt;&gt;B860,L860*(1+Dashboard!$G$5)+Dashboard!$G$6, L860)</f>
        <v>101094.95928415007</v>
      </c>
      <c r="M861">
        <f t="shared" si="83"/>
        <v>0</v>
      </c>
      <c r="N861">
        <f t="shared" si="80"/>
        <v>231.16966310649843</v>
      </c>
      <c r="O861">
        <f>IF(B861&lt;&gt;B860, Dashboard!$L$6,0)</f>
        <v>0</v>
      </c>
      <c r="P861">
        <f t="shared" si="81"/>
        <v>204.73858517456299</v>
      </c>
      <c r="Q861">
        <f>IF(B861&lt;&gt;B860,IF(F861&lt;=AVERAGE(F839:F860),Dashboard!$N$6-Dashboard!$G$7,Dashboard!$N$6+Dashboard!$G$7),0)</f>
        <v>0</v>
      </c>
      <c r="R861">
        <f t="shared" si="82"/>
        <v>203.76448870747728</v>
      </c>
    </row>
    <row r="862" spans="1:18" x14ac:dyDescent="0.3">
      <c r="A862" s="1">
        <v>45415</v>
      </c>
      <c r="B862">
        <v>3</v>
      </c>
      <c r="C862" s="19">
        <v>5</v>
      </c>
      <c r="D862" s="20">
        <v>2024</v>
      </c>
      <c r="E862" s="21">
        <f t="shared" si="78"/>
        <v>45356</v>
      </c>
      <c r="F862" s="20">
        <v>466.15</v>
      </c>
      <c r="G862" s="20">
        <v>4616503</v>
      </c>
      <c r="H862" s="20">
        <v>468.95</v>
      </c>
      <c r="I862" s="20">
        <v>469.38</v>
      </c>
      <c r="J862" s="22">
        <v>464.06</v>
      </c>
      <c r="K862" s="2">
        <f t="shared" si="79"/>
        <v>107759.73845709424</v>
      </c>
      <c r="L862" s="2">
        <f>IF(B862&lt;&gt;B861,L861*(1+Dashboard!$G$5)+Dashboard!$G$6, L861)</f>
        <v>101094.95928415007</v>
      </c>
      <c r="M862">
        <f t="shared" si="83"/>
        <v>0</v>
      </c>
      <c r="N862">
        <f t="shared" si="80"/>
        <v>231.16966310649843</v>
      </c>
      <c r="O862">
        <f>IF(B862&lt;&gt;B861, Dashboard!$L$6,0)</f>
        <v>0</v>
      </c>
      <c r="P862">
        <f t="shared" si="81"/>
        <v>204.73858517456299</v>
      </c>
      <c r="Q862">
        <f>IF(B862&lt;&gt;B861,IF(F862&lt;=AVERAGE(F840:F861),Dashboard!$N$6-Dashboard!$G$7,Dashboard!$N$6+Dashboard!$G$7),0)</f>
        <v>0</v>
      </c>
      <c r="R862">
        <f t="shared" si="82"/>
        <v>203.76448870747728</v>
      </c>
    </row>
    <row r="863" spans="1:18" x14ac:dyDescent="0.3">
      <c r="A863" s="1">
        <v>45446</v>
      </c>
      <c r="B863">
        <v>3</v>
      </c>
      <c r="C863" s="19">
        <v>6</v>
      </c>
      <c r="D863" s="20">
        <v>2024</v>
      </c>
      <c r="E863" s="21">
        <f t="shared" si="78"/>
        <v>45357</v>
      </c>
      <c r="F863" s="20">
        <v>468.62</v>
      </c>
      <c r="G863" s="20">
        <v>5325050</v>
      </c>
      <c r="H863" s="20">
        <v>469.25</v>
      </c>
      <c r="I863" s="20">
        <v>470.66</v>
      </c>
      <c r="J863" s="22">
        <v>467.31990000000002</v>
      </c>
      <c r="K863" s="2">
        <f t="shared" si="79"/>
        <v>108330.7275249673</v>
      </c>
      <c r="L863" s="2">
        <f>IF(B863&lt;&gt;B862,L862*(1+Dashboard!$G$5)+Dashboard!$G$6, L862)</f>
        <v>101094.95928415007</v>
      </c>
      <c r="M863">
        <f t="shared" si="83"/>
        <v>0</v>
      </c>
      <c r="N863">
        <f t="shared" si="80"/>
        <v>231.16966310649843</v>
      </c>
      <c r="O863">
        <f>IF(B863&lt;&gt;B862, Dashboard!$L$6,0)</f>
        <v>0</v>
      </c>
      <c r="P863">
        <f t="shared" si="81"/>
        <v>204.73858517456299</v>
      </c>
      <c r="Q863">
        <f>IF(B863&lt;&gt;B862,IF(F863&lt;=AVERAGE(F841:F862),Dashboard!$N$6-Dashboard!$G$7,Dashboard!$N$6+Dashboard!$G$7),0)</f>
        <v>0</v>
      </c>
      <c r="R863">
        <f t="shared" si="82"/>
        <v>203.76448870747728</v>
      </c>
    </row>
    <row r="864" spans="1:18" x14ac:dyDescent="0.3">
      <c r="A864" s="1">
        <v>45476</v>
      </c>
      <c r="B864">
        <v>3</v>
      </c>
      <c r="C864" s="19">
        <v>7</v>
      </c>
      <c r="D864" s="20">
        <v>2024</v>
      </c>
      <c r="E864" s="21">
        <f t="shared" si="78"/>
        <v>45358</v>
      </c>
      <c r="F864" s="20">
        <v>473.26</v>
      </c>
      <c r="G864" s="20">
        <v>7149802</v>
      </c>
      <c r="H864" s="20">
        <v>471.63</v>
      </c>
      <c r="I864" s="20">
        <v>474.19</v>
      </c>
      <c r="J864" s="22">
        <v>470.78</v>
      </c>
      <c r="K864" s="2">
        <f t="shared" si="79"/>
        <v>109403.35476178145</v>
      </c>
      <c r="L864" s="2">
        <f>IF(B864&lt;&gt;B863,L863*(1+Dashboard!$G$5)+Dashboard!$G$6, L863)</f>
        <v>101094.95928415007</v>
      </c>
      <c r="M864">
        <f t="shared" si="83"/>
        <v>0</v>
      </c>
      <c r="N864">
        <f t="shared" si="80"/>
        <v>231.16966310649843</v>
      </c>
      <c r="O864">
        <f>IF(B864&lt;&gt;B863, Dashboard!$L$6,0)</f>
        <v>0</v>
      </c>
      <c r="P864">
        <f t="shared" si="81"/>
        <v>204.73858517456299</v>
      </c>
      <c r="Q864">
        <f>IF(B864&lt;&gt;B863,IF(F864&lt;=AVERAGE(F842:F863),Dashboard!$N$6-Dashboard!$G$7,Dashboard!$N$6+Dashboard!$G$7),0)</f>
        <v>0</v>
      </c>
      <c r="R864">
        <f t="shared" si="82"/>
        <v>203.76448870747728</v>
      </c>
    </row>
    <row r="865" spans="1:18" x14ac:dyDescent="0.3">
      <c r="A865" s="1">
        <v>45507</v>
      </c>
      <c r="B865">
        <v>3</v>
      </c>
      <c r="C865" s="19">
        <v>8</v>
      </c>
      <c r="D865" s="20">
        <v>2024</v>
      </c>
      <c r="E865" s="21">
        <f t="shared" si="78"/>
        <v>45359</v>
      </c>
      <c r="F865" s="20">
        <v>470.39</v>
      </c>
      <c r="G865" s="20">
        <v>6285625</v>
      </c>
      <c r="H865" s="20">
        <v>473.77</v>
      </c>
      <c r="I865" s="20">
        <v>476.29939999999999</v>
      </c>
      <c r="J865" s="22">
        <v>469.82</v>
      </c>
      <c r="K865" s="2">
        <f t="shared" si="79"/>
        <v>108739.89782866579</v>
      </c>
      <c r="L865" s="2">
        <f>IF(B865&lt;&gt;B864,L864*(1+Dashboard!$G$5)+Dashboard!$G$6, L864)</f>
        <v>101094.95928415007</v>
      </c>
      <c r="M865">
        <f t="shared" si="83"/>
        <v>0</v>
      </c>
      <c r="N865">
        <f t="shared" si="80"/>
        <v>231.16966310649843</v>
      </c>
      <c r="O865">
        <f>IF(B865&lt;&gt;B864, Dashboard!$L$6,0)</f>
        <v>0</v>
      </c>
      <c r="P865">
        <f t="shared" si="81"/>
        <v>204.73858517456299</v>
      </c>
      <c r="Q865">
        <f>IF(B865&lt;&gt;B864,IF(F865&lt;=AVERAGE(F843:F864),Dashboard!$N$6-Dashboard!$G$7,Dashboard!$N$6+Dashboard!$G$7),0)</f>
        <v>0</v>
      </c>
      <c r="R865">
        <f t="shared" si="82"/>
        <v>203.76448870747728</v>
      </c>
    </row>
    <row r="866" spans="1:18" x14ac:dyDescent="0.3">
      <c r="A866" s="1">
        <v>45599</v>
      </c>
      <c r="B866">
        <v>3</v>
      </c>
      <c r="C866" s="19">
        <v>11</v>
      </c>
      <c r="D866" s="20">
        <v>2024</v>
      </c>
      <c r="E866" s="21">
        <f t="shared" si="78"/>
        <v>45362</v>
      </c>
      <c r="F866" s="20">
        <v>470</v>
      </c>
      <c r="G866" s="20">
        <v>5323866</v>
      </c>
      <c r="H866" s="20">
        <v>469.2</v>
      </c>
      <c r="I866" s="20">
        <v>470.45499999999998</v>
      </c>
      <c r="J866" s="22">
        <v>467.39</v>
      </c>
      <c r="K866" s="2">
        <f t="shared" si="79"/>
        <v>108649.74166005426</v>
      </c>
      <c r="L866" s="2">
        <f>IF(B866&lt;&gt;B865,L865*(1+Dashboard!$G$5)+Dashboard!$G$6, L865)</f>
        <v>101094.95928415007</v>
      </c>
      <c r="M866">
        <f t="shared" si="83"/>
        <v>0</v>
      </c>
      <c r="N866">
        <f t="shared" si="80"/>
        <v>231.16966310649843</v>
      </c>
      <c r="O866">
        <f>IF(B866&lt;&gt;B865, Dashboard!$L$6,0)</f>
        <v>0</v>
      </c>
      <c r="P866">
        <f t="shared" si="81"/>
        <v>204.73858517456299</v>
      </c>
      <c r="Q866">
        <f>IF(B866&lt;&gt;B865,IF(F866&lt;=AVERAGE(F844:F865),Dashboard!$N$6-Dashboard!$G$7,Dashboard!$N$6+Dashboard!$G$7),0)</f>
        <v>0</v>
      </c>
      <c r="R866">
        <f t="shared" si="82"/>
        <v>203.76448870747728</v>
      </c>
    </row>
    <row r="867" spans="1:18" x14ac:dyDescent="0.3">
      <c r="A867" s="1">
        <v>45629</v>
      </c>
      <c r="B867">
        <v>3</v>
      </c>
      <c r="C867" s="19">
        <v>12</v>
      </c>
      <c r="D867" s="20">
        <v>2024</v>
      </c>
      <c r="E867" s="21">
        <f t="shared" si="78"/>
        <v>45363</v>
      </c>
      <c r="F867" s="20">
        <v>475.03</v>
      </c>
      <c r="G867" s="20">
        <v>4811036</v>
      </c>
      <c r="H867" s="20">
        <v>471.92</v>
      </c>
      <c r="I867" s="20">
        <v>475.55</v>
      </c>
      <c r="J867" s="22">
        <v>469.57</v>
      </c>
      <c r="K867" s="2">
        <f t="shared" si="79"/>
        <v>109812.52506547995</v>
      </c>
      <c r="L867" s="2">
        <f>IF(B867&lt;&gt;B866,L866*(1+Dashboard!$G$5)+Dashboard!$G$6, L866)</f>
        <v>101094.95928415007</v>
      </c>
      <c r="M867">
        <f t="shared" si="83"/>
        <v>0</v>
      </c>
      <c r="N867">
        <f t="shared" si="80"/>
        <v>231.16966310649843</v>
      </c>
      <c r="O867">
        <f>IF(B867&lt;&gt;B866, Dashboard!$L$6,0)</f>
        <v>0</v>
      </c>
      <c r="P867">
        <f t="shared" si="81"/>
        <v>204.73858517456299</v>
      </c>
      <c r="Q867">
        <f>IF(B867&lt;&gt;B866,IF(F867&lt;=AVERAGE(F845:F866),Dashboard!$N$6-Dashboard!$G$7,Dashboard!$N$6+Dashboard!$G$7),0)</f>
        <v>0</v>
      </c>
      <c r="R867">
        <f t="shared" si="82"/>
        <v>203.76448870747728</v>
      </c>
    </row>
    <row r="868" spans="1:18" x14ac:dyDescent="0.3">
      <c r="A868" t="s">
        <v>236</v>
      </c>
      <c r="B868">
        <v>3</v>
      </c>
      <c r="C868" s="19">
        <v>13</v>
      </c>
      <c r="D868" s="20">
        <v>2024</v>
      </c>
      <c r="E868" s="21">
        <f t="shared" si="78"/>
        <v>45364</v>
      </c>
      <c r="F868" s="20">
        <v>474.31</v>
      </c>
      <c r="G868" s="20">
        <v>3544526</v>
      </c>
      <c r="H868" s="20">
        <v>475.31</v>
      </c>
      <c r="I868" s="20">
        <v>475.47</v>
      </c>
      <c r="J868" s="22">
        <v>472.9</v>
      </c>
      <c r="K868" s="2">
        <f t="shared" si="79"/>
        <v>109646.08290804327</v>
      </c>
      <c r="L868" s="2">
        <f>IF(B868&lt;&gt;B867,L867*(1+Dashboard!$G$5)+Dashboard!$G$6, L867)</f>
        <v>101094.95928415007</v>
      </c>
      <c r="M868">
        <f t="shared" si="83"/>
        <v>0</v>
      </c>
      <c r="N868">
        <f t="shared" si="80"/>
        <v>231.16966310649843</v>
      </c>
      <c r="O868">
        <f>IF(B868&lt;&gt;B867, Dashboard!$L$6,0)</f>
        <v>0</v>
      </c>
      <c r="P868">
        <f t="shared" si="81"/>
        <v>204.73858517456299</v>
      </c>
      <c r="Q868">
        <f>IF(B868&lt;&gt;B867,IF(F868&lt;=AVERAGE(F846:F867),Dashboard!$N$6-Dashboard!$G$7,Dashboard!$N$6+Dashboard!$G$7),0)</f>
        <v>0</v>
      </c>
      <c r="R868">
        <f t="shared" si="82"/>
        <v>203.76448870747728</v>
      </c>
    </row>
    <row r="869" spans="1:18" x14ac:dyDescent="0.3">
      <c r="A869" t="s">
        <v>235</v>
      </c>
      <c r="B869">
        <v>3</v>
      </c>
      <c r="C869" s="19">
        <v>14</v>
      </c>
      <c r="D869" s="20">
        <v>2024</v>
      </c>
      <c r="E869" s="21">
        <f t="shared" si="78"/>
        <v>45365</v>
      </c>
      <c r="F869" s="20">
        <v>473.27</v>
      </c>
      <c r="G869" s="20">
        <v>5152980</v>
      </c>
      <c r="H869" s="20">
        <v>475.16</v>
      </c>
      <c r="I869" s="20">
        <v>475.32499999999999</v>
      </c>
      <c r="J869" s="22">
        <v>470.45</v>
      </c>
      <c r="K869" s="2">
        <f t="shared" si="79"/>
        <v>109405.66645841251</v>
      </c>
      <c r="L869" s="2">
        <f>IF(B869&lt;&gt;B868,L868*(1+Dashboard!$G$5)+Dashboard!$G$6, L868)</f>
        <v>101094.95928415007</v>
      </c>
      <c r="M869">
        <f t="shared" si="83"/>
        <v>0</v>
      </c>
      <c r="N869">
        <f t="shared" si="80"/>
        <v>231.16966310649843</v>
      </c>
      <c r="O869">
        <f>IF(B869&lt;&gt;B868, Dashboard!$L$6,0)</f>
        <v>0</v>
      </c>
      <c r="P869">
        <f t="shared" si="81"/>
        <v>204.73858517456299</v>
      </c>
      <c r="Q869">
        <f>IF(B869&lt;&gt;B868,IF(F869&lt;=AVERAGE(F847:F868),Dashboard!$N$6-Dashboard!$G$7,Dashboard!$N$6+Dashboard!$G$7),0)</f>
        <v>0</v>
      </c>
      <c r="R869">
        <f t="shared" si="82"/>
        <v>203.76448870747728</v>
      </c>
    </row>
    <row r="870" spans="1:18" x14ac:dyDescent="0.3">
      <c r="A870" t="s">
        <v>234</v>
      </c>
      <c r="B870">
        <v>3</v>
      </c>
      <c r="C870" s="19">
        <v>15</v>
      </c>
      <c r="D870" s="20">
        <v>2024</v>
      </c>
      <c r="E870" s="21">
        <f t="shared" si="78"/>
        <v>45366</v>
      </c>
      <c r="F870" s="20">
        <v>470.01</v>
      </c>
      <c r="G870" s="20">
        <v>6807087</v>
      </c>
      <c r="H870" s="20">
        <v>470.41</v>
      </c>
      <c r="I870" s="20">
        <v>471.78140000000002</v>
      </c>
      <c r="J870" s="22">
        <v>468.7201</v>
      </c>
      <c r="K870" s="2">
        <f t="shared" si="79"/>
        <v>108652.05335668533</v>
      </c>
      <c r="L870" s="2">
        <f>IF(B870&lt;&gt;B869,L869*(1+Dashboard!$G$5)+Dashboard!$G$6, L869)</f>
        <v>101094.95928415007</v>
      </c>
      <c r="M870">
        <f t="shared" si="83"/>
        <v>0</v>
      </c>
      <c r="N870">
        <f t="shared" si="80"/>
        <v>231.16966310649843</v>
      </c>
      <c r="O870">
        <f>IF(B870&lt;&gt;B869, Dashboard!$L$6,0)</f>
        <v>0</v>
      </c>
      <c r="P870">
        <f t="shared" si="81"/>
        <v>204.73858517456299</v>
      </c>
      <c r="Q870">
        <f>IF(B870&lt;&gt;B869,IF(F870&lt;=AVERAGE(F848:F869),Dashboard!$N$6-Dashboard!$G$7,Dashboard!$N$6+Dashboard!$G$7),0)</f>
        <v>0</v>
      </c>
      <c r="R870">
        <f t="shared" si="82"/>
        <v>203.76448870747728</v>
      </c>
    </row>
    <row r="871" spans="1:18" x14ac:dyDescent="0.3">
      <c r="A871" t="s">
        <v>233</v>
      </c>
      <c r="B871">
        <v>3</v>
      </c>
      <c r="C871" s="19">
        <v>18</v>
      </c>
      <c r="D871" s="20">
        <v>2024</v>
      </c>
      <c r="E871" s="21">
        <f t="shared" si="78"/>
        <v>45369</v>
      </c>
      <c r="F871" s="20">
        <v>472.95</v>
      </c>
      <c r="G871" s="20">
        <v>3939105</v>
      </c>
      <c r="H871" s="20">
        <v>473.95</v>
      </c>
      <c r="I871" s="20">
        <v>475.279</v>
      </c>
      <c r="J871" s="22">
        <v>472.5</v>
      </c>
      <c r="K871" s="2">
        <f t="shared" si="79"/>
        <v>109331.69216621843</v>
      </c>
      <c r="L871" s="2">
        <f>IF(B871&lt;&gt;B870,L870*(1+Dashboard!$G$5)+Dashboard!$G$6, L870)</f>
        <v>101094.95928415007</v>
      </c>
      <c r="M871">
        <f t="shared" si="83"/>
        <v>0</v>
      </c>
      <c r="N871">
        <f t="shared" si="80"/>
        <v>231.16966310649843</v>
      </c>
      <c r="O871">
        <f>IF(B871&lt;&gt;B870, Dashboard!$L$6,0)</f>
        <v>0</v>
      </c>
      <c r="P871">
        <f t="shared" si="81"/>
        <v>204.73858517456299</v>
      </c>
      <c r="Q871">
        <f>IF(B871&lt;&gt;B870,IF(F871&lt;=AVERAGE(F849:F870),Dashboard!$N$6-Dashboard!$G$7,Dashboard!$N$6+Dashboard!$G$7),0)</f>
        <v>0</v>
      </c>
      <c r="R871">
        <f t="shared" si="82"/>
        <v>203.76448870747728</v>
      </c>
    </row>
    <row r="872" spans="1:18" x14ac:dyDescent="0.3">
      <c r="A872" t="s">
        <v>232</v>
      </c>
      <c r="B872">
        <v>3</v>
      </c>
      <c r="C872" s="19">
        <v>19</v>
      </c>
      <c r="D872" s="20">
        <v>2024</v>
      </c>
      <c r="E872" s="21">
        <f t="shared" si="78"/>
        <v>45370</v>
      </c>
      <c r="F872" s="20">
        <v>475.6</v>
      </c>
      <c r="G872" s="20">
        <v>4550248</v>
      </c>
      <c r="H872" s="20">
        <v>472.2</v>
      </c>
      <c r="I872" s="20">
        <v>475.74</v>
      </c>
      <c r="J872" s="22">
        <v>471.29</v>
      </c>
      <c r="K872" s="2">
        <f t="shared" si="79"/>
        <v>109944.29177345066</v>
      </c>
      <c r="L872" s="2">
        <f>IF(B872&lt;&gt;B871,L871*(1+Dashboard!$G$5)+Dashboard!$G$6, L871)</f>
        <v>101094.95928415007</v>
      </c>
      <c r="M872">
        <f t="shared" si="83"/>
        <v>0</v>
      </c>
      <c r="N872">
        <f t="shared" si="80"/>
        <v>231.16966310649843</v>
      </c>
      <c r="O872">
        <f>IF(B872&lt;&gt;B871, Dashboard!$L$6,0)</f>
        <v>0</v>
      </c>
      <c r="P872">
        <f t="shared" si="81"/>
        <v>204.73858517456299</v>
      </c>
      <c r="Q872">
        <f>IF(B872&lt;&gt;B871,IF(F872&lt;=AVERAGE(F850:F871),Dashboard!$N$6-Dashboard!$G$7,Dashboard!$N$6+Dashboard!$G$7),0)</f>
        <v>0</v>
      </c>
      <c r="R872">
        <f t="shared" si="82"/>
        <v>203.76448870747728</v>
      </c>
    </row>
    <row r="873" spans="1:18" x14ac:dyDescent="0.3">
      <c r="A873" t="s">
        <v>231</v>
      </c>
      <c r="B873">
        <v>3</v>
      </c>
      <c r="C873" s="19">
        <v>20</v>
      </c>
      <c r="D873" s="20">
        <v>2024</v>
      </c>
      <c r="E873" s="21">
        <f t="shared" si="78"/>
        <v>45371</v>
      </c>
      <c r="F873" s="20">
        <v>479.75</v>
      </c>
      <c r="G873" s="20">
        <v>6179356</v>
      </c>
      <c r="H873" s="20">
        <v>475.54</v>
      </c>
      <c r="I873" s="20">
        <v>480.02</v>
      </c>
      <c r="J873" s="22">
        <v>474.93</v>
      </c>
      <c r="K873" s="2">
        <f t="shared" si="79"/>
        <v>110903.64587534263</v>
      </c>
      <c r="L873" s="2">
        <f>IF(B873&lt;&gt;B872,L872*(1+Dashboard!$G$5)+Dashboard!$G$6, L872)</f>
        <v>101094.95928415007</v>
      </c>
      <c r="M873">
        <f t="shared" si="83"/>
        <v>0</v>
      </c>
      <c r="N873">
        <f t="shared" si="80"/>
        <v>231.16966310649843</v>
      </c>
      <c r="O873">
        <f>IF(B873&lt;&gt;B872, Dashboard!$L$6,0)</f>
        <v>0</v>
      </c>
      <c r="P873">
        <f t="shared" si="81"/>
        <v>204.73858517456299</v>
      </c>
      <c r="Q873">
        <f>IF(B873&lt;&gt;B872,IF(F873&lt;=AVERAGE(F851:F872),Dashboard!$N$6-Dashboard!$G$7,Dashboard!$N$6+Dashboard!$G$7),0)</f>
        <v>0</v>
      </c>
      <c r="R873">
        <f t="shared" si="82"/>
        <v>203.76448870747728</v>
      </c>
    </row>
    <row r="874" spans="1:18" x14ac:dyDescent="0.3">
      <c r="A874" t="s">
        <v>230</v>
      </c>
      <c r="B874">
        <v>3</v>
      </c>
      <c r="C874" s="19">
        <v>21</v>
      </c>
      <c r="D874" s="20">
        <v>2024</v>
      </c>
      <c r="E874" s="21">
        <f t="shared" si="78"/>
        <v>45372</v>
      </c>
      <c r="F874" s="20">
        <v>481.35</v>
      </c>
      <c r="G874" s="20">
        <v>5044680</v>
      </c>
      <c r="H874" s="20">
        <v>482.62</v>
      </c>
      <c r="I874" s="20">
        <v>483.23500000000001</v>
      </c>
      <c r="J874" s="22">
        <v>481.21</v>
      </c>
      <c r="K874" s="2">
        <f t="shared" si="79"/>
        <v>111273.51733631303</v>
      </c>
      <c r="L874" s="2">
        <f>IF(B874&lt;&gt;B873,L873*(1+Dashboard!$G$5)+Dashboard!$G$6, L873)</f>
        <v>101094.95928415007</v>
      </c>
      <c r="M874">
        <f t="shared" si="83"/>
        <v>0</v>
      </c>
      <c r="N874">
        <f t="shared" si="80"/>
        <v>231.16966310649843</v>
      </c>
      <c r="O874">
        <f>IF(B874&lt;&gt;B873, Dashboard!$L$6,0)</f>
        <v>0</v>
      </c>
      <c r="P874">
        <f t="shared" si="81"/>
        <v>204.73858517456299</v>
      </c>
      <c r="Q874">
        <f>IF(B874&lt;&gt;B873,IF(F874&lt;=AVERAGE(F852:F873),Dashboard!$N$6-Dashboard!$G$7,Dashboard!$N$6+Dashboard!$G$7),0)</f>
        <v>0</v>
      </c>
      <c r="R874">
        <f t="shared" si="82"/>
        <v>203.76448870747728</v>
      </c>
    </row>
    <row r="875" spans="1:18" x14ac:dyDescent="0.3">
      <c r="A875" t="s">
        <v>229</v>
      </c>
      <c r="B875">
        <v>3</v>
      </c>
      <c r="C875" s="19">
        <v>22</v>
      </c>
      <c r="D875" s="20">
        <v>2024</v>
      </c>
      <c r="E875" s="21">
        <f t="shared" si="78"/>
        <v>45373</v>
      </c>
      <c r="F875" s="20">
        <v>479.18</v>
      </c>
      <c r="G875" s="20">
        <v>5881503</v>
      </c>
      <c r="H875" s="20">
        <v>479.87</v>
      </c>
      <c r="I875" s="20">
        <v>480.32</v>
      </c>
      <c r="J875" s="22">
        <v>478.82</v>
      </c>
      <c r="K875" s="2">
        <f t="shared" si="79"/>
        <v>110771.87916737192</v>
      </c>
      <c r="L875" s="2">
        <f>IF(B875&lt;&gt;B874,L874*(1+Dashboard!$G$5)+Dashboard!$G$6, L874)</f>
        <v>101094.95928415007</v>
      </c>
      <c r="M875">
        <f t="shared" si="83"/>
        <v>0</v>
      </c>
      <c r="N875">
        <f t="shared" si="80"/>
        <v>231.16966310649843</v>
      </c>
      <c r="O875">
        <f>IF(B875&lt;&gt;B874, Dashboard!$L$6,0)</f>
        <v>0</v>
      </c>
      <c r="P875">
        <f t="shared" si="81"/>
        <v>204.73858517456299</v>
      </c>
      <c r="Q875">
        <f>IF(B875&lt;&gt;B874,IF(F875&lt;=AVERAGE(F853:F874),Dashboard!$N$6-Dashboard!$G$7,Dashboard!$N$6+Dashboard!$G$7),0)</f>
        <v>0</v>
      </c>
      <c r="R875">
        <f t="shared" si="82"/>
        <v>203.76448870747728</v>
      </c>
    </row>
    <row r="876" spans="1:18" x14ac:dyDescent="0.3">
      <c r="A876" t="s">
        <v>228</v>
      </c>
      <c r="B876">
        <v>3</v>
      </c>
      <c r="C876" s="19">
        <v>25</v>
      </c>
      <c r="D876" s="20">
        <v>2024</v>
      </c>
      <c r="E876" s="21">
        <f t="shared" si="78"/>
        <v>45376</v>
      </c>
      <c r="F876" s="20">
        <v>477.94</v>
      </c>
      <c r="G876" s="20">
        <v>6081277</v>
      </c>
      <c r="H876" s="20">
        <v>477.73</v>
      </c>
      <c r="I876" s="20">
        <v>478.79</v>
      </c>
      <c r="J876" s="22">
        <v>477.55</v>
      </c>
      <c r="K876" s="2">
        <f t="shared" si="79"/>
        <v>110485.22878511986</v>
      </c>
      <c r="L876" s="2">
        <f>IF(B876&lt;&gt;B875,L875*(1+Dashboard!$G$5)+Dashboard!$G$6, L875)</f>
        <v>101094.95928415007</v>
      </c>
      <c r="M876">
        <f t="shared" si="83"/>
        <v>0</v>
      </c>
      <c r="N876">
        <f t="shared" si="80"/>
        <v>231.16966310649843</v>
      </c>
      <c r="O876">
        <f>IF(B876&lt;&gt;B875, Dashboard!$L$6,0)</f>
        <v>0</v>
      </c>
      <c r="P876">
        <f t="shared" si="81"/>
        <v>204.73858517456299</v>
      </c>
      <c r="Q876">
        <f>IF(B876&lt;&gt;B875,IF(F876&lt;=AVERAGE(F854:F875),Dashboard!$N$6-Dashboard!$G$7,Dashboard!$N$6+Dashboard!$G$7),0)</f>
        <v>0</v>
      </c>
      <c r="R876">
        <f t="shared" si="82"/>
        <v>203.76448870747728</v>
      </c>
    </row>
    <row r="877" spans="1:18" x14ac:dyDescent="0.3">
      <c r="A877" t="s">
        <v>227</v>
      </c>
      <c r="B877">
        <v>3</v>
      </c>
      <c r="C877" s="19">
        <v>26</v>
      </c>
      <c r="D877" s="20">
        <v>2024</v>
      </c>
      <c r="E877" s="21">
        <f t="shared" si="78"/>
        <v>45377</v>
      </c>
      <c r="F877" s="20">
        <v>476.6</v>
      </c>
      <c r="G877" s="20">
        <v>8073502</v>
      </c>
      <c r="H877" s="20">
        <v>479.06</v>
      </c>
      <c r="I877" s="20">
        <v>479.37</v>
      </c>
      <c r="J877" s="22">
        <v>476.43</v>
      </c>
      <c r="K877" s="2">
        <f t="shared" si="79"/>
        <v>110175.46143655716</v>
      </c>
      <c r="L877" s="2">
        <f>IF(B877&lt;&gt;B876,L876*(1+Dashboard!$G$5)+Dashboard!$G$6, L876)</f>
        <v>101094.95928415007</v>
      </c>
      <c r="M877">
        <f t="shared" si="83"/>
        <v>0</v>
      </c>
      <c r="N877">
        <f t="shared" si="80"/>
        <v>231.16966310649843</v>
      </c>
      <c r="O877">
        <f>IF(B877&lt;&gt;B876, Dashboard!$L$6,0)</f>
        <v>0</v>
      </c>
      <c r="P877">
        <f t="shared" si="81"/>
        <v>204.73858517456299</v>
      </c>
      <c r="Q877">
        <f>IF(B877&lt;&gt;B876,IF(F877&lt;=AVERAGE(F855:F876),Dashboard!$N$6-Dashboard!$G$7,Dashboard!$N$6+Dashboard!$G$7),0)</f>
        <v>0</v>
      </c>
      <c r="R877">
        <f t="shared" si="82"/>
        <v>203.76448870747728</v>
      </c>
    </row>
    <row r="878" spans="1:18" x14ac:dyDescent="0.3">
      <c r="A878" t="s">
        <v>226</v>
      </c>
      <c r="B878">
        <v>3</v>
      </c>
      <c r="C878" s="19">
        <v>27</v>
      </c>
      <c r="D878" s="20">
        <v>2024</v>
      </c>
      <c r="E878" s="21">
        <f t="shared" si="78"/>
        <v>45378</v>
      </c>
      <c r="F878" s="20">
        <v>480.76</v>
      </c>
      <c r="G878" s="20">
        <v>4951429</v>
      </c>
      <c r="H878" s="20">
        <v>479.51</v>
      </c>
      <c r="I878" s="20">
        <v>480.87</v>
      </c>
      <c r="J878" s="22">
        <v>477.45</v>
      </c>
      <c r="K878" s="2">
        <f t="shared" si="79"/>
        <v>111137.12723508019</v>
      </c>
      <c r="L878" s="2">
        <f>IF(B878&lt;&gt;B877,L877*(1+Dashboard!$G$5)+Dashboard!$G$6, L877)</f>
        <v>101094.95928415007</v>
      </c>
      <c r="M878">
        <f t="shared" si="83"/>
        <v>0</v>
      </c>
      <c r="N878">
        <f t="shared" si="80"/>
        <v>231.16966310649843</v>
      </c>
      <c r="O878">
        <f>IF(B878&lt;&gt;B877, Dashboard!$L$6,0)</f>
        <v>0</v>
      </c>
      <c r="P878">
        <f t="shared" si="81"/>
        <v>204.73858517456299</v>
      </c>
      <c r="Q878">
        <f>IF(B878&lt;&gt;B877,IF(F878&lt;=AVERAGE(F856:F877),Dashboard!$N$6-Dashboard!$G$7,Dashboard!$N$6+Dashboard!$G$7),0)</f>
        <v>0</v>
      </c>
      <c r="R878">
        <f t="shared" si="82"/>
        <v>203.76448870747728</v>
      </c>
    </row>
    <row r="879" spans="1:18" x14ac:dyDescent="0.3">
      <c r="A879" t="s">
        <v>225</v>
      </c>
      <c r="B879">
        <v>3</v>
      </c>
      <c r="C879" s="19">
        <v>28</v>
      </c>
      <c r="D879" s="20">
        <v>2024</v>
      </c>
      <c r="E879" s="21">
        <f t="shared" si="78"/>
        <v>45379</v>
      </c>
      <c r="F879" s="20">
        <v>480.7</v>
      </c>
      <c r="G879" s="20">
        <v>4065018</v>
      </c>
      <c r="H879" s="20">
        <v>480.87</v>
      </c>
      <c r="I879" s="20">
        <v>482.15980000000002</v>
      </c>
      <c r="J879" s="22">
        <v>480.5034</v>
      </c>
      <c r="K879" s="2">
        <f t="shared" si="79"/>
        <v>111123.2570552938</v>
      </c>
      <c r="L879" s="2">
        <f>IF(B879&lt;&gt;B878,L878*(1+Dashboard!$G$5)+Dashboard!$G$6, L878)</f>
        <v>101094.95928415007</v>
      </c>
      <c r="M879">
        <f t="shared" si="83"/>
        <v>0</v>
      </c>
      <c r="N879">
        <f t="shared" si="80"/>
        <v>231.16966310649843</v>
      </c>
      <c r="O879">
        <f>IF(B879&lt;&gt;B878, Dashboard!$L$6,0)</f>
        <v>0</v>
      </c>
      <c r="P879">
        <f t="shared" si="81"/>
        <v>204.73858517456299</v>
      </c>
      <c r="Q879">
        <f>IF(B879&lt;&gt;B878,IF(F879&lt;=AVERAGE(F857:F878),Dashboard!$N$6-Dashboard!$G$7,Dashboard!$N$6+Dashboard!$G$7),0)</f>
        <v>0</v>
      </c>
      <c r="R879">
        <f t="shared" si="82"/>
        <v>203.76448870747728</v>
      </c>
    </row>
    <row r="880" spans="1:18" x14ac:dyDescent="0.3">
      <c r="A880" s="1">
        <v>45295</v>
      </c>
      <c r="B880">
        <v>4</v>
      </c>
      <c r="C880" s="19">
        <v>1</v>
      </c>
      <c r="D880" s="20">
        <v>2024</v>
      </c>
      <c r="E880" s="21">
        <f t="shared" si="78"/>
        <v>45383</v>
      </c>
      <c r="F880" s="20">
        <v>480.07</v>
      </c>
      <c r="G880" s="20">
        <v>5733960</v>
      </c>
      <c r="H880" s="20">
        <v>481.44</v>
      </c>
      <c r="I880" s="20">
        <v>481.96</v>
      </c>
      <c r="J880" s="22">
        <v>478.83</v>
      </c>
      <c r="K880" s="2">
        <f t="shared" si="79"/>
        <v>110977.6201675367</v>
      </c>
      <c r="L880" s="2">
        <f>IF(B880&lt;&gt;B879,L879*(1+Dashboard!$G$5)+Dashboard!$G$6, L879)</f>
        <v>103984.59492585059</v>
      </c>
      <c r="M880">
        <f t="shared" si="83"/>
        <v>0</v>
      </c>
      <c r="N880">
        <f t="shared" si="80"/>
        <v>231.16966310649843</v>
      </c>
      <c r="O880">
        <f>IF(B880&lt;&gt;B879, Dashboard!$L$6,0)</f>
        <v>1859.7282542371197</v>
      </c>
      <c r="P880">
        <f t="shared" si="81"/>
        <v>208.61245409833893</v>
      </c>
      <c r="Q880">
        <f>IF(B880&lt;&gt;B879,IF(F880&lt;=AVERAGE(F858:F879),Dashboard!$N$6-Dashboard!$G$7,Dashboard!$N$6+Dashboard!$G$7),0)</f>
        <v>2232.609610169322</v>
      </c>
      <c r="R880">
        <f t="shared" si="82"/>
        <v>208.40184665482133</v>
      </c>
    </row>
    <row r="881" spans="1:18" x14ac:dyDescent="0.3">
      <c r="A881" s="1">
        <v>45326</v>
      </c>
      <c r="B881">
        <v>4</v>
      </c>
      <c r="C881" s="19">
        <v>2</v>
      </c>
      <c r="D881" s="20">
        <v>2024</v>
      </c>
      <c r="E881" s="21">
        <f t="shared" si="78"/>
        <v>45384</v>
      </c>
      <c r="F881" s="20">
        <v>476.93</v>
      </c>
      <c r="G881" s="20">
        <v>4817822</v>
      </c>
      <c r="H881" s="20">
        <v>476.33</v>
      </c>
      <c r="I881" s="20">
        <v>476.99</v>
      </c>
      <c r="J881" s="22">
        <v>474.71</v>
      </c>
      <c r="K881" s="2">
        <f t="shared" si="79"/>
        <v>110251.7474253823</v>
      </c>
      <c r="L881" s="2">
        <f>IF(B881&lt;&gt;B880,L880*(1+Dashboard!$G$5)+Dashboard!$G$6, L880)</f>
        <v>103984.59492585059</v>
      </c>
      <c r="M881">
        <f t="shared" si="83"/>
        <v>0</v>
      </c>
      <c r="N881">
        <f t="shared" si="80"/>
        <v>231.16966310649843</v>
      </c>
      <c r="O881">
        <f>IF(B881&lt;&gt;B880, Dashboard!$L$6,0)</f>
        <v>0</v>
      </c>
      <c r="P881">
        <f t="shared" si="81"/>
        <v>208.61245409833893</v>
      </c>
      <c r="Q881">
        <f>IF(B881&lt;&gt;B880,IF(F881&lt;=AVERAGE(F859:F880),Dashboard!$N$6-Dashboard!$G$7,Dashboard!$N$6+Dashboard!$G$7),0)</f>
        <v>0</v>
      </c>
      <c r="R881">
        <f t="shared" si="82"/>
        <v>208.40184665482133</v>
      </c>
    </row>
    <row r="882" spans="1:18" x14ac:dyDescent="0.3">
      <c r="A882" s="1">
        <v>45355</v>
      </c>
      <c r="B882">
        <v>4</v>
      </c>
      <c r="C882" s="19">
        <v>3</v>
      </c>
      <c r="D882" s="20">
        <v>2024</v>
      </c>
      <c r="E882" s="21">
        <f t="shared" si="78"/>
        <v>45385</v>
      </c>
      <c r="F882" s="20">
        <v>477.36</v>
      </c>
      <c r="G882" s="20">
        <v>6224812</v>
      </c>
      <c r="H882" s="20">
        <v>475.84</v>
      </c>
      <c r="I882" s="20">
        <v>478.80200000000002</v>
      </c>
      <c r="J882" s="22">
        <v>475.79</v>
      </c>
      <c r="K882" s="2">
        <f t="shared" si="79"/>
        <v>110351.1503805181</v>
      </c>
      <c r="L882" s="2">
        <f>IF(B882&lt;&gt;B881,L881*(1+Dashboard!$G$5)+Dashboard!$G$6, L881)</f>
        <v>103984.59492585059</v>
      </c>
      <c r="M882">
        <f t="shared" si="83"/>
        <v>0</v>
      </c>
      <c r="N882">
        <f t="shared" si="80"/>
        <v>231.16966310649843</v>
      </c>
      <c r="O882">
        <f>IF(B882&lt;&gt;B881, Dashboard!$L$6,0)</f>
        <v>0</v>
      </c>
      <c r="P882">
        <f t="shared" si="81"/>
        <v>208.61245409833893</v>
      </c>
      <c r="Q882">
        <f>IF(B882&lt;&gt;B881,IF(F882&lt;=AVERAGE(F860:F881),Dashboard!$N$6-Dashboard!$G$7,Dashboard!$N$6+Dashboard!$G$7),0)</f>
        <v>0</v>
      </c>
      <c r="R882">
        <f t="shared" si="82"/>
        <v>208.40184665482133</v>
      </c>
    </row>
    <row r="883" spans="1:18" x14ac:dyDescent="0.3">
      <c r="A883" s="1">
        <v>45386</v>
      </c>
      <c r="B883">
        <v>4</v>
      </c>
      <c r="C883" s="19">
        <v>4</v>
      </c>
      <c r="D883" s="20">
        <v>2024</v>
      </c>
      <c r="E883" s="21">
        <f t="shared" si="78"/>
        <v>45386</v>
      </c>
      <c r="F883" s="20">
        <v>471.48</v>
      </c>
      <c r="G883" s="20">
        <v>6871190</v>
      </c>
      <c r="H883" s="20">
        <v>481.2</v>
      </c>
      <c r="I883" s="20">
        <v>481.48</v>
      </c>
      <c r="J883" s="22">
        <v>471.27</v>
      </c>
      <c r="K883" s="2">
        <f t="shared" si="79"/>
        <v>108991.87276145189</v>
      </c>
      <c r="L883" s="2">
        <f>IF(B883&lt;&gt;B882,L882*(1+Dashboard!$G$5)+Dashboard!$G$6, L882)</f>
        <v>103984.59492585059</v>
      </c>
      <c r="M883">
        <f t="shared" si="83"/>
        <v>0</v>
      </c>
      <c r="N883">
        <f t="shared" si="80"/>
        <v>231.16966310649843</v>
      </c>
      <c r="O883">
        <f>IF(B883&lt;&gt;B882, Dashboard!$L$6,0)</f>
        <v>0</v>
      </c>
      <c r="P883">
        <f t="shared" si="81"/>
        <v>208.61245409833893</v>
      </c>
      <c r="Q883">
        <f>IF(B883&lt;&gt;B882,IF(F883&lt;=AVERAGE(F861:F882),Dashboard!$N$6-Dashboard!$G$7,Dashboard!$N$6+Dashboard!$G$7),0)</f>
        <v>0</v>
      </c>
      <c r="R883">
        <f t="shared" si="82"/>
        <v>208.40184665482133</v>
      </c>
    </row>
    <row r="884" spans="1:18" x14ac:dyDescent="0.3">
      <c r="A884" s="1">
        <v>45416</v>
      </c>
      <c r="B884">
        <v>4</v>
      </c>
      <c r="C884" s="19">
        <v>5</v>
      </c>
      <c r="D884" s="20">
        <v>2024</v>
      </c>
      <c r="E884" s="21">
        <f t="shared" si="78"/>
        <v>45387</v>
      </c>
      <c r="F884" s="20">
        <v>476.49</v>
      </c>
      <c r="G884" s="20">
        <v>5588160</v>
      </c>
      <c r="H884" s="20">
        <v>472.85</v>
      </c>
      <c r="I884" s="20">
        <v>478.33</v>
      </c>
      <c r="J884" s="22">
        <v>472.42</v>
      </c>
      <c r="K884" s="2">
        <f t="shared" si="79"/>
        <v>110150.03277361544</v>
      </c>
      <c r="L884" s="2">
        <f>IF(B884&lt;&gt;B883,L883*(1+Dashboard!$G$5)+Dashboard!$G$6, L883)</f>
        <v>103984.59492585059</v>
      </c>
      <c r="M884">
        <f t="shared" si="83"/>
        <v>0</v>
      </c>
      <c r="N884">
        <f t="shared" si="80"/>
        <v>231.16966310649843</v>
      </c>
      <c r="O884">
        <f>IF(B884&lt;&gt;B883, Dashboard!$L$6,0)</f>
        <v>0</v>
      </c>
      <c r="P884">
        <f t="shared" si="81"/>
        <v>208.61245409833893</v>
      </c>
      <c r="Q884">
        <f>IF(B884&lt;&gt;B883,IF(F884&lt;=AVERAGE(F862:F883),Dashboard!$N$6-Dashboard!$G$7,Dashboard!$N$6+Dashboard!$G$7),0)</f>
        <v>0</v>
      </c>
      <c r="R884">
        <f t="shared" si="82"/>
        <v>208.40184665482133</v>
      </c>
    </row>
    <row r="885" spans="1:18" x14ac:dyDescent="0.3">
      <c r="A885" s="1">
        <v>45508</v>
      </c>
      <c r="B885">
        <v>4</v>
      </c>
      <c r="C885" s="19">
        <v>8</v>
      </c>
      <c r="D885" s="20">
        <v>2024</v>
      </c>
      <c r="E885" s="21">
        <f t="shared" si="78"/>
        <v>45390</v>
      </c>
      <c r="F885" s="20">
        <v>476.68</v>
      </c>
      <c r="G885" s="20">
        <v>4736778</v>
      </c>
      <c r="H885" s="20">
        <v>477.15</v>
      </c>
      <c r="I885" s="20">
        <v>478.07</v>
      </c>
      <c r="J885" s="22">
        <v>475.97</v>
      </c>
      <c r="K885" s="2">
        <f t="shared" si="79"/>
        <v>110193.95500960568</v>
      </c>
      <c r="L885" s="2">
        <f>IF(B885&lt;&gt;B884,L884*(1+Dashboard!$G$5)+Dashboard!$G$6, L884)</f>
        <v>103984.59492585059</v>
      </c>
      <c r="M885">
        <f t="shared" si="83"/>
        <v>0</v>
      </c>
      <c r="N885">
        <f t="shared" si="80"/>
        <v>231.16966310649843</v>
      </c>
      <c r="O885">
        <f>IF(B885&lt;&gt;B884, Dashboard!$L$6,0)</f>
        <v>0</v>
      </c>
      <c r="P885">
        <f t="shared" si="81"/>
        <v>208.61245409833893</v>
      </c>
      <c r="Q885">
        <f>IF(B885&lt;&gt;B884,IF(F885&lt;=AVERAGE(F863:F884),Dashboard!$N$6-Dashboard!$G$7,Dashboard!$N$6+Dashboard!$G$7),0)</f>
        <v>0</v>
      </c>
      <c r="R885">
        <f t="shared" si="82"/>
        <v>208.40184665482133</v>
      </c>
    </row>
    <row r="886" spans="1:18" x14ac:dyDescent="0.3">
      <c r="A886" s="1">
        <v>45539</v>
      </c>
      <c r="B886">
        <v>4</v>
      </c>
      <c r="C886" s="19">
        <v>9</v>
      </c>
      <c r="D886" s="20">
        <v>2024</v>
      </c>
      <c r="E886" s="21">
        <f t="shared" si="78"/>
        <v>45391</v>
      </c>
      <c r="F886" s="20">
        <v>477.27</v>
      </c>
      <c r="G886" s="20">
        <v>5254191</v>
      </c>
      <c r="H886" s="20">
        <v>478.38</v>
      </c>
      <c r="I886" s="20">
        <v>478.6</v>
      </c>
      <c r="J886" s="22">
        <v>472.74</v>
      </c>
      <c r="K886" s="2">
        <f t="shared" si="79"/>
        <v>110330.34511083851</v>
      </c>
      <c r="L886" s="2">
        <f>IF(B886&lt;&gt;B885,L885*(1+Dashboard!$G$5)+Dashboard!$G$6, L885)</f>
        <v>103984.59492585059</v>
      </c>
      <c r="M886">
        <f t="shared" si="83"/>
        <v>0</v>
      </c>
      <c r="N886">
        <f t="shared" si="80"/>
        <v>231.16966310649843</v>
      </c>
      <c r="O886">
        <f>IF(B886&lt;&gt;B885, Dashboard!$L$6,0)</f>
        <v>0</v>
      </c>
      <c r="P886">
        <f t="shared" si="81"/>
        <v>208.61245409833893</v>
      </c>
      <c r="Q886">
        <f>IF(B886&lt;&gt;B885,IF(F886&lt;=AVERAGE(F864:F885),Dashboard!$N$6-Dashboard!$G$7,Dashboard!$N$6+Dashboard!$G$7),0)</f>
        <v>0</v>
      </c>
      <c r="R886">
        <f t="shared" si="82"/>
        <v>208.40184665482133</v>
      </c>
    </row>
    <row r="887" spans="1:18" x14ac:dyDescent="0.3">
      <c r="A887" s="1">
        <v>45569</v>
      </c>
      <c r="B887">
        <v>4</v>
      </c>
      <c r="C887" s="19">
        <v>10</v>
      </c>
      <c r="D887" s="20">
        <v>2024</v>
      </c>
      <c r="E887" s="21">
        <f t="shared" si="78"/>
        <v>45392</v>
      </c>
      <c r="F887" s="20">
        <v>472.65</v>
      </c>
      <c r="G887" s="20">
        <v>6933388</v>
      </c>
      <c r="H887" s="20">
        <v>471.91</v>
      </c>
      <c r="I887" s="20">
        <v>474.39</v>
      </c>
      <c r="J887" s="22">
        <v>470.67</v>
      </c>
      <c r="K887" s="2">
        <f t="shared" si="79"/>
        <v>109262.34126728648</v>
      </c>
      <c r="L887" s="2">
        <f>IF(B887&lt;&gt;B886,L886*(1+Dashboard!$G$5)+Dashboard!$G$6, L886)</f>
        <v>103984.59492585059</v>
      </c>
      <c r="M887">
        <f t="shared" si="83"/>
        <v>0</v>
      </c>
      <c r="N887">
        <f t="shared" si="80"/>
        <v>231.16966310649843</v>
      </c>
      <c r="O887">
        <f>IF(B887&lt;&gt;B886, Dashboard!$L$6,0)</f>
        <v>0</v>
      </c>
      <c r="P887">
        <f t="shared" si="81"/>
        <v>208.61245409833893</v>
      </c>
      <c r="Q887">
        <f>IF(B887&lt;&gt;B886,IF(F887&lt;=AVERAGE(F865:F886),Dashboard!$N$6-Dashboard!$G$7,Dashboard!$N$6+Dashboard!$G$7),0)</f>
        <v>0</v>
      </c>
      <c r="R887">
        <f t="shared" si="82"/>
        <v>208.40184665482133</v>
      </c>
    </row>
    <row r="888" spans="1:18" x14ac:dyDescent="0.3">
      <c r="A888" s="1">
        <v>45600</v>
      </c>
      <c r="B888">
        <v>4</v>
      </c>
      <c r="C888" s="19">
        <v>11</v>
      </c>
      <c r="D888" s="20">
        <v>2024</v>
      </c>
      <c r="E888" s="21">
        <f t="shared" si="78"/>
        <v>45393</v>
      </c>
      <c r="F888" s="20">
        <v>476.06</v>
      </c>
      <c r="G888" s="20">
        <v>5109901</v>
      </c>
      <c r="H888" s="20">
        <v>473.98</v>
      </c>
      <c r="I888" s="20">
        <v>477.43</v>
      </c>
      <c r="J888" s="22">
        <v>470.67</v>
      </c>
      <c r="K888" s="2">
        <f t="shared" si="79"/>
        <v>110050.62981847965</v>
      </c>
      <c r="L888" s="2">
        <f>IF(B888&lt;&gt;B887,L887*(1+Dashboard!$G$5)+Dashboard!$G$6, L887)</f>
        <v>103984.59492585059</v>
      </c>
      <c r="M888">
        <f t="shared" si="83"/>
        <v>0</v>
      </c>
      <c r="N888">
        <f t="shared" si="80"/>
        <v>231.16966310649843</v>
      </c>
      <c r="O888">
        <f>IF(B888&lt;&gt;B887, Dashboard!$L$6,0)</f>
        <v>0</v>
      </c>
      <c r="P888">
        <f t="shared" si="81"/>
        <v>208.61245409833893</v>
      </c>
      <c r="Q888">
        <f>IF(B888&lt;&gt;B887,IF(F888&lt;=AVERAGE(F866:F887),Dashboard!$N$6-Dashboard!$G$7,Dashboard!$N$6+Dashboard!$G$7),0)</f>
        <v>0</v>
      </c>
      <c r="R888">
        <f t="shared" si="82"/>
        <v>208.40184665482133</v>
      </c>
    </row>
    <row r="889" spans="1:18" x14ac:dyDescent="0.3">
      <c r="A889" s="1">
        <v>45630</v>
      </c>
      <c r="B889">
        <v>4</v>
      </c>
      <c r="C889" s="19">
        <v>12</v>
      </c>
      <c r="D889" s="20">
        <v>2024</v>
      </c>
      <c r="E889" s="21">
        <f t="shared" si="78"/>
        <v>45394</v>
      </c>
      <c r="F889" s="20">
        <v>469.57</v>
      </c>
      <c r="G889" s="20">
        <v>6959723</v>
      </c>
      <c r="H889" s="20">
        <v>472.77</v>
      </c>
      <c r="I889" s="20">
        <v>474.05</v>
      </c>
      <c r="J889" s="22">
        <v>467.91</v>
      </c>
      <c r="K889" s="2">
        <f t="shared" si="79"/>
        <v>108550.33870491847</v>
      </c>
      <c r="L889" s="2">
        <f>IF(B889&lt;&gt;B888,L888*(1+Dashboard!$G$5)+Dashboard!$G$6, L888)</f>
        <v>103984.59492585059</v>
      </c>
      <c r="M889">
        <f t="shared" si="83"/>
        <v>0</v>
      </c>
      <c r="N889">
        <f t="shared" si="80"/>
        <v>231.16966310649843</v>
      </c>
      <c r="O889">
        <f>IF(B889&lt;&gt;B888, Dashboard!$L$6,0)</f>
        <v>0</v>
      </c>
      <c r="P889">
        <f t="shared" si="81"/>
        <v>208.61245409833893</v>
      </c>
      <c r="Q889">
        <f>IF(B889&lt;&gt;B888,IF(F889&lt;=AVERAGE(F867:F888),Dashboard!$N$6-Dashboard!$G$7,Dashboard!$N$6+Dashboard!$G$7),0)</f>
        <v>0</v>
      </c>
      <c r="R889">
        <f t="shared" si="82"/>
        <v>208.40184665482133</v>
      </c>
    </row>
    <row r="890" spans="1:18" x14ac:dyDescent="0.3">
      <c r="A890" t="s">
        <v>224</v>
      </c>
      <c r="B890">
        <v>4</v>
      </c>
      <c r="C890" s="19">
        <v>15</v>
      </c>
      <c r="D890" s="20">
        <v>2024</v>
      </c>
      <c r="E890" s="21">
        <f t="shared" si="78"/>
        <v>45397</v>
      </c>
      <c r="F890" s="20">
        <v>463.61</v>
      </c>
      <c r="G890" s="20">
        <v>9530044</v>
      </c>
      <c r="H890" s="20">
        <v>473.47</v>
      </c>
      <c r="I890" s="20">
        <v>473.59</v>
      </c>
      <c r="J890" s="22">
        <v>462.85</v>
      </c>
      <c r="K890" s="2">
        <f t="shared" si="79"/>
        <v>107172.56751280374</v>
      </c>
      <c r="L890" s="2">
        <f>IF(B890&lt;&gt;B889,L889*(1+Dashboard!$G$5)+Dashboard!$G$6, L889)</f>
        <v>103984.59492585059</v>
      </c>
      <c r="M890">
        <f t="shared" si="83"/>
        <v>0</v>
      </c>
      <c r="N890">
        <f t="shared" si="80"/>
        <v>231.16966310649843</v>
      </c>
      <c r="O890">
        <f>IF(B890&lt;&gt;B889, Dashboard!$L$6,0)</f>
        <v>0</v>
      </c>
      <c r="P890">
        <f t="shared" si="81"/>
        <v>208.61245409833893</v>
      </c>
      <c r="Q890">
        <f>IF(B890&lt;&gt;B889,IF(F890&lt;=AVERAGE(F868:F889),Dashboard!$N$6-Dashboard!$G$7,Dashboard!$N$6+Dashboard!$G$7),0)</f>
        <v>0</v>
      </c>
      <c r="R890">
        <f t="shared" si="82"/>
        <v>208.40184665482133</v>
      </c>
    </row>
    <row r="891" spans="1:18" x14ac:dyDescent="0.3">
      <c r="A891" t="s">
        <v>223</v>
      </c>
      <c r="B891">
        <v>4</v>
      </c>
      <c r="C891" s="19">
        <v>16</v>
      </c>
      <c r="D891" s="20">
        <v>2024</v>
      </c>
      <c r="E891" s="21">
        <f t="shared" si="78"/>
        <v>45398</v>
      </c>
      <c r="F891" s="20">
        <v>462.78</v>
      </c>
      <c r="G891" s="20">
        <v>6761419</v>
      </c>
      <c r="H891" s="20">
        <v>464.05</v>
      </c>
      <c r="I891" s="20">
        <v>465.51</v>
      </c>
      <c r="J891" s="22">
        <v>461.59</v>
      </c>
      <c r="K891" s="2">
        <f t="shared" si="79"/>
        <v>106980.69669242534</v>
      </c>
      <c r="L891" s="2">
        <f>IF(B891&lt;&gt;B890,L890*(1+Dashboard!$G$5)+Dashboard!$G$6, L890)</f>
        <v>103984.59492585059</v>
      </c>
      <c r="M891">
        <f t="shared" si="83"/>
        <v>0</v>
      </c>
      <c r="N891">
        <f t="shared" si="80"/>
        <v>231.16966310649843</v>
      </c>
      <c r="O891">
        <f>IF(B891&lt;&gt;B890, Dashboard!$L$6,0)</f>
        <v>0</v>
      </c>
      <c r="P891">
        <f t="shared" si="81"/>
        <v>208.61245409833893</v>
      </c>
      <c r="Q891">
        <f>IF(B891&lt;&gt;B890,IF(F891&lt;=AVERAGE(F869:F890),Dashboard!$N$6-Dashboard!$G$7,Dashboard!$N$6+Dashboard!$G$7),0)</f>
        <v>0</v>
      </c>
      <c r="R891">
        <f t="shared" si="82"/>
        <v>208.40184665482133</v>
      </c>
    </row>
    <row r="892" spans="1:18" x14ac:dyDescent="0.3">
      <c r="A892" t="s">
        <v>222</v>
      </c>
      <c r="B892">
        <v>4</v>
      </c>
      <c r="C892" s="19">
        <v>17</v>
      </c>
      <c r="D892" s="20">
        <v>2024</v>
      </c>
      <c r="E892" s="21">
        <f t="shared" si="78"/>
        <v>45399</v>
      </c>
      <c r="F892" s="20">
        <v>459.99</v>
      </c>
      <c r="G892" s="20">
        <v>7156229</v>
      </c>
      <c r="H892" s="20">
        <v>465.11</v>
      </c>
      <c r="I892" s="20">
        <v>465.24</v>
      </c>
      <c r="J892" s="22">
        <v>458.73</v>
      </c>
      <c r="K892" s="2">
        <f t="shared" si="79"/>
        <v>106335.73333235821</v>
      </c>
      <c r="L892" s="2">
        <f>IF(B892&lt;&gt;B891,L891*(1+Dashboard!$G$5)+Dashboard!$G$6, L891)</f>
        <v>103984.59492585059</v>
      </c>
      <c r="M892">
        <f t="shared" si="83"/>
        <v>0</v>
      </c>
      <c r="N892">
        <f t="shared" si="80"/>
        <v>231.16966310649843</v>
      </c>
      <c r="O892">
        <f>IF(B892&lt;&gt;B891, Dashboard!$L$6,0)</f>
        <v>0</v>
      </c>
      <c r="P892">
        <f t="shared" si="81"/>
        <v>208.61245409833893</v>
      </c>
      <c r="Q892">
        <f>IF(B892&lt;&gt;B891,IF(F892&lt;=AVERAGE(F870:F891),Dashboard!$N$6-Dashboard!$G$7,Dashboard!$N$6+Dashboard!$G$7),0)</f>
        <v>0</v>
      </c>
      <c r="R892">
        <f t="shared" si="82"/>
        <v>208.40184665482133</v>
      </c>
    </row>
    <row r="893" spans="1:18" x14ac:dyDescent="0.3">
      <c r="A893" t="s">
        <v>221</v>
      </c>
      <c r="B893">
        <v>4</v>
      </c>
      <c r="C893" s="19">
        <v>18</v>
      </c>
      <c r="D893" s="20">
        <v>2024</v>
      </c>
      <c r="E893" s="21">
        <f t="shared" si="78"/>
        <v>45400</v>
      </c>
      <c r="F893" s="20">
        <v>458.94</v>
      </c>
      <c r="G893" s="20">
        <v>5637286</v>
      </c>
      <c r="H893" s="20">
        <v>461.36</v>
      </c>
      <c r="I893" s="20">
        <v>463.3</v>
      </c>
      <c r="J893" s="22">
        <v>458.21</v>
      </c>
      <c r="K893" s="2">
        <f t="shared" si="79"/>
        <v>106093.00518609639</v>
      </c>
      <c r="L893" s="2">
        <f>IF(B893&lt;&gt;B892,L892*(1+Dashboard!$G$5)+Dashboard!$G$6, L892)</f>
        <v>103984.59492585059</v>
      </c>
      <c r="M893">
        <f t="shared" si="83"/>
        <v>0</v>
      </c>
      <c r="N893">
        <f t="shared" si="80"/>
        <v>231.16966310649843</v>
      </c>
      <c r="O893">
        <f>IF(B893&lt;&gt;B892, Dashboard!$L$6,0)</f>
        <v>0</v>
      </c>
      <c r="P893">
        <f t="shared" si="81"/>
        <v>208.61245409833893</v>
      </c>
      <c r="Q893">
        <f>IF(B893&lt;&gt;B892,IF(F893&lt;=AVERAGE(F871:F892),Dashboard!$N$6-Dashboard!$G$7,Dashboard!$N$6+Dashboard!$G$7),0)</f>
        <v>0</v>
      </c>
      <c r="R893">
        <f t="shared" si="82"/>
        <v>208.40184665482133</v>
      </c>
    </row>
    <row r="894" spans="1:18" x14ac:dyDescent="0.3">
      <c r="A894" t="s">
        <v>220</v>
      </c>
      <c r="B894">
        <v>4</v>
      </c>
      <c r="C894" s="19">
        <v>19</v>
      </c>
      <c r="D894" s="20">
        <v>2024</v>
      </c>
      <c r="E894" s="21">
        <f t="shared" si="78"/>
        <v>45401</v>
      </c>
      <c r="F894" s="20">
        <v>455.1</v>
      </c>
      <c r="G894" s="20">
        <v>9787454</v>
      </c>
      <c r="H894" s="20">
        <v>458.99</v>
      </c>
      <c r="I894" s="20">
        <v>459.94</v>
      </c>
      <c r="J894" s="22">
        <v>453.9</v>
      </c>
      <c r="K894" s="2">
        <f t="shared" si="79"/>
        <v>105205.31367976744</v>
      </c>
      <c r="L894" s="2">
        <f>IF(B894&lt;&gt;B893,L893*(1+Dashboard!$G$5)+Dashboard!$G$6, L893)</f>
        <v>103984.59492585059</v>
      </c>
      <c r="M894">
        <f t="shared" si="83"/>
        <v>0</v>
      </c>
      <c r="N894">
        <f t="shared" si="80"/>
        <v>231.16966310649843</v>
      </c>
      <c r="O894">
        <f>IF(B894&lt;&gt;B893, Dashboard!$L$6,0)</f>
        <v>0</v>
      </c>
      <c r="P894">
        <f t="shared" si="81"/>
        <v>208.61245409833893</v>
      </c>
      <c r="Q894">
        <f>IF(B894&lt;&gt;B893,IF(F894&lt;=AVERAGE(F872:F893),Dashboard!$N$6-Dashboard!$G$7,Dashboard!$N$6+Dashboard!$G$7),0)</f>
        <v>0</v>
      </c>
      <c r="R894">
        <f t="shared" si="82"/>
        <v>208.40184665482133</v>
      </c>
    </row>
    <row r="895" spans="1:18" x14ac:dyDescent="0.3">
      <c r="A895" t="s">
        <v>219</v>
      </c>
      <c r="B895">
        <v>4</v>
      </c>
      <c r="C895" s="19">
        <v>22</v>
      </c>
      <c r="D895" s="20">
        <v>2024</v>
      </c>
      <c r="E895" s="21">
        <f t="shared" si="78"/>
        <v>45404</v>
      </c>
      <c r="F895" s="20">
        <v>459.05</v>
      </c>
      <c r="G895" s="20">
        <v>5818088</v>
      </c>
      <c r="H895" s="20">
        <v>457.55</v>
      </c>
      <c r="I895" s="20">
        <v>461.72989999999999</v>
      </c>
      <c r="J895" s="22">
        <v>455.35</v>
      </c>
      <c r="K895" s="2">
        <f t="shared" si="79"/>
        <v>106118.43384903811</v>
      </c>
      <c r="L895" s="2">
        <f>IF(B895&lt;&gt;B894,L894*(1+Dashboard!$G$5)+Dashboard!$G$6, L894)</f>
        <v>103984.59492585059</v>
      </c>
      <c r="M895">
        <f t="shared" si="83"/>
        <v>0</v>
      </c>
      <c r="N895">
        <f t="shared" si="80"/>
        <v>231.16966310649843</v>
      </c>
      <c r="O895">
        <f>IF(B895&lt;&gt;B894, Dashboard!$L$6,0)</f>
        <v>0</v>
      </c>
      <c r="P895">
        <f t="shared" si="81"/>
        <v>208.61245409833893</v>
      </c>
      <c r="Q895">
        <f>IF(B895&lt;&gt;B894,IF(F895&lt;=AVERAGE(F873:F894),Dashboard!$N$6-Dashboard!$G$7,Dashboard!$N$6+Dashboard!$G$7),0)</f>
        <v>0</v>
      </c>
      <c r="R895">
        <f t="shared" si="82"/>
        <v>208.40184665482133</v>
      </c>
    </row>
    <row r="896" spans="1:18" x14ac:dyDescent="0.3">
      <c r="A896" t="s">
        <v>218</v>
      </c>
      <c r="B896">
        <v>4</v>
      </c>
      <c r="C896" s="19">
        <v>23</v>
      </c>
      <c r="D896" s="20">
        <v>2024</v>
      </c>
      <c r="E896" s="21">
        <f t="shared" si="78"/>
        <v>45405</v>
      </c>
      <c r="F896" s="20">
        <v>464.84</v>
      </c>
      <c r="G896" s="20">
        <v>4257400</v>
      </c>
      <c r="H896" s="20">
        <v>461.18</v>
      </c>
      <c r="I896" s="20">
        <v>465.13</v>
      </c>
      <c r="J896" s="22">
        <v>460.67</v>
      </c>
      <c r="K896" s="2">
        <f t="shared" si="79"/>
        <v>107456.90619842472</v>
      </c>
      <c r="L896" s="2">
        <f>IF(B896&lt;&gt;B895,L895*(1+Dashboard!$G$5)+Dashboard!$G$6, L895)</f>
        <v>103984.59492585059</v>
      </c>
      <c r="M896">
        <f t="shared" si="83"/>
        <v>0</v>
      </c>
      <c r="N896">
        <f t="shared" si="80"/>
        <v>231.16966310649843</v>
      </c>
      <c r="O896">
        <f>IF(B896&lt;&gt;B895, Dashboard!$L$6,0)</f>
        <v>0</v>
      </c>
      <c r="P896">
        <f t="shared" si="81"/>
        <v>208.61245409833893</v>
      </c>
      <c r="Q896">
        <f>IF(B896&lt;&gt;B895,IF(F896&lt;=AVERAGE(F874:F895),Dashboard!$N$6-Dashboard!$G$7,Dashboard!$N$6+Dashboard!$G$7),0)</f>
        <v>0</v>
      </c>
      <c r="R896">
        <f t="shared" si="82"/>
        <v>208.40184665482133</v>
      </c>
    </row>
    <row r="897" spans="1:18" x14ac:dyDescent="0.3">
      <c r="A897" t="s">
        <v>217</v>
      </c>
      <c r="B897">
        <v>4</v>
      </c>
      <c r="C897" s="19">
        <v>24</v>
      </c>
      <c r="D897" s="20">
        <v>2024</v>
      </c>
      <c r="E897" s="21">
        <f t="shared" si="78"/>
        <v>45406</v>
      </c>
      <c r="F897" s="20">
        <v>464.5</v>
      </c>
      <c r="G897" s="20">
        <v>7687837</v>
      </c>
      <c r="H897" s="20">
        <v>465.57</v>
      </c>
      <c r="I897" s="20">
        <v>466.31</v>
      </c>
      <c r="J897" s="22">
        <v>462.44</v>
      </c>
      <c r="K897" s="2">
        <f t="shared" si="79"/>
        <v>107378.30851296852</v>
      </c>
      <c r="L897" s="2">
        <f>IF(B897&lt;&gt;B896,L896*(1+Dashboard!$G$5)+Dashboard!$G$6, L896)</f>
        <v>103984.59492585059</v>
      </c>
      <c r="M897">
        <f t="shared" si="83"/>
        <v>0</v>
      </c>
      <c r="N897">
        <f t="shared" si="80"/>
        <v>231.16966310649843</v>
      </c>
      <c r="O897">
        <f>IF(B897&lt;&gt;B896, Dashboard!$L$6,0)</f>
        <v>0</v>
      </c>
      <c r="P897">
        <f t="shared" si="81"/>
        <v>208.61245409833893</v>
      </c>
      <c r="Q897">
        <f>IF(B897&lt;&gt;B896,IF(F897&lt;=AVERAGE(F875:F896),Dashboard!$N$6-Dashboard!$G$7,Dashboard!$N$6+Dashboard!$G$7),0)</f>
        <v>0</v>
      </c>
      <c r="R897">
        <f t="shared" si="82"/>
        <v>208.40184665482133</v>
      </c>
    </row>
    <row r="898" spans="1:18" x14ac:dyDescent="0.3">
      <c r="A898" t="s">
        <v>216</v>
      </c>
      <c r="B898">
        <v>4</v>
      </c>
      <c r="C898" s="19">
        <v>25</v>
      </c>
      <c r="D898" s="20">
        <v>2024</v>
      </c>
      <c r="E898" s="21">
        <f t="shared" ref="E898:E961" si="84">DATE(D898,B898,C898)</f>
        <v>45407</v>
      </c>
      <c r="F898" s="20">
        <v>462.58</v>
      </c>
      <c r="G898" s="20">
        <v>4876228</v>
      </c>
      <c r="H898" s="20">
        <v>458.77</v>
      </c>
      <c r="I898" s="20">
        <v>463.46</v>
      </c>
      <c r="J898" s="22">
        <v>457.26</v>
      </c>
      <c r="K898" s="2">
        <f t="shared" si="79"/>
        <v>106934.46275980404</v>
      </c>
      <c r="L898" s="2">
        <f>IF(B898&lt;&gt;B897,L897*(1+Dashboard!$G$5)+Dashboard!$G$6, L897)</f>
        <v>103984.59492585059</v>
      </c>
      <c r="M898">
        <f t="shared" si="83"/>
        <v>0</v>
      </c>
      <c r="N898">
        <f t="shared" si="80"/>
        <v>231.16966310649843</v>
      </c>
      <c r="O898">
        <f>IF(B898&lt;&gt;B897, Dashboard!$L$6,0)</f>
        <v>0</v>
      </c>
      <c r="P898">
        <f t="shared" si="81"/>
        <v>208.61245409833893</v>
      </c>
      <c r="Q898">
        <f>IF(B898&lt;&gt;B897,IF(F898&lt;=AVERAGE(F876:F897),Dashboard!$N$6-Dashboard!$G$7,Dashboard!$N$6+Dashboard!$G$7),0)</f>
        <v>0</v>
      </c>
      <c r="R898">
        <f t="shared" si="82"/>
        <v>208.40184665482133</v>
      </c>
    </row>
    <row r="899" spans="1:18" x14ac:dyDescent="0.3">
      <c r="A899" t="s">
        <v>215</v>
      </c>
      <c r="B899">
        <v>4</v>
      </c>
      <c r="C899" s="19">
        <v>26</v>
      </c>
      <c r="D899" s="20">
        <v>2024</v>
      </c>
      <c r="E899" s="21">
        <f t="shared" si="84"/>
        <v>45408</v>
      </c>
      <c r="F899" s="20">
        <v>467.21</v>
      </c>
      <c r="G899" s="20">
        <v>4907113</v>
      </c>
      <c r="H899" s="20">
        <v>465.33</v>
      </c>
      <c r="I899" s="20">
        <v>468.63</v>
      </c>
      <c r="J899" s="22">
        <v>464.81</v>
      </c>
      <c r="K899" s="2">
        <f t="shared" ref="K899:K962" si="85">N899*F899</f>
        <v>108004.77829998713</v>
      </c>
      <c r="L899" s="2">
        <f>IF(B899&lt;&gt;B898,L898*(1+Dashboard!$G$5)+Dashboard!$G$6, L898)</f>
        <v>103984.59492585059</v>
      </c>
      <c r="M899">
        <f t="shared" si="83"/>
        <v>0</v>
      </c>
      <c r="N899">
        <f t="shared" si="80"/>
        <v>231.16966310649843</v>
      </c>
      <c r="O899">
        <f>IF(B899&lt;&gt;B898, Dashboard!$L$6,0)</f>
        <v>0</v>
      </c>
      <c r="P899">
        <f t="shared" si="81"/>
        <v>208.61245409833893</v>
      </c>
      <c r="Q899">
        <f>IF(B899&lt;&gt;B898,IF(F899&lt;=AVERAGE(F877:F898),Dashboard!$N$6-Dashboard!$G$7,Dashboard!$N$6+Dashboard!$G$7),0)</f>
        <v>0</v>
      </c>
      <c r="R899">
        <f t="shared" si="82"/>
        <v>208.40184665482133</v>
      </c>
    </row>
    <row r="900" spans="1:18" x14ac:dyDescent="0.3">
      <c r="A900" t="s">
        <v>214</v>
      </c>
      <c r="B900">
        <v>4</v>
      </c>
      <c r="C900" s="19">
        <v>29</v>
      </c>
      <c r="D900" s="20">
        <v>2024</v>
      </c>
      <c r="E900" s="21">
        <f t="shared" si="84"/>
        <v>45411</v>
      </c>
      <c r="F900" s="20">
        <v>468.84</v>
      </c>
      <c r="G900" s="20">
        <v>3253205</v>
      </c>
      <c r="H900" s="20">
        <v>468.84</v>
      </c>
      <c r="I900" s="20">
        <v>469.42</v>
      </c>
      <c r="J900" s="22">
        <v>466.21</v>
      </c>
      <c r="K900" s="2">
        <f t="shared" si="85"/>
        <v>108381.58485085072</v>
      </c>
      <c r="L900" s="2">
        <f>IF(B900&lt;&gt;B899,L899*(1+Dashboard!$G$5)+Dashboard!$G$6, L899)</f>
        <v>103984.59492585059</v>
      </c>
      <c r="M900">
        <f t="shared" si="83"/>
        <v>0</v>
      </c>
      <c r="N900">
        <f t="shared" ref="N900:N963" si="86">N899+M899/F899</f>
        <v>231.16966310649843</v>
      </c>
      <c r="O900">
        <f>IF(B900&lt;&gt;B899, Dashboard!$L$6,0)</f>
        <v>0</v>
      </c>
      <c r="P900">
        <f t="shared" ref="P900:P963" si="87">P899+O900/F900</f>
        <v>208.61245409833893</v>
      </c>
      <c r="Q900">
        <f>IF(B900&lt;&gt;B899,IF(F900&lt;=AVERAGE(F878:F899),Dashboard!$N$6-Dashboard!$G$7,Dashboard!$N$6+Dashboard!$G$7),0)</f>
        <v>0</v>
      </c>
      <c r="R900">
        <f t="shared" ref="R900:R963" si="88">R899+Q900/H900</f>
        <v>208.40184665482133</v>
      </c>
    </row>
    <row r="901" spans="1:18" x14ac:dyDescent="0.3">
      <c r="A901" t="s">
        <v>213</v>
      </c>
      <c r="B901">
        <v>4</v>
      </c>
      <c r="C901" s="19">
        <v>30</v>
      </c>
      <c r="D901" s="20">
        <v>2024</v>
      </c>
      <c r="E901" s="21">
        <f t="shared" si="84"/>
        <v>45412</v>
      </c>
      <c r="F901" s="20">
        <v>461.43</v>
      </c>
      <c r="G901" s="20">
        <v>4364836</v>
      </c>
      <c r="H901" s="20">
        <v>467.42</v>
      </c>
      <c r="I901" s="20">
        <v>468.34</v>
      </c>
      <c r="J901" s="22">
        <v>461.36</v>
      </c>
      <c r="K901" s="2">
        <f t="shared" si="85"/>
        <v>106668.61764723157</v>
      </c>
      <c r="L901" s="2">
        <f>IF(B901&lt;&gt;B900,L900*(1+Dashboard!$G$5)+Dashboard!$G$6, L900)</f>
        <v>103984.59492585059</v>
      </c>
      <c r="M901">
        <f t="shared" si="83"/>
        <v>0</v>
      </c>
      <c r="N901">
        <f t="shared" si="86"/>
        <v>231.16966310649843</v>
      </c>
      <c r="O901">
        <f>IF(B901&lt;&gt;B900, Dashboard!$L$6,0)</f>
        <v>0</v>
      </c>
      <c r="P901">
        <f t="shared" si="87"/>
        <v>208.61245409833893</v>
      </c>
      <c r="Q901">
        <f>IF(B901&lt;&gt;B900,IF(F901&lt;=AVERAGE(F879:F900),Dashboard!$N$6-Dashboard!$G$7,Dashboard!$N$6+Dashboard!$G$7),0)</f>
        <v>0</v>
      </c>
      <c r="R901">
        <f t="shared" si="88"/>
        <v>208.40184665482133</v>
      </c>
    </row>
    <row r="902" spans="1:18" x14ac:dyDescent="0.3">
      <c r="A902" s="1">
        <v>45296</v>
      </c>
      <c r="B902">
        <v>5</v>
      </c>
      <c r="C902" s="19">
        <v>1</v>
      </c>
      <c r="D902" s="20">
        <v>2024</v>
      </c>
      <c r="E902" s="21">
        <f t="shared" si="84"/>
        <v>45413</v>
      </c>
      <c r="F902" s="20">
        <v>459.93</v>
      </c>
      <c r="G902" s="20">
        <v>6115377</v>
      </c>
      <c r="H902" s="20">
        <v>460.77</v>
      </c>
      <c r="I902" s="20">
        <v>467.07</v>
      </c>
      <c r="J902" s="22">
        <v>459.44</v>
      </c>
      <c r="K902" s="2">
        <f t="shared" si="85"/>
        <v>106321.86315257182</v>
      </c>
      <c r="L902" s="2">
        <f>IF(B902&lt;&gt;B901,L901*(1+Dashboard!$G$5)+Dashboard!$G$6, L901)</f>
        <v>106899.65936119806</v>
      </c>
      <c r="M902">
        <f t="shared" si="83"/>
        <v>577.79620862624142</v>
      </c>
      <c r="N902">
        <f t="shared" si="86"/>
        <v>231.16966310649843</v>
      </c>
      <c r="O902">
        <f>IF(B902&lt;&gt;B901, Dashboard!$L$6,0)</f>
        <v>1859.7282542371197</v>
      </c>
      <c r="P902">
        <f t="shared" si="87"/>
        <v>212.65595692319732</v>
      </c>
      <c r="Q902">
        <f>IF(B902&lt;&gt;B901,IF(F902&lt;=AVERAGE(F880:F901),Dashboard!$N$6-Dashboard!$G$7,Dashboard!$N$6+Dashboard!$G$7),0)</f>
        <v>1232.609610169322</v>
      </c>
      <c r="R902">
        <f t="shared" si="88"/>
        <v>211.07695486535874</v>
      </c>
    </row>
    <row r="903" spans="1:18" x14ac:dyDescent="0.3">
      <c r="A903" s="1">
        <v>45327</v>
      </c>
      <c r="B903">
        <v>5</v>
      </c>
      <c r="C903" s="19">
        <v>2</v>
      </c>
      <c r="D903" s="20">
        <v>2024</v>
      </c>
      <c r="E903" s="21">
        <f t="shared" si="84"/>
        <v>45414</v>
      </c>
      <c r="F903" s="20">
        <v>464.22</v>
      </c>
      <c r="G903" s="20">
        <v>3972424</v>
      </c>
      <c r="H903" s="20">
        <v>463.36</v>
      </c>
      <c r="I903" s="20">
        <v>464.95</v>
      </c>
      <c r="J903" s="22">
        <v>459.16</v>
      </c>
      <c r="K903" s="2">
        <f t="shared" si="85"/>
        <v>107896.76661373551</v>
      </c>
      <c r="L903" s="2">
        <f>IF(B903&lt;&gt;B902,L902*(1+Dashboard!$G$5)+Dashboard!$G$6, L902)</f>
        <v>106899.65936119806</v>
      </c>
      <c r="M903">
        <f t="shared" si="83"/>
        <v>0</v>
      </c>
      <c r="N903">
        <f t="shared" si="86"/>
        <v>232.4259329924077</v>
      </c>
      <c r="O903">
        <f>IF(B903&lt;&gt;B902, Dashboard!$L$6,0)</f>
        <v>0</v>
      </c>
      <c r="P903">
        <f t="shared" si="87"/>
        <v>212.65595692319732</v>
      </c>
      <c r="Q903">
        <f>IF(B903&lt;&gt;B902,IF(F903&lt;=AVERAGE(F881:F902),Dashboard!$N$6-Dashboard!$G$7,Dashboard!$N$6+Dashboard!$G$7),0)</f>
        <v>0</v>
      </c>
      <c r="R903">
        <f t="shared" si="88"/>
        <v>211.07695486535874</v>
      </c>
    </row>
    <row r="904" spans="1:18" x14ac:dyDescent="0.3">
      <c r="A904" s="1">
        <v>45356</v>
      </c>
      <c r="B904">
        <v>5</v>
      </c>
      <c r="C904" s="19">
        <v>3</v>
      </c>
      <c r="D904" s="20">
        <v>2024</v>
      </c>
      <c r="E904" s="21">
        <f t="shared" si="84"/>
        <v>45415</v>
      </c>
      <c r="F904" s="20">
        <v>469.98</v>
      </c>
      <c r="G904" s="20">
        <v>4586859</v>
      </c>
      <c r="H904" s="20">
        <v>469.76</v>
      </c>
      <c r="I904" s="20">
        <v>471</v>
      </c>
      <c r="J904" s="22">
        <v>467.44009999999997</v>
      </c>
      <c r="K904" s="2">
        <f t="shared" si="85"/>
        <v>109235.53998777177</v>
      </c>
      <c r="L904" s="2">
        <f>IF(B904&lt;&gt;B903,L903*(1+Dashboard!$G$5)+Dashboard!$G$6, L903)</f>
        <v>106899.65936119806</v>
      </c>
      <c r="M904">
        <f t="shared" si="83"/>
        <v>0</v>
      </c>
      <c r="N904">
        <f t="shared" si="86"/>
        <v>232.4259329924077</v>
      </c>
      <c r="O904">
        <f>IF(B904&lt;&gt;B903, Dashboard!$L$6,0)</f>
        <v>0</v>
      </c>
      <c r="P904">
        <f t="shared" si="87"/>
        <v>212.65595692319732</v>
      </c>
      <c r="Q904">
        <f>IF(B904&lt;&gt;B903,IF(F904&lt;=AVERAGE(F882:F903),Dashboard!$N$6-Dashboard!$G$7,Dashboard!$N$6+Dashboard!$G$7),0)</f>
        <v>0</v>
      </c>
      <c r="R904">
        <f t="shared" si="88"/>
        <v>211.07695486535874</v>
      </c>
    </row>
    <row r="905" spans="1:18" x14ac:dyDescent="0.3">
      <c r="A905" s="1">
        <v>45448</v>
      </c>
      <c r="B905">
        <v>5</v>
      </c>
      <c r="C905" s="19">
        <v>6</v>
      </c>
      <c r="D905" s="20">
        <v>2024</v>
      </c>
      <c r="E905" s="21">
        <f t="shared" si="84"/>
        <v>45418</v>
      </c>
      <c r="F905" s="20">
        <v>474.72</v>
      </c>
      <c r="G905" s="20">
        <v>4782542</v>
      </c>
      <c r="H905" s="20">
        <v>472.22</v>
      </c>
      <c r="I905" s="20">
        <v>474.81</v>
      </c>
      <c r="J905" s="22">
        <v>471.82</v>
      </c>
      <c r="K905" s="2">
        <f t="shared" si="85"/>
        <v>110337.23891015579</v>
      </c>
      <c r="L905" s="2">
        <f>IF(B905&lt;&gt;B904,L904*(1+Dashboard!$G$5)+Dashboard!$G$6, L904)</f>
        <v>106899.65936119806</v>
      </c>
      <c r="M905">
        <f t="shared" si="83"/>
        <v>0</v>
      </c>
      <c r="N905">
        <f t="shared" si="86"/>
        <v>232.4259329924077</v>
      </c>
      <c r="O905">
        <f>IF(B905&lt;&gt;B904, Dashboard!$L$6,0)</f>
        <v>0</v>
      </c>
      <c r="P905">
        <f t="shared" si="87"/>
        <v>212.65595692319732</v>
      </c>
      <c r="Q905">
        <f>IF(B905&lt;&gt;B904,IF(F905&lt;=AVERAGE(F883:F904),Dashboard!$N$6-Dashboard!$G$7,Dashboard!$N$6+Dashboard!$G$7),0)</f>
        <v>0</v>
      </c>
      <c r="R905">
        <f t="shared" si="88"/>
        <v>211.07695486535874</v>
      </c>
    </row>
    <row r="906" spans="1:18" x14ac:dyDescent="0.3">
      <c r="A906" s="1">
        <v>45478</v>
      </c>
      <c r="B906">
        <v>5</v>
      </c>
      <c r="C906" s="19">
        <v>7</v>
      </c>
      <c r="D906" s="20">
        <v>2024</v>
      </c>
      <c r="E906" s="21">
        <f t="shared" si="84"/>
        <v>45419</v>
      </c>
      <c r="F906" s="20">
        <v>475.4</v>
      </c>
      <c r="G906" s="20">
        <v>3451302</v>
      </c>
      <c r="H906" s="20">
        <v>475.7</v>
      </c>
      <c r="I906" s="20">
        <v>476.64</v>
      </c>
      <c r="J906" s="22">
        <v>474.71</v>
      </c>
      <c r="K906" s="2">
        <f t="shared" si="85"/>
        <v>110495.28854459061</v>
      </c>
      <c r="L906" s="2">
        <f>IF(B906&lt;&gt;B905,L905*(1+Dashboard!$G$5)+Dashboard!$G$6, L905)</f>
        <v>106899.65936119806</v>
      </c>
      <c r="M906">
        <f t="shared" si="83"/>
        <v>0</v>
      </c>
      <c r="N906">
        <f t="shared" si="86"/>
        <v>232.4259329924077</v>
      </c>
      <c r="O906">
        <f>IF(B906&lt;&gt;B905, Dashboard!$L$6,0)</f>
        <v>0</v>
      </c>
      <c r="P906">
        <f t="shared" si="87"/>
        <v>212.65595692319732</v>
      </c>
      <c r="Q906">
        <f>IF(B906&lt;&gt;B905,IF(F906&lt;=AVERAGE(F884:F905),Dashboard!$N$6-Dashboard!$G$7,Dashboard!$N$6+Dashboard!$G$7),0)</f>
        <v>0</v>
      </c>
      <c r="R906">
        <f t="shared" si="88"/>
        <v>211.07695486535874</v>
      </c>
    </row>
    <row r="907" spans="1:18" x14ac:dyDescent="0.3">
      <c r="A907" s="1">
        <v>45509</v>
      </c>
      <c r="B907">
        <v>5</v>
      </c>
      <c r="C907" s="19">
        <v>8</v>
      </c>
      <c r="D907" s="20">
        <v>2024</v>
      </c>
      <c r="E907" s="21">
        <f t="shared" si="84"/>
        <v>45420</v>
      </c>
      <c r="F907" s="20">
        <v>475.42</v>
      </c>
      <c r="G907" s="20">
        <v>3214878</v>
      </c>
      <c r="H907" s="20">
        <v>473.59</v>
      </c>
      <c r="I907" s="20">
        <v>475.86</v>
      </c>
      <c r="J907" s="22">
        <v>473.5</v>
      </c>
      <c r="K907" s="2">
        <f t="shared" si="85"/>
        <v>110499.93706325047</v>
      </c>
      <c r="L907" s="2">
        <f>IF(B907&lt;&gt;B906,L906*(1+Dashboard!$G$5)+Dashboard!$G$6, L906)</f>
        <v>106899.65936119806</v>
      </c>
      <c r="M907">
        <f t="shared" si="83"/>
        <v>0</v>
      </c>
      <c r="N907">
        <f t="shared" si="86"/>
        <v>232.4259329924077</v>
      </c>
      <c r="O907">
        <f>IF(B907&lt;&gt;B906, Dashboard!$L$6,0)</f>
        <v>0</v>
      </c>
      <c r="P907">
        <f t="shared" si="87"/>
        <v>212.65595692319732</v>
      </c>
      <c r="Q907">
        <f>IF(B907&lt;&gt;B906,IF(F907&lt;=AVERAGE(F885:F906),Dashboard!$N$6-Dashboard!$G$7,Dashboard!$N$6+Dashboard!$G$7),0)</f>
        <v>0</v>
      </c>
      <c r="R907">
        <f t="shared" si="88"/>
        <v>211.07695486535874</v>
      </c>
    </row>
    <row r="908" spans="1:18" x14ac:dyDescent="0.3">
      <c r="A908" s="1">
        <v>45540</v>
      </c>
      <c r="B908">
        <v>5</v>
      </c>
      <c r="C908" s="19">
        <v>9</v>
      </c>
      <c r="D908" s="20">
        <v>2024</v>
      </c>
      <c r="E908" s="21">
        <f t="shared" si="84"/>
        <v>45421</v>
      </c>
      <c r="F908" s="20">
        <v>478.15</v>
      </c>
      <c r="G908" s="20">
        <v>3486049</v>
      </c>
      <c r="H908" s="20">
        <v>475.59</v>
      </c>
      <c r="I908" s="20">
        <v>478.15</v>
      </c>
      <c r="J908" s="22">
        <v>474.94</v>
      </c>
      <c r="K908" s="2">
        <f t="shared" si="85"/>
        <v>111134.45986031974</v>
      </c>
      <c r="L908" s="2">
        <f>IF(B908&lt;&gt;B907,L907*(1+Dashboard!$G$5)+Dashboard!$G$6, L907)</f>
        <v>106899.65936119806</v>
      </c>
      <c r="M908">
        <f t="shared" si="83"/>
        <v>0</v>
      </c>
      <c r="N908">
        <f t="shared" si="86"/>
        <v>232.4259329924077</v>
      </c>
      <c r="O908">
        <f>IF(B908&lt;&gt;B907, Dashboard!$L$6,0)</f>
        <v>0</v>
      </c>
      <c r="P908">
        <f t="shared" si="87"/>
        <v>212.65595692319732</v>
      </c>
      <c r="Q908">
        <f>IF(B908&lt;&gt;B907,IF(F908&lt;=AVERAGE(F886:F907),Dashboard!$N$6-Dashboard!$G$7,Dashboard!$N$6+Dashboard!$G$7),0)</f>
        <v>0</v>
      </c>
      <c r="R908">
        <f t="shared" si="88"/>
        <v>211.07695486535874</v>
      </c>
    </row>
    <row r="909" spans="1:18" x14ac:dyDescent="0.3">
      <c r="A909" s="1">
        <v>45570</v>
      </c>
      <c r="B909">
        <v>5</v>
      </c>
      <c r="C909" s="19">
        <v>10</v>
      </c>
      <c r="D909" s="20">
        <v>2024</v>
      </c>
      <c r="E909" s="21">
        <f t="shared" si="84"/>
        <v>45422</v>
      </c>
      <c r="F909" s="20">
        <v>478.74</v>
      </c>
      <c r="G909" s="20">
        <v>3347159</v>
      </c>
      <c r="H909" s="20">
        <v>479.69</v>
      </c>
      <c r="I909" s="20">
        <v>480.39</v>
      </c>
      <c r="J909" s="22">
        <v>477.59</v>
      </c>
      <c r="K909" s="2">
        <f t="shared" si="85"/>
        <v>111271.59116078526</v>
      </c>
      <c r="L909" s="2">
        <f>IF(B909&lt;&gt;B908,L908*(1+Dashboard!$G$5)+Dashboard!$G$6, L908)</f>
        <v>106899.65936119806</v>
      </c>
      <c r="M909">
        <f t="shared" si="83"/>
        <v>0</v>
      </c>
      <c r="N909">
        <f t="shared" si="86"/>
        <v>232.4259329924077</v>
      </c>
      <c r="O909">
        <f>IF(B909&lt;&gt;B908, Dashboard!$L$6,0)</f>
        <v>0</v>
      </c>
      <c r="P909">
        <f t="shared" si="87"/>
        <v>212.65595692319732</v>
      </c>
      <c r="Q909">
        <f>IF(B909&lt;&gt;B908,IF(F909&lt;=AVERAGE(F887:F908),Dashboard!$N$6-Dashboard!$G$7,Dashboard!$N$6+Dashboard!$G$7),0)</f>
        <v>0</v>
      </c>
      <c r="R909">
        <f t="shared" si="88"/>
        <v>211.07695486535874</v>
      </c>
    </row>
    <row r="910" spans="1:18" x14ac:dyDescent="0.3">
      <c r="A910" t="s">
        <v>212</v>
      </c>
      <c r="B910">
        <v>5</v>
      </c>
      <c r="C910" s="19">
        <v>13</v>
      </c>
      <c r="D910" s="20">
        <v>2024</v>
      </c>
      <c r="E910" s="21">
        <f t="shared" si="84"/>
        <v>45425</v>
      </c>
      <c r="F910" s="20">
        <v>478.77</v>
      </c>
      <c r="G910" s="20">
        <v>3108442</v>
      </c>
      <c r="H910" s="20">
        <v>480.35</v>
      </c>
      <c r="I910" s="20">
        <v>480.42</v>
      </c>
      <c r="J910" s="22">
        <v>477.73</v>
      </c>
      <c r="K910" s="2">
        <f t="shared" si="85"/>
        <v>111278.56393877503</v>
      </c>
      <c r="L910" s="2">
        <f>IF(B910&lt;&gt;B909,L909*(1+Dashboard!$G$5)+Dashboard!$G$6, L909)</f>
        <v>106899.65936119806</v>
      </c>
      <c r="M910">
        <f t="shared" si="83"/>
        <v>0</v>
      </c>
      <c r="N910">
        <f t="shared" si="86"/>
        <v>232.4259329924077</v>
      </c>
      <c r="O910">
        <f>IF(B910&lt;&gt;B909, Dashboard!$L$6,0)</f>
        <v>0</v>
      </c>
      <c r="P910">
        <f t="shared" si="87"/>
        <v>212.65595692319732</v>
      </c>
      <c r="Q910">
        <f>IF(B910&lt;&gt;B909,IF(F910&lt;=AVERAGE(F888:F909),Dashboard!$N$6-Dashboard!$G$7,Dashboard!$N$6+Dashboard!$G$7),0)</f>
        <v>0</v>
      </c>
      <c r="R910">
        <f t="shared" si="88"/>
        <v>211.07695486535874</v>
      </c>
    </row>
    <row r="911" spans="1:18" x14ac:dyDescent="0.3">
      <c r="A911" t="s">
        <v>211</v>
      </c>
      <c r="B911">
        <v>5</v>
      </c>
      <c r="C911" s="19">
        <v>14</v>
      </c>
      <c r="D911" s="20">
        <v>2024</v>
      </c>
      <c r="E911" s="21">
        <f t="shared" si="84"/>
        <v>45426</v>
      </c>
      <c r="F911" s="20">
        <v>481.04</v>
      </c>
      <c r="G911" s="20">
        <v>3257724</v>
      </c>
      <c r="H911" s="20">
        <v>478.98</v>
      </c>
      <c r="I911" s="20">
        <v>481.47</v>
      </c>
      <c r="J911" s="22">
        <v>478.48</v>
      </c>
      <c r="K911" s="2">
        <f t="shared" si="85"/>
        <v>111806.1708066678</v>
      </c>
      <c r="L911" s="2">
        <f>IF(B911&lt;&gt;B910,L910*(1+Dashboard!$G$5)+Dashboard!$G$6, L910)</f>
        <v>106899.65936119806</v>
      </c>
      <c r="M911">
        <f t="shared" si="83"/>
        <v>0</v>
      </c>
      <c r="N911">
        <f t="shared" si="86"/>
        <v>232.4259329924077</v>
      </c>
      <c r="O911">
        <f>IF(B911&lt;&gt;B910, Dashboard!$L$6,0)</f>
        <v>0</v>
      </c>
      <c r="P911">
        <f t="shared" si="87"/>
        <v>212.65595692319732</v>
      </c>
      <c r="Q911">
        <f>IF(B911&lt;&gt;B910,IF(F911&lt;=AVERAGE(F889:F910),Dashboard!$N$6-Dashboard!$G$7,Dashboard!$N$6+Dashboard!$G$7),0)</f>
        <v>0</v>
      </c>
      <c r="R911">
        <f t="shared" si="88"/>
        <v>211.07695486535874</v>
      </c>
    </row>
    <row r="912" spans="1:18" x14ac:dyDescent="0.3">
      <c r="A912" t="s">
        <v>210</v>
      </c>
      <c r="B912">
        <v>5</v>
      </c>
      <c r="C912" s="19">
        <v>15</v>
      </c>
      <c r="D912" s="20">
        <v>2024</v>
      </c>
      <c r="E912" s="21">
        <f t="shared" si="84"/>
        <v>45427</v>
      </c>
      <c r="F912" s="20">
        <v>486.9</v>
      </c>
      <c r="G912" s="20">
        <v>4399485</v>
      </c>
      <c r="H912" s="20">
        <v>483.34</v>
      </c>
      <c r="I912" s="20">
        <v>487.23</v>
      </c>
      <c r="J912" s="22">
        <v>482.73500000000001</v>
      </c>
      <c r="K912" s="2">
        <f t="shared" si="85"/>
        <v>113168.1867740033</v>
      </c>
      <c r="L912" s="2">
        <f>IF(B912&lt;&gt;B911,L911*(1+Dashboard!$G$5)+Dashboard!$G$6, L911)</f>
        <v>106899.65936119806</v>
      </c>
      <c r="M912">
        <f t="shared" si="83"/>
        <v>0</v>
      </c>
      <c r="N912">
        <f t="shared" si="86"/>
        <v>232.4259329924077</v>
      </c>
      <c r="O912">
        <f>IF(B912&lt;&gt;B911, Dashboard!$L$6,0)</f>
        <v>0</v>
      </c>
      <c r="P912">
        <f t="shared" si="87"/>
        <v>212.65595692319732</v>
      </c>
      <c r="Q912">
        <f>IF(B912&lt;&gt;B911,IF(F912&lt;=AVERAGE(F890:F911),Dashboard!$N$6-Dashboard!$G$7,Dashboard!$N$6+Dashboard!$G$7),0)</f>
        <v>0</v>
      </c>
      <c r="R912">
        <f t="shared" si="88"/>
        <v>211.07695486535874</v>
      </c>
    </row>
    <row r="913" spans="1:18" x14ac:dyDescent="0.3">
      <c r="A913" t="s">
        <v>209</v>
      </c>
      <c r="B913">
        <v>5</v>
      </c>
      <c r="C913" s="19">
        <v>16</v>
      </c>
      <c r="D913" s="20">
        <v>2024</v>
      </c>
      <c r="E913" s="21">
        <f t="shared" si="84"/>
        <v>45428</v>
      </c>
      <c r="F913" s="20">
        <v>485.97</v>
      </c>
      <c r="G913" s="20">
        <v>3347381</v>
      </c>
      <c r="H913" s="20">
        <v>487.05</v>
      </c>
      <c r="I913" s="20">
        <v>488.57</v>
      </c>
      <c r="J913" s="22">
        <v>485.83</v>
      </c>
      <c r="K913" s="2">
        <f t="shared" si="85"/>
        <v>112952.03065632038</v>
      </c>
      <c r="L913" s="2">
        <f>IF(B913&lt;&gt;B912,L912*(1+Dashboard!$G$5)+Dashboard!$G$6, L912)</f>
        <v>106899.65936119806</v>
      </c>
      <c r="M913">
        <f t="shared" si="83"/>
        <v>0</v>
      </c>
      <c r="N913">
        <f t="shared" si="86"/>
        <v>232.4259329924077</v>
      </c>
      <c r="O913">
        <f>IF(B913&lt;&gt;B912, Dashboard!$L$6,0)</f>
        <v>0</v>
      </c>
      <c r="P913">
        <f t="shared" si="87"/>
        <v>212.65595692319732</v>
      </c>
      <c r="Q913">
        <f>IF(B913&lt;&gt;B912,IF(F913&lt;=AVERAGE(F891:F912),Dashboard!$N$6-Dashboard!$G$7,Dashboard!$N$6+Dashboard!$G$7),0)</f>
        <v>0</v>
      </c>
      <c r="R913">
        <f t="shared" si="88"/>
        <v>211.07695486535874</v>
      </c>
    </row>
    <row r="914" spans="1:18" x14ac:dyDescent="0.3">
      <c r="A914" t="s">
        <v>208</v>
      </c>
      <c r="B914">
        <v>5</v>
      </c>
      <c r="C914" s="19">
        <v>17</v>
      </c>
      <c r="D914" s="20">
        <v>2024</v>
      </c>
      <c r="E914" s="21">
        <f t="shared" si="84"/>
        <v>45429</v>
      </c>
      <c r="F914" s="20">
        <v>486.69</v>
      </c>
      <c r="G914" s="20">
        <v>3274035</v>
      </c>
      <c r="H914" s="20">
        <v>486.09</v>
      </c>
      <c r="I914" s="20">
        <v>486.73</v>
      </c>
      <c r="J914" s="22">
        <v>484.7</v>
      </c>
      <c r="K914" s="2">
        <f t="shared" si="85"/>
        <v>113119.3773280749</v>
      </c>
      <c r="L914" s="2">
        <f>IF(B914&lt;&gt;B913,L913*(1+Dashboard!$G$5)+Dashboard!$G$6, L913)</f>
        <v>106899.65936119806</v>
      </c>
      <c r="M914">
        <f t="shared" si="83"/>
        <v>0</v>
      </c>
      <c r="N914">
        <f t="shared" si="86"/>
        <v>232.4259329924077</v>
      </c>
      <c r="O914">
        <f>IF(B914&lt;&gt;B913, Dashboard!$L$6,0)</f>
        <v>0</v>
      </c>
      <c r="P914">
        <f t="shared" si="87"/>
        <v>212.65595692319732</v>
      </c>
      <c r="Q914">
        <f>IF(B914&lt;&gt;B913,IF(F914&lt;=AVERAGE(F892:F913),Dashboard!$N$6-Dashboard!$G$7,Dashboard!$N$6+Dashboard!$G$7),0)</f>
        <v>0</v>
      </c>
      <c r="R914">
        <f t="shared" si="88"/>
        <v>211.07695486535874</v>
      </c>
    </row>
    <row r="915" spans="1:18" x14ac:dyDescent="0.3">
      <c r="A915" t="s">
        <v>207</v>
      </c>
      <c r="B915">
        <v>5</v>
      </c>
      <c r="C915" s="19">
        <v>20</v>
      </c>
      <c r="D915" s="20">
        <v>2024</v>
      </c>
      <c r="E915" s="21">
        <f t="shared" si="84"/>
        <v>45432</v>
      </c>
      <c r="F915" s="20">
        <v>487.17</v>
      </c>
      <c r="G915" s="20">
        <v>2599585</v>
      </c>
      <c r="H915" s="20">
        <v>486.78</v>
      </c>
      <c r="I915" s="20">
        <v>488.60989999999998</v>
      </c>
      <c r="J915" s="22">
        <v>486.45</v>
      </c>
      <c r="K915" s="2">
        <f t="shared" si="85"/>
        <v>113230.94177591125</v>
      </c>
      <c r="L915" s="2">
        <f>IF(B915&lt;&gt;B914,L914*(1+Dashboard!$G$5)+Dashboard!$G$6, L914)</f>
        <v>106899.65936119806</v>
      </c>
      <c r="M915">
        <f t="shared" si="83"/>
        <v>0</v>
      </c>
      <c r="N915">
        <f t="shared" si="86"/>
        <v>232.4259329924077</v>
      </c>
      <c r="O915">
        <f>IF(B915&lt;&gt;B914, Dashboard!$L$6,0)</f>
        <v>0</v>
      </c>
      <c r="P915">
        <f t="shared" si="87"/>
        <v>212.65595692319732</v>
      </c>
      <c r="Q915">
        <f>IF(B915&lt;&gt;B914,IF(F915&lt;=AVERAGE(F893:F914),Dashboard!$N$6-Dashboard!$G$7,Dashboard!$N$6+Dashboard!$G$7),0)</f>
        <v>0</v>
      </c>
      <c r="R915">
        <f t="shared" si="88"/>
        <v>211.07695486535874</v>
      </c>
    </row>
    <row r="916" spans="1:18" x14ac:dyDescent="0.3">
      <c r="A916" t="s">
        <v>206</v>
      </c>
      <c r="B916">
        <v>5</v>
      </c>
      <c r="C916" s="19">
        <v>21</v>
      </c>
      <c r="D916" s="20">
        <v>2024</v>
      </c>
      <c r="E916" s="21">
        <f t="shared" si="84"/>
        <v>45433</v>
      </c>
      <c r="F916" s="20">
        <v>488.48</v>
      </c>
      <c r="G916" s="20">
        <v>2453576</v>
      </c>
      <c r="H916" s="20">
        <v>486.53</v>
      </c>
      <c r="I916" s="20">
        <v>488.58</v>
      </c>
      <c r="J916" s="22">
        <v>486.35</v>
      </c>
      <c r="K916" s="2">
        <f t="shared" si="85"/>
        <v>113535.41974813132</v>
      </c>
      <c r="L916" s="2">
        <f>IF(B916&lt;&gt;B915,L915*(1+Dashboard!$G$5)+Dashboard!$G$6, L915)</f>
        <v>106899.65936119806</v>
      </c>
      <c r="M916">
        <f t="shared" si="83"/>
        <v>0</v>
      </c>
      <c r="N916">
        <f t="shared" si="86"/>
        <v>232.4259329924077</v>
      </c>
      <c r="O916">
        <f>IF(B916&lt;&gt;B915, Dashboard!$L$6,0)</f>
        <v>0</v>
      </c>
      <c r="P916">
        <f t="shared" si="87"/>
        <v>212.65595692319732</v>
      </c>
      <c r="Q916">
        <f>IF(B916&lt;&gt;B915,IF(F916&lt;=AVERAGE(F894:F915),Dashboard!$N$6-Dashboard!$G$7,Dashboard!$N$6+Dashboard!$G$7),0)</f>
        <v>0</v>
      </c>
      <c r="R916">
        <f t="shared" si="88"/>
        <v>211.07695486535874</v>
      </c>
    </row>
    <row r="917" spans="1:18" x14ac:dyDescent="0.3">
      <c r="A917" t="s">
        <v>205</v>
      </c>
      <c r="B917">
        <v>5</v>
      </c>
      <c r="C917" s="19">
        <v>22</v>
      </c>
      <c r="D917" s="20">
        <v>2024</v>
      </c>
      <c r="E917" s="21">
        <f t="shared" si="84"/>
        <v>45434</v>
      </c>
      <c r="F917" s="20">
        <v>487.06</v>
      </c>
      <c r="G917" s="20">
        <v>3250581</v>
      </c>
      <c r="H917" s="20">
        <v>487.79</v>
      </c>
      <c r="I917" s="20">
        <v>488.43</v>
      </c>
      <c r="J917" s="22">
        <v>484.94</v>
      </c>
      <c r="K917" s="2">
        <f t="shared" si="85"/>
        <v>113205.3749232821</v>
      </c>
      <c r="L917" s="2">
        <f>IF(B917&lt;&gt;B916,L916*(1+Dashboard!$G$5)+Dashboard!$G$6, L916)</f>
        <v>106899.65936119806</v>
      </c>
      <c r="M917">
        <f t="shared" si="83"/>
        <v>0</v>
      </c>
      <c r="N917">
        <f t="shared" si="86"/>
        <v>232.4259329924077</v>
      </c>
      <c r="O917">
        <f>IF(B917&lt;&gt;B916, Dashboard!$L$6,0)</f>
        <v>0</v>
      </c>
      <c r="P917">
        <f t="shared" si="87"/>
        <v>212.65595692319732</v>
      </c>
      <c r="Q917">
        <f>IF(B917&lt;&gt;B916,IF(F917&lt;=AVERAGE(F895:F916),Dashboard!$N$6-Dashboard!$G$7,Dashboard!$N$6+Dashboard!$G$7),0)</f>
        <v>0</v>
      </c>
      <c r="R917">
        <f t="shared" si="88"/>
        <v>211.07695486535874</v>
      </c>
    </row>
    <row r="918" spans="1:18" x14ac:dyDescent="0.3">
      <c r="A918" t="s">
        <v>204</v>
      </c>
      <c r="B918">
        <v>5</v>
      </c>
      <c r="C918" s="19">
        <v>23</v>
      </c>
      <c r="D918" s="20">
        <v>2024</v>
      </c>
      <c r="E918" s="21">
        <f t="shared" si="84"/>
        <v>45435</v>
      </c>
      <c r="F918" s="20">
        <v>483.44</v>
      </c>
      <c r="G918" s="20">
        <v>3811307</v>
      </c>
      <c r="H918" s="20">
        <v>489.91</v>
      </c>
      <c r="I918" s="20">
        <v>489.99</v>
      </c>
      <c r="J918" s="22">
        <v>482.29</v>
      </c>
      <c r="K918" s="2">
        <f t="shared" si="85"/>
        <v>112363.99304584958</v>
      </c>
      <c r="L918" s="2">
        <f>IF(B918&lt;&gt;B917,L917*(1+Dashboard!$G$5)+Dashboard!$G$6, L917)</f>
        <v>106899.65936119806</v>
      </c>
      <c r="M918">
        <f t="shared" si="83"/>
        <v>0</v>
      </c>
      <c r="N918">
        <f t="shared" si="86"/>
        <v>232.4259329924077</v>
      </c>
      <c r="O918">
        <f>IF(B918&lt;&gt;B917, Dashboard!$L$6,0)</f>
        <v>0</v>
      </c>
      <c r="P918">
        <f t="shared" si="87"/>
        <v>212.65595692319732</v>
      </c>
      <c r="Q918">
        <f>IF(B918&lt;&gt;B917,IF(F918&lt;=AVERAGE(F896:F917),Dashboard!$N$6-Dashboard!$G$7,Dashboard!$N$6+Dashboard!$G$7),0)</f>
        <v>0</v>
      </c>
      <c r="R918">
        <f t="shared" si="88"/>
        <v>211.07695486535874</v>
      </c>
    </row>
    <row r="919" spans="1:18" x14ac:dyDescent="0.3">
      <c r="A919" t="s">
        <v>203</v>
      </c>
      <c r="B919">
        <v>5</v>
      </c>
      <c r="C919" s="19">
        <v>24</v>
      </c>
      <c r="D919" s="20">
        <v>2024</v>
      </c>
      <c r="E919" s="21">
        <f t="shared" si="84"/>
        <v>45436</v>
      </c>
      <c r="F919" s="20">
        <v>486.73</v>
      </c>
      <c r="G919" s="20">
        <v>2555241</v>
      </c>
      <c r="H919" s="20">
        <v>485.18</v>
      </c>
      <c r="I919" s="20">
        <v>487.4</v>
      </c>
      <c r="J919" s="22">
        <v>484.33</v>
      </c>
      <c r="K919" s="2">
        <f t="shared" si="85"/>
        <v>113128.6743653946</v>
      </c>
      <c r="L919" s="2">
        <f>IF(B919&lt;&gt;B918,L918*(1+Dashboard!$G$5)+Dashboard!$G$6, L918)</f>
        <v>106899.65936119806</v>
      </c>
      <c r="M919">
        <f t="shared" si="83"/>
        <v>0</v>
      </c>
      <c r="N919">
        <f t="shared" si="86"/>
        <v>232.4259329924077</v>
      </c>
      <c r="O919">
        <f>IF(B919&lt;&gt;B918, Dashboard!$L$6,0)</f>
        <v>0</v>
      </c>
      <c r="P919">
        <f t="shared" si="87"/>
        <v>212.65595692319732</v>
      </c>
      <c r="Q919">
        <f>IF(B919&lt;&gt;B918,IF(F919&lt;=AVERAGE(F897:F918),Dashboard!$N$6-Dashboard!$G$7,Dashboard!$N$6+Dashboard!$G$7),0)</f>
        <v>0</v>
      </c>
      <c r="R919">
        <f t="shared" si="88"/>
        <v>211.07695486535874</v>
      </c>
    </row>
    <row r="920" spans="1:18" x14ac:dyDescent="0.3">
      <c r="A920" t="s">
        <v>202</v>
      </c>
      <c r="B920">
        <v>5</v>
      </c>
      <c r="C920" s="19">
        <v>28</v>
      </c>
      <c r="D920" s="20">
        <v>2024</v>
      </c>
      <c r="E920" s="21">
        <f t="shared" si="84"/>
        <v>45440</v>
      </c>
      <c r="F920" s="20">
        <v>487.12</v>
      </c>
      <c r="G920" s="20">
        <v>4034716</v>
      </c>
      <c r="H920" s="20">
        <v>487.4</v>
      </c>
      <c r="I920" s="20">
        <v>487.64499999999998</v>
      </c>
      <c r="J920" s="22">
        <v>484.52499999999998</v>
      </c>
      <c r="K920" s="2">
        <f t="shared" si="85"/>
        <v>113219.32047926163</v>
      </c>
      <c r="L920" s="2">
        <f>IF(B920&lt;&gt;B919,L919*(1+Dashboard!$G$5)+Dashboard!$G$6, L919)</f>
        <v>106899.65936119806</v>
      </c>
      <c r="M920">
        <f t="shared" si="83"/>
        <v>0</v>
      </c>
      <c r="N920">
        <f t="shared" si="86"/>
        <v>232.4259329924077</v>
      </c>
      <c r="O920">
        <f>IF(B920&lt;&gt;B919, Dashboard!$L$6,0)</f>
        <v>0</v>
      </c>
      <c r="P920">
        <f t="shared" si="87"/>
        <v>212.65595692319732</v>
      </c>
      <c r="Q920">
        <f>IF(B920&lt;&gt;B919,IF(F920&lt;=AVERAGE(F898:F919),Dashboard!$N$6-Dashboard!$G$7,Dashboard!$N$6+Dashboard!$G$7),0)</f>
        <v>0</v>
      </c>
      <c r="R920">
        <f t="shared" si="88"/>
        <v>211.07695486535874</v>
      </c>
    </row>
    <row r="921" spans="1:18" x14ac:dyDescent="0.3">
      <c r="A921" t="s">
        <v>201</v>
      </c>
      <c r="B921">
        <v>5</v>
      </c>
      <c r="C921" s="19">
        <v>29</v>
      </c>
      <c r="D921" s="20">
        <v>2024</v>
      </c>
      <c r="E921" s="21">
        <f t="shared" si="84"/>
        <v>45441</v>
      </c>
      <c r="F921" s="20">
        <v>483.69</v>
      </c>
      <c r="G921" s="20">
        <v>5604961</v>
      </c>
      <c r="H921" s="20">
        <v>483.19</v>
      </c>
      <c r="I921" s="20">
        <v>484.68</v>
      </c>
      <c r="J921" s="22">
        <v>482.96</v>
      </c>
      <c r="K921" s="2">
        <f t="shared" si="85"/>
        <v>112422.09952909767</v>
      </c>
      <c r="L921" s="2">
        <f>IF(B921&lt;&gt;B920,L920*(1+Dashboard!$G$5)+Dashboard!$G$6, L920)</f>
        <v>106899.65936119806</v>
      </c>
      <c r="M921">
        <f t="shared" ref="M921:M984" si="89">IF(B921&lt;&gt;B920,IF((L921-K921&gt;0),L921-K921,0),0)</f>
        <v>0</v>
      </c>
      <c r="N921">
        <f t="shared" si="86"/>
        <v>232.4259329924077</v>
      </c>
      <c r="O921">
        <f>IF(B921&lt;&gt;B920, Dashboard!$L$6,0)</f>
        <v>0</v>
      </c>
      <c r="P921">
        <f t="shared" si="87"/>
        <v>212.65595692319732</v>
      </c>
      <c r="Q921">
        <f>IF(B921&lt;&gt;B920,IF(F921&lt;=AVERAGE(F899:F920),Dashboard!$N$6-Dashboard!$G$7,Dashboard!$N$6+Dashboard!$G$7),0)</f>
        <v>0</v>
      </c>
      <c r="R921">
        <f t="shared" si="88"/>
        <v>211.07695486535874</v>
      </c>
    </row>
    <row r="922" spans="1:18" x14ac:dyDescent="0.3">
      <c r="A922" t="s">
        <v>200</v>
      </c>
      <c r="B922">
        <v>5</v>
      </c>
      <c r="C922" s="19">
        <v>30</v>
      </c>
      <c r="D922" s="20">
        <v>2024</v>
      </c>
      <c r="E922" s="21">
        <f t="shared" si="84"/>
        <v>45442</v>
      </c>
      <c r="F922" s="20">
        <v>480.44</v>
      </c>
      <c r="G922" s="20">
        <v>3393589</v>
      </c>
      <c r="H922" s="20">
        <v>482.12</v>
      </c>
      <c r="I922" s="20">
        <v>482.75040000000001</v>
      </c>
      <c r="J922" s="22">
        <v>479.2</v>
      </c>
      <c r="K922" s="2">
        <f t="shared" si="85"/>
        <v>111666.71524687235</v>
      </c>
      <c r="L922" s="2">
        <f>IF(B922&lt;&gt;B921,L921*(1+Dashboard!$G$5)+Dashboard!$G$6, L921)</f>
        <v>106899.65936119806</v>
      </c>
      <c r="M922">
        <f t="shared" si="89"/>
        <v>0</v>
      </c>
      <c r="N922">
        <f t="shared" si="86"/>
        <v>232.4259329924077</v>
      </c>
      <c r="O922">
        <f>IF(B922&lt;&gt;B921, Dashboard!$L$6,0)</f>
        <v>0</v>
      </c>
      <c r="P922">
        <f t="shared" si="87"/>
        <v>212.65595692319732</v>
      </c>
      <c r="Q922">
        <f>IF(B922&lt;&gt;B921,IF(F922&lt;=AVERAGE(F900:F921),Dashboard!$N$6-Dashboard!$G$7,Dashboard!$N$6+Dashboard!$G$7),0)</f>
        <v>0</v>
      </c>
      <c r="R922">
        <f t="shared" si="88"/>
        <v>211.07695486535874</v>
      </c>
    </row>
    <row r="923" spans="1:18" x14ac:dyDescent="0.3">
      <c r="A923" t="s">
        <v>199</v>
      </c>
      <c r="B923">
        <v>5</v>
      </c>
      <c r="C923" s="19">
        <v>31</v>
      </c>
      <c r="D923" s="20">
        <v>2024</v>
      </c>
      <c r="E923" s="21">
        <f t="shared" si="84"/>
        <v>45443</v>
      </c>
      <c r="F923" s="20">
        <v>484.62</v>
      </c>
      <c r="G923" s="20">
        <v>5333971</v>
      </c>
      <c r="H923" s="20">
        <v>481.24</v>
      </c>
      <c r="I923" s="20">
        <v>484.91</v>
      </c>
      <c r="J923" s="22">
        <v>476.47500000000002</v>
      </c>
      <c r="K923" s="2">
        <f t="shared" si="85"/>
        <v>112638.25564678061</v>
      </c>
      <c r="L923" s="2">
        <f>IF(B923&lt;&gt;B922,L922*(1+Dashboard!$G$5)+Dashboard!$G$6, L922)</f>
        <v>106899.65936119806</v>
      </c>
      <c r="M923">
        <f t="shared" si="89"/>
        <v>0</v>
      </c>
      <c r="N923">
        <f t="shared" si="86"/>
        <v>232.4259329924077</v>
      </c>
      <c r="O923">
        <f>IF(B923&lt;&gt;B922, Dashboard!$L$6,0)</f>
        <v>0</v>
      </c>
      <c r="P923">
        <f t="shared" si="87"/>
        <v>212.65595692319732</v>
      </c>
      <c r="Q923">
        <f>IF(B923&lt;&gt;B922,IF(F923&lt;=AVERAGE(F901:F922),Dashboard!$N$6-Dashboard!$G$7,Dashboard!$N$6+Dashboard!$G$7),0)</f>
        <v>0</v>
      </c>
      <c r="R923">
        <f t="shared" si="88"/>
        <v>211.07695486535874</v>
      </c>
    </row>
    <row r="924" spans="1:18" x14ac:dyDescent="0.3">
      <c r="A924" s="1">
        <v>45357</v>
      </c>
      <c r="B924">
        <v>6</v>
      </c>
      <c r="C924" s="19">
        <v>3</v>
      </c>
      <c r="D924" s="20">
        <v>2024</v>
      </c>
      <c r="E924" s="21">
        <f t="shared" si="84"/>
        <v>45446</v>
      </c>
      <c r="F924" s="20">
        <v>485.15</v>
      </c>
      <c r="G924" s="20">
        <v>4211256</v>
      </c>
      <c r="H924" s="20">
        <v>486.3</v>
      </c>
      <c r="I924" s="20">
        <v>486.41</v>
      </c>
      <c r="J924" s="22">
        <v>480.4</v>
      </c>
      <c r="K924" s="2">
        <f t="shared" si="85"/>
        <v>112761.44139126659</v>
      </c>
      <c r="L924" s="2">
        <f>IF(B924&lt;&gt;B923,L923*(1+Dashboard!$G$5)+Dashboard!$G$6, L923)</f>
        <v>109840.37636357659</v>
      </c>
      <c r="M924">
        <f t="shared" si="89"/>
        <v>0</v>
      </c>
      <c r="N924">
        <f t="shared" si="86"/>
        <v>232.4259329924077</v>
      </c>
      <c r="O924">
        <f>IF(B924&lt;&gt;B923, Dashboard!$L$6,0)</f>
        <v>1859.7282542371197</v>
      </c>
      <c r="P924">
        <f t="shared" si="87"/>
        <v>216.48926261058705</v>
      </c>
      <c r="Q924">
        <f>IF(B924&lt;&gt;B923,IF(F924&lt;=AVERAGE(F902:F923),Dashboard!$N$6-Dashboard!$G$7,Dashboard!$N$6+Dashboard!$G$7),0)</f>
        <v>2232.609610169322</v>
      </c>
      <c r="R924">
        <f t="shared" si="88"/>
        <v>215.66796784123645</v>
      </c>
    </row>
    <row r="925" spans="1:18" x14ac:dyDescent="0.3">
      <c r="A925" s="1">
        <v>45388</v>
      </c>
      <c r="B925">
        <v>6</v>
      </c>
      <c r="C925" s="19">
        <v>4</v>
      </c>
      <c r="D925" s="20">
        <v>2024</v>
      </c>
      <c r="E925" s="21">
        <f t="shared" si="84"/>
        <v>45447</v>
      </c>
      <c r="F925" s="20">
        <v>485.74</v>
      </c>
      <c r="G925" s="20">
        <v>2560269</v>
      </c>
      <c r="H925" s="20">
        <v>484</v>
      </c>
      <c r="I925" s="20">
        <v>486.41</v>
      </c>
      <c r="J925" s="22">
        <v>482.56</v>
      </c>
      <c r="K925" s="2">
        <f t="shared" si="85"/>
        <v>112898.57269173212</v>
      </c>
      <c r="L925" s="2">
        <f>IF(B925&lt;&gt;B924,L924*(1+Dashboard!$G$5)+Dashboard!$G$6, L924)</f>
        <v>109840.37636357659</v>
      </c>
      <c r="M925">
        <f t="shared" si="89"/>
        <v>0</v>
      </c>
      <c r="N925">
        <f t="shared" si="86"/>
        <v>232.4259329924077</v>
      </c>
      <c r="O925">
        <f>IF(B925&lt;&gt;B924, Dashboard!$L$6,0)</f>
        <v>0</v>
      </c>
      <c r="P925">
        <f t="shared" si="87"/>
        <v>216.48926261058705</v>
      </c>
      <c r="Q925">
        <f>IF(B925&lt;&gt;B924,IF(F925&lt;=AVERAGE(F903:F924),Dashboard!$N$6-Dashboard!$G$7,Dashboard!$N$6+Dashboard!$G$7),0)</f>
        <v>0</v>
      </c>
      <c r="R925">
        <f t="shared" si="88"/>
        <v>215.66796784123645</v>
      </c>
    </row>
    <row r="926" spans="1:18" x14ac:dyDescent="0.3">
      <c r="A926" s="1">
        <v>45418</v>
      </c>
      <c r="B926">
        <v>6</v>
      </c>
      <c r="C926" s="19">
        <v>5</v>
      </c>
      <c r="D926" s="20">
        <v>2024</v>
      </c>
      <c r="E926" s="21">
        <f t="shared" si="84"/>
        <v>45448</v>
      </c>
      <c r="F926" s="20">
        <v>491.55</v>
      </c>
      <c r="G926" s="20">
        <v>3026146</v>
      </c>
      <c r="H926" s="20">
        <v>487.87</v>
      </c>
      <c r="I926" s="20">
        <v>491.55</v>
      </c>
      <c r="J926" s="22">
        <v>486.06</v>
      </c>
      <c r="K926" s="2">
        <f t="shared" si="85"/>
        <v>114248.967362418</v>
      </c>
      <c r="L926" s="2">
        <f>IF(B926&lt;&gt;B925,L925*(1+Dashboard!$G$5)+Dashboard!$G$6, L925)</f>
        <v>109840.37636357659</v>
      </c>
      <c r="M926">
        <f t="shared" si="89"/>
        <v>0</v>
      </c>
      <c r="N926">
        <f t="shared" si="86"/>
        <v>232.4259329924077</v>
      </c>
      <c r="O926">
        <f>IF(B926&lt;&gt;B925, Dashboard!$L$6,0)</f>
        <v>0</v>
      </c>
      <c r="P926">
        <f t="shared" si="87"/>
        <v>216.48926261058705</v>
      </c>
      <c r="Q926">
        <f>IF(B926&lt;&gt;B925,IF(F926&lt;=AVERAGE(F904:F925),Dashboard!$N$6-Dashboard!$G$7,Dashboard!$N$6+Dashboard!$G$7),0)</f>
        <v>0</v>
      </c>
      <c r="R926">
        <f t="shared" si="88"/>
        <v>215.66796784123645</v>
      </c>
    </row>
    <row r="927" spans="1:18" x14ac:dyDescent="0.3">
      <c r="A927" s="1">
        <v>45449</v>
      </c>
      <c r="B927">
        <v>6</v>
      </c>
      <c r="C927" s="19">
        <v>6</v>
      </c>
      <c r="D927" s="20">
        <v>2024</v>
      </c>
      <c r="E927" s="21">
        <f t="shared" si="84"/>
        <v>45449</v>
      </c>
      <c r="F927" s="20">
        <v>491.44</v>
      </c>
      <c r="G927" s="20">
        <v>21343960</v>
      </c>
      <c r="H927" s="20">
        <v>491.84</v>
      </c>
      <c r="I927" s="20">
        <v>492.18</v>
      </c>
      <c r="J927" s="22">
        <v>489.64010000000002</v>
      </c>
      <c r="K927" s="2">
        <f t="shared" si="85"/>
        <v>114223.40050978884</v>
      </c>
      <c r="L927" s="2">
        <f>IF(B927&lt;&gt;B926,L926*(1+Dashboard!$G$5)+Dashboard!$G$6, L926)</f>
        <v>109840.37636357659</v>
      </c>
      <c r="M927">
        <f t="shared" si="89"/>
        <v>0</v>
      </c>
      <c r="N927">
        <f t="shared" si="86"/>
        <v>232.4259329924077</v>
      </c>
      <c r="O927">
        <f>IF(B927&lt;&gt;B926, Dashboard!$L$6,0)</f>
        <v>0</v>
      </c>
      <c r="P927">
        <f t="shared" si="87"/>
        <v>216.48926261058705</v>
      </c>
      <c r="Q927">
        <f>IF(B927&lt;&gt;B926,IF(F927&lt;=AVERAGE(F905:F926),Dashboard!$N$6-Dashboard!$G$7,Dashboard!$N$6+Dashboard!$G$7),0)</f>
        <v>0</v>
      </c>
      <c r="R927">
        <f t="shared" si="88"/>
        <v>215.66796784123645</v>
      </c>
    </row>
    <row r="928" spans="1:18" x14ac:dyDescent="0.3">
      <c r="A928" s="1">
        <v>45479</v>
      </c>
      <c r="B928">
        <v>6</v>
      </c>
      <c r="C928" s="19">
        <v>7</v>
      </c>
      <c r="D928" s="20">
        <v>2024</v>
      </c>
      <c r="E928" s="21">
        <f t="shared" si="84"/>
        <v>45450</v>
      </c>
      <c r="F928" s="20">
        <v>490.8</v>
      </c>
      <c r="G928" s="20">
        <v>3063587</v>
      </c>
      <c r="H928" s="20">
        <v>490.55</v>
      </c>
      <c r="I928" s="20">
        <v>493.53</v>
      </c>
      <c r="J928" s="22">
        <v>489.54</v>
      </c>
      <c r="K928" s="2">
        <f t="shared" si="85"/>
        <v>114074.6479126737</v>
      </c>
      <c r="L928" s="2">
        <f>IF(B928&lt;&gt;B927,L927*(1+Dashboard!$G$5)+Dashboard!$G$6, L927)</f>
        <v>109840.37636357659</v>
      </c>
      <c r="M928">
        <f t="shared" si="89"/>
        <v>0</v>
      </c>
      <c r="N928">
        <f t="shared" si="86"/>
        <v>232.4259329924077</v>
      </c>
      <c r="O928">
        <f>IF(B928&lt;&gt;B927, Dashboard!$L$6,0)</f>
        <v>0</v>
      </c>
      <c r="P928">
        <f t="shared" si="87"/>
        <v>216.48926261058705</v>
      </c>
      <c r="Q928">
        <f>IF(B928&lt;&gt;B927,IF(F928&lt;=AVERAGE(F906:F927),Dashboard!$N$6-Dashboard!$G$7,Dashboard!$N$6+Dashboard!$G$7),0)</f>
        <v>0</v>
      </c>
      <c r="R928">
        <f t="shared" si="88"/>
        <v>215.66796784123645</v>
      </c>
    </row>
    <row r="929" spans="1:18" x14ac:dyDescent="0.3">
      <c r="A929" s="1">
        <v>45571</v>
      </c>
      <c r="B929">
        <v>6</v>
      </c>
      <c r="C929" s="19">
        <v>10</v>
      </c>
      <c r="D929" s="20">
        <v>2024</v>
      </c>
      <c r="E929" s="21">
        <f t="shared" si="84"/>
        <v>45453</v>
      </c>
      <c r="F929" s="20">
        <v>492.41</v>
      </c>
      <c r="G929" s="20">
        <v>3465222</v>
      </c>
      <c r="H929" s="20">
        <v>490.17</v>
      </c>
      <c r="I929" s="20">
        <v>492.69</v>
      </c>
      <c r="J929" s="22">
        <v>489.56</v>
      </c>
      <c r="K929" s="2">
        <f t="shared" si="85"/>
        <v>114448.85366479147</v>
      </c>
      <c r="L929" s="2">
        <f>IF(B929&lt;&gt;B928,L928*(1+Dashboard!$G$5)+Dashboard!$G$6, L928)</f>
        <v>109840.37636357659</v>
      </c>
      <c r="M929">
        <f t="shared" si="89"/>
        <v>0</v>
      </c>
      <c r="N929">
        <f t="shared" si="86"/>
        <v>232.4259329924077</v>
      </c>
      <c r="O929">
        <f>IF(B929&lt;&gt;B928, Dashboard!$L$6,0)</f>
        <v>0</v>
      </c>
      <c r="P929">
        <f t="shared" si="87"/>
        <v>216.48926261058705</v>
      </c>
      <c r="Q929">
        <f>IF(B929&lt;&gt;B928,IF(F929&lt;=AVERAGE(F907:F928),Dashboard!$N$6-Dashboard!$G$7,Dashboard!$N$6+Dashboard!$G$7),0)</f>
        <v>0</v>
      </c>
      <c r="R929">
        <f t="shared" si="88"/>
        <v>215.66796784123645</v>
      </c>
    </row>
    <row r="930" spans="1:18" x14ac:dyDescent="0.3">
      <c r="A930" s="1">
        <v>45602</v>
      </c>
      <c r="B930">
        <v>6</v>
      </c>
      <c r="C930" s="19">
        <v>11</v>
      </c>
      <c r="D930" s="20">
        <v>2024</v>
      </c>
      <c r="E930" s="21">
        <f t="shared" si="84"/>
        <v>45454</v>
      </c>
      <c r="F930" s="20">
        <v>493.53</v>
      </c>
      <c r="G930" s="20">
        <v>4028423</v>
      </c>
      <c r="H930" s="20">
        <v>490.99</v>
      </c>
      <c r="I930" s="20">
        <v>493.66</v>
      </c>
      <c r="J930" s="22">
        <v>489.10899999999998</v>
      </c>
      <c r="K930" s="2">
        <f t="shared" si="85"/>
        <v>114709.17070974296</v>
      </c>
      <c r="L930" s="2">
        <f>IF(B930&lt;&gt;B929,L929*(1+Dashboard!$G$5)+Dashboard!$G$6, L929)</f>
        <v>109840.37636357659</v>
      </c>
      <c r="M930">
        <f t="shared" si="89"/>
        <v>0</v>
      </c>
      <c r="N930">
        <f t="shared" si="86"/>
        <v>232.4259329924077</v>
      </c>
      <c r="O930">
        <f>IF(B930&lt;&gt;B929, Dashboard!$L$6,0)</f>
        <v>0</v>
      </c>
      <c r="P930">
        <f t="shared" si="87"/>
        <v>216.48926261058705</v>
      </c>
      <c r="Q930">
        <f>IF(B930&lt;&gt;B929,IF(F930&lt;=AVERAGE(F908:F929),Dashboard!$N$6-Dashboard!$G$7,Dashboard!$N$6+Dashboard!$G$7),0)</f>
        <v>0</v>
      </c>
      <c r="R930">
        <f t="shared" si="88"/>
        <v>215.66796784123645</v>
      </c>
    </row>
    <row r="931" spans="1:18" x14ac:dyDescent="0.3">
      <c r="A931" s="1">
        <v>45632</v>
      </c>
      <c r="B931">
        <v>6</v>
      </c>
      <c r="C931" s="19">
        <v>12</v>
      </c>
      <c r="D931" s="20">
        <v>2024</v>
      </c>
      <c r="E931" s="21">
        <f t="shared" si="84"/>
        <v>45455</v>
      </c>
      <c r="F931" s="20">
        <v>497.64</v>
      </c>
      <c r="G931" s="20">
        <v>3698787</v>
      </c>
      <c r="H931" s="20">
        <v>497.93</v>
      </c>
      <c r="I931" s="20">
        <v>500.15</v>
      </c>
      <c r="J931" s="22">
        <v>496.71</v>
      </c>
      <c r="K931" s="2">
        <f t="shared" si="85"/>
        <v>115664.44129434176</v>
      </c>
      <c r="L931" s="2">
        <f>IF(B931&lt;&gt;B930,L930*(1+Dashboard!$G$5)+Dashboard!$G$6, L930)</f>
        <v>109840.37636357659</v>
      </c>
      <c r="M931">
        <f t="shared" si="89"/>
        <v>0</v>
      </c>
      <c r="N931">
        <f t="shared" si="86"/>
        <v>232.4259329924077</v>
      </c>
      <c r="O931">
        <f>IF(B931&lt;&gt;B930, Dashboard!$L$6,0)</f>
        <v>0</v>
      </c>
      <c r="P931">
        <f t="shared" si="87"/>
        <v>216.48926261058705</v>
      </c>
      <c r="Q931">
        <f>IF(B931&lt;&gt;B930,IF(F931&lt;=AVERAGE(F909:F930),Dashboard!$N$6-Dashboard!$G$7,Dashboard!$N$6+Dashboard!$G$7),0)</f>
        <v>0</v>
      </c>
      <c r="R931">
        <f t="shared" si="88"/>
        <v>215.66796784123645</v>
      </c>
    </row>
    <row r="932" spans="1:18" x14ac:dyDescent="0.3">
      <c r="A932" t="s">
        <v>198</v>
      </c>
      <c r="B932">
        <v>6</v>
      </c>
      <c r="C932" s="19">
        <v>13</v>
      </c>
      <c r="D932" s="20">
        <v>2024</v>
      </c>
      <c r="E932" s="21">
        <f t="shared" si="84"/>
        <v>45456</v>
      </c>
      <c r="F932" s="20">
        <v>498.58</v>
      </c>
      <c r="G932" s="20">
        <v>8808879</v>
      </c>
      <c r="H932" s="20">
        <v>499.3</v>
      </c>
      <c r="I932" s="20">
        <v>499.45</v>
      </c>
      <c r="J932" s="22">
        <v>496.06</v>
      </c>
      <c r="K932" s="2">
        <f t="shared" si="85"/>
        <v>115882.92167135462</v>
      </c>
      <c r="L932" s="2">
        <f>IF(B932&lt;&gt;B931,L931*(1+Dashboard!$G$5)+Dashboard!$G$6, L931)</f>
        <v>109840.37636357659</v>
      </c>
      <c r="M932">
        <f t="shared" si="89"/>
        <v>0</v>
      </c>
      <c r="N932">
        <f t="shared" si="86"/>
        <v>232.4259329924077</v>
      </c>
      <c r="O932">
        <f>IF(B932&lt;&gt;B931, Dashboard!$L$6,0)</f>
        <v>0</v>
      </c>
      <c r="P932">
        <f t="shared" si="87"/>
        <v>216.48926261058705</v>
      </c>
      <c r="Q932">
        <f>IF(B932&lt;&gt;B931,IF(F932&lt;=AVERAGE(F910:F931),Dashboard!$N$6-Dashboard!$G$7,Dashboard!$N$6+Dashboard!$G$7),0)</f>
        <v>0</v>
      </c>
      <c r="R932">
        <f t="shared" si="88"/>
        <v>215.66796784123645</v>
      </c>
    </row>
    <row r="933" spans="1:18" x14ac:dyDescent="0.3">
      <c r="A933" t="s">
        <v>197</v>
      </c>
      <c r="B933">
        <v>6</v>
      </c>
      <c r="C933" s="19">
        <v>14</v>
      </c>
      <c r="D933" s="20">
        <v>2024</v>
      </c>
      <c r="E933" s="21">
        <f t="shared" si="84"/>
        <v>45457</v>
      </c>
      <c r="F933" s="20">
        <v>498.98</v>
      </c>
      <c r="G933" s="20">
        <v>5812046</v>
      </c>
      <c r="H933" s="20">
        <v>497.26</v>
      </c>
      <c r="I933" s="20">
        <v>499.04</v>
      </c>
      <c r="J933" s="22">
        <v>496.29</v>
      </c>
      <c r="K933" s="2">
        <f t="shared" si="85"/>
        <v>115975.8920445516</v>
      </c>
      <c r="L933" s="2">
        <f>IF(B933&lt;&gt;B932,L932*(1+Dashboard!$G$5)+Dashboard!$G$6, L932)</f>
        <v>109840.37636357659</v>
      </c>
      <c r="M933">
        <f t="shared" si="89"/>
        <v>0</v>
      </c>
      <c r="N933">
        <f t="shared" si="86"/>
        <v>232.4259329924077</v>
      </c>
      <c r="O933">
        <f>IF(B933&lt;&gt;B932, Dashboard!$L$6,0)</f>
        <v>0</v>
      </c>
      <c r="P933">
        <f t="shared" si="87"/>
        <v>216.48926261058705</v>
      </c>
      <c r="Q933">
        <f>IF(B933&lt;&gt;B932,IF(F933&lt;=AVERAGE(F911:F932),Dashboard!$N$6-Dashboard!$G$7,Dashboard!$N$6+Dashboard!$G$7),0)</f>
        <v>0</v>
      </c>
      <c r="R933">
        <f t="shared" si="88"/>
        <v>215.66796784123645</v>
      </c>
    </row>
    <row r="934" spans="1:18" x14ac:dyDescent="0.3">
      <c r="A934" t="s">
        <v>196</v>
      </c>
      <c r="B934">
        <v>6</v>
      </c>
      <c r="C934" s="19">
        <v>17</v>
      </c>
      <c r="D934" s="20">
        <v>2024</v>
      </c>
      <c r="E934" s="21">
        <f t="shared" si="84"/>
        <v>45460</v>
      </c>
      <c r="F934" s="20">
        <v>502.94</v>
      </c>
      <c r="G934" s="20">
        <v>4609539</v>
      </c>
      <c r="H934" s="20">
        <v>498.48</v>
      </c>
      <c r="I934" s="20">
        <v>504.18</v>
      </c>
      <c r="J934" s="22">
        <v>497.91</v>
      </c>
      <c r="K934" s="2">
        <f t="shared" si="85"/>
        <v>116896.29873920152</v>
      </c>
      <c r="L934" s="2">
        <f>IF(B934&lt;&gt;B933,L933*(1+Dashboard!$G$5)+Dashboard!$G$6, L933)</f>
        <v>109840.37636357659</v>
      </c>
      <c r="M934">
        <f t="shared" si="89"/>
        <v>0</v>
      </c>
      <c r="N934">
        <f t="shared" si="86"/>
        <v>232.4259329924077</v>
      </c>
      <c r="O934">
        <f>IF(B934&lt;&gt;B933, Dashboard!$L$6,0)</f>
        <v>0</v>
      </c>
      <c r="P934">
        <f t="shared" si="87"/>
        <v>216.48926261058705</v>
      </c>
      <c r="Q934">
        <f>IF(B934&lt;&gt;B933,IF(F934&lt;=AVERAGE(F912:F933),Dashboard!$N$6-Dashboard!$G$7,Dashboard!$N$6+Dashboard!$G$7),0)</f>
        <v>0</v>
      </c>
      <c r="R934">
        <f t="shared" si="88"/>
        <v>215.66796784123645</v>
      </c>
    </row>
    <row r="935" spans="1:18" x14ac:dyDescent="0.3">
      <c r="A935" t="s">
        <v>195</v>
      </c>
      <c r="B935">
        <v>6</v>
      </c>
      <c r="C935" s="19">
        <v>18</v>
      </c>
      <c r="D935" s="20">
        <v>2024</v>
      </c>
      <c r="E935" s="21">
        <f t="shared" si="84"/>
        <v>45461</v>
      </c>
      <c r="F935" s="20">
        <v>504.28</v>
      </c>
      <c r="G935" s="20">
        <v>3431665</v>
      </c>
      <c r="H935" s="20">
        <v>503.05</v>
      </c>
      <c r="I935" s="20">
        <v>504.35520000000002</v>
      </c>
      <c r="J935" s="22">
        <v>502.63</v>
      </c>
      <c r="K935" s="2">
        <f t="shared" si="85"/>
        <v>117207.74948941135</v>
      </c>
      <c r="L935" s="2">
        <f>IF(B935&lt;&gt;B934,L934*(1+Dashboard!$G$5)+Dashboard!$G$6, L934)</f>
        <v>109840.37636357659</v>
      </c>
      <c r="M935">
        <f t="shared" si="89"/>
        <v>0</v>
      </c>
      <c r="N935">
        <f t="shared" si="86"/>
        <v>232.4259329924077</v>
      </c>
      <c r="O935">
        <f>IF(B935&lt;&gt;B934, Dashboard!$L$6,0)</f>
        <v>0</v>
      </c>
      <c r="P935">
        <f t="shared" si="87"/>
        <v>216.48926261058705</v>
      </c>
      <c r="Q935">
        <f>IF(B935&lt;&gt;B934,IF(F935&lt;=AVERAGE(F913:F934),Dashboard!$N$6-Dashboard!$G$7,Dashboard!$N$6+Dashboard!$G$7),0)</f>
        <v>0</v>
      </c>
      <c r="R935">
        <f t="shared" si="88"/>
        <v>215.66796784123645</v>
      </c>
    </row>
    <row r="936" spans="1:18" x14ac:dyDescent="0.3">
      <c r="A936" t="s">
        <v>194</v>
      </c>
      <c r="B936">
        <v>6</v>
      </c>
      <c r="C936" s="19">
        <v>20</v>
      </c>
      <c r="D936" s="20">
        <v>2024</v>
      </c>
      <c r="E936" s="21">
        <f t="shared" si="84"/>
        <v>45463</v>
      </c>
      <c r="F936" s="20">
        <v>502.88</v>
      </c>
      <c r="G936" s="20">
        <v>4810867</v>
      </c>
      <c r="H936" s="20">
        <v>505.14</v>
      </c>
      <c r="I936" s="20">
        <v>505.74</v>
      </c>
      <c r="J936" s="22">
        <v>501.19</v>
      </c>
      <c r="K936" s="2">
        <f t="shared" si="85"/>
        <v>116882.35318322197</v>
      </c>
      <c r="L936" s="2">
        <f>IF(B936&lt;&gt;B935,L935*(1+Dashboard!$G$5)+Dashboard!$G$6, L935)</f>
        <v>109840.37636357659</v>
      </c>
      <c r="M936">
        <f t="shared" si="89"/>
        <v>0</v>
      </c>
      <c r="N936">
        <f t="shared" si="86"/>
        <v>232.4259329924077</v>
      </c>
      <c r="O936">
        <f>IF(B936&lt;&gt;B935, Dashboard!$L$6,0)</f>
        <v>0</v>
      </c>
      <c r="P936">
        <f t="shared" si="87"/>
        <v>216.48926261058705</v>
      </c>
      <c r="Q936">
        <f>IF(B936&lt;&gt;B935,IF(F936&lt;=AVERAGE(F914:F935),Dashboard!$N$6-Dashboard!$G$7,Dashboard!$N$6+Dashboard!$G$7),0)</f>
        <v>0</v>
      </c>
      <c r="R936">
        <f t="shared" si="88"/>
        <v>215.66796784123645</v>
      </c>
    </row>
    <row r="937" spans="1:18" x14ac:dyDescent="0.3">
      <c r="A937" t="s">
        <v>193</v>
      </c>
      <c r="B937">
        <v>6</v>
      </c>
      <c r="C937" s="19">
        <v>21</v>
      </c>
      <c r="D937" s="20">
        <v>2024</v>
      </c>
      <c r="E937" s="21">
        <f t="shared" si="84"/>
        <v>45464</v>
      </c>
      <c r="F937" s="20">
        <v>501.78</v>
      </c>
      <c r="G937" s="20">
        <v>4347838</v>
      </c>
      <c r="H937" s="20">
        <v>502.1</v>
      </c>
      <c r="I937" s="20">
        <v>503.21570000000003</v>
      </c>
      <c r="J937" s="22">
        <v>500.85</v>
      </c>
      <c r="K937" s="2">
        <f t="shared" si="85"/>
        <v>116626.68465693033</v>
      </c>
      <c r="L937" s="2">
        <f>IF(B937&lt;&gt;B936,L936*(1+Dashboard!$G$5)+Dashboard!$G$6, L936)</f>
        <v>109840.37636357659</v>
      </c>
      <c r="M937">
        <f t="shared" si="89"/>
        <v>0</v>
      </c>
      <c r="N937">
        <f t="shared" si="86"/>
        <v>232.4259329924077</v>
      </c>
      <c r="O937">
        <f>IF(B937&lt;&gt;B936, Dashboard!$L$6,0)</f>
        <v>0</v>
      </c>
      <c r="P937">
        <f t="shared" si="87"/>
        <v>216.48926261058705</v>
      </c>
      <c r="Q937">
        <f>IF(B937&lt;&gt;B936,IF(F937&lt;=AVERAGE(F915:F936),Dashboard!$N$6-Dashboard!$G$7,Dashboard!$N$6+Dashboard!$G$7),0)</f>
        <v>0</v>
      </c>
      <c r="R937">
        <f t="shared" si="88"/>
        <v>215.66796784123645</v>
      </c>
    </row>
    <row r="938" spans="1:18" x14ac:dyDescent="0.3">
      <c r="A938" t="s">
        <v>192</v>
      </c>
      <c r="B938">
        <v>6</v>
      </c>
      <c r="C938" s="19">
        <v>24</v>
      </c>
      <c r="D938" s="20">
        <v>2024</v>
      </c>
      <c r="E938" s="21">
        <f t="shared" si="84"/>
        <v>45467</v>
      </c>
      <c r="F938" s="20">
        <v>500.43</v>
      </c>
      <c r="G938" s="20">
        <v>7022844</v>
      </c>
      <c r="H938" s="20">
        <v>502.03</v>
      </c>
      <c r="I938" s="20">
        <v>504.43950000000001</v>
      </c>
      <c r="J938" s="22">
        <v>500.43</v>
      </c>
      <c r="K938" s="2">
        <f t="shared" si="85"/>
        <v>116312.90964739058</v>
      </c>
      <c r="L938" s="2">
        <f>IF(B938&lt;&gt;B937,L937*(1+Dashboard!$G$5)+Dashboard!$G$6, L937)</f>
        <v>109840.37636357659</v>
      </c>
      <c r="M938">
        <f t="shared" si="89"/>
        <v>0</v>
      </c>
      <c r="N938">
        <f t="shared" si="86"/>
        <v>232.4259329924077</v>
      </c>
      <c r="O938">
        <f>IF(B938&lt;&gt;B937, Dashboard!$L$6,0)</f>
        <v>0</v>
      </c>
      <c r="P938">
        <f t="shared" si="87"/>
        <v>216.48926261058705</v>
      </c>
      <c r="Q938">
        <f>IF(B938&lt;&gt;B937,IF(F938&lt;=AVERAGE(F916:F937),Dashboard!$N$6-Dashboard!$G$7,Dashboard!$N$6+Dashboard!$G$7),0)</f>
        <v>0</v>
      </c>
      <c r="R938">
        <f t="shared" si="88"/>
        <v>215.66796784123645</v>
      </c>
    </row>
    <row r="939" spans="1:18" x14ac:dyDescent="0.3">
      <c r="A939" t="s">
        <v>191</v>
      </c>
      <c r="B939">
        <v>6</v>
      </c>
      <c r="C939" s="19">
        <v>25</v>
      </c>
      <c r="D939" s="20">
        <v>2024</v>
      </c>
      <c r="E939" s="21">
        <f t="shared" si="84"/>
        <v>45468</v>
      </c>
      <c r="F939" s="20">
        <v>502.51</v>
      </c>
      <c r="G939" s="20">
        <v>6336724</v>
      </c>
      <c r="H939" s="20">
        <v>501.71</v>
      </c>
      <c r="I939" s="20">
        <v>502.83</v>
      </c>
      <c r="J939" s="22">
        <v>500.32</v>
      </c>
      <c r="K939" s="2">
        <f t="shared" si="85"/>
        <v>116796.35558801479</v>
      </c>
      <c r="L939" s="2">
        <f>IF(B939&lt;&gt;B938,L938*(1+Dashboard!$G$5)+Dashboard!$G$6, L938)</f>
        <v>109840.37636357659</v>
      </c>
      <c r="M939">
        <f t="shared" si="89"/>
        <v>0</v>
      </c>
      <c r="N939">
        <f t="shared" si="86"/>
        <v>232.4259329924077</v>
      </c>
      <c r="O939">
        <f>IF(B939&lt;&gt;B938, Dashboard!$L$6,0)</f>
        <v>0</v>
      </c>
      <c r="P939">
        <f t="shared" si="87"/>
        <v>216.48926261058705</v>
      </c>
      <c r="Q939">
        <f>IF(B939&lt;&gt;B938,IF(F939&lt;=AVERAGE(F917:F938),Dashboard!$N$6-Dashboard!$G$7,Dashboard!$N$6+Dashboard!$G$7),0)</f>
        <v>0</v>
      </c>
      <c r="R939">
        <f t="shared" si="88"/>
        <v>215.66796784123645</v>
      </c>
    </row>
    <row r="940" spans="1:18" x14ac:dyDescent="0.3">
      <c r="A940" t="s">
        <v>190</v>
      </c>
      <c r="B940">
        <v>6</v>
      </c>
      <c r="C940" s="19">
        <v>26</v>
      </c>
      <c r="D940" s="20">
        <v>2024</v>
      </c>
      <c r="E940" s="21">
        <f t="shared" si="84"/>
        <v>45469</v>
      </c>
      <c r="F940" s="20">
        <v>503.07</v>
      </c>
      <c r="G940" s="20">
        <v>3202700</v>
      </c>
      <c r="H940" s="20">
        <v>501.47</v>
      </c>
      <c r="I940" s="20">
        <v>503.77</v>
      </c>
      <c r="J940" s="22">
        <v>500.89</v>
      </c>
      <c r="K940" s="2">
        <f t="shared" si="85"/>
        <v>116926.51411049053</v>
      </c>
      <c r="L940" s="2">
        <f>IF(B940&lt;&gt;B939,L939*(1+Dashboard!$G$5)+Dashboard!$G$6, L939)</f>
        <v>109840.37636357659</v>
      </c>
      <c r="M940">
        <f t="shared" si="89"/>
        <v>0</v>
      </c>
      <c r="N940">
        <f t="shared" si="86"/>
        <v>232.4259329924077</v>
      </c>
      <c r="O940">
        <f>IF(B940&lt;&gt;B939, Dashboard!$L$6,0)</f>
        <v>0</v>
      </c>
      <c r="P940">
        <f t="shared" si="87"/>
        <v>216.48926261058705</v>
      </c>
      <c r="Q940">
        <f>IF(B940&lt;&gt;B939,IF(F940&lt;=AVERAGE(F918:F939),Dashboard!$N$6-Dashboard!$G$7,Dashboard!$N$6+Dashboard!$G$7),0)</f>
        <v>0</v>
      </c>
      <c r="R940">
        <f t="shared" si="88"/>
        <v>215.66796784123645</v>
      </c>
    </row>
    <row r="941" spans="1:18" x14ac:dyDescent="0.3">
      <c r="A941" t="s">
        <v>189</v>
      </c>
      <c r="B941">
        <v>6</v>
      </c>
      <c r="C941" s="19">
        <v>27</v>
      </c>
      <c r="D941" s="20">
        <v>2024</v>
      </c>
      <c r="E941" s="21">
        <f t="shared" si="84"/>
        <v>45470</v>
      </c>
      <c r="F941" s="20">
        <v>503.85</v>
      </c>
      <c r="G941" s="20">
        <v>3619655</v>
      </c>
      <c r="H941" s="20">
        <v>503</v>
      </c>
      <c r="I941" s="20">
        <v>504.48</v>
      </c>
      <c r="J941" s="22">
        <v>502.32</v>
      </c>
      <c r="K941" s="2">
        <f t="shared" si="85"/>
        <v>117107.80633822462</v>
      </c>
      <c r="L941" s="2">
        <f>IF(B941&lt;&gt;B940,L940*(1+Dashboard!$G$5)+Dashboard!$G$6, L940)</f>
        <v>109840.37636357659</v>
      </c>
      <c r="M941">
        <f t="shared" si="89"/>
        <v>0</v>
      </c>
      <c r="N941">
        <f t="shared" si="86"/>
        <v>232.4259329924077</v>
      </c>
      <c r="O941">
        <f>IF(B941&lt;&gt;B940, Dashboard!$L$6,0)</f>
        <v>0</v>
      </c>
      <c r="P941">
        <f t="shared" si="87"/>
        <v>216.48926261058705</v>
      </c>
      <c r="Q941">
        <f>IF(B941&lt;&gt;B940,IF(F941&lt;=AVERAGE(F919:F940),Dashboard!$N$6-Dashboard!$G$7,Dashboard!$N$6+Dashboard!$G$7),0)</f>
        <v>0</v>
      </c>
      <c r="R941">
        <f t="shared" si="88"/>
        <v>215.66796784123645</v>
      </c>
    </row>
    <row r="942" spans="1:18" x14ac:dyDescent="0.3">
      <c r="A942" t="s">
        <v>188</v>
      </c>
      <c r="B942">
        <v>6</v>
      </c>
      <c r="C942" s="19">
        <v>28</v>
      </c>
      <c r="D942" s="20">
        <v>2024</v>
      </c>
      <c r="E942" s="21">
        <f t="shared" si="84"/>
        <v>45471</v>
      </c>
      <c r="F942" s="20">
        <v>500.13</v>
      </c>
      <c r="G942" s="20">
        <v>5598571</v>
      </c>
      <c r="H942" s="20">
        <v>502.97</v>
      </c>
      <c r="I942" s="20">
        <v>505.73</v>
      </c>
      <c r="J942" s="22">
        <v>499.01</v>
      </c>
      <c r="K942" s="2">
        <f t="shared" si="85"/>
        <v>116243.18186749287</v>
      </c>
      <c r="L942" s="2">
        <f>IF(B942&lt;&gt;B941,L941*(1+Dashboard!$G$5)+Dashboard!$G$6, L941)</f>
        <v>109840.37636357659</v>
      </c>
      <c r="M942">
        <f t="shared" si="89"/>
        <v>0</v>
      </c>
      <c r="N942">
        <f t="shared" si="86"/>
        <v>232.4259329924077</v>
      </c>
      <c r="O942">
        <f>IF(B942&lt;&gt;B941, Dashboard!$L$6,0)</f>
        <v>0</v>
      </c>
      <c r="P942">
        <f t="shared" si="87"/>
        <v>216.48926261058705</v>
      </c>
      <c r="Q942">
        <f>IF(B942&lt;&gt;B941,IF(F942&lt;=AVERAGE(F920:F941),Dashboard!$N$6-Dashboard!$G$7,Dashboard!$N$6+Dashboard!$G$7),0)</f>
        <v>0</v>
      </c>
      <c r="R942">
        <f t="shared" si="88"/>
        <v>215.66796784123645</v>
      </c>
    </row>
    <row r="943" spans="1:18" x14ac:dyDescent="0.3">
      <c r="A943" s="1">
        <v>45298</v>
      </c>
      <c r="B943">
        <v>7</v>
      </c>
      <c r="C943" s="19">
        <v>1</v>
      </c>
      <c r="D943" s="20">
        <v>2024</v>
      </c>
      <c r="E943" s="21">
        <f t="shared" si="84"/>
        <v>45474</v>
      </c>
      <c r="F943" s="20">
        <v>501.28</v>
      </c>
      <c r="G943" s="20">
        <v>4368526</v>
      </c>
      <c r="H943" s="20">
        <v>501.49</v>
      </c>
      <c r="I943" s="20">
        <v>501.67989999999998</v>
      </c>
      <c r="J943" s="22">
        <v>498.6</v>
      </c>
      <c r="K943" s="2">
        <f t="shared" si="85"/>
        <v>116510.47169043412</v>
      </c>
      <c r="L943" s="2">
        <f>IF(B943&lt;&gt;B942,L942*(1+Dashboard!$G$5)+Dashboard!$G$6, L942)</f>
        <v>112806.97167557606</v>
      </c>
      <c r="M943">
        <f t="shared" si="89"/>
        <v>0</v>
      </c>
      <c r="N943">
        <f t="shared" si="86"/>
        <v>232.4259329924077</v>
      </c>
      <c r="O943">
        <f>IF(B943&lt;&gt;B942, Dashboard!$L$6,0)</f>
        <v>1859.7282542371197</v>
      </c>
      <c r="P943">
        <f t="shared" si="87"/>
        <v>220.19922162398697</v>
      </c>
      <c r="Q943">
        <f>IF(B943&lt;&gt;B942,IF(F943&lt;=AVERAGE(F921:F942),Dashboard!$N$6-Dashboard!$G$7,Dashboard!$N$6+Dashboard!$G$7),0)</f>
        <v>2232.609610169322</v>
      </c>
      <c r="R943">
        <f t="shared" si="88"/>
        <v>220.1199202434166</v>
      </c>
    </row>
    <row r="944" spans="1:18" x14ac:dyDescent="0.3">
      <c r="A944" s="1">
        <v>45329</v>
      </c>
      <c r="B944">
        <v>7</v>
      </c>
      <c r="C944" s="19">
        <v>2</v>
      </c>
      <c r="D944" s="20">
        <v>2024</v>
      </c>
      <c r="E944" s="21">
        <f t="shared" si="84"/>
        <v>45475</v>
      </c>
      <c r="F944" s="20">
        <v>504.53</v>
      </c>
      <c r="G944" s="20">
        <v>4210083</v>
      </c>
      <c r="H944" s="20">
        <v>499.69</v>
      </c>
      <c r="I944" s="20">
        <v>504.61</v>
      </c>
      <c r="J944" s="22">
        <v>499.61</v>
      </c>
      <c r="K944" s="2">
        <f t="shared" si="85"/>
        <v>117265.85597265945</v>
      </c>
      <c r="L944" s="2">
        <f>IF(B944&lt;&gt;B943,L943*(1+Dashboard!$G$5)+Dashboard!$G$6, L943)</f>
        <v>112806.97167557606</v>
      </c>
      <c r="M944">
        <f t="shared" si="89"/>
        <v>0</v>
      </c>
      <c r="N944">
        <f t="shared" si="86"/>
        <v>232.4259329924077</v>
      </c>
      <c r="O944">
        <f>IF(B944&lt;&gt;B943, Dashboard!$L$6,0)</f>
        <v>0</v>
      </c>
      <c r="P944">
        <f t="shared" si="87"/>
        <v>220.19922162398697</v>
      </c>
      <c r="Q944">
        <f>IF(B944&lt;&gt;B943,IF(F944&lt;=AVERAGE(F922:F943),Dashboard!$N$6-Dashboard!$G$7,Dashboard!$N$6+Dashboard!$G$7),0)</f>
        <v>0</v>
      </c>
      <c r="R944">
        <f t="shared" si="88"/>
        <v>220.1199202434166</v>
      </c>
    </row>
    <row r="945" spans="1:18" x14ac:dyDescent="0.3">
      <c r="A945" s="1">
        <v>45358</v>
      </c>
      <c r="B945">
        <v>7</v>
      </c>
      <c r="C945" s="19">
        <v>3</v>
      </c>
      <c r="D945" s="20">
        <v>2024</v>
      </c>
      <c r="E945" s="21">
        <f t="shared" si="84"/>
        <v>45476</v>
      </c>
      <c r="F945" s="20">
        <v>506.81</v>
      </c>
      <c r="G945" s="20">
        <v>2131086</v>
      </c>
      <c r="H945" s="20">
        <v>504.22</v>
      </c>
      <c r="I945" s="20">
        <v>507.14</v>
      </c>
      <c r="J945" s="22">
        <v>504.22</v>
      </c>
      <c r="K945" s="2">
        <f t="shared" si="85"/>
        <v>117795.78709988215</v>
      </c>
      <c r="L945" s="2">
        <f>IF(B945&lt;&gt;B944,L944*(1+Dashboard!$G$5)+Dashboard!$G$6, L944)</f>
        <v>112806.97167557606</v>
      </c>
      <c r="M945">
        <f t="shared" si="89"/>
        <v>0</v>
      </c>
      <c r="N945">
        <f t="shared" si="86"/>
        <v>232.4259329924077</v>
      </c>
      <c r="O945">
        <f>IF(B945&lt;&gt;B944, Dashboard!$L$6,0)</f>
        <v>0</v>
      </c>
      <c r="P945">
        <f t="shared" si="87"/>
        <v>220.19922162398697</v>
      </c>
      <c r="Q945">
        <f>IF(B945&lt;&gt;B944,IF(F945&lt;=AVERAGE(F923:F944),Dashboard!$N$6-Dashboard!$G$7,Dashboard!$N$6+Dashboard!$G$7),0)</f>
        <v>0</v>
      </c>
      <c r="R945">
        <f t="shared" si="88"/>
        <v>220.1199202434166</v>
      </c>
    </row>
    <row r="946" spans="1:18" x14ac:dyDescent="0.3">
      <c r="A946" s="1">
        <v>45419</v>
      </c>
      <c r="B946">
        <v>7</v>
      </c>
      <c r="C946" s="19">
        <v>5</v>
      </c>
      <c r="D946" s="20">
        <v>2024</v>
      </c>
      <c r="E946" s="21">
        <f t="shared" si="84"/>
        <v>45478</v>
      </c>
      <c r="F946" s="20">
        <v>509.84</v>
      </c>
      <c r="G946" s="20">
        <v>3156922</v>
      </c>
      <c r="H946" s="20">
        <v>507.13</v>
      </c>
      <c r="I946" s="20">
        <v>510.1</v>
      </c>
      <c r="J946" s="22">
        <v>506.49</v>
      </c>
      <c r="K946" s="2">
        <f t="shared" si="85"/>
        <v>118500.03767684914</v>
      </c>
      <c r="L946" s="2">
        <f>IF(B946&lt;&gt;B945,L945*(1+Dashboard!$G$5)+Dashboard!$G$6, L945)</f>
        <v>112806.97167557606</v>
      </c>
      <c r="M946">
        <f t="shared" si="89"/>
        <v>0</v>
      </c>
      <c r="N946">
        <f t="shared" si="86"/>
        <v>232.4259329924077</v>
      </c>
      <c r="O946">
        <f>IF(B946&lt;&gt;B945, Dashboard!$L$6,0)</f>
        <v>0</v>
      </c>
      <c r="P946">
        <f t="shared" si="87"/>
        <v>220.19922162398697</v>
      </c>
      <c r="Q946">
        <f>IF(B946&lt;&gt;B945,IF(F946&lt;=AVERAGE(F924:F945),Dashboard!$N$6-Dashboard!$G$7,Dashboard!$N$6+Dashboard!$G$7),0)</f>
        <v>0</v>
      </c>
      <c r="R946">
        <f t="shared" si="88"/>
        <v>220.1199202434166</v>
      </c>
    </row>
    <row r="947" spans="1:18" x14ac:dyDescent="0.3">
      <c r="A947" s="1">
        <v>45511</v>
      </c>
      <c r="B947">
        <v>7</v>
      </c>
      <c r="C947" s="19">
        <v>8</v>
      </c>
      <c r="D947" s="20">
        <v>2024</v>
      </c>
      <c r="E947" s="21">
        <f t="shared" si="84"/>
        <v>45481</v>
      </c>
      <c r="F947" s="20">
        <v>510.33</v>
      </c>
      <c r="G947" s="20">
        <v>3143379</v>
      </c>
      <c r="H947" s="20">
        <v>510.5</v>
      </c>
      <c r="I947" s="20">
        <v>511.20499999999998</v>
      </c>
      <c r="J947" s="22">
        <v>509.32</v>
      </c>
      <c r="K947" s="2">
        <f t="shared" si="85"/>
        <v>118613.92638401542</v>
      </c>
      <c r="L947" s="2">
        <f>IF(B947&lt;&gt;B946,L946*(1+Dashboard!$G$5)+Dashboard!$G$6, L946)</f>
        <v>112806.97167557606</v>
      </c>
      <c r="M947">
        <f t="shared" si="89"/>
        <v>0</v>
      </c>
      <c r="N947">
        <f t="shared" si="86"/>
        <v>232.4259329924077</v>
      </c>
      <c r="O947">
        <f>IF(B947&lt;&gt;B946, Dashboard!$L$6,0)</f>
        <v>0</v>
      </c>
      <c r="P947">
        <f t="shared" si="87"/>
        <v>220.19922162398697</v>
      </c>
      <c r="Q947">
        <f>IF(B947&lt;&gt;B946,IF(F947&lt;=AVERAGE(F925:F946),Dashboard!$N$6-Dashboard!$G$7,Dashboard!$N$6+Dashboard!$G$7),0)</f>
        <v>0</v>
      </c>
      <c r="R947">
        <f t="shared" si="88"/>
        <v>220.1199202434166</v>
      </c>
    </row>
    <row r="948" spans="1:18" x14ac:dyDescent="0.3">
      <c r="A948" s="1">
        <v>45542</v>
      </c>
      <c r="B948">
        <v>7</v>
      </c>
      <c r="C948" s="19">
        <v>9</v>
      </c>
      <c r="D948" s="20">
        <v>2024</v>
      </c>
      <c r="E948" s="21">
        <f t="shared" si="84"/>
        <v>45482</v>
      </c>
      <c r="F948" s="20">
        <v>510.89</v>
      </c>
      <c r="G948" s="20">
        <v>3145823</v>
      </c>
      <c r="H948" s="20">
        <v>511.21</v>
      </c>
      <c r="I948" s="20">
        <v>512.01</v>
      </c>
      <c r="J948" s="22">
        <v>510.54</v>
      </c>
      <c r="K948" s="2">
        <f t="shared" si="85"/>
        <v>118744.08490649116</v>
      </c>
      <c r="L948" s="2">
        <f>IF(B948&lt;&gt;B947,L947*(1+Dashboard!$G$5)+Dashboard!$G$6, L947)</f>
        <v>112806.97167557606</v>
      </c>
      <c r="M948">
        <f t="shared" si="89"/>
        <v>0</v>
      </c>
      <c r="N948">
        <f t="shared" si="86"/>
        <v>232.4259329924077</v>
      </c>
      <c r="O948">
        <f>IF(B948&lt;&gt;B947, Dashboard!$L$6,0)</f>
        <v>0</v>
      </c>
      <c r="P948">
        <f t="shared" si="87"/>
        <v>220.19922162398697</v>
      </c>
      <c r="Q948">
        <f>IF(B948&lt;&gt;B947,IF(F948&lt;=AVERAGE(F926:F947),Dashboard!$N$6-Dashboard!$G$7,Dashboard!$N$6+Dashboard!$G$7),0)</f>
        <v>0</v>
      </c>
      <c r="R948">
        <f t="shared" si="88"/>
        <v>220.1199202434166</v>
      </c>
    </row>
    <row r="949" spans="1:18" x14ac:dyDescent="0.3">
      <c r="A949" s="1">
        <v>45572</v>
      </c>
      <c r="B949">
        <v>7</v>
      </c>
      <c r="C949" s="19">
        <v>10</v>
      </c>
      <c r="D949" s="20">
        <v>2024</v>
      </c>
      <c r="E949" s="21">
        <f t="shared" si="84"/>
        <v>45483</v>
      </c>
      <c r="F949" s="20">
        <v>515.80999999999995</v>
      </c>
      <c r="G949" s="20">
        <v>3446923</v>
      </c>
      <c r="H949" s="20">
        <v>511.98</v>
      </c>
      <c r="I949" s="20">
        <v>516.18499999999995</v>
      </c>
      <c r="J949" s="22">
        <v>511.69</v>
      </c>
      <c r="K949" s="2">
        <f t="shared" si="85"/>
        <v>119887.6204968138</v>
      </c>
      <c r="L949" s="2">
        <f>IF(B949&lt;&gt;B948,L948*(1+Dashboard!$G$5)+Dashboard!$G$6, L948)</f>
        <v>112806.97167557606</v>
      </c>
      <c r="M949">
        <f t="shared" si="89"/>
        <v>0</v>
      </c>
      <c r="N949">
        <f t="shared" si="86"/>
        <v>232.4259329924077</v>
      </c>
      <c r="O949">
        <f>IF(B949&lt;&gt;B948, Dashboard!$L$6,0)</f>
        <v>0</v>
      </c>
      <c r="P949">
        <f t="shared" si="87"/>
        <v>220.19922162398697</v>
      </c>
      <c r="Q949">
        <f>IF(B949&lt;&gt;B948,IF(F949&lt;=AVERAGE(F927:F948),Dashboard!$N$6-Dashboard!$G$7,Dashboard!$N$6+Dashboard!$G$7),0)</f>
        <v>0</v>
      </c>
      <c r="R949">
        <f t="shared" si="88"/>
        <v>220.1199202434166</v>
      </c>
    </row>
    <row r="950" spans="1:18" x14ac:dyDescent="0.3">
      <c r="A950" s="1">
        <v>45603</v>
      </c>
      <c r="B950">
        <v>7</v>
      </c>
      <c r="C950" s="19">
        <v>11</v>
      </c>
      <c r="D950" s="20">
        <v>2024</v>
      </c>
      <c r="E950" s="21">
        <f t="shared" si="84"/>
        <v>45484</v>
      </c>
      <c r="F950" s="20">
        <v>511.39</v>
      </c>
      <c r="G950" s="20">
        <v>5546308</v>
      </c>
      <c r="H950" s="20">
        <v>516</v>
      </c>
      <c r="I950" s="20">
        <v>516.79</v>
      </c>
      <c r="J950" s="22">
        <v>510.82499999999999</v>
      </c>
      <c r="K950" s="2">
        <f t="shared" si="85"/>
        <v>118860.29787298737</v>
      </c>
      <c r="L950" s="2">
        <f>IF(B950&lt;&gt;B949,L949*(1+Dashboard!$G$5)+Dashboard!$G$6, L949)</f>
        <v>112806.97167557606</v>
      </c>
      <c r="M950">
        <f t="shared" si="89"/>
        <v>0</v>
      </c>
      <c r="N950">
        <f t="shared" si="86"/>
        <v>232.4259329924077</v>
      </c>
      <c r="O950">
        <f>IF(B950&lt;&gt;B949, Dashboard!$L$6,0)</f>
        <v>0</v>
      </c>
      <c r="P950">
        <f t="shared" si="87"/>
        <v>220.19922162398697</v>
      </c>
      <c r="Q950">
        <f>IF(B950&lt;&gt;B949,IF(F950&lt;=AVERAGE(F928:F949),Dashboard!$N$6-Dashboard!$G$7,Dashboard!$N$6+Dashboard!$G$7),0)</f>
        <v>0</v>
      </c>
      <c r="R950">
        <f t="shared" si="88"/>
        <v>220.1199202434166</v>
      </c>
    </row>
    <row r="951" spans="1:18" x14ac:dyDescent="0.3">
      <c r="A951" s="1">
        <v>45633</v>
      </c>
      <c r="B951">
        <v>7</v>
      </c>
      <c r="C951" s="19">
        <v>12</v>
      </c>
      <c r="D951" s="20">
        <v>2024</v>
      </c>
      <c r="E951" s="21">
        <f t="shared" si="84"/>
        <v>45485</v>
      </c>
      <c r="F951" s="20">
        <v>514.54999999999995</v>
      </c>
      <c r="G951" s="20">
        <v>5238170</v>
      </c>
      <c r="H951" s="20">
        <v>512.49</v>
      </c>
      <c r="I951" s="20">
        <v>518.03</v>
      </c>
      <c r="J951" s="22">
        <v>512.16999999999996</v>
      </c>
      <c r="K951" s="2">
        <f t="shared" si="85"/>
        <v>119594.76382124337</v>
      </c>
      <c r="L951" s="2">
        <f>IF(B951&lt;&gt;B950,L950*(1+Dashboard!$G$5)+Dashboard!$G$6, L950)</f>
        <v>112806.97167557606</v>
      </c>
      <c r="M951">
        <f t="shared" si="89"/>
        <v>0</v>
      </c>
      <c r="N951">
        <f t="shared" si="86"/>
        <v>232.4259329924077</v>
      </c>
      <c r="O951">
        <f>IF(B951&lt;&gt;B950, Dashboard!$L$6,0)</f>
        <v>0</v>
      </c>
      <c r="P951">
        <f t="shared" si="87"/>
        <v>220.19922162398697</v>
      </c>
      <c r="Q951">
        <f>IF(B951&lt;&gt;B950,IF(F951&lt;=AVERAGE(F929:F950),Dashboard!$N$6-Dashboard!$G$7,Dashboard!$N$6+Dashboard!$G$7),0)</f>
        <v>0</v>
      </c>
      <c r="R951">
        <f t="shared" si="88"/>
        <v>220.1199202434166</v>
      </c>
    </row>
    <row r="952" spans="1:18" x14ac:dyDescent="0.3">
      <c r="A952" t="s">
        <v>187</v>
      </c>
      <c r="B952">
        <v>7</v>
      </c>
      <c r="C952" s="19">
        <v>15</v>
      </c>
      <c r="D952" s="20">
        <v>2024</v>
      </c>
      <c r="E952" s="21">
        <f t="shared" si="84"/>
        <v>45488</v>
      </c>
      <c r="F952" s="20">
        <v>516.11</v>
      </c>
      <c r="G952" s="20">
        <v>7771524</v>
      </c>
      <c r="H952" s="20">
        <v>516.58000000000004</v>
      </c>
      <c r="I952" s="20">
        <v>519.12</v>
      </c>
      <c r="J952" s="22">
        <v>514.34</v>
      </c>
      <c r="K952" s="2">
        <f t="shared" si="85"/>
        <v>119957.34827671153</v>
      </c>
      <c r="L952" s="2">
        <f>IF(B952&lt;&gt;B951,L951*(1+Dashboard!$G$5)+Dashboard!$G$6, L951)</f>
        <v>112806.97167557606</v>
      </c>
      <c r="M952">
        <f t="shared" si="89"/>
        <v>0</v>
      </c>
      <c r="N952">
        <f t="shared" si="86"/>
        <v>232.4259329924077</v>
      </c>
      <c r="O952">
        <f>IF(B952&lt;&gt;B951, Dashboard!$L$6,0)</f>
        <v>0</v>
      </c>
      <c r="P952">
        <f t="shared" si="87"/>
        <v>220.19922162398697</v>
      </c>
      <c r="Q952">
        <f>IF(B952&lt;&gt;B951,IF(F952&lt;=AVERAGE(F930:F951),Dashboard!$N$6-Dashboard!$G$7,Dashboard!$N$6+Dashboard!$G$7),0)</f>
        <v>0</v>
      </c>
      <c r="R952">
        <f t="shared" si="88"/>
        <v>220.1199202434166</v>
      </c>
    </row>
    <row r="953" spans="1:18" x14ac:dyDescent="0.3">
      <c r="A953" t="s">
        <v>186</v>
      </c>
      <c r="B953">
        <v>7</v>
      </c>
      <c r="C953" s="19">
        <v>16</v>
      </c>
      <c r="D953" s="20">
        <v>2024</v>
      </c>
      <c r="E953" s="21">
        <f t="shared" si="84"/>
        <v>45489</v>
      </c>
      <c r="F953" s="20">
        <v>519.04</v>
      </c>
      <c r="G953" s="20">
        <v>4164300</v>
      </c>
      <c r="H953" s="20">
        <v>517.33000000000004</v>
      </c>
      <c r="I953" s="20">
        <v>519.4</v>
      </c>
      <c r="J953" s="22">
        <v>516.6</v>
      </c>
      <c r="K953" s="2">
        <f t="shared" si="85"/>
        <v>120638.35626037928</v>
      </c>
      <c r="L953" s="2">
        <f>IF(B953&lt;&gt;B952,L952*(1+Dashboard!$G$5)+Dashboard!$G$6, L952)</f>
        <v>112806.97167557606</v>
      </c>
      <c r="M953">
        <f t="shared" si="89"/>
        <v>0</v>
      </c>
      <c r="N953">
        <f t="shared" si="86"/>
        <v>232.4259329924077</v>
      </c>
      <c r="O953">
        <f>IF(B953&lt;&gt;B952, Dashboard!$L$6,0)</f>
        <v>0</v>
      </c>
      <c r="P953">
        <f t="shared" si="87"/>
        <v>220.19922162398697</v>
      </c>
      <c r="Q953">
        <f>IF(B953&lt;&gt;B952,IF(F953&lt;=AVERAGE(F931:F952),Dashboard!$N$6-Dashboard!$G$7,Dashboard!$N$6+Dashboard!$G$7),0)</f>
        <v>0</v>
      </c>
      <c r="R953">
        <f t="shared" si="88"/>
        <v>220.1199202434166</v>
      </c>
    </row>
    <row r="954" spans="1:18" x14ac:dyDescent="0.3">
      <c r="A954" t="s">
        <v>185</v>
      </c>
      <c r="B954">
        <v>7</v>
      </c>
      <c r="C954" s="19">
        <v>17</v>
      </c>
      <c r="D954" s="20">
        <v>2024</v>
      </c>
      <c r="E954" s="21">
        <f t="shared" si="84"/>
        <v>45490</v>
      </c>
      <c r="F954" s="20">
        <v>511.79</v>
      </c>
      <c r="G954" s="20">
        <v>4984306</v>
      </c>
      <c r="H954" s="20">
        <v>513.55999999999995</v>
      </c>
      <c r="I954" s="20">
        <v>515.11</v>
      </c>
      <c r="J954" s="22">
        <v>511.56</v>
      </c>
      <c r="K954" s="2">
        <f t="shared" si="85"/>
        <v>118953.26824618434</v>
      </c>
      <c r="L954" s="2">
        <f>IF(B954&lt;&gt;B953,L953*(1+Dashboard!$G$5)+Dashboard!$G$6, L953)</f>
        <v>112806.97167557606</v>
      </c>
      <c r="M954">
        <f t="shared" si="89"/>
        <v>0</v>
      </c>
      <c r="N954">
        <f t="shared" si="86"/>
        <v>232.4259329924077</v>
      </c>
      <c r="O954">
        <f>IF(B954&lt;&gt;B953, Dashboard!$L$6,0)</f>
        <v>0</v>
      </c>
      <c r="P954">
        <f t="shared" si="87"/>
        <v>220.19922162398697</v>
      </c>
      <c r="Q954">
        <f>IF(B954&lt;&gt;B953,IF(F954&lt;=AVERAGE(F932:F953),Dashboard!$N$6-Dashboard!$G$7,Dashboard!$N$6+Dashboard!$G$7),0)</f>
        <v>0</v>
      </c>
      <c r="R954">
        <f t="shared" si="88"/>
        <v>220.1199202434166</v>
      </c>
    </row>
    <row r="955" spans="1:18" x14ac:dyDescent="0.3">
      <c r="A955" t="s">
        <v>184</v>
      </c>
      <c r="B955">
        <v>7</v>
      </c>
      <c r="C955" s="19">
        <v>18</v>
      </c>
      <c r="D955" s="20">
        <v>2024</v>
      </c>
      <c r="E955" s="21">
        <f t="shared" si="84"/>
        <v>45491</v>
      </c>
      <c r="F955" s="20">
        <v>507.94</v>
      </c>
      <c r="G955" s="20">
        <v>5055850</v>
      </c>
      <c r="H955" s="20">
        <v>513.25</v>
      </c>
      <c r="I955" s="20">
        <v>514.19000000000005</v>
      </c>
      <c r="J955" s="22">
        <v>505.87099999999998</v>
      </c>
      <c r="K955" s="2">
        <f t="shared" si="85"/>
        <v>118058.42840416357</v>
      </c>
      <c r="L955" s="2">
        <f>IF(B955&lt;&gt;B954,L954*(1+Dashboard!$G$5)+Dashboard!$G$6, L954)</f>
        <v>112806.97167557606</v>
      </c>
      <c r="M955">
        <f t="shared" si="89"/>
        <v>0</v>
      </c>
      <c r="N955">
        <f t="shared" si="86"/>
        <v>232.4259329924077</v>
      </c>
      <c r="O955">
        <f>IF(B955&lt;&gt;B954, Dashboard!$L$6,0)</f>
        <v>0</v>
      </c>
      <c r="P955">
        <f t="shared" si="87"/>
        <v>220.19922162398697</v>
      </c>
      <c r="Q955">
        <f>IF(B955&lt;&gt;B954,IF(F955&lt;=AVERAGE(F933:F954),Dashboard!$N$6-Dashboard!$G$7,Dashboard!$N$6+Dashboard!$G$7),0)</f>
        <v>0</v>
      </c>
      <c r="R955">
        <f t="shared" si="88"/>
        <v>220.1199202434166</v>
      </c>
    </row>
    <row r="956" spans="1:18" x14ac:dyDescent="0.3">
      <c r="A956" t="s">
        <v>183</v>
      </c>
      <c r="B956">
        <v>7</v>
      </c>
      <c r="C956" s="19">
        <v>19</v>
      </c>
      <c r="D956" s="20">
        <v>2024</v>
      </c>
      <c r="E956" s="21">
        <f t="shared" si="84"/>
        <v>45492</v>
      </c>
      <c r="F956" s="20">
        <v>504.55</v>
      </c>
      <c r="G956" s="20">
        <v>4039437</v>
      </c>
      <c r="H956" s="20">
        <v>507.64</v>
      </c>
      <c r="I956" s="20">
        <v>509.2</v>
      </c>
      <c r="J956" s="22">
        <v>503.56</v>
      </c>
      <c r="K956" s="2">
        <f t="shared" si="85"/>
        <v>117270.50449131931</v>
      </c>
      <c r="L956" s="2">
        <f>IF(B956&lt;&gt;B955,L955*(1+Dashboard!$G$5)+Dashboard!$G$6, L955)</f>
        <v>112806.97167557606</v>
      </c>
      <c r="M956">
        <f t="shared" si="89"/>
        <v>0</v>
      </c>
      <c r="N956">
        <f t="shared" si="86"/>
        <v>232.4259329924077</v>
      </c>
      <c r="O956">
        <f>IF(B956&lt;&gt;B955, Dashboard!$L$6,0)</f>
        <v>0</v>
      </c>
      <c r="P956">
        <f t="shared" si="87"/>
        <v>220.19922162398697</v>
      </c>
      <c r="Q956">
        <f>IF(B956&lt;&gt;B955,IF(F956&lt;=AVERAGE(F934:F955),Dashboard!$N$6-Dashboard!$G$7,Dashboard!$N$6+Dashboard!$G$7),0)</f>
        <v>0</v>
      </c>
      <c r="R956">
        <f t="shared" si="88"/>
        <v>220.1199202434166</v>
      </c>
    </row>
    <row r="957" spans="1:18" x14ac:dyDescent="0.3">
      <c r="A957" t="s">
        <v>182</v>
      </c>
      <c r="B957">
        <v>7</v>
      </c>
      <c r="C957" s="19">
        <v>22</v>
      </c>
      <c r="D957" s="20">
        <v>2024</v>
      </c>
      <c r="E957" s="21">
        <f t="shared" si="84"/>
        <v>45495</v>
      </c>
      <c r="F957" s="20">
        <v>509.79</v>
      </c>
      <c r="G957" s="20">
        <v>4342929</v>
      </c>
      <c r="H957" s="20">
        <v>508.27</v>
      </c>
      <c r="I957" s="20">
        <v>510.32</v>
      </c>
      <c r="J957" s="22">
        <v>506.44</v>
      </c>
      <c r="K957" s="2">
        <f t="shared" si="85"/>
        <v>118488.41638019952</v>
      </c>
      <c r="L957" s="2">
        <f>IF(B957&lt;&gt;B956,L956*(1+Dashboard!$G$5)+Dashboard!$G$6, L956)</f>
        <v>112806.97167557606</v>
      </c>
      <c r="M957">
        <f t="shared" si="89"/>
        <v>0</v>
      </c>
      <c r="N957">
        <f t="shared" si="86"/>
        <v>232.4259329924077</v>
      </c>
      <c r="O957">
        <f>IF(B957&lt;&gt;B956, Dashboard!$L$6,0)</f>
        <v>0</v>
      </c>
      <c r="P957">
        <f t="shared" si="87"/>
        <v>220.19922162398697</v>
      </c>
      <c r="Q957">
        <f>IF(B957&lt;&gt;B956,IF(F957&lt;=AVERAGE(F935:F956),Dashboard!$N$6-Dashboard!$G$7,Dashboard!$N$6+Dashboard!$G$7),0)</f>
        <v>0</v>
      </c>
      <c r="R957">
        <f t="shared" si="88"/>
        <v>220.1199202434166</v>
      </c>
    </row>
    <row r="958" spans="1:18" x14ac:dyDescent="0.3">
      <c r="A958" t="s">
        <v>181</v>
      </c>
      <c r="B958">
        <v>7</v>
      </c>
      <c r="C958" s="19">
        <v>23</v>
      </c>
      <c r="D958" s="20">
        <v>2024</v>
      </c>
      <c r="E958" s="21">
        <f t="shared" si="84"/>
        <v>45496</v>
      </c>
      <c r="F958" s="20">
        <v>508.94</v>
      </c>
      <c r="G958" s="20">
        <v>3116045</v>
      </c>
      <c r="H958" s="20">
        <v>509.66</v>
      </c>
      <c r="I958" s="20">
        <v>511.65</v>
      </c>
      <c r="J958" s="22">
        <v>508.49</v>
      </c>
      <c r="K958" s="2">
        <f t="shared" si="85"/>
        <v>118290.85433715598</v>
      </c>
      <c r="L958" s="2">
        <f>IF(B958&lt;&gt;B957,L957*(1+Dashboard!$G$5)+Dashboard!$G$6, L957)</f>
        <v>112806.97167557606</v>
      </c>
      <c r="M958">
        <f t="shared" si="89"/>
        <v>0</v>
      </c>
      <c r="N958">
        <f t="shared" si="86"/>
        <v>232.4259329924077</v>
      </c>
      <c r="O958">
        <f>IF(B958&lt;&gt;B957, Dashboard!$L$6,0)</f>
        <v>0</v>
      </c>
      <c r="P958">
        <f t="shared" si="87"/>
        <v>220.19922162398697</v>
      </c>
      <c r="Q958">
        <f>IF(B958&lt;&gt;B957,IF(F958&lt;=AVERAGE(F936:F957),Dashboard!$N$6-Dashboard!$G$7,Dashboard!$N$6+Dashboard!$G$7),0)</f>
        <v>0</v>
      </c>
      <c r="R958">
        <f t="shared" si="88"/>
        <v>220.1199202434166</v>
      </c>
    </row>
    <row r="959" spans="1:18" x14ac:dyDescent="0.3">
      <c r="A959" t="s">
        <v>180</v>
      </c>
      <c r="B959">
        <v>7</v>
      </c>
      <c r="C959" s="19">
        <v>24</v>
      </c>
      <c r="D959" s="20">
        <v>2024</v>
      </c>
      <c r="E959" s="21">
        <f t="shared" si="84"/>
        <v>45497</v>
      </c>
      <c r="F959" s="20">
        <v>497.29</v>
      </c>
      <c r="G959" s="20">
        <v>6157402</v>
      </c>
      <c r="H959" s="20">
        <v>504.43</v>
      </c>
      <c r="I959" s="20">
        <v>504.7</v>
      </c>
      <c r="J959" s="22">
        <v>496.54500000000002</v>
      </c>
      <c r="K959" s="2">
        <f t="shared" si="85"/>
        <v>115583.09221779443</v>
      </c>
      <c r="L959" s="2">
        <f>IF(B959&lt;&gt;B958,L958*(1+Dashboard!$G$5)+Dashboard!$G$6, L958)</f>
        <v>112806.97167557606</v>
      </c>
      <c r="M959">
        <f t="shared" si="89"/>
        <v>0</v>
      </c>
      <c r="N959">
        <f t="shared" si="86"/>
        <v>232.4259329924077</v>
      </c>
      <c r="O959">
        <f>IF(B959&lt;&gt;B958, Dashboard!$L$6,0)</f>
        <v>0</v>
      </c>
      <c r="P959">
        <f t="shared" si="87"/>
        <v>220.19922162398697</v>
      </c>
      <c r="Q959">
        <f>IF(B959&lt;&gt;B958,IF(F959&lt;=AVERAGE(F937:F958),Dashboard!$N$6-Dashboard!$G$7,Dashboard!$N$6+Dashboard!$G$7),0)</f>
        <v>0</v>
      </c>
      <c r="R959">
        <f t="shared" si="88"/>
        <v>220.1199202434166</v>
      </c>
    </row>
    <row r="960" spans="1:18" x14ac:dyDescent="0.3">
      <c r="A960" t="s">
        <v>179</v>
      </c>
      <c r="B960">
        <v>7</v>
      </c>
      <c r="C960" s="19">
        <v>25</v>
      </c>
      <c r="D960" s="20">
        <v>2024</v>
      </c>
      <c r="E960" s="21">
        <f t="shared" si="84"/>
        <v>45498</v>
      </c>
      <c r="F960" s="20">
        <v>494.78</v>
      </c>
      <c r="G960" s="20">
        <v>5646601</v>
      </c>
      <c r="H960" s="20">
        <v>497.55</v>
      </c>
      <c r="I960" s="20">
        <v>503.14</v>
      </c>
      <c r="J960" s="22">
        <v>493.92</v>
      </c>
      <c r="K960" s="2">
        <f t="shared" si="85"/>
        <v>114999.70312598348</v>
      </c>
      <c r="L960" s="2">
        <f>IF(B960&lt;&gt;B959,L959*(1+Dashboard!$G$5)+Dashboard!$G$6, L959)</f>
        <v>112806.97167557606</v>
      </c>
      <c r="M960">
        <f t="shared" si="89"/>
        <v>0</v>
      </c>
      <c r="N960">
        <f t="shared" si="86"/>
        <v>232.4259329924077</v>
      </c>
      <c r="O960">
        <f>IF(B960&lt;&gt;B959, Dashboard!$L$6,0)</f>
        <v>0</v>
      </c>
      <c r="P960">
        <f t="shared" si="87"/>
        <v>220.19922162398697</v>
      </c>
      <c r="Q960">
        <f>IF(B960&lt;&gt;B959,IF(F960&lt;=AVERAGE(F938:F959),Dashboard!$N$6-Dashboard!$G$7,Dashboard!$N$6+Dashboard!$G$7),0)</f>
        <v>0</v>
      </c>
      <c r="R960">
        <f t="shared" si="88"/>
        <v>220.1199202434166</v>
      </c>
    </row>
    <row r="961" spans="1:18" x14ac:dyDescent="0.3">
      <c r="A961" t="s">
        <v>178</v>
      </c>
      <c r="B961">
        <v>7</v>
      </c>
      <c r="C961" s="19">
        <v>26</v>
      </c>
      <c r="D961" s="20">
        <v>2024</v>
      </c>
      <c r="E961" s="21">
        <f t="shared" si="84"/>
        <v>45499</v>
      </c>
      <c r="F961" s="20">
        <v>500.33</v>
      </c>
      <c r="G961" s="20">
        <v>3635984</v>
      </c>
      <c r="H961" s="20">
        <v>498.36</v>
      </c>
      <c r="I961" s="20">
        <v>502.88499999999999</v>
      </c>
      <c r="J961" s="22">
        <v>497.67</v>
      </c>
      <c r="K961" s="2">
        <f t="shared" si="85"/>
        <v>116289.66705409133</v>
      </c>
      <c r="L961" s="2">
        <f>IF(B961&lt;&gt;B960,L960*(1+Dashboard!$G$5)+Dashboard!$G$6, L960)</f>
        <v>112806.97167557606</v>
      </c>
      <c r="M961">
        <f t="shared" si="89"/>
        <v>0</v>
      </c>
      <c r="N961">
        <f t="shared" si="86"/>
        <v>232.4259329924077</v>
      </c>
      <c r="O961">
        <f>IF(B961&lt;&gt;B960, Dashboard!$L$6,0)</f>
        <v>0</v>
      </c>
      <c r="P961">
        <f t="shared" si="87"/>
        <v>220.19922162398697</v>
      </c>
      <c r="Q961">
        <f>IF(B961&lt;&gt;B960,IF(F961&lt;=AVERAGE(F939:F960),Dashboard!$N$6-Dashboard!$G$7,Dashboard!$N$6+Dashboard!$G$7),0)</f>
        <v>0</v>
      </c>
      <c r="R961">
        <f t="shared" si="88"/>
        <v>220.1199202434166</v>
      </c>
    </row>
    <row r="962" spans="1:18" x14ac:dyDescent="0.3">
      <c r="A962" t="s">
        <v>177</v>
      </c>
      <c r="B962">
        <v>7</v>
      </c>
      <c r="C962" s="19">
        <v>29</v>
      </c>
      <c r="D962" s="20">
        <v>2024</v>
      </c>
      <c r="E962" s="21">
        <f t="shared" ref="E962:E1025" si="90">DATE(D962,B962,C962)</f>
        <v>45502</v>
      </c>
      <c r="F962" s="20">
        <v>500.7</v>
      </c>
      <c r="G962" s="20">
        <v>3096178</v>
      </c>
      <c r="H962" s="20">
        <v>501.82</v>
      </c>
      <c r="I962" s="20">
        <v>502.76499999999999</v>
      </c>
      <c r="J962" s="22">
        <v>498.77460000000002</v>
      </c>
      <c r="K962" s="2">
        <f t="shared" si="85"/>
        <v>116375.66464929853</v>
      </c>
      <c r="L962" s="2">
        <f>IF(B962&lt;&gt;B961,L961*(1+Dashboard!$G$5)+Dashboard!$G$6, L961)</f>
        <v>112806.97167557606</v>
      </c>
      <c r="M962">
        <f t="shared" si="89"/>
        <v>0</v>
      </c>
      <c r="N962">
        <f t="shared" si="86"/>
        <v>232.4259329924077</v>
      </c>
      <c r="O962">
        <f>IF(B962&lt;&gt;B961, Dashboard!$L$6,0)</f>
        <v>0</v>
      </c>
      <c r="P962">
        <f t="shared" si="87"/>
        <v>220.19922162398697</v>
      </c>
      <c r="Q962">
        <f>IF(B962&lt;&gt;B961,IF(F962&lt;=AVERAGE(F940:F961),Dashboard!$N$6-Dashboard!$G$7,Dashboard!$N$6+Dashboard!$G$7),0)</f>
        <v>0</v>
      </c>
      <c r="R962">
        <f t="shared" si="88"/>
        <v>220.1199202434166</v>
      </c>
    </row>
    <row r="963" spans="1:18" x14ac:dyDescent="0.3">
      <c r="A963" t="s">
        <v>176</v>
      </c>
      <c r="B963">
        <v>7</v>
      </c>
      <c r="C963" s="19">
        <v>30</v>
      </c>
      <c r="D963" s="20">
        <v>2024</v>
      </c>
      <c r="E963" s="21">
        <f t="shared" si="90"/>
        <v>45503</v>
      </c>
      <c r="F963" s="20">
        <v>498.08</v>
      </c>
      <c r="G963" s="20">
        <v>3817800</v>
      </c>
      <c r="H963" s="20">
        <v>502.05</v>
      </c>
      <c r="I963" s="20">
        <v>503.01</v>
      </c>
      <c r="J963" s="22">
        <v>494.91500000000002</v>
      </c>
      <c r="K963" s="2">
        <f t="shared" ref="K963:K1026" si="91">N963*F963</f>
        <v>115766.70870485842</v>
      </c>
      <c r="L963" s="2">
        <f>IF(B963&lt;&gt;B962,L962*(1+Dashboard!$G$5)+Dashboard!$G$6, L962)</f>
        <v>112806.97167557606</v>
      </c>
      <c r="M963">
        <f t="shared" si="89"/>
        <v>0</v>
      </c>
      <c r="N963">
        <f t="shared" si="86"/>
        <v>232.4259329924077</v>
      </c>
      <c r="O963">
        <f>IF(B963&lt;&gt;B962, Dashboard!$L$6,0)</f>
        <v>0</v>
      </c>
      <c r="P963">
        <f t="shared" si="87"/>
        <v>220.19922162398697</v>
      </c>
      <c r="Q963">
        <f>IF(B963&lt;&gt;B962,IF(F963&lt;=AVERAGE(F941:F962),Dashboard!$N$6-Dashboard!$G$7,Dashboard!$N$6+Dashboard!$G$7),0)</f>
        <v>0</v>
      </c>
      <c r="R963">
        <f t="shared" si="88"/>
        <v>220.1199202434166</v>
      </c>
    </row>
    <row r="964" spans="1:18" x14ac:dyDescent="0.3">
      <c r="A964" t="s">
        <v>175</v>
      </c>
      <c r="B964">
        <v>7</v>
      </c>
      <c r="C964" s="19">
        <v>31</v>
      </c>
      <c r="D964" s="20">
        <v>2024</v>
      </c>
      <c r="E964" s="21">
        <f t="shared" si="90"/>
        <v>45504</v>
      </c>
      <c r="F964" s="20">
        <v>505.93</v>
      </c>
      <c r="G964" s="20">
        <v>5367587</v>
      </c>
      <c r="H964" s="20">
        <v>504.48</v>
      </c>
      <c r="I964" s="20">
        <v>508.65320000000003</v>
      </c>
      <c r="J964" s="22">
        <v>503.30500000000001</v>
      </c>
      <c r="K964" s="2">
        <f t="shared" si="91"/>
        <v>117591.25227884883</v>
      </c>
      <c r="L964" s="2">
        <f>IF(B964&lt;&gt;B963,L963*(1+Dashboard!$G$5)+Dashboard!$G$6, L963)</f>
        <v>112806.97167557606</v>
      </c>
      <c r="M964">
        <f t="shared" si="89"/>
        <v>0</v>
      </c>
      <c r="N964">
        <f t="shared" ref="N964:N1027" si="92">N963+M963/F963</f>
        <v>232.4259329924077</v>
      </c>
      <c r="O964">
        <f>IF(B964&lt;&gt;B963, Dashboard!$L$6,0)</f>
        <v>0</v>
      </c>
      <c r="P964">
        <f t="shared" ref="P964:P1027" si="93">P963+O964/F964</f>
        <v>220.19922162398697</v>
      </c>
      <c r="Q964">
        <f>IF(B964&lt;&gt;B963,IF(F964&lt;=AVERAGE(F942:F963),Dashboard!$N$6-Dashboard!$G$7,Dashboard!$N$6+Dashboard!$G$7),0)</f>
        <v>0</v>
      </c>
      <c r="R964">
        <f t="shared" ref="R964:R1027" si="94">R963+Q964/H964</f>
        <v>220.1199202434166</v>
      </c>
    </row>
    <row r="965" spans="1:18" x14ac:dyDescent="0.3">
      <c r="A965" s="1">
        <v>45299</v>
      </c>
      <c r="B965">
        <v>8</v>
      </c>
      <c r="C965" s="19">
        <v>1</v>
      </c>
      <c r="D965" s="20">
        <v>2024</v>
      </c>
      <c r="E965" s="21">
        <f t="shared" si="90"/>
        <v>45505</v>
      </c>
      <c r="F965" s="20">
        <v>499.03</v>
      </c>
      <c r="G965" s="20">
        <v>6939217</v>
      </c>
      <c r="H965" s="20">
        <v>507.84</v>
      </c>
      <c r="I965" s="20">
        <v>509.9</v>
      </c>
      <c r="J965" s="22">
        <v>495.75</v>
      </c>
      <c r="K965" s="2">
        <f t="shared" si="91"/>
        <v>115987.51334120121</v>
      </c>
      <c r="L965" s="2">
        <f>IF(B965&lt;&gt;B964,L964*(1+Dashboard!$G$5)+Dashboard!$G$6, L964)</f>
        <v>115799.67302632112</v>
      </c>
      <c r="M965">
        <f t="shared" si="89"/>
        <v>0</v>
      </c>
      <c r="N965">
        <f t="shared" si="92"/>
        <v>232.4259329924077</v>
      </c>
      <c r="O965">
        <f>IF(B965&lt;&gt;B964, Dashboard!$L$6,0)</f>
        <v>1859.7282542371197</v>
      </c>
      <c r="P965">
        <f t="shared" si="93"/>
        <v>223.92590790384412</v>
      </c>
      <c r="Q965">
        <f>IF(B965&lt;&gt;B964,IF(F965&lt;=AVERAGE(F943:F964),Dashboard!$N$6-Dashboard!$G$7,Dashboard!$N$6+Dashboard!$G$7),0)</f>
        <v>1232.609610169322</v>
      </c>
      <c r="R965">
        <f t="shared" si="94"/>
        <v>222.54708157409027</v>
      </c>
    </row>
    <row r="966" spans="1:18" x14ac:dyDescent="0.3">
      <c r="A966" s="1">
        <v>45330</v>
      </c>
      <c r="B966">
        <v>8</v>
      </c>
      <c r="C966" s="19">
        <v>2</v>
      </c>
      <c r="D966" s="20">
        <v>2024</v>
      </c>
      <c r="E966" s="21">
        <f t="shared" si="90"/>
        <v>45506</v>
      </c>
      <c r="F966" s="20">
        <v>489.91</v>
      </c>
      <c r="G966" s="20">
        <v>8561166</v>
      </c>
      <c r="H966" s="20">
        <v>492.41</v>
      </c>
      <c r="I966" s="20">
        <v>493.52</v>
      </c>
      <c r="J966" s="22">
        <v>485.8</v>
      </c>
      <c r="K966" s="2">
        <f t="shared" si="91"/>
        <v>113867.78883231046</v>
      </c>
      <c r="L966" s="2">
        <f>IF(B966&lt;&gt;B965,L965*(1+Dashboard!$G$5)+Dashboard!$G$6, L965)</f>
        <v>115799.67302632112</v>
      </c>
      <c r="M966">
        <f t="shared" si="89"/>
        <v>0</v>
      </c>
      <c r="N966">
        <f t="shared" si="92"/>
        <v>232.4259329924077</v>
      </c>
      <c r="O966">
        <f>IF(B966&lt;&gt;B965, Dashboard!$L$6,0)</f>
        <v>0</v>
      </c>
      <c r="P966">
        <f t="shared" si="93"/>
        <v>223.92590790384412</v>
      </c>
      <c r="Q966">
        <f>IF(B966&lt;&gt;B965,IF(F966&lt;=AVERAGE(F944:F965),Dashboard!$N$6-Dashboard!$G$7,Dashboard!$N$6+Dashboard!$G$7),0)</f>
        <v>0</v>
      </c>
      <c r="R966">
        <f t="shared" si="94"/>
        <v>222.54708157409027</v>
      </c>
    </row>
    <row r="967" spans="1:18" x14ac:dyDescent="0.3">
      <c r="A967" s="1">
        <v>45420</v>
      </c>
      <c r="B967">
        <v>8</v>
      </c>
      <c r="C967" s="19">
        <v>5</v>
      </c>
      <c r="D967" s="20">
        <v>2024</v>
      </c>
      <c r="E967" s="21">
        <f t="shared" si="90"/>
        <v>45509</v>
      </c>
      <c r="F967" s="20">
        <v>475.2</v>
      </c>
      <c r="G967" s="20">
        <v>15244280</v>
      </c>
      <c r="H967" s="20">
        <v>470.17</v>
      </c>
      <c r="I967" s="20">
        <v>481.18</v>
      </c>
      <c r="J967" s="22">
        <v>468.89</v>
      </c>
      <c r="K967" s="2">
        <f t="shared" si="91"/>
        <v>110448.80335799213</v>
      </c>
      <c r="L967" s="2">
        <f>IF(B967&lt;&gt;B966,L966*(1+Dashboard!$G$5)+Dashboard!$G$6, L966)</f>
        <v>115799.67302632112</v>
      </c>
      <c r="M967">
        <f t="shared" si="89"/>
        <v>0</v>
      </c>
      <c r="N967">
        <f t="shared" si="92"/>
        <v>232.4259329924077</v>
      </c>
      <c r="O967">
        <f>IF(B967&lt;&gt;B966, Dashboard!$L$6,0)</f>
        <v>0</v>
      </c>
      <c r="P967">
        <f t="shared" si="93"/>
        <v>223.92590790384412</v>
      </c>
      <c r="Q967">
        <f>IF(B967&lt;&gt;B966,IF(F967&lt;=AVERAGE(F945:F966),Dashboard!$N$6-Dashboard!$G$7,Dashboard!$N$6+Dashboard!$G$7),0)</f>
        <v>0</v>
      </c>
      <c r="R967">
        <f t="shared" si="94"/>
        <v>222.54708157409027</v>
      </c>
    </row>
    <row r="968" spans="1:18" x14ac:dyDescent="0.3">
      <c r="A968" s="1">
        <v>45451</v>
      </c>
      <c r="B968">
        <v>8</v>
      </c>
      <c r="C968" s="19">
        <v>6</v>
      </c>
      <c r="D968" s="20">
        <v>2024</v>
      </c>
      <c r="E968" s="21">
        <f t="shared" si="90"/>
        <v>45510</v>
      </c>
      <c r="F968" s="20">
        <v>479.94</v>
      </c>
      <c r="G968" s="20">
        <v>8255040</v>
      </c>
      <c r="H968" s="20">
        <v>477.39</v>
      </c>
      <c r="I968" s="20">
        <v>486.86</v>
      </c>
      <c r="J968" s="22">
        <v>475.94</v>
      </c>
      <c r="K968" s="2">
        <f t="shared" si="91"/>
        <v>111550.50228037615</v>
      </c>
      <c r="L968" s="2">
        <f>IF(B968&lt;&gt;B967,L967*(1+Dashboard!$G$5)+Dashboard!$G$6, L967)</f>
        <v>115799.67302632112</v>
      </c>
      <c r="M968">
        <f t="shared" si="89"/>
        <v>0</v>
      </c>
      <c r="N968">
        <f t="shared" si="92"/>
        <v>232.4259329924077</v>
      </c>
      <c r="O968">
        <f>IF(B968&lt;&gt;B967, Dashboard!$L$6,0)</f>
        <v>0</v>
      </c>
      <c r="P968">
        <f t="shared" si="93"/>
        <v>223.92590790384412</v>
      </c>
      <c r="Q968">
        <f>IF(B968&lt;&gt;B967,IF(F968&lt;=AVERAGE(F946:F967),Dashboard!$N$6-Dashboard!$G$7,Dashboard!$N$6+Dashboard!$G$7),0)</f>
        <v>0</v>
      </c>
      <c r="R968">
        <f t="shared" si="94"/>
        <v>222.54708157409027</v>
      </c>
    </row>
    <row r="969" spans="1:18" x14ac:dyDescent="0.3">
      <c r="A969" s="1">
        <v>45481</v>
      </c>
      <c r="B969">
        <v>8</v>
      </c>
      <c r="C969" s="19">
        <v>7</v>
      </c>
      <c r="D969" s="20">
        <v>2024</v>
      </c>
      <c r="E969" s="21">
        <f t="shared" si="90"/>
        <v>45511</v>
      </c>
      <c r="F969" s="20">
        <v>476.61</v>
      </c>
      <c r="G969" s="20">
        <v>5976351</v>
      </c>
      <c r="H969" s="20">
        <v>485.7</v>
      </c>
      <c r="I969" s="20">
        <v>488.55</v>
      </c>
      <c r="J969" s="22">
        <v>476.11</v>
      </c>
      <c r="K969" s="2">
        <f t="shared" si="91"/>
        <v>110776.52392351143</v>
      </c>
      <c r="L969" s="2">
        <f>IF(B969&lt;&gt;B968,L968*(1+Dashboard!$G$5)+Dashboard!$G$6, L968)</f>
        <v>115799.67302632112</v>
      </c>
      <c r="M969">
        <f t="shared" si="89"/>
        <v>0</v>
      </c>
      <c r="N969">
        <f t="shared" si="92"/>
        <v>232.4259329924077</v>
      </c>
      <c r="O969">
        <f>IF(B969&lt;&gt;B968, Dashboard!$L$6,0)</f>
        <v>0</v>
      </c>
      <c r="P969">
        <f t="shared" si="93"/>
        <v>223.92590790384412</v>
      </c>
      <c r="Q969">
        <f>IF(B969&lt;&gt;B968,IF(F969&lt;=AVERAGE(F947:F968),Dashboard!$N$6-Dashboard!$G$7,Dashboard!$N$6+Dashboard!$G$7),0)</f>
        <v>0</v>
      </c>
      <c r="R969">
        <f t="shared" si="94"/>
        <v>222.54708157409027</v>
      </c>
    </row>
    <row r="970" spans="1:18" x14ac:dyDescent="0.3">
      <c r="A970" s="1">
        <v>45512</v>
      </c>
      <c r="B970">
        <v>8</v>
      </c>
      <c r="C970" s="19">
        <v>8</v>
      </c>
      <c r="D970" s="20">
        <v>2024</v>
      </c>
      <c r="E970" s="21">
        <f t="shared" si="90"/>
        <v>45512</v>
      </c>
      <c r="F970" s="20">
        <v>487.73</v>
      </c>
      <c r="G970" s="20">
        <v>4177234</v>
      </c>
      <c r="H970" s="20">
        <v>481.49</v>
      </c>
      <c r="I970" s="20">
        <v>488.27</v>
      </c>
      <c r="J970" s="22">
        <v>479.64</v>
      </c>
      <c r="K970" s="2">
        <f t="shared" si="91"/>
        <v>113361.10029838701</v>
      </c>
      <c r="L970" s="2">
        <f>IF(B970&lt;&gt;B969,L969*(1+Dashboard!$G$5)+Dashboard!$G$6, L969)</f>
        <v>115799.67302632112</v>
      </c>
      <c r="M970">
        <f t="shared" si="89"/>
        <v>0</v>
      </c>
      <c r="N970">
        <f t="shared" si="92"/>
        <v>232.4259329924077</v>
      </c>
      <c r="O970">
        <f>IF(B970&lt;&gt;B969, Dashboard!$L$6,0)</f>
        <v>0</v>
      </c>
      <c r="P970">
        <f t="shared" si="93"/>
        <v>223.92590790384412</v>
      </c>
      <c r="Q970">
        <f>IF(B970&lt;&gt;B969,IF(F970&lt;=AVERAGE(F948:F969),Dashboard!$N$6-Dashboard!$G$7,Dashboard!$N$6+Dashboard!$G$7),0)</f>
        <v>0</v>
      </c>
      <c r="R970">
        <f t="shared" si="94"/>
        <v>222.54708157409027</v>
      </c>
    </row>
    <row r="971" spans="1:18" x14ac:dyDescent="0.3">
      <c r="A971" s="1">
        <v>45543</v>
      </c>
      <c r="B971">
        <v>8</v>
      </c>
      <c r="C971" s="19">
        <v>9</v>
      </c>
      <c r="D971" s="20">
        <v>2024</v>
      </c>
      <c r="E971" s="21">
        <f t="shared" si="90"/>
        <v>45513</v>
      </c>
      <c r="F971" s="20">
        <v>489.82</v>
      </c>
      <c r="G971" s="20">
        <v>7661331</v>
      </c>
      <c r="H971" s="20">
        <v>486.93</v>
      </c>
      <c r="I971" s="20">
        <v>491.21</v>
      </c>
      <c r="J971" s="22">
        <v>485.82</v>
      </c>
      <c r="K971" s="2">
        <f t="shared" si="91"/>
        <v>113846.87049834113</v>
      </c>
      <c r="L971" s="2">
        <f>IF(B971&lt;&gt;B970,L970*(1+Dashboard!$G$5)+Dashboard!$G$6, L970)</f>
        <v>115799.67302632112</v>
      </c>
      <c r="M971">
        <f t="shared" si="89"/>
        <v>0</v>
      </c>
      <c r="N971">
        <f t="shared" si="92"/>
        <v>232.4259329924077</v>
      </c>
      <c r="O971">
        <f>IF(B971&lt;&gt;B970, Dashboard!$L$6,0)</f>
        <v>0</v>
      </c>
      <c r="P971">
        <f t="shared" si="93"/>
        <v>223.92590790384412</v>
      </c>
      <c r="Q971">
        <f>IF(B971&lt;&gt;B970,IF(F971&lt;=AVERAGE(F949:F970),Dashboard!$N$6-Dashboard!$G$7,Dashboard!$N$6+Dashboard!$G$7),0)</f>
        <v>0</v>
      </c>
      <c r="R971">
        <f t="shared" si="94"/>
        <v>222.54708157409027</v>
      </c>
    </row>
    <row r="972" spans="1:18" x14ac:dyDescent="0.3">
      <c r="A972" s="1">
        <v>45634</v>
      </c>
      <c r="B972">
        <v>8</v>
      </c>
      <c r="C972" s="19">
        <v>12</v>
      </c>
      <c r="D972" s="20">
        <v>2024</v>
      </c>
      <c r="E972" s="21">
        <f t="shared" si="90"/>
        <v>45516</v>
      </c>
      <c r="F972" s="20">
        <v>490.07</v>
      </c>
      <c r="G972" s="20">
        <v>3578134</v>
      </c>
      <c r="H972" s="20">
        <v>490.94</v>
      </c>
      <c r="I972" s="20">
        <v>492.35</v>
      </c>
      <c r="J972" s="22">
        <v>487.98</v>
      </c>
      <c r="K972" s="2">
        <f t="shared" si="91"/>
        <v>113904.97698158924</v>
      </c>
      <c r="L972" s="2">
        <f>IF(B972&lt;&gt;B971,L971*(1+Dashboard!$G$5)+Dashboard!$G$6, L971)</f>
        <v>115799.67302632112</v>
      </c>
      <c r="M972">
        <f t="shared" si="89"/>
        <v>0</v>
      </c>
      <c r="N972">
        <f t="shared" si="92"/>
        <v>232.4259329924077</v>
      </c>
      <c r="O972">
        <f>IF(B972&lt;&gt;B971, Dashboard!$L$6,0)</f>
        <v>0</v>
      </c>
      <c r="P972">
        <f t="shared" si="93"/>
        <v>223.92590790384412</v>
      </c>
      <c r="Q972">
        <f>IF(B972&lt;&gt;B971,IF(F972&lt;=AVERAGE(F950:F971),Dashboard!$N$6-Dashboard!$G$7,Dashboard!$N$6+Dashboard!$G$7),0)</f>
        <v>0</v>
      </c>
      <c r="R972">
        <f t="shared" si="94"/>
        <v>222.54708157409027</v>
      </c>
    </row>
    <row r="973" spans="1:18" x14ac:dyDescent="0.3">
      <c r="A973" t="s">
        <v>174</v>
      </c>
      <c r="B973">
        <v>8</v>
      </c>
      <c r="C973" s="19">
        <v>13</v>
      </c>
      <c r="D973" s="20">
        <v>2024</v>
      </c>
      <c r="E973" s="21">
        <f t="shared" si="90"/>
        <v>45517</v>
      </c>
      <c r="F973" s="20">
        <v>498.21</v>
      </c>
      <c r="G973" s="20">
        <v>3247887</v>
      </c>
      <c r="H973" s="20">
        <v>493.14</v>
      </c>
      <c r="I973" s="20">
        <v>498.38</v>
      </c>
      <c r="J973" s="22">
        <v>492.92</v>
      </c>
      <c r="K973" s="2">
        <f t="shared" si="91"/>
        <v>115796.92407614744</v>
      </c>
      <c r="L973" s="2">
        <f>IF(B973&lt;&gt;B972,L972*(1+Dashboard!$G$5)+Dashboard!$G$6, L972)</f>
        <v>115799.67302632112</v>
      </c>
      <c r="M973">
        <f t="shared" si="89"/>
        <v>0</v>
      </c>
      <c r="N973">
        <f t="shared" si="92"/>
        <v>232.4259329924077</v>
      </c>
      <c r="O973">
        <f>IF(B973&lt;&gt;B972, Dashboard!$L$6,0)</f>
        <v>0</v>
      </c>
      <c r="P973">
        <f t="shared" si="93"/>
        <v>223.92590790384412</v>
      </c>
      <c r="Q973">
        <f>IF(B973&lt;&gt;B972,IF(F973&lt;=AVERAGE(F951:F972),Dashboard!$N$6-Dashboard!$G$7,Dashboard!$N$6+Dashboard!$G$7),0)</f>
        <v>0</v>
      </c>
      <c r="R973">
        <f t="shared" si="94"/>
        <v>222.54708157409027</v>
      </c>
    </row>
    <row r="974" spans="1:18" x14ac:dyDescent="0.3">
      <c r="A974" t="s">
        <v>173</v>
      </c>
      <c r="B974">
        <v>8</v>
      </c>
      <c r="C974" s="19">
        <v>14</v>
      </c>
      <c r="D974" s="20">
        <v>2024</v>
      </c>
      <c r="E974" s="21">
        <f t="shared" si="90"/>
        <v>45518</v>
      </c>
      <c r="F974" s="20">
        <v>499.8</v>
      </c>
      <c r="G974" s="20">
        <v>3700503</v>
      </c>
      <c r="H974" s="20">
        <v>498.92</v>
      </c>
      <c r="I974" s="20">
        <v>500.85</v>
      </c>
      <c r="J974" s="22">
        <v>496.47800000000001</v>
      </c>
      <c r="K974" s="2">
        <f t="shared" si="91"/>
        <v>116166.48130960537</v>
      </c>
      <c r="L974" s="2">
        <f>IF(B974&lt;&gt;B973,L973*(1+Dashboard!$G$5)+Dashboard!$G$6, L973)</f>
        <v>115799.67302632112</v>
      </c>
      <c r="M974">
        <f t="shared" si="89"/>
        <v>0</v>
      </c>
      <c r="N974">
        <f t="shared" si="92"/>
        <v>232.4259329924077</v>
      </c>
      <c r="O974">
        <f>IF(B974&lt;&gt;B973, Dashboard!$L$6,0)</f>
        <v>0</v>
      </c>
      <c r="P974">
        <f t="shared" si="93"/>
        <v>223.92590790384412</v>
      </c>
      <c r="Q974">
        <f>IF(B974&lt;&gt;B973,IF(F974&lt;=AVERAGE(F952:F973),Dashboard!$N$6-Dashboard!$G$7,Dashboard!$N$6+Dashboard!$G$7),0)</f>
        <v>0</v>
      </c>
      <c r="R974">
        <f t="shared" si="94"/>
        <v>222.54708157409027</v>
      </c>
    </row>
    <row r="975" spans="1:18" x14ac:dyDescent="0.3">
      <c r="A975" t="s">
        <v>172</v>
      </c>
      <c r="B975">
        <v>8</v>
      </c>
      <c r="C975" s="19">
        <v>15</v>
      </c>
      <c r="D975" s="20">
        <v>2024</v>
      </c>
      <c r="E975" s="21">
        <f t="shared" si="90"/>
        <v>45519</v>
      </c>
      <c r="F975" s="20">
        <v>508.38</v>
      </c>
      <c r="G975" s="20">
        <v>4278953</v>
      </c>
      <c r="H975" s="20">
        <v>505.09</v>
      </c>
      <c r="I975" s="20">
        <v>508.59</v>
      </c>
      <c r="J975" s="22">
        <v>504.48570000000001</v>
      </c>
      <c r="K975" s="2">
        <f t="shared" si="91"/>
        <v>118160.69581468022</v>
      </c>
      <c r="L975" s="2">
        <f>IF(B975&lt;&gt;B974,L974*(1+Dashboard!$G$5)+Dashboard!$G$6, L974)</f>
        <v>115799.67302632112</v>
      </c>
      <c r="M975">
        <f t="shared" si="89"/>
        <v>0</v>
      </c>
      <c r="N975">
        <f t="shared" si="92"/>
        <v>232.4259329924077</v>
      </c>
      <c r="O975">
        <f>IF(B975&lt;&gt;B974, Dashboard!$L$6,0)</f>
        <v>0</v>
      </c>
      <c r="P975">
        <f t="shared" si="93"/>
        <v>223.92590790384412</v>
      </c>
      <c r="Q975">
        <f>IF(B975&lt;&gt;B974,IF(F975&lt;=AVERAGE(F953:F974),Dashboard!$N$6-Dashboard!$G$7,Dashboard!$N$6+Dashboard!$G$7),0)</f>
        <v>0</v>
      </c>
      <c r="R975">
        <f t="shared" si="94"/>
        <v>222.54708157409027</v>
      </c>
    </row>
    <row r="976" spans="1:18" x14ac:dyDescent="0.3">
      <c r="A976" t="s">
        <v>171</v>
      </c>
      <c r="B976">
        <v>8</v>
      </c>
      <c r="C976" s="19">
        <v>16</v>
      </c>
      <c r="D976" s="20">
        <v>2024</v>
      </c>
      <c r="E976" s="21">
        <f t="shared" si="90"/>
        <v>45520</v>
      </c>
      <c r="F976" s="20">
        <v>509.45</v>
      </c>
      <c r="G976" s="20">
        <v>3449286</v>
      </c>
      <c r="H976" s="20">
        <v>506.84</v>
      </c>
      <c r="I976" s="20">
        <v>510.11</v>
      </c>
      <c r="J976" s="22">
        <v>506.65</v>
      </c>
      <c r="K976" s="2">
        <f t="shared" si="91"/>
        <v>118409.3915629821</v>
      </c>
      <c r="L976" s="2">
        <f>IF(B976&lt;&gt;B975,L975*(1+Dashboard!$G$5)+Dashboard!$G$6, L975)</f>
        <v>115799.67302632112</v>
      </c>
      <c r="M976">
        <f t="shared" si="89"/>
        <v>0</v>
      </c>
      <c r="N976">
        <f t="shared" si="92"/>
        <v>232.4259329924077</v>
      </c>
      <c r="O976">
        <f>IF(B976&lt;&gt;B975, Dashboard!$L$6,0)</f>
        <v>0</v>
      </c>
      <c r="P976">
        <f t="shared" si="93"/>
        <v>223.92590790384412</v>
      </c>
      <c r="Q976">
        <f>IF(B976&lt;&gt;B975,IF(F976&lt;=AVERAGE(F954:F975),Dashboard!$N$6-Dashboard!$G$7,Dashboard!$N$6+Dashboard!$G$7),0)</f>
        <v>0</v>
      </c>
      <c r="R976">
        <f t="shared" si="94"/>
        <v>222.54708157409027</v>
      </c>
    </row>
    <row r="977" spans="1:18" x14ac:dyDescent="0.3">
      <c r="A977" t="s">
        <v>170</v>
      </c>
      <c r="B977">
        <v>8</v>
      </c>
      <c r="C977" s="19">
        <v>19</v>
      </c>
      <c r="D977" s="20">
        <v>2024</v>
      </c>
      <c r="E977" s="21">
        <f t="shared" si="90"/>
        <v>45523</v>
      </c>
      <c r="F977" s="20">
        <v>514.35</v>
      </c>
      <c r="G977" s="20">
        <v>3804313</v>
      </c>
      <c r="H977" s="20">
        <v>509.86</v>
      </c>
      <c r="I977" s="20">
        <v>514.35</v>
      </c>
      <c r="J977" s="22">
        <v>509.06</v>
      </c>
      <c r="K977" s="2">
        <f t="shared" si="91"/>
        <v>119548.2786346449</v>
      </c>
      <c r="L977" s="2">
        <f>IF(B977&lt;&gt;B976,L976*(1+Dashboard!$G$5)+Dashboard!$G$6, L976)</f>
        <v>115799.67302632112</v>
      </c>
      <c r="M977">
        <f t="shared" si="89"/>
        <v>0</v>
      </c>
      <c r="N977">
        <f t="shared" si="92"/>
        <v>232.4259329924077</v>
      </c>
      <c r="O977">
        <f>IF(B977&lt;&gt;B976, Dashboard!$L$6,0)</f>
        <v>0</v>
      </c>
      <c r="P977">
        <f t="shared" si="93"/>
        <v>223.92590790384412</v>
      </c>
      <c r="Q977">
        <f>IF(B977&lt;&gt;B976,IF(F977&lt;=AVERAGE(F955:F976),Dashboard!$N$6-Dashboard!$G$7,Dashboard!$N$6+Dashboard!$G$7),0)</f>
        <v>0</v>
      </c>
      <c r="R977">
        <f t="shared" si="94"/>
        <v>222.54708157409027</v>
      </c>
    </row>
    <row r="978" spans="1:18" x14ac:dyDescent="0.3">
      <c r="A978" t="s">
        <v>169</v>
      </c>
      <c r="B978">
        <v>8</v>
      </c>
      <c r="C978" s="19">
        <v>20</v>
      </c>
      <c r="D978" s="20">
        <v>2024</v>
      </c>
      <c r="E978" s="21">
        <f t="shared" si="90"/>
        <v>45524</v>
      </c>
      <c r="F978" s="20">
        <v>513.5</v>
      </c>
      <c r="G978" s="20">
        <v>3155981</v>
      </c>
      <c r="H978" s="20">
        <v>513.91999999999996</v>
      </c>
      <c r="I978" s="20">
        <v>515.47990000000004</v>
      </c>
      <c r="J978" s="22">
        <v>512.25</v>
      </c>
      <c r="K978" s="2">
        <f t="shared" si="91"/>
        <v>119350.71659160135</v>
      </c>
      <c r="L978" s="2">
        <f>IF(B978&lt;&gt;B977,L977*(1+Dashboard!$G$5)+Dashboard!$G$6, L977)</f>
        <v>115799.67302632112</v>
      </c>
      <c r="M978">
        <f t="shared" si="89"/>
        <v>0</v>
      </c>
      <c r="N978">
        <f t="shared" si="92"/>
        <v>232.4259329924077</v>
      </c>
      <c r="O978">
        <f>IF(B978&lt;&gt;B977, Dashboard!$L$6,0)</f>
        <v>0</v>
      </c>
      <c r="P978">
        <f t="shared" si="93"/>
        <v>223.92590790384412</v>
      </c>
      <c r="Q978">
        <f>IF(B978&lt;&gt;B977,IF(F978&lt;=AVERAGE(F956:F977),Dashboard!$N$6-Dashboard!$G$7,Dashboard!$N$6+Dashboard!$G$7),0)</f>
        <v>0</v>
      </c>
      <c r="R978">
        <f t="shared" si="94"/>
        <v>222.54708157409027</v>
      </c>
    </row>
    <row r="979" spans="1:18" x14ac:dyDescent="0.3">
      <c r="A979" t="s">
        <v>168</v>
      </c>
      <c r="B979">
        <v>8</v>
      </c>
      <c r="C979" s="19">
        <v>21</v>
      </c>
      <c r="D979" s="20">
        <v>2024</v>
      </c>
      <c r="E979" s="21">
        <f t="shared" si="90"/>
        <v>45525</v>
      </c>
      <c r="F979" s="20">
        <v>515.29999999999995</v>
      </c>
      <c r="G979" s="20">
        <v>3344050</v>
      </c>
      <c r="H979" s="20">
        <v>514.47</v>
      </c>
      <c r="I979" s="20">
        <v>516.65989999999999</v>
      </c>
      <c r="J979" s="22">
        <v>512.85</v>
      </c>
      <c r="K979" s="2">
        <f t="shared" si="91"/>
        <v>119769.08327098767</v>
      </c>
      <c r="L979" s="2">
        <f>IF(B979&lt;&gt;B978,L978*(1+Dashboard!$G$5)+Dashboard!$G$6, L978)</f>
        <v>115799.67302632112</v>
      </c>
      <c r="M979">
        <f t="shared" si="89"/>
        <v>0</v>
      </c>
      <c r="N979">
        <f t="shared" si="92"/>
        <v>232.4259329924077</v>
      </c>
      <c r="O979">
        <f>IF(B979&lt;&gt;B978, Dashboard!$L$6,0)</f>
        <v>0</v>
      </c>
      <c r="P979">
        <f t="shared" si="93"/>
        <v>223.92590790384412</v>
      </c>
      <c r="Q979">
        <f>IF(B979&lt;&gt;B978,IF(F979&lt;=AVERAGE(F957:F978),Dashboard!$N$6-Dashboard!$G$7,Dashboard!$N$6+Dashboard!$G$7),0)</f>
        <v>0</v>
      </c>
      <c r="R979">
        <f t="shared" si="94"/>
        <v>222.54708157409027</v>
      </c>
    </row>
    <row r="980" spans="1:18" x14ac:dyDescent="0.3">
      <c r="A980" t="s">
        <v>167</v>
      </c>
      <c r="B980">
        <v>8</v>
      </c>
      <c r="C980" s="19">
        <v>22</v>
      </c>
      <c r="D980" s="20">
        <v>2024</v>
      </c>
      <c r="E980" s="21">
        <f t="shared" si="90"/>
        <v>45526</v>
      </c>
      <c r="F980" s="20">
        <v>511.13</v>
      </c>
      <c r="G980" s="20">
        <v>3677087</v>
      </c>
      <c r="H980" s="20">
        <v>517.04999999999995</v>
      </c>
      <c r="I980" s="20">
        <v>517.63</v>
      </c>
      <c r="J980" s="22">
        <v>510.1</v>
      </c>
      <c r="K980" s="2">
        <f t="shared" si="91"/>
        <v>118799.86713040934</v>
      </c>
      <c r="L980" s="2">
        <f>IF(B980&lt;&gt;B979,L979*(1+Dashboard!$G$5)+Dashboard!$G$6, L979)</f>
        <v>115799.67302632112</v>
      </c>
      <c r="M980">
        <f t="shared" si="89"/>
        <v>0</v>
      </c>
      <c r="N980">
        <f t="shared" si="92"/>
        <v>232.4259329924077</v>
      </c>
      <c r="O980">
        <f>IF(B980&lt;&gt;B979, Dashboard!$L$6,0)</f>
        <v>0</v>
      </c>
      <c r="P980">
        <f t="shared" si="93"/>
        <v>223.92590790384412</v>
      </c>
      <c r="Q980">
        <f>IF(B980&lt;&gt;B979,IF(F980&lt;=AVERAGE(F958:F979),Dashboard!$N$6-Dashboard!$G$7,Dashboard!$N$6+Dashboard!$G$7),0)</f>
        <v>0</v>
      </c>
      <c r="R980">
        <f t="shared" si="94"/>
        <v>222.54708157409027</v>
      </c>
    </row>
    <row r="981" spans="1:18" x14ac:dyDescent="0.3">
      <c r="A981" t="s">
        <v>166</v>
      </c>
      <c r="B981">
        <v>8</v>
      </c>
      <c r="C981" s="19">
        <v>23</v>
      </c>
      <c r="D981" s="20">
        <v>2024</v>
      </c>
      <c r="E981" s="21">
        <f t="shared" si="90"/>
        <v>45527</v>
      </c>
      <c r="F981" s="20">
        <v>516.66</v>
      </c>
      <c r="G981" s="20">
        <v>5102791</v>
      </c>
      <c r="H981" s="20">
        <v>514.33000000000004</v>
      </c>
      <c r="I981" s="20">
        <v>517.54999999999995</v>
      </c>
      <c r="J981" s="22">
        <v>512.25210000000004</v>
      </c>
      <c r="K981" s="2">
        <f t="shared" si="91"/>
        <v>120085.18253985736</v>
      </c>
      <c r="L981" s="2">
        <f>IF(B981&lt;&gt;B980,L980*(1+Dashboard!$G$5)+Dashboard!$G$6, L980)</f>
        <v>115799.67302632112</v>
      </c>
      <c r="M981">
        <f t="shared" si="89"/>
        <v>0</v>
      </c>
      <c r="N981">
        <f t="shared" si="92"/>
        <v>232.4259329924077</v>
      </c>
      <c r="O981">
        <f>IF(B981&lt;&gt;B980, Dashboard!$L$6,0)</f>
        <v>0</v>
      </c>
      <c r="P981">
        <f t="shared" si="93"/>
        <v>223.92590790384412</v>
      </c>
      <c r="Q981">
        <f>IF(B981&lt;&gt;B980,IF(F981&lt;=AVERAGE(F959:F980),Dashboard!$N$6-Dashboard!$G$7,Dashboard!$N$6+Dashboard!$G$7),0)</f>
        <v>0</v>
      </c>
      <c r="R981">
        <f t="shared" si="94"/>
        <v>222.54708157409027</v>
      </c>
    </row>
    <row r="982" spans="1:18" x14ac:dyDescent="0.3">
      <c r="A982" t="s">
        <v>165</v>
      </c>
      <c r="B982">
        <v>8</v>
      </c>
      <c r="C982" s="19">
        <v>26</v>
      </c>
      <c r="D982" s="20">
        <v>2024</v>
      </c>
      <c r="E982" s="21">
        <f t="shared" si="90"/>
        <v>45530</v>
      </c>
      <c r="F982" s="20">
        <v>515.39</v>
      </c>
      <c r="G982" s="20">
        <v>3398640</v>
      </c>
      <c r="H982" s="20">
        <v>517.64</v>
      </c>
      <c r="I982" s="20">
        <v>518.29</v>
      </c>
      <c r="J982" s="22">
        <v>513.875</v>
      </c>
      <c r="K982" s="2">
        <f t="shared" si="91"/>
        <v>119790.001604957</v>
      </c>
      <c r="L982" s="2">
        <f>IF(B982&lt;&gt;B981,L981*(1+Dashboard!$G$5)+Dashboard!$G$6, L981)</f>
        <v>115799.67302632112</v>
      </c>
      <c r="M982">
        <f t="shared" si="89"/>
        <v>0</v>
      </c>
      <c r="N982">
        <f t="shared" si="92"/>
        <v>232.4259329924077</v>
      </c>
      <c r="O982">
        <f>IF(B982&lt;&gt;B981, Dashboard!$L$6,0)</f>
        <v>0</v>
      </c>
      <c r="P982">
        <f t="shared" si="93"/>
        <v>223.92590790384412</v>
      </c>
      <c r="Q982">
        <f>IF(B982&lt;&gt;B981,IF(F982&lt;=AVERAGE(F960:F981),Dashboard!$N$6-Dashboard!$G$7,Dashboard!$N$6+Dashboard!$G$7),0)</f>
        <v>0</v>
      </c>
      <c r="R982">
        <f t="shared" si="94"/>
        <v>222.54708157409027</v>
      </c>
    </row>
    <row r="983" spans="1:18" x14ac:dyDescent="0.3">
      <c r="A983" t="s">
        <v>164</v>
      </c>
      <c r="B983">
        <v>8</v>
      </c>
      <c r="C983" s="19">
        <v>27</v>
      </c>
      <c r="D983" s="20">
        <v>2024</v>
      </c>
      <c r="E983" s="21">
        <f t="shared" si="90"/>
        <v>45531</v>
      </c>
      <c r="F983" s="20">
        <v>516.08000000000004</v>
      </c>
      <c r="G983" s="20">
        <v>3031778</v>
      </c>
      <c r="H983" s="20">
        <v>514.26</v>
      </c>
      <c r="I983" s="20">
        <v>516.59</v>
      </c>
      <c r="J983" s="22">
        <v>513.16</v>
      </c>
      <c r="K983" s="2">
        <f t="shared" si="91"/>
        <v>119950.37549872177</v>
      </c>
      <c r="L983" s="2">
        <f>IF(B983&lt;&gt;B982,L982*(1+Dashboard!$G$5)+Dashboard!$G$6, L982)</f>
        <v>115799.67302632112</v>
      </c>
      <c r="M983">
        <f t="shared" si="89"/>
        <v>0</v>
      </c>
      <c r="N983">
        <f t="shared" si="92"/>
        <v>232.4259329924077</v>
      </c>
      <c r="O983">
        <f>IF(B983&lt;&gt;B982, Dashboard!$L$6,0)</f>
        <v>0</v>
      </c>
      <c r="P983">
        <f t="shared" si="93"/>
        <v>223.92590790384412</v>
      </c>
      <c r="Q983">
        <f>IF(B983&lt;&gt;B982,IF(F983&lt;=AVERAGE(F961:F982),Dashboard!$N$6-Dashboard!$G$7,Dashboard!$N$6+Dashboard!$G$7),0)</f>
        <v>0</v>
      </c>
      <c r="R983">
        <f t="shared" si="94"/>
        <v>222.54708157409027</v>
      </c>
    </row>
    <row r="984" spans="1:18" x14ac:dyDescent="0.3">
      <c r="A984" t="s">
        <v>163</v>
      </c>
      <c r="B984">
        <v>8</v>
      </c>
      <c r="C984" s="19">
        <v>28</v>
      </c>
      <c r="D984" s="20">
        <v>2024</v>
      </c>
      <c r="E984" s="21">
        <f t="shared" si="90"/>
        <v>45532</v>
      </c>
      <c r="F984" s="20">
        <v>513.13</v>
      </c>
      <c r="G984" s="20">
        <v>3940428</v>
      </c>
      <c r="H984" s="20">
        <v>515.79999999999995</v>
      </c>
      <c r="I984" s="20">
        <v>516.23</v>
      </c>
      <c r="J984" s="22">
        <v>510.16</v>
      </c>
      <c r="K984" s="2">
        <f t="shared" si="91"/>
        <v>119264.71899639416</v>
      </c>
      <c r="L984" s="2">
        <f>IF(B984&lt;&gt;B983,L983*(1+Dashboard!$G$5)+Dashboard!$G$6, L983)</f>
        <v>115799.67302632112</v>
      </c>
      <c r="M984">
        <f t="shared" si="89"/>
        <v>0</v>
      </c>
      <c r="N984">
        <f t="shared" si="92"/>
        <v>232.4259329924077</v>
      </c>
      <c r="O984">
        <f>IF(B984&lt;&gt;B983, Dashboard!$L$6,0)</f>
        <v>0</v>
      </c>
      <c r="P984">
        <f t="shared" si="93"/>
        <v>223.92590790384412</v>
      </c>
      <c r="Q984">
        <f>IF(B984&lt;&gt;B983,IF(F984&lt;=AVERAGE(F962:F983),Dashboard!$N$6-Dashboard!$G$7,Dashboard!$N$6+Dashboard!$G$7),0)</f>
        <v>0</v>
      </c>
      <c r="R984">
        <f t="shared" si="94"/>
        <v>222.54708157409027</v>
      </c>
    </row>
    <row r="985" spans="1:18" x14ac:dyDescent="0.3">
      <c r="A985" t="s">
        <v>162</v>
      </c>
      <c r="B985">
        <v>8</v>
      </c>
      <c r="C985" s="19">
        <v>29</v>
      </c>
      <c r="D985" s="20">
        <v>2024</v>
      </c>
      <c r="E985" s="21">
        <f t="shared" si="90"/>
        <v>45533</v>
      </c>
      <c r="F985" s="20">
        <v>513.21</v>
      </c>
      <c r="G985" s="20">
        <v>3487145</v>
      </c>
      <c r="H985" s="20">
        <v>514.99</v>
      </c>
      <c r="I985" s="20">
        <v>518.09</v>
      </c>
      <c r="J985" s="22">
        <v>512.13</v>
      </c>
      <c r="K985" s="2">
        <f t="shared" si="91"/>
        <v>119283.31307103357</v>
      </c>
      <c r="L985" s="2">
        <f>IF(B985&lt;&gt;B984,L984*(1+Dashboard!$G$5)+Dashboard!$G$6, L984)</f>
        <v>115799.67302632112</v>
      </c>
      <c r="M985">
        <f t="shared" ref="M985:M1048" si="95">IF(B985&lt;&gt;B984,IF((L985-K985&gt;0),L985-K985,0),0)</f>
        <v>0</v>
      </c>
      <c r="N985">
        <f t="shared" si="92"/>
        <v>232.4259329924077</v>
      </c>
      <c r="O985">
        <f>IF(B985&lt;&gt;B984, Dashboard!$L$6,0)</f>
        <v>0</v>
      </c>
      <c r="P985">
        <f t="shared" si="93"/>
        <v>223.92590790384412</v>
      </c>
      <c r="Q985">
        <f>IF(B985&lt;&gt;B984,IF(F985&lt;=AVERAGE(F963:F984),Dashboard!$N$6-Dashboard!$G$7,Dashboard!$N$6+Dashboard!$G$7),0)</f>
        <v>0</v>
      </c>
      <c r="R985">
        <f t="shared" si="94"/>
        <v>222.54708157409027</v>
      </c>
    </row>
    <row r="986" spans="1:18" x14ac:dyDescent="0.3">
      <c r="A986" t="s">
        <v>161</v>
      </c>
      <c r="B986">
        <v>8</v>
      </c>
      <c r="C986" s="19">
        <v>30</v>
      </c>
      <c r="D986" s="20">
        <v>2024</v>
      </c>
      <c r="E986" s="21">
        <f t="shared" si="90"/>
        <v>45534</v>
      </c>
      <c r="F986" s="20">
        <v>518.04</v>
      </c>
      <c r="G986" s="20">
        <v>5637725</v>
      </c>
      <c r="H986" s="20">
        <v>515.41999999999996</v>
      </c>
      <c r="I986" s="20">
        <v>518.58000000000004</v>
      </c>
      <c r="J986" s="22">
        <v>512.12</v>
      </c>
      <c r="K986" s="2">
        <f t="shared" si="91"/>
        <v>120405.93032738687</v>
      </c>
      <c r="L986" s="2">
        <f>IF(B986&lt;&gt;B985,L985*(1+Dashboard!$G$5)+Dashboard!$G$6, L985)</f>
        <v>115799.67302632112</v>
      </c>
      <c r="M986">
        <f t="shared" si="95"/>
        <v>0</v>
      </c>
      <c r="N986">
        <f t="shared" si="92"/>
        <v>232.4259329924077</v>
      </c>
      <c r="O986">
        <f>IF(B986&lt;&gt;B985, Dashboard!$L$6,0)</f>
        <v>0</v>
      </c>
      <c r="P986">
        <f t="shared" si="93"/>
        <v>223.92590790384412</v>
      </c>
      <c r="Q986">
        <f>IF(B986&lt;&gt;B985,IF(F986&lt;=AVERAGE(F964:F985),Dashboard!$N$6-Dashboard!$G$7,Dashboard!$N$6+Dashboard!$G$7),0)</f>
        <v>0</v>
      </c>
      <c r="R986">
        <f t="shared" si="94"/>
        <v>222.54708157409027</v>
      </c>
    </row>
    <row r="987" spans="1:18" x14ac:dyDescent="0.3">
      <c r="A987" s="1">
        <v>45360</v>
      </c>
      <c r="B987">
        <v>9</v>
      </c>
      <c r="C987" s="19">
        <v>3</v>
      </c>
      <c r="D987" s="20">
        <v>2024</v>
      </c>
      <c r="E987" s="21">
        <f t="shared" si="90"/>
        <v>45538</v>
      </c>
      <c r="F987" s="20">
        <v>507.56</v>
      </c>
      <c r="G987" s="20">
        <v>5866441</v>
      </c>
      <c r="H987" s="20">
        <v>515.12</v>
      </c>
      <c r="I987" s="20">
        <v>515.42999999999995</v>
      </c>
      <c r="J987" s="22">
        <v>505.1</v>
      </c>
      <c r="K987" s="2">
        <f t="shared" si="91"/>
        <v>117970.10654962645</v>
      </c>
      <c r="L987" s="2">
        <f>IF(B987&lt;&gt;B986,L986*(1+Dashboard!$G$5)+Dashboard!$G$6, L986)</f>
        <v>118818.71014895274</v>
      </c>
      <c r="M987">
        <f t="shared" si="95"/>
        <v>848.60359932629217</v>
      </c>
      <c r="N987">
        <f t="shared" si="92"/>
        <v>232.4259329924077</v>
      </c>
      <c r="O987">
        <f>IF(B987&lt;&gt;B986, Dashboard!$L$6,0)</f>
        <v>1859.7282542371197</v>
      </c>
      <c r="P987">
        <f t="shared" si="93"/>
        <v>227.58996388587013</v>
      </c>
      <c r="Q987">
        <f>IF(B987&lt;&gt;B986,IF(F987&lt;=AVERAGE(F965:F986),Dashboard!$N$6-Dashboard!$G$7,Dashboard!$N$6+Dashboard!$G$7),0)</f>
        <v>2232.609610169322</v>
      </c>
      <c r="R987">
        <f t="shared" si="94"/>
        <v>226.88123596562878</v>
      </c>
    </row>
    <row r="988" spans="1:18" x14ac:dyDescent="0.3">
      <c r="A988" s="1">
        <v>45391</v>
      </c>
      <c r="B988">
        <v>9</v>
      </c>
      <c r="C988" s="19">
        <v>4</v>
      </c>
      <c r="D988" s="20">
        <v>2024</v>
      </c>
      <c r="E988" s="21">
        <f t="shared" si="90"/>
        <v>45539</v>
      </c>
      <c r="F988" s="20">
        <v>506.3</v>
      </c>
      <c r="G988" s="20">
        <v>3601373</v>
      </c>
      <c r="H988" s="20">
        <v>505.68</v>
      </c>
      <c r="I988" s="20">
        <v>509.53</v>
      </c>
      <c r="J988" s="22">
        <v>505.02</v>
      </c>
      <c r="K988" s="2">
        <f t="shared" si="91"/>
        <v>118523.7468445401</v>
      </c>
      <c r="L988" s="2">
        <f>IF(B988&lt;&gt;B987,L987*(1+Dashboard!$G$5)+Dashboard!$G$6, L987)</f>
        <v>118818.71014895274</v>
      </c>
      <c r="M988">
        <f t="shared" si="95"/>
        <v>0</v>
      </c>
      <c r="N988">
        <f t="shared" si="92"/>
        <v>234.09786064495378</v>
      </c>
      <c r="O988">
        <f>IF(B988&lt;&gt;B987, Dashboard!$L$6,0)</f>
        <v>0</v>
      </c>
      <c r="P988">
        <f t="shared" si="93"/>
        <v>227.58996388587013</v>
      </c>
      <c r="Q988">
        <f>IF(B988&lt;&gt;B987,IF(F988&lt;=AVERAGE(F966:F987),Dashboard!$N$6-Dashboard!$G$7,Dashboard!$N$6+Dashboard!$G$7),0)</f>
        <v>0</v>
      </c>
      <c r="R988">
        <f t="shared" si="94"/>
        <v>226.88123596562878</v>
      </c>
    </row>
    <row r="989" spans="1:18" x14ac:dyDescent="0.3">
      <c r="A989" s="1">
        <v>45421</v>
      </c>
      <c r="B989">
        <v>9</v>
      </c>
      <c r="C989" s="19">
        <v>5</v>
      </c>
      <c r="D989" s="20">
        <v>2024</v>
      </c>
      <c r="E989" s="21">
        <f t="shared" si="90"/>
        <v>45540</v>
      </c>
      <c r="F989" s="20">
        <v>505.05</v>
      </c>
      <c r="G989" s="20">
        <v>3425569</v>
      </c>
      <c r="H989" s="20">
        <v>506.36</v>
      </c>
      <c r="I989" s="20">
        <v>508.94</v>
      </c>
      <c r="J989" s="22">
        <v>502.84</v>
      </c>
      <c r="K989" s="2">
        <f t="shared" si="91"/>
        <v>118231.12451873391</v>
      </c>
      <c r="L989" s="2">
        <f>IF(B989&lt;&gt;B988,L988*(1+Dashboard!$G$5)+Dashboard!$G$6, L988)</f>
        <v>118818.71014895274</v>
      </c>
      <c r="M989">
        <f t="shared" si="95"/>
        <v>0</v>
      </c>
      <c r="N989">
        <f t="shared" si="92"/>
        <v>234.09786064495378</v>
      </c>
      <c r="O989">
        <f>IF(B989&lt;&gt;B988, Dashboard!$L$6,0)</f>
        <v>0</v>
      </c>
      <c r="P989">
        <f t="shared" si="93"/>
        <v>227.58996388587013</v>
      </c>
      <c r="Q989">
        <f>IF(B989&lt;&gt;B988,IF(F989&lt;=AVERAGE(F967:F988),Dashboard!$N$6-Dashboard!$G$7,Dashboard!$N$6+Dashboard!$G$7),0)</f>
        <v>0</v>
      </c>
      <c r="R989">
        <f t="shared" si="94"/>
        <v>226.88123596562878</v>
      </c>
    </row>
    <row r="990" spans="1:18" x14ac:dyDescent="0.3">
      <c r="A990" s="1">
        <v>45452</v>
      </c>
      <c r="B990">
        <v>9</v>
      </c>
      <c r="C990" s="19">
        <v>6</v>
      </c>
      <c r="D990" s="20">
        <v>2024</v>
      </c>
      <c r="E990" s="21">
        <f t="shared" si="90"/>
        <v>45541</v>
      </c>
      <c r="F990" s="20">
        <v>496.64</v>
      </c>
      <c r="G990" s="20">
        <v>7411439</v>
      </c>
      <c r="H990" s="20">
        <v>505.34</v>
      </c>
      <c r="I990" s="20">
        <v>506.94</v>
      </c>
      <c r="J990" s="22">
        <v>495.8</v>
      </c>
      <c r="K990" s="2">
        <f t="shared" si="91"/>
        <v>116262.36151070984</v>
      </c>
      <c r="L990" s="2">
        <f>IF(B990&lt;&gt;B989,L989*(1+Dashboard!$G$5)+Dashboard!$G$6, L989)</f>
        <v>118818.71014895274</v>
      </c>
      <c r="M990">
        <f t="shared" si="95"/>
        <v>0</v>
      </c>
      <c r="N990">
        <f t="shared" si="92"/>
        <v>234.09786064495378</v>
      </c>
      <c r="O990">
        <f>IF(B990&lt;&gt;B989, Dashboard!$L$6,0)</f>
        <v>0</v>
      </c>
      <c r="P990">
        <f t="shared" si="93"/>
        <v>227.58996388587013</v>
      </c>
      <c r="Q990">
        <f>IF(B990&lt;&gt;B989,IF(F990&lt;=AVERAGE(F968:F989),Dashboard!$N$6-Dashboard!$G$7,Dashboard!$N$6+Dashboard!$G$7),0)</f>
        <v>0</v>
      </c>
      <c r="R990">
        <f t="shared" si="94"/>
        <v>226.88123596562878</v>
      </c>
    </row>
    <row r="991" spans="1:18" x14ac:dyDescent="0.3">
      <c r="A991" s="1">
        <v>45544</v>
      </c>
      <c r="B991">
        <v>9</v>
      </c>
      <c r="C991" s="19">
        <v>9</v>
      </c>
      <c r="D991" s="20">
        <v>2024</v>
      </c>
      <c r="E991" s="21">
        <f t="shared" si="90"/>
        <v>45544</v>
      </c>
      <c r="F991" s="20">
        <v>502.23</v>
      </c>
      <c r="G991" s="20">
        <v>3656797</v>
      </c>
      <c r="H991" s="20">
        <v>500.6</v>
      </c>
      <c r="I991" s="20">
        <v>503.37</v>
      </c>
      <c r="J991" s="22">
        <v>498.75</v>
      </c>
      <c r="K991" s="2">
        <f t="shared" si="91"/>
        <v>117570.96855171514</v>
      </c>
      <c r="L991" s="2">
        <f>IF(B991&lt;&gt;B990,L990*(1+Dashboard!$G$5)+Dashboard!$G$6, L990)</f>
        <v>118818.71014895274</v>
      </c>
      <c r="M991">
        <f t="shared" si="95"/>
        <v>0</v>
      </c>
      <c r="N991">
        <f t="shared" si="92"/>
        <v>234.09786064495378</v>
      </c>
      <c r="O991">
        <f>IF(B991&lt;&gt;B990, Dashboard!$L$6,0)</f>
        <v>0</v>
      </c>
      <c r="P991">
        <f t="shared" si="93"/>
        <v>227.58996388587013</v>
      </c>
      <c r="Q991">
        <f>IF(B991&lt;&gt;B990,IF(F991&lt;=AVERAGE(F969:F990),Dashboard!$N$6-Dashboard!$G$7,Dashboard!$N$6+Dashboard!$G$7),0)</f>
        <v>0</v>
      </c>
      <c r="R991">
        <f t="shared" si="94"/>
        <v>226.88123596562878</v>
      </c>
    </row>
    <row r="992" spans="1:18" x14ac:dyDescent="0.3">
      <c r="A992" s="1">
        <v>45574</v>
      </c>
      <c r="B992">
        <v>9</v>
      </c>
      <c r="C992" s="19">
        <v>10</v>
      </c>
      <c r="D992" s="20">
        <v>2024</v>
      </c>
      <c r="E992" s="21">
        <f t="shared" si="90"/>
        <v>45545</v>
      </c>
      <c r="F992" s="20">
        <v>504.3</v>
      </c>
      <c r="G992" s="20">
        <v>2975385</v>
      </c>
      <c r="H992" s="20">
        <v>503.95</v>
      </c>
      <c r="I992" s="20">
        <v>504.70499999999998</v>
      </c>
      <c r="J992" s="22">
        <v>499.49970000000002</v>
      </c>
      <c r="K992" s="2">
        <f t="shared" si="91"/>
        <v>118055.55112325019</v>
      </c>
      <c r="L992" s="2">
        <f>IF(B992&lt;&gt;B991,L991*(1+Dashboard!$G$5)+Dashboard!$G$6, L991)</f>
        <v>118818.71014895274</v>
      </c>
      <c r="M992">
        <f t="shared" si="95"/>
        <v>0</v>
      </c>
      <c r="N992">
        <f t="shared" si="92"/>
        <v>234.09786064495378</v>
      </c>
      <c r="O992">
        <f>IF(B992&lt;&gt;B991, Dashboard!$L$6,0)</f>
        <v>0</v>
      </c>
      <c r="P992">
        <f t="shared" si="93"/>
        <v>227.58996388587013</v>
      </c>
      <c r="Q992">
        <f>IF(B992&lt;&gt;B991,IF(F992&lt;=AVERAGE(F970:F991),Dashboard!$N$6-Dashboard!$G$7,Dashboard!$N$6+Dashboard!$G$7),0)</f>
        <v>0</v>
      </c>
      <c r="R992">
        <f t="shared" si="94"/>
        <v>226.88123596562878</v>
      </c>
    </row>
    <row r="993" spans="1:18" x14ac:dyDescent="0.3">
      <c r="A993" s="1">
        <v>45605</v>
      </c>
      <c r="B993">
        <v>9</v>
      </c>
      <c r="C993" s="19">
        <v>11</v>
      </c>
      <c r="D993" s="20">
        <v>2024</v>
      </c>
      <c r="E993" s="21">
        <f t="shared" si="90"/>
        <v>45546</v>
      </c>
      <c r="F993" s="20">
        <v>509.46</v>
      </c>
      <c r="G993" s="20">
        <v>4945832</v>
      </c>
      <c r="H993" s="20">
        <v>504.31</v>
      </c>
      <c r="I993" s="20">
        <v>510.44</v>
      </c>
      <c r="J993" s="22">
        <v>496.25</v>
      </c>
      <c r="K993" s="2">
        <f t="shared" si="91"/>
        <v>119263.49608417814</v>
      </c>
      <c r="L993" s="2">
        <f>IF(B993&lt;&gt;B992,L992*(1+Dashboard!$G$5)+Dashboard!$G$6, L992)</f>
        <v>118818.71014895274</v>
      </c>
      <c r="M993">
        <f t="shared" si="95"/>
        <v>0</v>
      </c>
      <c r="N993">
        <f t="shared" si="92"/>
        <v>234.09786064495378</v>
      </c>
      <c r="O993">
        <f>IF(B993&lt;&gt;B992, Dashboard!$L$6,0)</f>
        <v>0</v>
      </c>
      <c r="P993">
        <f t="shared" si="93"/>
        <v>227.58996388587013</v>
      </c>
      <c r="Q993">
        <f>IF(B993&lt;&gt;B992,IF(F993&lt;=AVERAGE(F971:F992),Dashboard!$N$6-Dashboard!$G$7,Dashboard!$N$6+Dashboard!$G$7),0)</f>
        <v>0</v>
      </c>
      <c r="R993">
        <f t="shared" si="94"/>
        <v>226.88123596562878</v>
      </c>
    </row>
    <row r="994" spans="1:18" x14ac:dyDescent="0.3">
      <c r="A994" s="1">
        <v>45635</v>
      </c>
      <c r="B994">
        <v>9</v>
      </c>
      <c r="C994" s="19">
        <v>12</v>
      </c>
      <c r="D994" s="20">
        <v>2024</v>
      </c>
      <c r="E994" s="21">
        <f t="shared" si="90"/>
        <v>45547</v>
      </c>
      <c r="F994" s="20">
        <v>513.84</v>
      </c>
      <c r="G994" s="20">
        <v>4099538</v>
      </c>
      <c r="H994" s="20">
        <v>510.09</v>
      </c>
      <c r="I994" s="20">
        <v>514.13980000000004</v>
      </c>
      <c r="J994" s="22">
        <v>508.06</v>
      </c>
      <c r="K994" s="2">
        <f t="shared" si="91"/>
        <v>120288.84471380306</v>
      </c>
      <c r="L994" s="2">
        <f>IF(B994&lt;&gt;B993,L993*(1+Dashboard!$G$5)+Dashboard!$G$6, L993)</f>
        <v>118818.71014895274</v>
      </c>
      <c r="M994">
        <f t="shared" si="95"/>
        <v>0</v>
      </c>
      <c r="N994">
        <f t="shared" si="92"/>
        <v>234.09786064495378</v>
      </c>
      <c r="O994">
        <f>IF(B994&lt;&gt;B993, Dashboard!$L$6,0)</f>
        <v>0</v>
      </c>
      <c r="P994">
        <f t="shared" si="93"/>
        <v>227.58996388587013</v>
      </c>
      <c r="Q994">
        <f>IF(B994&lt;&gt;B993,IF(F994&lt;=AVERAGE(F972:F993),Dashboard!$N$6-Dashboard!$G$7,Dashboard!$N$6+Dashboard!$G$7),0)</f>
        <v>0</v>
      </c>
      <c r="R994">
        <f t="shared" si="94"/>
        <v>226.88123596562878</v>
      </c>
    </row>
    <row r="995" spans="1:18" x14ac:dyDescent="0.3">
      <c r="A995" t="s">
        <v>160</v>
      </c>
      <c r="B995">
        <v>9</v>
      </c>
      <c r="C995" s="19">
        <v>13</v>
      </c>
      <c r="D995" s="20">
        <v>2024</v>
      </c>
      <c r="E995" s="21">
        <f t="shared" si="90"/>
        <v>45548</v>
      </c>
      <c r="F995" s="20">
        <v>516.57000000000005</v>
      </c>
      <c r="G995" s="20">
        <v>4416641</v>
      </c>
      <c r="H995" s="20">
        <v>514.42999999999995</v>
      </c>
      <c r="I995" s="20">
        <v>517.53</v>
      </c>
      <c r="J995" s="22">
        <v>514.23</v>
      </c>
      <c r="K995" s="2">
        <f t="shared" si="91"/>
        <v>120927.93187336379</v>
      </c>
      <c r="L995" s="2">
        <f>IF(B995&lt;&gt;B994,L994*(1+Dashboard!$G$5)+Dashboard!$G$6, L994)</f>
        <v>118818.71014895274</v>
      </c>
      <c r="M995">
        <f t="shared" si="95"/>
        <v>0</v>
      </c>
      <c r="N995">
        <f t="shared" si="92"/>
        <v>234.09786064495378</v>
      </c>
      <c r="O995">
        <f>IF(B995&lt;&gt;B994, Dashboard!$L$6,0)</f>
        <v>0</v>
      </c>
      <c r="P995">
        <f t="shared" si="93"/>
        <v>227.58996388587013</v>
      </c>
      <c r="Q995">
        <f>IF(B995&lt;&gt;B994,IF(F995&lt;=AVERAGE(F973:F994),Dashboard!$N$6-Dashboard!$G$7,Dashboard!$N$6+Dashboard!$G$7),0)</f>
        <v>0</v>
      </c>
      <c r="R995">
        <f t="shared" si="94"/>
        <v>226.88123596562878</v>
      </c>
    </row>
    <row r="996" spans="1:18" x14ac:dyDescent="0.3">
      <c r="A996" t="s">
        <v>159</v>
      </c>
      <c r="B996">
        <v>9</v>
      </c>
      <c r="C996" s="19">
        <v>16</v>
      </c>
      <c r="D996" s="20">
        <v>2024</v>
      </c>
      <c r="E996" s="21">
        <f t="shared" si="90"/>
        <v>45551</v>
      </c>
      <c r="F996" s="20">
        <v>517.35</v>
      </c>
      <c r="G996" s="20">
        <v>4256253</v>
      </c>
      <c r="H996" s="20">
        <v>516.34</v>
      </c>
      <c r="I996" s="20">
        <v>517.59</v>
      </c>
      <c r="J996" s="22">
        <v>514.65</v>
      </c>
      <c r="K996" s="2">
        <f t="shared" si="91"/>
        <v>121110.52820466684</v>
      </c>
      <c r="L996" s="2">
        <f>IF(B996&lt;&gt;B995,L995*(1+Dashboard!$G$5)+Dashboard!$G$6, L995)</f>
        <v>118818.71014895274</v>
      </c>
      <c r="M996">
        <f t="shared" si="95"/>
        <v>0</v>
      </c>
      <c r="N996">
        <f t="shared" si="92"/>
        <v>234.09786064495378</v>
      </c>
      <c r="O996">
        <f>IF(B996&lt;&gt;B995, Dashboard!$L$6,0)</f>
        <v>0</v>
      </c>
      <c r="P996">
        <f t="shared" si="93"/>
        <v>227.58996388587013</v>
      </c>
      <c r="Q996">
        <f>IF(B996&lt;&gt;B995,IF(F996&lt;=AVERAGE(F974:F995),Dashboard!$N$6-Dashboard!$G$7,Dashboard!$N$6+Dashboard!$G$7),0)</f>
        <v>0</v>
      </c>
      <c r="R996">
        <f t="shared" si="94"/>
        <v>226.88123596562878</v>
      </c>
    </row>
    <row r="997" spans="1:18" x14ac:dyDescent="0.3">
      <c r="A997" t="s">
        <v>158</v>
      </c>
      <c r="B997">
        <v>9</v>
      </c>
      <c r="C997" s="19">
        <v>17</v>
      </c>
      <c r="D997" s="20">
        <v>2024</v>
      </c>
      <c r="E997" s="21">
        <f t="shared" si="90"/>
        <v>45552</v>
      </c>
      <c r="F997" s="20">
        <v>517.59</v>
      </c>
      <c r="G997" s="20">
        <v>8149957</v>
      </c>
      <c r="H997" s="20">
        <v>519.44000000000005</v>
      </c>
      <c r="I997" s="20">
        <v>520.73500000000001</v>
      </c>
      <c r="J997" s="22">
        <v>515.5</v>
      </c>
      <c r="K997" s="2">
        <f t="shared" si="91"/>
        <v>121166.71169122163</v>
      </c>
      <c r="L997" s="2">
        <f>IF(B997&lt;&gt;B996,L996*(1+Dashboard!$G$5)+Dashboard!$G$6, L996)</f>
        <v>118818.71014895274</v>
      </c>
      <c r="M997">
        <f t="shared" si="95"/>
        <v>0</v>
      </c>
      <c r="N997">
        <f t="shared" si="92"/>
        <v>234.09786064495378</v>
      </c>
      <c r="O997">
        <f>IF(B997&lt;&gt;B996, Dashboard!$L$6,0)</f>
        <v>0</v>
      </c>
      <c r="P997">
        <f t="shared" si="93"/>
        <v>227.58996388587013</v>
      </c>
      <c r="Q997">
        <f>IF(B997&lt;&gt;B996,IF(F997&lt;=AVERAGE(F975:F996),Dashboard!$N$6-Dashboard!$G$7,Dashboard!$N$6+Dashboard!$G$7),0)</f>
        <v>0</v>
      </c>
      <c r="R997">
        <f t="shared" si="94"/>
        <v>226.88123596562878</v>
      </c>
    </row>
    <row r="998" spans="1:18" x14ac:dyDescent="0.3">
      <c r="A998" t="s">
        <v>157</v>
      </c>
      <c r="B998">
        <v>9</v>
      </c>
      <c r="C998" s="19">
        <v>18</v>
      </c>
      <c r="D998" s="20">
        <v>2024</v>
      </c>
      <c r="E998" s="21">
        <f t="shared" si="90"/>
        <v>45553</v>
      </c>
      <c r="F998" s="20">
        <v>515.91</v>
      </c>
      <c r="G998" s="20">
        <v>6921278</v>
      </c>
      <c r="H998" s="20">
        <v>518.17999999999995</v>
      </c>
      <c r="I998" s="20">
        <v>522.73</v>
      </c>
      <c r="J998" s="22">
        <v>515.47</v>
      </c>
      <c r="K998" s="2">
        <f t="shared" si="91"/>
        <v>120773.4272853381</v>
      </c>
      <c r="L998" s="2">
        <f>IF(B998&lt;&gt;B997,L997*(1+Dashboard!$G$5)+Dashboard!$G$6, L997)</f>
        <v>118818.71014895274</v>
      </c>
      <c r="M998">
        <f t="shared" si="95"/>
        <v>0</v>
      </c>
      <c r="N998">
        <f t="shared" si="92"/>
        <v>234.09786064495378</v>
      </c>
      <c r="O998">
        <f>IF(B998&lt;&gt;B997, Dashboard!$L$6,0)</f>
        <v>0</v>
      </c>
      <c r="P998">
        <f t="shared" si="93"/>
        <v>227.58996388587013</v>
      </c>
      <c r="Q998">
        <f>IF(B998&lt;&gt;B997,IF(F998&lt;=AVERAGE(F976:F997),Dashboard!$N$6-Dashboard!$G$7,Dashboard!$N$6+Dashboard!$G$7),0)</f>
        <v>0</v>
      </c>
      <c r="R998">
        <f t="shared" si="94"/>
        <v>226.88123596562878</v>
      </c>
    </row>
    <row r="999" spans="1:18" x14ac:dyDescent="0.3">
      <c r="A999" t="s">
        <v>156</v>
      </c>
      <c r="B999">
        <v>9</v>
      </c>
      <c r="C999" s="19">
        <v>19</v>
      </c>
      <c r="D999" s="20">
        <v>2024</v>
      </c>
      <c r="E999" s="21">
        <f t="shared" si="90"/>
        <v>45554</v>
      </c>
      <c r="F999" s="20">
        <v>524.91</v>
      </c>
      <c r="G999" s="20">
        <v>5558371</v>
      </c>
      <c r="H999" s="20">
        <v>524.88</v>
      </c>
      <c r="I999" s="20">
        <v>526.6</v>
      </c>
      <c r="J999" s="22">
        <v>522.19000000000005</v>
      </c>
      <c r="K999" s="2">
        <f t="shared" si="91"/>
        <v>122880.30803114269</v>
      </c>
      <c r="L999" s="2">
        <f>IF(B999&lt;&gt;B998,L998*(1+Dashboard!$G$5)+Dashboard!$G$6, L998)</f>
        <v>118818.71014895274</v>
      </c>
      <c r="M999">
        <f t="shared" si="95"/>
        <v>0</v>
      </c>
      <c r="N999">
        <f t="shared" si="92"/>
        <v>234.09786064495378</v>
      </c>
      <c r="O999">
        <f>IF(B999&lt;&gt;B998, Dashboard!$L$6,0)</f>
        <v>0</v>
      </c>
      <c r="P999">
        <f t="shared" si="93"/>
        <v>227.58996388587013</v>
      </c>
      <c r="Q999">
        <f>IF(B999&lt;&gt;B998,IF(F999&lt;=AVERAGE(F977:F998),Dashboard!$N$6-Dashboard!$G$7,Dashboard!$N$6+Dashboard!$G$7),0)</f>
        <v>0</v>
      </c>
      <c r="R999">
        <f t="shared" si="94"/>
        <v>226.88123596562878</v>
      </c>
    </row>
    <row r="1000" spans="1:18" x14ac:dyDescent="0.3">
      <c r="A1000" t="s">
        <v>155</v>
      </c>
      <c r="B1000">
        <v>9</v>
      </c>
      <c r="C1000" s="19">
        <v>20</v>
      </c>
      <c r="D1000" s="20">
        <v>2024</v>
      </c>
      <c r="E1000" s="21">
        <f t="shared" si="90"/>
        <v>45555</v>
      </c>
      <c r="F1000" s="20">
        <v>523.88</v>
      </c>
      <c r="G1000" s="20">
        <v>5612678</v>
      </c>
      <c r="H1000" s="20">
        <v>523.51</v>
      </c>
      <c r="I1000" s="20">
        <v>524.91999999999996</v>
      </c>
      <c r="J1000" s="22">
        <v>521.12</v>
      </c>
      <c r="K1000" s="2">
        <f t="shared" si="91"/>
        <v>122639.18723467839</v>
      </c>
      <c r="L1000" s="2">
        <f>IF(B1000&lt;&gt;B999,L999*(1+Dashboard!$G$5)+Dashboard!$G$6, L999)</f>
        <v>118818.71014895274</v>
      </c>
      <c r="M1000">
        <f t="shared" si="95"/>
        <v>0</v>
      </c>
      <c r="N1000">
        <f t="shared" si="92"/>
        <v>234.09786064495378</v>
      </c>
      <c r="O1000">
        <f>IF(B1000&lt;&gt;B999, Dashboard!$L$6,0)</f>
        <v>0</v>
      </c>
      <c r="P1000">
        <f t="shared" si="93"/>
        <v>227.58996388587013</v>
      </c>
      <c r="Q1000">
        <f>IF(B1000&lt;&gt;B999,IF(F1000&lt;=AVERAGE(F978:F999),Dashboard!$N$6-Dashboard!$G$7,Dashboard!$N$6+Dashboard!$G$7),0)</f>
        <v>0</v>
      </c>
      <c r="R1000">
        <f t="shared" si="94"/>
        <v>226.88123596562878</v>
      </c>
    </row>
    <row r="1001" spans="1:18" x14ac:dyDescent="0.3">
      <c r="A1001" t="s">
        <v>154</v>
      </c>
      <c r="B1001">
        <v>9</v>
      </c>
      <c r="C1001" s="19">
        <v>23</v>
      </c>
      <c r="D1001" s="20">
        <v>2024</v>
      </c>
      <c r="E1001" s="21">
        <f t="shared" si="90"/>
        <v>45558</v>
      </c>
      <c r="F1001" s="20">
        <v>525.16999999999996</v>
      </c>
      <c r="G1001" s="20">
        <v>29289160</v>
      </c>
      <c r="H1001" s="20">
        <v>525</v>
      </c>
      <c r="I1001" s="20">
        <v>525.83000000000004</v>
      </c>
      <c r="J1001" s="22">
        <v>523.83000000000004</v>
      </c>
      <c r="K1001" s="2">
        <f t="shared" si="91"/>
        <v>122941.17347491036</v>
      </c>
      <c r="L1001" s="2">
        <f>IF(B1001&lt;&gt;B1000,L1000*(1+Dashboard!$G$5)+Dashboard!$G$6, L1000)</f>
        <v>118818.71014895274</v>
      </c>
      <c r="M1001">
        <f t="shared" si="95"/>
        <v>0</v>
      </c>
      <c r="N1001">
        <f t="shared" si="92"/>
        <v>234.09786064495378</v>
      </c>
      <c r="O1001">
        <f>IF(B1001&lt;&gt;B1000, Dashboard!$L$6,0)</f>
        <v>0</v>
      </c>
      <c r="P1001">
        <f t="shared" si="93"/>
        <v>227.58996388587013</v>
      </c>
      <c r="Q1001">
        <f>IF(B1001&lt;&gt;B1000,IF(F1001&lt;=AVERAGE(F979:F1000),Dashboard!$N$6-Dashboard!$G$7,Dashboard!$N$6+Dashboard!$G$7),0)</f>
        <v>0</v>
      </c>
      <c r="R1001">
        <f t="shared" si="94"/>
        <v>226.88123596562878</v>
      </c>
    </row>
    <row r="1002" spans="1:18" x14ac:dyDescent="0.3">
      <c r="A1002" t="s">
        <v>153</v>
      </c>
      <c r="B1002">
        <v>9</v>
      </c>
      <c r="C1002" s="19">
        <v>24</v>
      </c>
      <c r="D1002" s="20">
        <v>2024</v>
      </c>
      <c r="E1002" s="21">
        <f t="shared" si="90"/>
        <v>45559</v>
      </c>
      <c r="F1002" s="20">
        <v>526.67999999999995</v>
      </c>
      <c r="G1002" s="20">
        <v>4650608</v>
      </c>
      <c r="H1002" s="20">
        <v>526.01</v>
      </c>
      <c r="I1002" s="20">
        <v>526.84</v>
      </c>
      <c r="J1002" s="22">
        <v>523.38</v>
      </c>
      <c r="K1002" s="2">
        <f t="shared" si="91"/>
        <v>123294.66124448425</v>
      </c>
      <c r="L1002" s="2">
        <f>IF(B1002&lt;&gt;B1001,L1001*(1+Dashboard!$G$5)+Dashboard!$G$6, L1001)</f>
        <v>118818.71014895274</v>
      </c>
      <c r="M1002">
        <f t="shared" si="95"/>
        <v>0</v>
      </c>
      <c r="N1002">
        <f t="shared" si="92"/>
        <v>234.09786064495378</v>
      </c>
      <c r="O1002">
        <f>IF(B1002&lt;&gt;B1001, Dashboard!$L$6,0)</f>
        <v>0</v>
      </c>
      <c r="P1002">
        <f t="shared" si="93"/>
        <v>227.58996388587013</v>
      </c>
      <c r="Q1002">
        <f>IF(B1002&lt;&gt;B1001,IF(F1002&lt;=AVERAGE(F980:F1001),Dashboard!$N$6-Dashboard!$G$7,Dashboard!$N$6+Dashboard!$G$7),0)</f>
        <v>0</v>
      </c>
      <c r="R1002">
        <f t="shared" si="94"/>
        <v>226.88123596562878</v>
      </c>
    </row>
    <row r="1003" spans="1:18" x14ac:dyDescent="0.3">
      <c r="A1003" t="s">
        <v>152</v>
      </c>
      <c r="B1003">
        <v>9</v>
      </c>
      <c r="C1003" s="19">
        <v>25</v>
      </c>
      <c r="D1003" s="20">
        <v>2024</v>
      </c>
      <c r="E1003" s="21">
        <f t="shared" si="90"/>
        <v>45560</v>
      </c>
      <c r="F1003" s="20">
        <v>525.61</v>
      </c>
      <c r="G1003" s="20">
        <v>35418050</v>
      </c>
      <c r="H1003" s="20">
        <v>526.61</v>
      </c>
      <c r="I1003" s="20">
        <v>527.29999999999995</v>
      </c>
      <c r="J1003" s="22">
        <v>524.65</v>
      </c>
      <c r="K1003" s="2">
        <f t="shared" si="91"/>
        <v>123044.17653359416</v>
      </c>
      <c r="L1003" s="2">
        <f>IF(B1003&lt;&gt;B1002,L1002*(1+Dashboard!$G$5)+Dashboard!$G$6, L1002)</f>
        <v>118818.71014895274</v>
      </c>
      <c r="M1003">
        <f t="shared" si="95"/>
        <v>0</v>
      </c>
      <c r="N1003">
        <f t="shared" si="92"/>
        <v>234.09786064495378</v>
      </c>
      <c r="O1003">
        <f>IF(B1003&lt;&gt;B1002, Dashboard!$L$6,0)</f>
        <v>0</v>
      </c>
      <c r="P1003">
        <f t="shared" si="93"/>
        <v>227.58996388587013</v>
      </c>
      <c r="Q1003">
        <f>IF(B1003&lt;&gt;B1002,IF(F1003&lt;=AVERAGE(F981:F1002),Dashboard!$N$6-Dashboard!$G$7,Dashboard!$N$6+Dashboard!$G$7),0)</f>
        <v>0</v>
      </c>
      <c r="R1003">
        <f t="shared" si="94"/>
        <v>226.88123596562878</v>
      </c>
    </row>
    <row r="1004" spans="1:18" x14ac:dyDescent="0.3">
      <c r="A1004" t="s">
        <v>151</v>
      </c>
      <c r="B1004">
        <v>9</v>
      </c>
      <c r="C1004" s="19">
        <v>26</v>
      </c>
      <c r="D1004" s="20">
        <v>2024</v>
      </c>
      <c r="E1004" s="21">
        <f t="shared" si="90"/>
        <v>45561</v>
      </c>
      <c r="F1004" s="20">
        <v>527.70000000000005</v>
      </c>
      <c r="G1004" s="20">
        <v>5273915</v>
      </c>
      <c r="H1004" s="20">
        <v>529.66999999999996</v>
      </c>
      <c r="I1004" s="20">
        <v>529.91999999999996</v>
      </c>
      <c r="J1004" s="22">
        <v>525.49</v>
      </c>
      <c r="K1004" s="2">
        <f t="shared" si="91"/>
        <v>123533.44106234213</v>
      </c>
      <c r="L1004" s="2">
        <f>IF(B1004&lt;&gt;B1003,L1003*(1+Dashboard!$G$5)+Dashboard!$G$6, L1003)</f>
        <v>118818.71014895274</v>
      </c>
      <c r="M1004">
        <f t="shared" si="95"/>
        <v>0</v>
      </c>
      <c r="N1004">
        <f t="shared" si="92"/>
        <v>234.09786064495378</v>
      </c>
      <c r="O1004">
        <f>IF(B1004&lt;&gt;B1003, Dashboard!$L$6,0)</f>
        <v>0</v>
      </c>
      <c r="P1004">
        <f t="shared" si="93"/>
        <v>227.58996388587013</v>
      </c>
      <c r="Q1004">
        <f>IF(B1004&lt;&gt;B1003,IF(F1004&lt;=AVERAGE(F982:F1003),Dashboard!$N$6-Dashboard!$G$7,Dashboard!$N$6+Dashboard!$G$7),0)</f>
        <v>0</v>
      </c>
      <c r="R1004">
        <f t="shared" si="94"/>
        <v>226.88123596562878</v>
      </c>
    </row>
    <row r="1005" spans="1:18" x14ac:dyDescent="0.3">
      <c r="A1005" t="s">
        <v>150</v>
      </c>
      <c r="B1005">
        <v>9</v>
      </c>
      <c r="C1005" s="19">
        <v>27</v>
      </c>
      <c r="D1005" s="20">
        <v>2024</v>
      </c>
      <c r="E1005" s="21">
        <f t="shared" si="90"/>
        <v>45562</v>
      </c>
      <c r="F1005" s="20">
        <v>525.38</v>
      </c>
      <c r="G1005" s="20">
        <v>5598594</v>
      </c>
      <c r="H1005" s="20">
        <v>527.09</v>
      </c>
      <c r="I1005" s="20">
        <v>527.77</v>
      </c>
      <c r="J1005" s="22">
        <v>524.32000000000005</v>
      </c>
      <c r="K1005" s="2">
        <f t="shared" si="91"/>
        <v>122990.33402564582</v>
      </c>
      <c r="L1005" s="2">
        <f>IF(B1005&lt;&gt;B1004,L1004*(1+Dashboard!$G$5)+Dashboard!$G$6, L1004)</f>
        <v>118818.71014895274</v>
      </c>
      <c r="M1005">
        <f t="shared" si="95"/>
        <v>0</v>
      </c>
      <c r="N1005">
        <f t="shared" si="92"/>
        <v>234.09786064495378</v>
      </c>
      <c r="O1005">
        <f>IF(B1005&lt;&gt;B1004, Dashboard!$L$6,0)</f>
        <v>0</v>
      </c>
      <c r="P1005">
        <f t="shared" si="93"/>
        <v>227.58996388587013</v>
      </c>
      <c r="Q1005">
        <f>IF(B1005&lt;&gt;B1004,IF(F1005&lt;=AVERAGE(F983:F1004),Dashboard!$N$6-Dashboard!$G$7,Dashboard!$N$6+Dashboard!$G$7),0)</f>
        <v>0</v>
      </c>
      <c r="R1005">
        <f t="shared" si="94"/>
        <v>226.88123596562878</v>
      </c>
    </row>
    <row r="1006" spans="1:18" x14ac:dyDescent="0.3">
      <c r="A1006" t="s">
        <v>149</v>
      </c>
      <c r="B1006">
        <v>9</v>
      </c>
      <c r="C1006" s="19">
        <v>30</v>
      </c>
      <c r="D1006" s="20">
        <v>2024</v>
      </c>
      <c r="E1006" s="21">
        <f t="shared" si="90"/>
        <v>45565</v>
      </c>
      <c r="F1006" s="20">
        <v>527.66999999999996</v>
      </c>
      <c r="G1006" s="20">
        <v>8017349</v>
      </c>
      <c r="H1006" s="20">
        <v>524.32000000000005</v>
      </c>
      <c r="I1006" s="20">
        <v>527.95500000000004</v>
      </c>
      <c r="J1006" s="22">
        <v>522.19000000000005</v>
      </c>
      <c r="K1006" s="2">
        <f t="shared" si="91"/>
        <v>123526.41812652275</v>
      </c>
      <c r="L1006" s="2">
        <f>IF(B1006&lt;&gt;B1005,L1005*(1+Dashboard!$G$5)+Dashboard!$G$6, L1005)</f>
        <v>118818.71014895274</v>
      </c>
      <c r="M1006">
        <f t="shared" si="95"/>
        <v>0</v>
      </c>
      <c r="N1006">
        <f t="shared" si="92"/>
        <v>234.09786064495378</v>
      </c>
      <c r="O1006">
        <f>IF(B1006&lt;&gt;B1005, Dashboard!$L$6,0)</f>
        <v>0</v>
      </c>
      <c r="P1006">
        <f t="shared" si="93"/>
        <v>227.58996388587013</v>
      </c>
      <c r="Q1006">
        <f>IF(B1006&lt;&gt;B1005,IF(F1006&lt;=AVERAGE(F984:F1005),Dashboard!$N$6-Dashboard!$G$7,Dashboard!$N$6+Dashboard!$G$7),0)</f>
        <v>0</v>
      </c>
      <c r="R1006">
        <f t="shared" si="94"/>
        <v>226.88123596562878</v>
      </c>
    </row>
    <row r="1007" spans="1:18" x14ac:dyDescent="0.3">
      <c r="A1007" s="1">
        <v>45301</v>
      </c>
      <c r="B1007">
        <v>10</v>
      </c>
      <c r="C1007" s="19">
        <v>1</v>
      </c>
      <c r="D1007" s="20">
        <v>2024</v>
      </c>
      <c r="E1007" s="21">
        <f t="shared" si="90"/>
        <v>45566</v>
      </c>
      <c r="F1007" s="20">
        <v>522.74</v>
      </c>
      <c r="G1007" s="20">
        <v>9198657</v>
      </c>
      <c r="H1007" s="20">
        <v>527.04</v>
      </c>
      <c r="I1007" s="20">
        <v>527.1</v>
      </c>
      <c r="J1007" s="22">
        <v>520.23</v>
      </c>
      <c r="K1007" s="2">
        <f t="shared" si="91"/>
        <v>122372.31567354314</v>
      </c>
      <c r="L1007" s="2">
        <f>IF(B1007&lt;&gt;B1006,L1006*(1+Dashboard!$G$5)+Dashboard!$G$6, L1006)</f>
        <v>121864.31479826351</v>
      </c>
      <c r="M1007">
        <f t="shared" si="95"/>
        <v>0</v>
      </c>
      <c r="N1007">
        <f t="shared" si="92"/>
        <v>234.09786064495378</v>
      </c>
      <c r="O1007">
        <f>IF(B1007&lt;&gt;B1006, Dashboard!$L$6,0)</f>
        <v>1859.7282542371197</v>
      </c>
      <c r="P1007">
        <f t="shared" si="93"/>
        <v>231.14761827282564</v>
      </c>
      <c r="Q1007">
        <f>IF(B1007&lt;&gt;B1006,IF(F1007&lt;=AVERAGE(F985:F1006),Dashboard!$N$6-Dashboard!$G$7,Dashboard!$N$6+Dashboard!$G$7),0)</f>
        <v>2232.609610169322</v>
      </c>
      <c r="R1007">
        <f t="shared" si="94"/>
        <v>231.11736531097131</v>
      </c>
    </row>
    <row r="1008" spans="1:18" x14ac:dyDescent="0.3">
      <c r="A1008" s="1">
        <v>45332</v>
      </c>
      <c r="B1008">
        <v>10</v>
      </c>
      <c r="C1008" s="19">
        <v>2</v>
      </c>
      <c r="D1008" s="20">
        <v>2024</v>
      </c>
      <c r="E1008" s="21">
        <f t="shared" si="90"/>
        <v>45567</v>
      </c>
      <c r="F1008" s="20">
        <v>522.83000000000004</v>
      </c>
      <c r="G1008" s="20">
        <v>3270583</v>
      </c>
      <c r="H1008" s="20">
        <v>521.85</v>
      </c>
      <c r="I1008" s="20">
        <v>523.85</v>
      </c>
      <c r="J1008" s="22">
        <v>519.58010000000002</v>
      </c>
      <c r="K1008" s="2">
        <f t="shared" si="91"/>
        <v>122393.38448100119</v>
      </c>
      <c r="L1008" s="2">
        <f>IF(B1008&lt;&gt;B1007,L1007*(1+Dashboard!$G$5)+Dashboard!$G$6, L1007)</f>
        <v>121864.31479826351</v>
      </c>
      <c r="M1008">
        <f t="shared" si="95"/>
        <v>0</v>
      </c>
      <c r="N1008">
        <f t="shared" si="92"/>
        <v>234.09786064495378</v>
      </c>
      <c r="O1008">
        <f>IF(B1008&lt;&gt;B1007, Dashboard!$L$6,0)</f>
        <v>0</v>
      </c>
      <c r="P1008">
        <f t="shared" si="93"/>
        <v>231.14761827282564</v>
      </c>
      <c r="Q1008">
        <f>IF(B1008&lt;&gt;B1007,IF(F1008&lt;=AVERAGE(F986:F1007),Dashboard!$N$6-Dashboard!$G$7,Dashboard!$N$6+Dashboard!$G$7),0)</f>
        <v>0</v>
      </c>
      <c r="R1008">
        <f t="shared" si="94"/>
        <v>231.11736531097131</v>
      </c>
    </row>
    <row r="1009" spans="1:18" x14ac:dyDescent="0.3">
      <c r="A1009" s="1">
        <v>45361</v>
      </c>
      <c r="B1009">
        <v>10</v>
      </c>
      <c r="C1009" s="19">
        <v>3</v>
      </c>
      <c r="D1009" s="20">
        <v>2024</v>
      </c>
      <c r="E1009" s="21">
        <f t="shared" si="90"/>
        <v>45568</v>
      </c>
      <c r="F1009" s="20">
        <v>521.84</v>
      </c>
      <c r="G1009" s="20">
        <v>4007952</v>
      </c>
      <c r="H1009" s="20">
        <v>521.55999999999995</v>
      </c>
      <c r="I1009" s="20">
        <v>523.755</v>
      </c>
      <c r="J1009" s="22">
        <v>519.82000000000005</v>
      </c>
      <c r="K1009" s="2">
        <f t="shared" si="91"/>
        <v>122161.62759896269</v>
      </c>
      <c r="L1009" s="2">
        <f>IF(B1009&lt;&gt;B1008,L1008*(1+Dashboard!$G$5)+Dashboard!$G$6, L1008)</f>
        <v>121864.31479826351</v>
      </c>
      <c r="M1009">
        <f t="shared" si="95"/>
        <v>0</v>
      </c>
      <c r="N1009">
        <f t="shared" si="92"/>
        <v>234.09786064495378</v>
      </c>
      <c r="O1009">
        <f>IF(B1009&lt;&gt;B1008, Dashboard!$L$6,0)</f>
        <v>0</v>
      </c>
      <c r="P1009">
        <f t="shared" si="93"/>
        <v>231.14761827282564</v>
      </c>
      <c r="Q1009">
        <f>IF(B1009&lt;&gt;B1008,IF(F1009&lt;=AVERAGE(F987:F1008),Dashboard!$N$6-Dashboard!$G$7,Dashboard!$N$6+Dashboard!$G$7),0)</f>
        <v>0</v>
      </c>
      <c r="R1009">
        <f t="shared" si="94"/>
        <v>231.11736531097131</v>
      </c>
    </row>
    <row r="1010" spans="1:18" x14ac:dyDescent="0.3">
      <c r="A1010" s="1">
        <v>45392</v>
      </c>
      <c r="B1010">
        <v>10</v>
      </c>
      <c r="C1010" s="19">
        <v>4</v>
      </c>
      <c r="D1010" s="20">
        <v>2024</v>
      </c>
      <c r="E1010" s="21">
        <f t="shared" si="90"/>
        <v>45569</v>
      </c>
      <c r="F1010" s="20">
        <v>526.65</v>
      </c>
      <c r="G1010" s="20">
        <v>5358175</v>
      </c>
      <c r="H1010" s="20">
        <v>526.16</v>
      </c>
      <c r="I1010" s="20">
        <v>527.02</v>
      </c>
      <c r="J1010" s="22">
        <v>522.29999999999995</v>
      </c>
      <c r="K1010" s="2">
        <f t="shared" si="91"/>
        <v>123287.6383086649</v>
      </c>
      <c r="L1010" s="2">
        <f>IF(B1010&lt;&gt;B1009,L1009*(1+Dashboard!$G$5)+Dashboard!$G$6, L1009)</f>
        <v>121864.31479826351</v>
      </c>
      <c r="M1010">
        <f t="shared" si="95"/>
        <v>0</v>
      </c>
      <c r="N1010">
        <f t="shared" si="92"/>
        <v>234.09786064495378</v>
      </c>
      <c r="O1010">
        <f>IF(B1010&lt;&gt;B1009, Dashboard!$L$6,0)</f>
        <v>0</v>
      </c>
      <c r="P1010">
        <f t="shared" si="93"/>
        <v>231.14761827282564</v>
      </c>
      <c r="Q1010">
        <f>IF(B1010&lt;&gt;B1009,IF(F1010&lt;=AVERAGE(F988:F1009),Dashboard!$N$6-Dashboard!$G$7,Dashboard!$N$6+Dashboard!$G$7),0)</f>
        <v>0</v>
      </c>
      <c r="R1010">
        <f t="shared" si="94"/>
        <v>231.11736531097131</v>
      </c>
    </row>
    <row r="1011" spans="1:18" x14ac:dyDescent="0.3">
      <c r="A1011" s="1">
        <v>45483</v>
      </c>
      <c r="B1011">
        <v>10</v>
      </c>
      <c r="C1011" s="19">
        <v>7</v>
      </c>
      <c r="D1011" s="20">
        <v>2024</v>
      </c>
      <c r="E1011" s="21">
        <f t="shared" si="90"/>
        <v>45572</v>
      </c>
      <c r="F1011" s="20">
        <v>521.91</v>
      </c>
      <c r="G1011" s="20">
        <v>3970505</v>
      </c>
      <c r="H1011" s="20">
        <v>525.14</v>
      </c>
      <c r="I1011" s="20">
        <v>525.7201</v>
      </c>
      <c r="J1011" s="22">
        <v>520.80999999999995</v>
      </c>
      <c r="K1011" s="2">
        <f t="shared" si="91"/>
        <v>122178.01444920783</v>
      </c>
      <c r="L1011" s="2">
        <f>IF(B1011&lt;&gt;B1010,L1010*(1+Dashboard!$G$5)+Dashboard!$G$6, L1010)</f>
        <v>121864.31479826351</v>
      </c>
      <c r="M1011">
        <f t="shared" si="95"/>
        <v>0</v>
      </c>
      <c r="N1011">
        <f t="shared" si="92"/>
        <v>234.09786064495378</v>
      </c>
      <c r="O1011">
        <f>IF(B1011&lt;&gt;B1010, Dashboard!$L$6,0)</f>
        <v>0</v>
      </c>
      <c r="P1011">
        <f t="shared" si="93"/>
        <v>231.14761827282564</v>
      </c>
      <c r="Q1011">
        <f>IF(B1011&lt;&gt;B1010,IF(F1011&lt;=AVERAGE(F989:F1010),Dashboard!$N$6-Dashboard!$G$7,Dashboard!$N$6+Dashboard!$G$7),0)</f>
        <v>0</v>
      </c>
      <c r="R1011">
        <f t="shared" si="94"/>
        <v>231.11736531097131</v>
      </c>
    </row>
    <row r="1012" spans="1:18" x14ac:dyDescent="0.3">
      <c r="A1012" s="1">
        <v>45514</v>
      </c>
      <c r="B1012">
        <v>10</v>
      </c>
      <c r="C1012" s="19">
        <v>8</v>
      </c>
      <c r="D1012" s="20">
        <v>2024</v>
      </c>
      <c r="E1012" s="21">
        <f t="shared" si="90"/>
        <v>45573</v>
      </c>
      <c r="F1012" s="20">
        <v>526.85</v>
      </c>
      <c r="G1012" s="20">
        <v>2626667</v>
      </c>
      <c r="H1012" s="20">
        <v>524.32000000000005</v>
      </c>
      <c r="I1012" s="20">
        <v>527.38</v>
      </c>
      <c r="J1012" s="22">
        <v>523.5</v>
      </c>
      <c r="K1012" s="2">
        <f t="shared" si="91"/>
        <v>123334.45788079391</v>
      </c>
      <c r="L1012" s="2">
        <f>IF(B1012&lt;&gt;B1011,L1011*(1+Dashboard!$G$5)+Dashboard!$G$6, L1011)</f>
        <v>121864.31479826351</v>
      </c>
      <c r="M1012">
        <f t="shared" si="95"/>
        <v>0</v>
      </c>
      <c r="N1012">
        <f t="shared" si="92"/>
        <v>234.09786064495378</v>
      </c>
      <c r="O1012">
        <f>IF(B1012&lt;&gt;B1011, Dashboard!$L$6,0)</f>
        <v>0</v>
      </c>
      <c r="P1012">
        <f t="shared" si="93"/>
        <v>231.14761827282564</v>
      </c>
      <c r="Q1012">
        <f>IF(B1012&lt;&gt;B1011,IF(F1012&lt;=AVERAGE(F990:F1011),Dashboard!$N$6-Dashboard!$G$7,Dashboard!$N$6+Dashboard!$G$7),0)</f>
        <v>0</v>
      </c>
      <c r="R1012">
        <f t="shared" si="94"/>
        <v>231.11736531097131</v>
      </c>
    </row>
    <row r="1013" spans="1:18" x14ac:dyDescent="0.3">
      <c r="A1013" s="1">
        <v>45545</v>
      </c>
      <c r="B1013">
        <v>10</v>
      </c>
      <c r="C1013" s="19">
        <v>9</v>
      </c>
      <c r="D1013" s="20">
        <v>2024</v>
      </c>
      <c r="E1013" s="21">
        <f t="shared" si="90"/>
        <v>45574</v>
      </c>
      <c r="F1013" s="20">
        <v>530.45000000000005</v>
      </c>
      <c r="G1013" s="20">
        <v>2941785</v>
      </c>
      <c r="H1013" s="20">
        <v>526.87</v>
      </c>
      <c r="I1013" s="20">
        <v>531.03</v>
      </c>
      <c r="J1013" s="22">
        <v>526.30999999999995</v>
      </c>
      <c r="K1013" s="2">
        <f t="shared" si="91"/>
        <v>124177.21017911575</v>
      </c>
      <c r="L1013" s="2">
        <f>IF(B1013&lt;&gt;B1012,L1012*(1+Dashboard!$G$5)+Dashboard!$G$6, L1012)</f>
        <v>121864.31479826351</v>
      </c>
      <c r="M1013">
        <f t="shared" si="95"/>
        <v>0</v>
      </c>
      <c r="N1013">
        <f t="shared" si="92"/>
        <v>234.09786064495378</v>
      </c>
      <c r="O1013">
        <f>IF(B1013&lt;&gt;B1012, Dashboard!$L$6,0)</f>
        <v>0</v>
      </c>
      <c r="P1013">
        <f t="shared" si="93"/>
        <v>231.14761827282564</v>
      </c>
      <c r="Q1013">
        <f>IF(B1013&lt;&gt;B1012,IF(F1013&lt;=AVERAGE(F991:F1012),Dashboard!$N$6-Dashboard!$G$7,Dashboard!$N$6+Dashboard!$G$7),0)</f>
        <v>0</v>
      </c>
      <c r="R1013">
        <f t="shared" si="94"/>
        <v>231.11736531097131</v>
      </c>
    </row>
    <row r="1014" spans="1:18" x14ac:dyDescent="0.3">
      <c r="A1014" s="1">
        <v>45575</v>
      </c>
      <c r="B1014">
        <v>10</v>
      </c>
      <c r="C1014" s="19">
        <v>10</v>
      </c>
      <c r="D1014" s="20">
        <v>2024</v>
      </c>
      <c r="E1014" s="21">
        <f t="shared" si="90"/>
        <v>45575</v>
      </c>
      <c r="F1014" s="20">
        <v>529.55999999999995</v>
      </c>
      <c r="G1014" s="20">
        <v>3637633</v>
      </c>
      <c r="H1014" s="20">
        <v>529.27</v>
      </c>
      <c r="I1014" s="20">
        <v>530.9</v>
      </c>
      <c r="J1014" s="22">
        <v>528.09</v>
      </c>
      <c r="K1014" s="2">
        <f t="shared" si="91"/>
        <v>123968.86308314171</v>
      </c>
      <c r="L1014" s="2">
        <f>IF(B1014&lt;&gt;B1013,L1013*(1+Dashboard!$G$5)+Dashboard!$G$6, L1013)</f>
        <v>121864.31479826351</v>
      </c>
      <c r="M1014">
        <f t="shared" si="95"/>
        <v>0</v>
      </c>
      <c r="N1014">
        <f t="shared" si="92"/>
        <v>234.09786064495378</v>
      </c>
      <c r="O1014">
        <f>IF(B1014&lt;&gt;B1013, Dashboard!$L$6,0)</f>
        <v>0</v>
      </c>
      <c r="P1014">
        <f t="shared" si="93"/>
        <v>231.14761827282564</v>
      </c>
      <c r="Q1014">
        <f>IF(B1014&lt;&gt;B1013,IF(F1014&lt;=AVERAGE(F992:F1013),Dashboard!$N$6-Dashboard!$G$7,Dashboard!$N$6+Dashboard!$G$7),0)</f>
        <v>0</v>
      </c>
      <c r="R1014">
        <f t="shared" si="94"/>
        <v>231.11736531097131</v>
      </c>
    </row>
    <row r="1015" spans="1:18" x14ac:dyDescent="0.3">
      <c r="A1015" s="1">
        <v>45606</v>
      </c>
      <c r="B1015">
        <v>10</v>
      </c>
      <c r="C1015" s="19">
        <v>11</v>
      </c>
      <c r="D1015" s="20">
        <v>2024</v>
      </c>
      <c r="E1015" s="21">
        <f t="shared" si="90"/>
        <v>45576</v>
      </c>
      <c r="F1015" s="20">
        <v>532.71</v>
      </c>
      <c r="G1015" s="20">
        <v>5429168</v>
      </c>
      <c r="H1015" s="20">
        <v>529.5</v>
      </c>
      <c r="I1015" s="20">
        <v>533.42999999999995</v>
      </c>
      <c r="J1015" s="22">
        <v>529.39</v>
      </c>
      <c r="K1015" s="2">
        <f t="shared" si="91"/>
        <v>124706.27134417334</v>
      </c>
      <c r="L1015" s="2">
        <f>IF(B1015&lt;&gt;B1014,L1014*(1+Dashboard!$G$5)+Dashboard!$G$6, L1014)</f>
        <v>121864.31479826351</v>
      </c>
      <c r="M1015">
        <f t="shared" si="95"/>
        <v>0</v>
      </c>
      <c r="N1015">
        <f t="shared" si="92"/>
        <v>234.09786064495378</v>
      </c>
      <c r="O1015">
        <f>IF(B1015&lt;&gt;B1014, Dashboard!$L$6,0)</f>
        <v>0</v>
      </c>
      <c r="P1015">
        <f t="shared" si="93"/>
        <v>231.14761827282564</v>
      </c>
      <c r="Q1015">
        <f>IF(B1015&lt;&gt;B1014,IF(F1015&lt;=AVERAGE(F993:F1014),Dashboard!$N$6-Dashboard!$G$7,Dashboard!$N$6+Dashboard!$G$7),0)</f>
        <v>0</v>
      </c>
      <c r="R1015">
        <f t="shared" si="94"/>
        <v>231.11736531097131</v>
      </c>
    </row>
    <row r="1016" spans="1:18" x14ac:dyDescent="0.3">
      <c r="A1016" t="s">
        <v>148</v>
      </c>
      <c r="B1016">
        <v>10</v>
      </c>
      <c r="C1016" s="19">
        <v>14</v>
      </c>
      <c r="D1016" s="20">
        <v>2024</v>
      </c>
      <c r="E1016" s="21">
        <f t="shared" si="90"/>
        <v>45579</v>
      </c>
      <c r="F1016" s="20">
        <v>537.07000000000005</v>
      </c>
      <c r="G1016" s="20">
        <v>2638929</v>
      </c>
      <c r="H1016" s="20">
        <v>534.25</v>
      </c>
      <c r="I1016" s="20">
        <v>537.98</v>
      </c>
      <c r="J1016" s="22">
        <v>533.97</v>
      </c>
      <c r="K1016" s="2">
        <f t="shared" si="91"/>
        <v>125726.93801658534</v>
      </c>
      <c r="L1016" s="2">
        <f>IF(B1016&lt;&gt;B1015,L1015*(1+Dashboard!$G$5)+Dashboard!$G$6, L1015)</f>
        <v>121864.31479826351</v>
      </c>
      <c r="M1016">
        <f t="shared" si="95"/>
        <v>0</v>
      </c>
      <c r="N1016">
        <f t="shared" si="92"/>
        <v>234.09786064495378</v>
      </c>
      <c r="O1016">
        <f>IF(B1016&lt;&gt;B1015, Dashboard!$L$6,0)</f>
        <v>0</v>
      </c>
      <c r="P1016">
        <f t="shared" si="93"/>
        <v>231.14761827282564</v>
      </c>
      <c r="Q1016">
        <f>IF(B1016&lt;&gt;B1015,IF(F1016&lt;=AVERAGE(F994:F1015),Dashboard!$N$6-Dashboard!$G$7,Dashboard!$N$6+Dashboard!$G$7),0)</f>
        <v>0</v>
      </c>
      <c r="R1016">
        <f t="shared" si="94"/>
        <v>231.11736531097131</v>
      </c>
    </row>
    <row r="1017" spans="1:18" x14ac:dyDescent="0.3">
      <c r="A1017" t="s">
        <v>147</v>
      </c>
      <c r="B1017">
        <v>10</v>
      </c>
      <c r="C1017" s="19">
        <v>15</v>
      </c>
      <c r="D1017" s="20">
        <v>2024</v>
      </c>
      <c r="E1017" s="21">
        <f t="shared" si="90"/>
        <v>45580</v>
      </c>
      <c r="F1017" s="20">
        <v>532.98</v>
      </c>
      <c r="G1017" s="20">
        <v>4811330</v>
      </c>
      <c r="H1017" s="20">
        <v>537.38</v>
      </c>
      <c r="I1017" s="20">
        <v>537.61</v>
      </c>
      <c r="J1017" s="22">
        <v>531.82000000000005</v>
      </c>
      <c r="K1017" s="2">
        <f t="shared" si="91"/>
        <v>124769.47776654747</v>
      </c>
      <c r="L1017" s="2">
        <f>IF(B1017&lt;&gt;B1016,L1016*(1+Dashboard!$G$5)+Dashboard!$G$6, L1016)</f>
        <v>121864.31479826351</v>
      </c>
      <c r="M1017">
        <f t="shared" si="95"/>
        <v>0</v>
      </c>
      <c r="N1017">
        <f t="shared" si="92"/>
        <v>234.09786064495378</v>
      </c>
      <c r="O1017">
        <f>IF(B1017&lt;&gt;B1016, Dashboard!$L$6,0)</f>
        <v>0</v>
      </c>
      <c r="P1017">
        <f t="shared" si="93"/>
        <v>231.14761827282564</v>
      </c>
      <c r="Q1017">
        <f>IF(B1017&lt;&gt;B1016,IF(F1017&lt;=AVERAGE(F995:F1016),Dashboard!$N$6-Dashboard!$G$7,Dashboard!$N$6+Dashboard!$G$7),0)</f>
        <v>0</v>
      </c>
      <c r="R1017">
        <f t="shared" si="94"/>
        <v>231.11736531097131</v>
      </c>
    </row>
    <row r="1018" spans="1:18" x14ac:dyDescent="0.3">
      <c r="A1018" t="s">
        <v>146</v>
      </c>
      <c r="B1018">
        <v>10</v>
      </c>
      <c r="C1018" s="19">
        <v>16</v>
      </c>
      <c r="D1018" s="20">
        <v>2024</v>
      </c>
      <c r="E1018" s="21">
        <f t="shared" si="90"/>
        <v>45581</v>
      </c>
      <c r="F1018" s="20">
        <v>535.22</v>
      </c>
      <c r="G1018" s="20">
        <v>3237216</v>
      </c>
      <c r="H1018" s="20">
        <v>532.92999999999995</v>
      </c>
      <c r="I1018" s="20">
        <v>535.73</v>
      </c>
      <c r="J1018" s="22">
        <v>532.21500000000003</v>
      </c>
      <c r="K1018" s="2">
        <f t="shared" si="91"/>
        <v>125293.85697439217</v>
      </c>
      <c r="L1018" s="2">
        <f>IF(B1018&lt;&gt;B1017,L1017*(1+Dashboard!$G$5)+Dashboard!$G$6, L1017)</f>
        <v>121864.31479826351</v>
      </c>
      <c r="M1018">
        <f t="shared" si="95"/>
        <v>0</v>
      </c>
      <c r="N1018">
        <f t="shared" si="92"/>
        <v>234.09786064495378</v>
      </c>
      <c r="O1018">
        <f>IF(B1018&lt;&gt;B1017, Dashboard!$L$6,0)</f>
        <v>0</v>
      </c>
      <c r="P1018">
        <f t="shared" si="93"/>
        <v>231.14761827282564</v>
      </c>
      <c r="Q1018">
        <f>IF(B1018&lt;&gt;B1017,IF(F1018&lt;=AVERAGE(F996:F1017),Dashboard!$N$6-Dashboard!$G$7,Dashboard!$N$6+Dashboard!$G$7),0)</f>
        <v>0</v>
      </c>
      <c r="R1018">
        <f t="shared" si="94"/>
        <v>231.11736531097131</v>
      </c>
    </row>
    <row r="1019" spans="1:18" x14ac:dyDescent="0.3">
      <c r="A1019" t="s">
        <v>145</v>
      </c>
      <c r="B1019">
        <v>10</v>
      </c>
      <c r="C1019" s="19">
        <v>17</v>
      </c>
      <c r="D1019" s="20">
        <v>2024</v>
      </c>
      <c r="E1019" s="21">
        <f t="shared" si="90"/>
        <v>45582</v>
      </c>
      <c r="F1019" s="20">
        <v>535.29999999999995</v>
      </c>
      <c r="G1019" s="20">
        <v>3225297</v>
      </c>
      <c r="H1019" s="20">
        <v>538.62</v>
      </c>
      <c r="I1019" s="20">
        <v>538.76</v>
      </c>
      <c r="J1019" s="22">
        <v>535.15</v>
      </c>
      <c r="K1019" s="2">
        <f t="shared" si="91"/>
        <v>125312.58480324375</v>
      </c>
      <c r="L1019" s="2">
        <f>IF(B1019&lt;&gt;B1018,L1018*(1+Dashboard!$G$5)+Dashboard!$G$6, L1018)</f>
        <v>121864.31479826351</v>
      </c>
      <c r="M1019">
        <f t="shared" si="95"/>
        <v>0</v>
      </c>
      <c r="N1019">
        <f t="shared" si="92"/>
        <v>234.09786064495378</v>
      </c>
      <c r="O1019">
        <f>IF(B1019&lt;&gt;B1018, Dashboard!$L$6,0)</f>
        <v>0</v>
      </c>
      <c r="P1019">
        <f t="shared" si="93"/>
        <v>231.14761827282564</v>
      </c>
      <c r="Q1019">
        <f>IF(B1019&lt;&gt;B1018,IF(F1019&lt;=AVERAGE(F997:F1018),Dashboard!$N$6-Dashboard!$G$7,Dashboard!$N$6+Dashboard!$G$7),0)</f>
        <v>0</v>
      </c>
      <c r="R1019">
        <f t="shared" si="94"/>
        <v>231.11736531097131</v>
      </c>
    </row>
    <row r="1020" spans="1:18" x14ac:dyDescent="0.3">
      <c r="A1020" t="s">
        <v>144</v>
      </c>
      <c r="B1020">
        <v>10</v>
      </c>
      <c r="C1020" s="19">
        <v>18</v>
      </c>
      <c r="D1020" s="20">
        <v>2024</v>
      </c>
      <c r="E1020" s="21">
        <f t="shared" si="90"/>
        <v>45583</v>
      </c>
      <c r="F1020" s="20">
        <v>537.36</v>
      </c>
      <c r="G1020" s="20">
        <v>5070412</v>
      </c>
      <c r="H1020" s="20">
        <v>536.9</v>
      </c>
      <c r="I1020" s="20">
        <v>538.1</v>
      </c>
      <c r="J1020" s="22">
        <v>535.55999999999995</v>
      </c>
      <c r="K1020" s="2">
        <f t="shared" si="91"/>
        <v>125794.82639617237</v>
      </c>
      <c r="L1020" s="2">
        <f>IF(B1020&lt;&gt;B1019,L1019*(1+Dashboard!$G$5)+Dashboard!$G$6, L1019)</f>
        <v>121864.31479826351</v>
      </c>
      <c r="M1020">
        <f t="shared" si="95"/>
        <v>0</v>
      </c>
      <c r="N1020">
        <f t="shared" si="92"/>
        <v>234.09786064495378</v>
      </c>
      <c r="O1020">
        <f>IF(B1020&lt;&gt;B1019, Dashboard!$L$6,0)</f>
        <v>0</v>
      </c>
      <c r="P1020">
        <f t="shared" si="93"/>
        <v>231.14761827282564</v>
      </c>
      <c r="Q1020">
        <f>IF(B1020&lt;&gt;B1019,IF(F1020&lt;=AVERAGE(F998:F1019),Dashboard!$N$6-Dashboard!$G$7,Dashboard!$N$6+Dashboard!$G$7),0)</f>
        <v>0</v>
      </c>
      <c r="R1020">
        <f t="shared" si="94"/>
        <v>231.11736531097131</v>
      </c>
    </row>
    <row r="1021" spans="1:18" x14ac:dyDescent="0.3">
      <c r="A1021" t="s">
        <v>143</v>
      </c>
      <c r="B1021">
        <v>10</v>
      </c>
      <c r="C1021" s="19">
        <v>21</v>
      </c>
      <c r="D1021" s="20">
        <v>2024</v>
      </c>
      <c r="E1021" s="21">
        <f t="shared" si="90"/>
        <v>45586</v>
      </c>
      <c r="F1021" s="20">
        <v>536.53</v>
      </c>
      <c r="G1021" s="20">
        <v>3671431</v>
      </c>
      <c r="H1021" s="20">
        <v>536.72</v>
      </c>
      <c r="I1021" s="20">
        <v>537.61</v>
      </c>
      <c r="J1021" s="22">
        <v>533.71</v>
      </c>
      <c r="K1021" s="2">
        <f t="shared" si="91"/>
        <v>125600.52517183704</v>
      </c>
      <c r="L1021" s="2">
        <f>IF(B1021&lt;&gt;B1020,L1020*(1+Dashboard!$G$5)+Dashboard!$G$6, L1020)</f>
        <v>121864.31479826351</v>
      </c>
      <c r="M1021">
        <f t="shared" si="95"/>
        <v>0</v>
      </c>
      <c r="N1021">
        <f t="shared" si="92"/>
        <v>234.09786064495378</v>
      </c>
      <c r="O1021">
        <f>IF(B1021&lt;&gt;B1020, Dashboard!$L$6,0)</f>
        <v>0</v>
      </c>
      <c r="P1021">
        <f t="shared" si="93"/>
        <v>231.14761827282564</v>
      </c>
      <c r="Q1021">
        <f>IF(B1021&lt;&gt;B1020,IF(F1021&lt;=AVERAGE(F999:F1020),Dashboard!$N$6-Dashboard!$G$7,Dashboard!$N$6+Dashboard!$G$7),0)</f>
        <v>0</v>
      </c>
      <c r="R1021">
        <f t="shared" si="94"/>
        <v>231.11736531097131</v>
      </c>
    </row>
    <row r="1022" spans="1:18" x14ac:dyDescent="0.3">
      <c r="A1022" t="s">
        <v>142</v>
      </c>
      <c r="B1022">
        <v>10</v>
      </c>
      <c r="C1022" s="19">
        <v>22</v>
      </c>
      <c r="D1022" s="20">
        <v>2024</v>
      </c>
      <c r="E1022" s="21">
        <f t="shared" si="90"/>
        <v>45587</v>
      </c>
      <c r="F1022" s="20">
        <v>536.16</v>
      </c>
      <c r="G1022" s="20">
        <v>3366595</v>
      </c>
      <c r="H1022" s="20">
        <v>534.11</v>
      </c>
      <c r="I1022" s="20">
        <v>537.28</v>
      </c>
      <c r="J1022" s="22">
        <v>533.47</v>
      </c>
      <c r="K1022" s="2">
        <f t="shared" si="91"/>
        <v>125513.90896339841</v>
      </c>
      <c r="L1022" s="2">
        <f>IF(B1022&lt;&gt;B1021,L1021*(1+Dashboard!$G$5)+Dashboard!$G$6, L1021)</f>
        <v>121864.31479826351</v>
      </c>
      <c r="M1022">
        <f t="shared" si="95"/>
        <v>0</v>
      </c>
      <c r="N1022">
        <f t="shared" si="92"/>
        <v>234.09786064495378</v>
      </c>
      <c r="O1022">
        <f>IF(B1022&lt;&gt;B1021, Dashboard!$L$6,0)</f>
        <v>0</v>
      </c>
      <c r="P1022">
        <f t="shared" si="93"/>
        <v>231.14761827282564</v>
      </c>
      <c r="Q1022">
        <f>IF(B1022&lt;&gt;B1021,IF(F1022&lt;=AVERAGE(F1000:F1021),Dashboard!$N$6-Dashboard!$G$7,Dashboard!$N$6+Dashboard!$G$7),0)</f>
        <v>0</v>
      </c>
      <c r="R1022">
        <f t="shared" si="94"/>
        <v>231.11736531097131</v>
      </c>
    </row>
    <row r="1023" spans="1:18" x14ac:dyDescent="0.3">
      <c r="A1023" t="s">
        <v>141</v>
      </c>
      <c r="B1023">
        <v>10</v>
      </c>
      <c r="C1023" s="19">
        <v>23</v>
      </c>
      <c r="D1023" s="20">
        <v>2024</v>
      </c>
      <c r="E1023" s="21">
        <f t="shared" si="90"/>
        <v>45588</v>
      </c>
      <c r="F1023" s="20">
        <v>531.27</v>
      </c>
      <c r="G1023" s="20">
        <v>5227754</v>
      </c>
      <c r="H1023" s="20">
        <v>534.28</v>
      </c>
      <c r="I1023" s="20">
        <v>534.72</v>
      </c>
      <c r="J1023" s="22">
        <v>528.02</v>
      </c>
      <c r="K1023" s="2">
        <f t="shared" si="91"/>
        <v>124369.17042484459</v>
      </c>
      <c r="L1023" s="2">
        <f>IF(B1023&lt;&gt;B1022,L1022*(1+Dashboard!$G$5)+Dashboard!$G$6, L1022)</f>
        <v>121864.31479826351</v>
      </c>
      <c r="M1023">
        <f t="shared" si="95"/>
        <v>0</v>
      </c>
      <c r="N1023">
        <f t="shared" si="92"/>
        <v>234.09786064495378</v>
      </c>
      <c r="O1023">
        <f>IF(B1023&lt;&gt;B1022, Dashboard!$L$6,0)</f>
        <v>0</v>
      </c>
      <c r="P1023">
        <f t="shared" si="93"/>
        <v>231.14761827282564</v>
      </c>
      <c r="Q1023">
        <f>IF(B1023&lt;&gt;B1022,IF(F1023&lt;=AVERAGE(F1001:F1022),Dashboard!$N$6-Dashboard!$G$7,Dashboard!$N$6+Dashboard!$G$7),0)</f>
        <v>0</v>
      </c>
      <c r="R1023">
        <f t="shared" si="94"/>
        <v>231.11736531097131</v>
      </c>
    </row>
    <row r="1024" spans="1:18" x14ac:dyDescent="0.3">
      <c r="A1024" t="s">
        <v>140</v>
      </c>
      <c r="B1024">
        <v>10</v>
      </c>
      <c r="C1024" s="19">
        <v>24</v>
      </c>
      <c r="D1024" s="20">
        <v>2024</v>
      </c>
      <c r="E1024" s="21">
        <f t="shared" si="90"/>
        <v>45589</v>
      </c>
      <c r="F1024" s="20">
        <v>532.47</v>
      </c>
      <c r="G1024" s="20">
        <v>4477762</v>
      </c>
      <c r="H1024" s="20">
        <v>533.16999999999996</v>
      </c>
      <c r="I1024" s="20">
        <v>533.17999999999995</v>
      </c>
      <c r="J1024" s="22">
        <v>530.04</v>
      </c>
      <c r="K1024" s="2">
        <f t="shared" si="91"/>
        <v>124650.08785761855</v>
      </c>
      <c r="L1024" s="2">
        <f>IF(B1024&lt;&gt;B1023,L1023*(1+Dashboard!$G$5)+Dashboard!$G$6, L1023)</f>
        <v>121864.31479826351</v>
      </c>
      <c r="M1024">
        <f t="shared" si="95"/>
        <v>0</v>
      </c>
      <c r="N1024">
        <f t="shared" si="92"/>
        <v>234.09786064495378</v>
      </c>
      <c r="O1024">
        <f>IF(B1024&lt;&gt;B1023, Dashboard!$L$6,0)</f>
        <v>0</v>
      </c>
      <c r="P1024">
        <f t="shared" si="93"/>
        <v>231.14761827282564</v>
      </c>
      <c r="Q1024">
        <f>IF(B1024&lt;&gt;B1023,IF(F1024&lt;=AVERAGE(F1002:F1023),Dashboard!$N$6-Dashboard!$G$7,Dashboard!$N$6+Dashboard!$G$7),0)</f>
        <v>0</v>
      </c>
      <c r="R1024">
        <f t="shared" si="94"/>
        <v>231.11736531097131</v>
      </c>
    </row>
    <row r="1025" spans="1:18" x14ac:dyDescent="0.3">
      <c r="A1025" t="s">
        <v>139</v>
      </c>
      <c r="B1025">
        <v>10</v>
      </c>
      <c r="C1025" s="19">
        <v>25</v>
      </c>
      <c r="D1025" s="20">
        <v>2024</v>
      </c>
      <c r="E1025" s="21">
        <f t="shared" si="90"/>
        <v>45590</v>
      </c>
      <c r="F1025" s="20">
        <v>532.26</v>
      </c>
      <c r="G1025" s="20">
        <v>4327190</v>
      </c>
      <c r="H1025" s="20">
        <v>534.65</v>
      </c>
      <c r="I1025" s="20">
        <v>537.26009999999997</v>
      </c>
      <c r="J1025" s="22">
        <v>531.41399999999999</v>
      </c>
      <c r="K1025" s="2">
        <f t="shared" si="91"/>
        <v>124600.9273068831</v>
      </c>
      <c r="L1025" s="2">
        <f>IF(B1025&lt;&gt;B1024,L1024*(1+Dashboard!$G$5)+Dashboard!$G$6, L1024)</f>
        <v>121864.31479826351</v>
      </c>
      <c r="M1025">
        <f t="shared" si="95"/>
        <v>0</v>
      </c>
      <c r="N1025">
        <f t="shared" si="92"/>
        <v>234.09786064495378</v>
      </c>
      <c r="O1025">
        <f>IF(B1025&lt;&gt;B1024, Dashboard!$L$6,0)</f>
        <v>0</v>
      </c>
      <c r="P1025">
        <f t="shared" si="93"/>
        <v>231.14761827282564</v>
      </c>
      <c r="Q1025">
        <f>IF(B1025&lt;&gt;B1024,IF(F1025&lt;=AVERAGE(F1003:F1024),Dashboard!$N$6-Dashboard!$G$7,Dashboard!$N$6+Dashboard!$G$7),0)</f>
        <v>0</v>
      </c>
      <c r="R1025">
        <f t="shared" si="94"/>
        <v>231.11736531097131</v>
      </c>
    </row>
    <row r="1026" spans="1:18" x14ac:dyDescent="0.3">
      <c r="A1026" t="s">
        <v>138</v>
      </c>
      <c r="B1026">
        <v>10</v>
      </c>
      <c r="C1026" s="19">
        <v>28</v>
      </c>
      <c r="D1026" s="20">
        <v>2024</v>
      </c>
      <c r="E1026" s="21">
        <f t="shared" ref="E1026:E1089" si="96">DATE(D1026,B1026,C1026)</f>
        <v>45593</v>
      </c>
      <c r="F1026" s="20">
        <v>533.91999999999996</v>
      </c>
      <c r="G1026" s="20">
        <v>3407971</v>
      </c>
      <c r="H1026" s="20">
        <v>535.53</v>
      </c>
      <c r="I1026" s="20">
        <v>535.57000000000005</v>
      </c>
      <c r="J1026" s="22">
        <v>533.67079999999999</v>
      </c>
      <c r="K1026" s="2">
        <f t="shared" si="91"/>
        <v>124989.52975555371</v>
      </c>
      <c r="L1026" s="2">
        <f>IF(B1026&lt;&gt;B1025,L1025*(1+Dashboard!$G$5)+Dashboard!$G$6, L1025)</f>
        <v>121864.31479826351</v>
      </c>
      <c r="M1026">
        <f t="shared" si="95"/>
        <v>0</v>
      </c>
      <c r="N1026">
        <f t="shared" si="92"/>
        <v>234.09786064495378</v>
      </c>
      <c r="O1026">
        <f>IF(B1026&lt;&gt;B1025, Dashboard!$L$6,0)</f>
        <v>0</v>
      </c>
      <c r="P1026">
        <f t="shared" si="93"/>
        <v>231.14761827282564</v>
      </c>
      <c r="Q1026">
        <f>IF(B1026&lt;&gt;B1025,IF(F1026&lt;=AVERAGE(F1004:F1025),Dashboard!$N$6-Dashboard!$G$7,Dashboard!$N$6+Dashboard!$G$7),0)</f>
        <v>0</v>
      </c>
      <c r="R1026">
        <f t="shared" si="94"/>
        <v>231.11736531097131</v>
      </c>
    </row>
    <row r="1027" spans="1:18" x14ac:dyDescent="0.3">
      <c r="A1027" t="s">
        <v>137</v>
      </c>
      <c r="B1027">
        <v>10</v>
      </c>
      <c r="C1027" s="19">
        <v>29</v>
      </c>
      <c r="D1027" s="20">
        <v>2024</v>
      </c>
      <c r="E1027" s="21">
        <f t="shared" si="96"/>
        <v>45594</v>
      </c>
      <c r="F1027" s="20">
        <v>534.77</v>
      </c>
      <c r="G1027" s="20">
        <v>3027611</v>
      </c>
      <c r="H1027" s="20">
        <v>533.12</v>
      </c>
      <c r="I1027" s="20">
        <v>535.82000000000005</v>
      </c>
      <c r="J1027" s="22">
        <v>531.75</v>
      </c>
      <c r="K1027" s="2">
        <f t="shared" ref="K1027:K1090" si="97">N1027*F1027</f>
        <v>125188.51293710193</v>
      </c>
      <c r="L1027" s="2">
        <f>IF(B1027&lt;&gt;B1026,L1026*(1+Dashboard!$G$5)+Dashboard!$G$6, L1026)</f>
        <v>121864.31479826351</v>
      </c>
      <c r="M1027">
        <f t="shared" si="95"/>
        <v>0</v>
      </c>
      <c r="N1027">
        <f t="shared" si="92"/>
        <v>234.09786064495378</v>
      </c>
      <c r="O1027">
        <f>IF(B1027&lt;&gt;B1026, Dashboard!$L$6,0)</f>
        <v>0</v>
      </c>
      <c r="P1027">
        <f t="shared" si="93"/>
        <v>231.14761827282564</v>
      </c>
      <c r="Q1027">
        <f>IF(B1027&lt;&gt;B1026,IF(F1027&lt;=AVERAGE(F1005:F1026),Dashboard!$N$6-Dashboard!$G$7,Dashboard!$N$6+Dashboard!$G$7),0)</f>
        <v>0</v>
      </c>
      <c r="R1027">
        <f t="shared" si="94"/>
        <v>231.11736531097131</v>
      </c>
    </row>
    <row r="1028" spans="1:18" x14ac:dyDescent="0.3">
      <c r="A1028" t="s">
        <v>136</v>
      </c>
      <c r="B1028">
        <v>10</v>
      </c>
      <c r="C1028" s="19">
        <v>30</v>
      </c>
      <c r="D1028" s="20">
        <v>2024</v>
      </c>
      <c r="E1028" s="21">
        <f t="shared" si="96"/>
        <v>45595</v>
      </c>
      <c r="F1028" s="20">
        <v>533.16</v>
      </c>
      <c r="G1028" s="20">
        <v>3067015</v>
      </c>
      <c r="H1028" s="20">
        <v>534.35</v>
      </c>
      <c r="I1028" s="20">
        <v>536.20000000000005</v>
      </c>
      <c r="J1028" s="22">
        <v>532.59</v>
      </c>
      <c r="K1028" s="2">
        <f t="shared" si="97"/>
        <v>124811.61538146355</v>
      </c>
      <c r="L1028" s="2">
        <f>IF(B1028&lt;&gt;B1027,L1027*(1+Dashboard!$G$5)+Dashboard!$G$6, L1027)</f>
        <v>121864.31479826351</v>
      </c>
      <c r="M1028">
        <f t="shared" si="95"/>
        <v>0</v>
      </c>
      <c r="N1028">
        <f t="shared" ref="N1028:N1091" si="98">N1027+M1027/F1027</f>
        <v>234.09786064495378</v>
      </c>
      <c r="O1028">
        <f>IF(B1028&lt;&gt;B1027, Dashboard!$L$6,0)</f>
        <v>0</v>
      </c>
      <c r="P1028">
        <f t="shared" ref="P1028:P1091" si="99">P1027+O1028/F1028</f>
        <v>231.14761827282564</v>
      </c>
      <c r="Q1028">
        <f>IF(B1028&lt;&gt;B1027,IF(F1028&lt;=AVERAGE(F1006:F1027),Dashboard!$N$6-Dashboard!$G$7,Dashboard!$N$6+Dashboard!$G$7),0)</f>
        <v>0</v>
      </c>
      <c r="R1028">
        <f t="shared" ref="R1028:R1091" si="100">R1027+Q1028/H1028</f>
        <v>231.11736531097131</v>
      </c>
    </row>
    <row r="1029" spans="1:18" x14ac:dyDescent="0.3">
      <c r="A1029" t="s">
        <v>135</v>
      </c>
      <c r="B1029">
        <v>10</v>
      </c>
      <c r="C1029" s="19">
        <v>31</v>
      </c>
      <c r="D1029" s="20">
        <v>2024</v>
      </c>
      <c r="E1029" s="21">
        <f t="shared" si="96"/>
        <v>45596</v>
      </c>
      <c r="F1029" s="20">
        <v>522.66999999999996</v>
      </c>
      <c r="G1029" s="20">
        <v>7972774</v>
      </c>
      <c r="H1029" s="20">
        <v>529.09</v>
      </c>
      <c r="I1029" s="20">
        <v>529.23</v>
      </c>
      <c r="J1029" s="22">
        <v>522.51</v>
      </c>
      <c r="K1029" s="2">
        <f t="shared" si="97"/>
        <v>122355.92882329799</v>
      </c>
      <c r="L1029" s="2">
        <f>IF(B1029&lt;&gt;B1028,L1028*(1+Dashboard!$G$5)+Dashboard!$G$6, L1028)</f>
        <v>121864.31479826351</v>
      </c>
      <c r="M1029">
        <f t="shared" si="95"/>
        <v>0</v>
      </c>
      <c r="N1029">
        <f t="shared" si="98"/>
        <v>234.09786064495378</v>
      </c>
      <c r="O1029">
        <f>IF(B1029&lt;&gt;B1028, Dashboard!$L$6,0)</f>
        <v>0</v>
      </c>
      <c r="P1029">
        <f t="shared" si="99"/>
        <v>231.14761827282564</v>
      </c>
      <c r="Q1029">
        <f>IF(B1029&lt;&gt;B1028,IF(F1029&lt;=AVERAGE(F1007:F1028),Dashboard!$N$6-Dashboard!$G$7,Dashboard!$N$6+Dashboard!$G$7),0)</f>
        <v>0</v>
      </c>
      <c r="R1029">
        <f t="shared" si="100"/>
        <v>231.11736531097131</v>
      </c>
    </row>
    <row r="1030" spans="1:18" x14ac:dyDescent="0.3">
      <c r="A1030" s="1">
        <v>45302</v>
      </c>
      <c r="B1030">
        <v>11</v>
      </c>
      <c r="C1030" s="19">
        <v>1</v>
      </c>
      <c r="D1030" s="20">
        <v>2024</v>
      </c>
      <c r="E1030" s="21">
        <f t="shared" si="96"/>
        <v>45597</v>
      </c>
      <c r="F1030" s="20">
        <v>524.94000000000005</v>
      </c>
      <c r="G1030" s="20">
        <v>6106942</v>
      </c>
      <c r="H1030" s="20">
        <v>525.16</v>
      </c>
      <c r="I1030" s="20">
        <v>529.08000000000004</v>
      </c>
      <c r="J1030" s="22">
        <v>524.54010000000005</v>
      </c>
      <c r="K1030" s="2">
        <f t="shared" si="97"/>
        <v>122887.33096696205</v>
      </c>
      <c r="L1030" s="2">
        <f>IF(B1030&lt;&gt;B1029,L1029*(1+Dashboard!$G$5)+Dashboard!$G$6, L1029)</f>
        <v>124936.72076848822</v>
      </c>
      <c r="M1030">
        <f t="shared" si="95"/>
        <v>2049.3898015261657</v>
      </c>
      <c r="N1030">
        <f t="shared" si="98"/>
        <v>234.09786064495378</v>
      </c>
      <c r="O1030">
        <f>IF(B1030&lt;&gt;B1029, Dashboard!$L$6,0)</f>
        <v>1859.7282542371197</v>
      </c>
      <c r="P1030">
        <f t="shared" si="99"/>
        <v>234.69036268978209</v>
      </c>
      <c r="Q1030">
        <f>IF(B1030&lt;&gt;B1029,IF(F1030&lt;=AVERAGE(F1008:F1029),Dashboard!$N$6-Dashboard!$G$7,Dashboard!$N$6+Dashboard!$G$7),0)</f>
        <v>1232.609610169322</v>
      </c>
      <c r="R1030">
        <f t="shared" si="100"/>
        <v>233.46447782938344</v>
      </c>
    </row>
    <row r="1031" spans="1:18" x14ac:dyDescent="0.3">
      <c r="A1031" s="1">
        <v>45393</v>
      </c>
      <c r="B1031">
        <v>11</v>
      </c>
      <c r="C1031" s="19">
        <v>4</v>
      </c>
      <c r="D1031" s="20">
        <v>2024</v>
      </c>
      <c r="E1031" s="21">
        <f t="shared" si="96"/>
        <v>45600</v>
      </c>
      <c r="F1031" s="20">
        <v>523.79999999999995</v>
      </c>
      <c r="G1031" s="20">
        <v>3681461</v>
      </c>
      <c r="H1031" s="20">
        <v>525.05999999999995</v>
      </c>
      <c r="I1031" s="20">
        <v>526.28</v>
      </c>
      <c r="J1031" s="22">
        <v>522.03009999999995</v>
      </c>
      <c r="K1031" s="2">
        <f t="shared" si="97"/>
        <v>124665.39859514251</v>
      </c>
      <c r="L1031" s="2">
        <f>IF(B1031&lt;&gt;B1030,L1030*(1+Dashboard!$G$5)+Dashboard!$G$6, L1030)</f>
        <v>124936.72076848822</v>
      </c>
      <c r="M1031">
        <f t="shared" si="95"/>
        <v>0</v>
      </c>
      <c r="N1031">
        <f t="shared" si="98"/>
        <v>238.00190644357107</v>
      </c>
      <c r="O1031">
        <f>IF(B1031&lt;&gt;B1030, Dashboard!$L$6,0)</f>
        <v>0</v>
      </c>
      <c r="P1031">
        <f t="shared" si="99"/>
        <v>234.69036268978209</v>
      </c>
      <c r="Q1031">
        <f>IF(B1031&lt;&gt;B1030,IF(F1031&lt;=AVERAGE(F1009:F1030),Dashboard!$N$6-Dashboard!$G$7,Dashboard!$N$6+Dashboard!$G$7),0)</f>
        <v>0</v>
      </c>
      <c r="R1031">
        <f t="shared" si="100"/>
        <v>233.46447782938344</v>
      </c>
    </row>
    <row r="1032" spans="1:18" x14ac:dyDescent="0.3">
      <c r="A1032" s="1">
        <v>45423</v>
      </c>
      <c r="B1032">
        <v>11</v>
      </c>
      <c r="C1032" s="19">
        <v>5</v>
      </c>
      <c r="D1032" s="20">
        <v>2024</v>
      </c>
      <c r="E1032" s="21">
        <f t="shared" si="96"/>
        <v>45601</v>
      </c>
      <c r="F1032" s="20">
        <v>530.1</v>
      </c>
      <c r="G1032" s="20">
        <v>3300279</v>
      </c>
      <c r="H1032" s="20">
        <v>524.72</v>
      </c>
      <c r="I1032" s="20">
        <v>530.16999999999996</v>
      </c>
      <c r="J1032" s="22">
        <v>524.48</v>
      </c>
      <c r="K1032" s="2">
        <f t="shared" si="97"/>
        <v>126164.81060573703</v>
      </c>
      <c r="L1032" s="2">
        <f>IF(B1032&lt;&gt;B1031,L1031*(1+Dashboard!$G$5)+Dashboard!$G$6, L1031)</f>
        <v>124936.72076848822</v>
      </c>
      <c r="M1032">
        <f t="shared" si="95"/>
        <v>0</v>
      </c>
      <c r="N1032">
        <f t="shared" si="98"/>
        <v>238.00190644357107</v>
      </c>
      <c r="O1032">
        <f>IF(B1032&lt;&gt;B1031, Dashboard!$L$6,0)</f>
        <v>0</v>
      </c>
      <c r="P1032">
        <f t="shared" si="99"/>
        <v>234.69036268978209</v>
      </c>
      <c r="Q1032">
        <f>IF(B1032&lt;&gt;B1031,IF(F1032&lt;=AVERAGE(F1010:F1031),Dashboard!$N$6-Dashboard!$G$7,Dashboard!$N$6+Dashboard!$G$7),0)</f>
        <v>0</v>
      </c>
      <c r="R1032">
        <f t="shared" si="100"/>
        <v>233.46447782938344</v>
      </c>
    </row>
    <row r="1033" spans="1:18" x14ac:dyDescent="0.3">
      <c r="A1033" s="1">
        <v>45454</v>
      </c>
      <c r="B1033">
        <v>11</v>
      </c>
      <c r="C1033" s="19">
        <v>6</v>
      </c>
      <c r="D1033" s="20">
        <v>2024</v>
      </c>
      <c r="E1033" s="21">
        <f t="shared" si="96"/>
        <v>45602</v>
      </c>
      <c r="F1033" s="20">
        <v>543.29999999999995</v>
      </c>
      <c r="G1033" s="20">
        <v>7483337</v>
      </c>
      <c r="H1033" s="20">
        <v>541.65</v>
      </c>
      <c r="I1033" s="20">
        <v>544.14</v>
      </c>
      <c r="J1033" s="22">
        <v>538.16999999999996</v>
      </c>
      <c r="K1033" s="2">
        <f t="shared" si="97"/>
        <v>129306.43577079216</v>
      </c>
      <c r="L1033" s="2">
        <f>IF(B1033&lt;&gt;B1032,L1032*(1+Dashboard!$G$5)+Dashboard!$G$6, L1032)</f>
        <v>124936.72076848822</v>
      </c>
      <c r="M1033">
        <f t="shared" si="95"/>
        <v>0</v>
      </c>
      <c r="N1033">
        <f t="shared" si="98"/>
        <v>238.00190644357107</v>
      </c>
      <c r="O1033">
        <f>IF(B1033&lt;&gt;B1032, Dashboard!$L$6,0)</f>
        <v>0</v>
      </c>
      <c r="P1033">
        <f t="shared" si="99"/>
        <v>234.69036268978209</v>
      </c>
      <c r="Q1033">
        <f>IF(B1033&lt;&gt;B1032,IF(F1033&lt;=AVERAGE(F1011:F1032),Dashboard!$N$6-Dashboard!$G$7,Dashboard!$N$6+Dashboard!$G$7),0)</f>
        <v>0</v>
      </c>
      <c r="R1033">
        <f t="shared" si="100"/>
        <v>233.46447782938344</v>
      </c>
    </row>
    <row r="1034" spans="1:18" x14ac:dyDescent="0.3">
      <c r="A1034" s="1">
        <v>45484</v>
      </c>
      <c r="B1034">
        <v>11</v>
      </c>
      <c r="C1034" s="19">
        <v>7</v>
      </c>
      <c r="D1034" s="20">
        <v>2024</v>
      </c>
      <c r="E1034" s="21">
        <f t="shared" si="96"/>
        <v>45603</v>
      </c>
      <c r="F1034" s="20">
        <v>547.53</v>
      </c>
      <c r="G1034" s="20">
        <v>6051276</v>
      </c>
      <c r="H1034" s="20">
        <v>545.22</v>
      </c>
      <c r="I1034" s="20">
        <v>548.47500000000002</v>
      </c>
      <c r="J1034" s="22">
        <v>545.15</v>
      </c>
      <c r="K1034" s="2">
        <f t="shared" si="97"/>
        <v>130313.18383504846</v>
      </c>
      <c r="L1034" s="2">
        <f>IF(B1034&lt;&gt;B1033,L1033*(1+Dashboard!$G$5)+Dashboard!$G$6, L1033)</f>
        <v>124936.72076848822</v>
      </c>
      <c r="M1034">
        <f t="shared" si="95"/>
        <v>0</v>
      </c>
      <c r="N1034">
        <f t="shared" si="98"/>
        <v>238.00190644357107</v>
      </c>
      <c r="O1034">
        <f>IF(B1034&lt;&gt;B1033, Dashboard!$L$6,0)</f>
        <v>0</v>
      </c>
      <c r="P1034">
        <f t="shared" si="99"/>
        <v>234.69036268978209</v>
      </c>
      <c r="Q1034">
        <f>IF(B1034&lt;&gt;B1033,IF(F1034&lt;=AVERAGE(F1012:F1033),Dashboard!$N$6-Dashboard!$G$7,Dashboard!$N$6+Dashboard!$G$7),0)</f>
        <v>0</v>
      </c>
      <c r="R1034">
        <f t="shared" si="100"/>
        <v>233.46447782938344</v>
      </c>
    </row>
    <row r="1035" spans="1:18" x14ac:dyDescent="0.3">
      <c r="A1035" s="1">
        <v>45515</v>
      </c>
      <c r="B1035">
        <v>11</v>
      </c>
      <c r="C1035" s="19">
        <v>8</v>
      </c>
      <c r="D1035" s="20">
        <v>2024</v>
      </c>
      <c r="E1035" s="21">
        <f t="shared" si="96"/>
        <v>45604</v>
      </c>
      <c r="F1035" s="20">
        <v>549.95000000000005</v>
      </c>
      <c r="G1035" s="20">
        <v>6797976</v>
      </c>
      <c r="H1035" s="20">
        <v>548.07000000000005</v>
      </c>
      <c r="I1035" s="20">
        <v>551.24</v>
      </c>
      <c r="J1035" s="22">
        <v>548.05999999999995</v>
      </c>
      <c r="K1035" s="2">
        <f t="shared" si="97"/>
        <v>130889.14844864192</v>
      </c>
      <c r="L1035" s="2">
        <f>IF(B1035&lt;&gt;B1034,L1034*(1+Dashboard!$G$5)+Dashboard!$G$6, L1034)</f>
        <v>124936.72076848822</v>
      </c>
      <c r="M1035">
        <f t="shared" si="95"/>
        <v>0</v>
      </c>
      <c r="N1035">
        <f t="shared" si="98"/>
        <v>238.00190644357107</v>
      </c>
      <c r="O1035">
        <f>IF(B1035&lt;&gt;B1034, Dashboard!$L$6,0)</f>
        <v>0</v>
      </c>
      <c r="P1035">
        <f t="shared" si="99"/>
        <v>234.69036268978209</v>
      </c>
      <c r="Q1035">
        <f>IF(B1035&lt;&gt;B1034,IF(F1035&lt;=AVERAGE(F1013:F1034),Dashboard!$N$6-Dashboard!$G$7,Dashboard!$N$6+Dashboard!$G$7),0)</f>
        <v>0</v>
      </c>
      <c r="R1035">
        <f t="shared" si="100"/>
        <v>233.46447782938344</v>
      </c>
    </row>
    <row r="1036" spans="1:18" x14ac:dyDescent="0.3">
      <c r="A1036" s="1">
        <v>45607</v>
      </c>
      <c r="B1036">
        <v>11</v>
      </c>
      <c r="C1036" s="19">
        <v>11</v>
      </c>
      <c r="D1036" s="20">
        <v>2024</v>
      </c>
      <c r="E1036" s="21">
        <f t="shared" si="96"/>
        <v>45607</v>
      </c>
      <c r="F1036" s="20">
        <v>550.4</v>
      </c>
      <c r="G1036" s="20">
        <v>4893129</v>
      </c>
      <c r="H1036" s="20">
        <v>551.42999999999995</v>
      </c>
      <c r="I1036" s="20">
        <v>551.73</v>
      </c>
      <c r="J1036" s="22">
        <v>548.85</v>
      </c>
      <c r="K1036" s="2">
        <f t="shared" si="97"/>
        <v>130996.24930654152</v>
      </c>
      <c r="L1036" s="2">
        <f>IF(B1036&lt;&gt;B1035,L1035*(1+Dashboard!$G$5)+Dashboard!$G$6, L1035)</f>
        <v>124936.72076848822</v>
      </c>
      <c r="M1036">
        <f t="shared" si="95"/>
        <v>0</v>
      </c>
      <c r="N1036">
        <f t="shared" si="98"/>
        <v>238.00190644357107</v>
      </c>
      <c r="O1036">
        <f>IF(B1036&lt;&gt;B1035, Dashboard!$L$6,0)</f>
        <v>0</v>
      </c>
      <c r="P1036">
        <f t="shared" si="99"/>
        <v>234.69036268978209</v>
      </c>
      <c r="Q1036">
        <f>IF(B1036&lt;&gt;B1035,IF(F1036&lt;=AVERAGE(F1014:F1035),Dashboard!$N$6-Dashboard!$G$7,Dashboard!$N$6+Dashboard!$G$7),0)</f>
        <v>0</v>
      </c>
      <c r="R1036">
        <f t="shared" si="100"/>
        <v>233.46447782938344</v>
      </c>
    </row>
    <row r="1037" spans="1:18" x14ac:dyDescent="0.3">
      <c r="A1037" s="1">
        <v>45637</v>
      </c>
      <c r="B1037">
        <v>11</v>
      </c>
      <c r="C1037" s="19">
        <v>12</v>
      </c>
      <c r="D1037" s="20">
        <v>2024</v>
      </c>
      <c r="E1037" s="21">
        <f t="shared" si="96"/>
        <v>45608</v>
      </c>
      <c r="F1037" s="20">
        <v>548.75</v>
      </c>
      <c r="G1037" s="20">
        <v>4818613</v>
      </c>
      <c r="H1037" s="20">
        <v>550.39</v>
      </c>
      <c r="I1037" s="20">
        <v>550.94000000000005</v>
      </c>
      <c r="J1037" s="22">
        <v>546.42999999999995</v>
      </c>
      <c r="K1037" s="2">
        <f t="shared" si="97"/>
        <v>130603.54616090962</v>
      </c>
      <c r="L1037" s="2">
        <f>IF(B1037&lt;&gt;B1036,L1036*(1+Dashboard!$G$5)+Dashboard!$G$6, L1036)</f>
        <v>124936.72076848822</v>
      </c>
      <c r="M1037">
        <f t="shared" si="95"/>
        <v>0</v>
      </c>
      <c r="N1037">
        <f t="shared" si="98"/>
        <v>238.00190644357107</v>
      </c>
      <c r="O1037">
        <f>IF(B1037&lt;&gt;B1036, Dashboard!$L$6,0)</f>
        <v>0</v>
      </c>
      <c r="P1037">
        <f t="shared" si="99"/>
        <v>234.69036268978209</v>
      </c>
      <c r="Q1037">
        <f>IF(B1037&lt;&gt;B1036,IF(F1037&lt;=AVERAGE(F1015:F1036),Dashboard!$N$6-Dashboard!$G$7,Dashboard!$N$6+Dashboard!$G$7),0)</f>
        <v>0</v>
      </c>
      <c r="R1037">
        <f t="shared" si="100"/>
        <v>233.46447782938344</v>
      </c>
    </row>
    <row r="1038" spans="1:18" x14ac:dyDescent="0.3">
      <c r="A1038" t="s">
        <v>134</v>
      </c>
      <c r="B1038">
        <v>11</v>
      </c>
      <c r="C1038" s="19">
        <v>13</v>
      </c>
      <c r="D1038" s="20">
        <v>2024</v>
      </c>
      <c r="E1038" s="21">
        <f t="shared" si="96"/>
        <v>45609</v>
      </c>
      <c r="F1038" s="20">
        <v>549.03</v>
      </c>
      <c r="G1038" s="20">
        <v>3701570</v>
      </c>
      <c r="H1038" s="20">
        <v>549.16</v>
      </c>
      <c r="I1038" s="20">
        <v>550.88</v>
      </c>
      <c r="J1038" s="22">
        <v>546.97</v>
      </c>
      <c r="K1038" s="2">
        <f t="shared" si="97"/>
        <v>130670.18669471382</v>
      </c>
      <c r="L1038" s="2">
        <f>IF(B1038&lt;&gt;B1037,L1037*(1+Dashboard!$G$5)+Dashboard!$G$6, L1037)</f>
        <v>124936.72076848822</v>
      </c>
      <c r="M1038">
        <f t="shared" si="95"/>
        <v>0</v>
      </c>
      <c r="N1038">
        <f t="shared" si="98"/>
        <v>238.00190644357107</v>
      </c>
      <c r="O1038">
        <f>IF(B1038&lt;&gt;B1037, Dashboard!$L$6,0)</f>
        <v>0</v>
      </c>
      <c r="P1038">
        <f t="shared" si="99"/>
        <v>234.69036268978209</v>
      </c>
      <c r="Q1038">
        <f>IF(B1038&lt;&gt;B1037,IF(F1038&lt;=AVERAGE(F1016:F1037),Dashboard!$N$6-Dashboard!$G$7,Dashboard!$N$6+Dashboard!$G$7),0)</f>
        <v>0</v>
      </c>
      <c r="R1038">
        <f t="shared" si="100"/>
        <v>233.46447782938344</v>
      </c>
    </row>
    <row r="1039" spans="1:18" x14ac:dyDescent="0.3">
      <c r="A1039" t="s">
        <v>133</v>
      </c>
      <c r="B1039">
        <v>11</v>
      </c>
      <c r="C1039" s="19">
        <v>14</v>
      </c>
      <c r="D1039" s="20">
        <v>2024</v>
      </c>
      <c r="E1039" s="21">
        <f t="shared" si="96"/>
        <v>45610</v>
      </c>
      <c r="F1039" s="20">
        <v>545.54</v>
      </c>
      <c r="G1039" s="20">
        <v>3940282</v>
      </c>
      <c r="H1039" s="20">
        <v>549.1</v>
      </c>
      <c r="I1039" s="20">
        <v>549.57000000000005</v>
      </c>
      <c r="J1039" s="22">
        <v>544.88</v>
      </c>
      <c r="K1039" s="2">
        <f t="shared" si="97"/>
        <v>129839.56004122575</v>
      </c>
      <c r="L1039" s="2">
        <f>IF(B1039&lt;&gt;B1038,L1038*(1+Dashboard!$G$5)+Dashboard!$G$6, L1038)</f>
        <v>124936.72076848822</v>
      </c>
      <c r="M1039">
        <f t="shared" si="95"/>
        <v>0</v>
      </c>
      <c r="N1039">
        <f t="shared" si="98"/>
        <v>238.00190644357107</v>
      </c>
      <c r="O1039">
        <f>IF(B1039&lt;&gt;B1038, Dashboard!$L$6,0)</f>
        <v>0</v>
      </c>
      <c r="P1039">
        <f t="shared" si="99"/>
        <v>234.69036268978209</v>
      </c>
      <c r="Q1039">
        <f>IF(B1039&lt;&gt;B1038,IF(F1039&lt;=AVERAGE(F1017:F1038),Dashboard!$N$6-Dashboard!$G$7,Dashboard!$N$6+Dashboard!$G$7),0)</f>
        <v>0</v>
      </c>
      <c r="R1039">
        <f t="shared" si="100"/>
        <v>233.46447782938344</v>
      </c>
    </row>
    <row r="1040" spans="1:18" x14ac:dyDescent="0.3">
      <c r="A1040" t="s">
        <v>132</v>
      </c>
      <c r="B1040">
        <v>11</v>
      </c>
      <c r="C1040" s="19">
        <v>15</v>
      </c>
      <c r="D1040" s="20">
        <v>2024</v>
      </c>
      <c r="E1040" s="21">
        <f t="shared" si="96"/>
        <v>45611</v>
      </c>
      <c r="F1040" s="20">
        <v>538.5</v>
      </c>
      <c r="G1040" s="20">
        <v>7360114</v>
      </c>
      <c r="H1040" s="20">
        <v>542.13</v>
      </c>
      <c r="I1040" s="20">
        <v>542.57000000000005</v>
      </c>
      <c r="J1040" s="22">
        <v>536.75</v>
      </c>
      <c r="K1040" s="2">
        <f t="shared" si="97"/>
        <v>128164.02661986303</v>
      </c>
      <c r="L1040" s="2">
        <f>IF(B1040&lt;&gt;B1039,L1039*(1+Dashboard!$G$5)+Dashboard!$G$6, L1039)</f>
        <v>124936.72076848822</v>
      </c>
      <c r="M1040">
        <f t="shared" si="95"/>
        <v>0</v>
      </c>
      <c r="N1040">
        <f t="shared" si="98"/>
        <v>238.00190644357107</v>
      </c>
      <c r="O1040">
        <f>IF(B1040&lt;&gt;B1039, Dashboard!$L$6,0)</f>
        <v>0</v>
      </c>
      <c r="P1040">
        <f t="shared" si="99"/>
        <v>234.69036268978209</v>
      </c>
      <c r="Q1040">
        <f>IF(B1040&lt;&gt;B1039,IF(F1040&lt;=AVERAGE(F1018:F1039),Dashboard!$N$6-Dashboard!$G$7,Dashboard!$N$6+Dashboard!$G$7),0)</f>
        <v>0</v>
      </c>
      <c r="R1040">
        <f t="shared" si="100"/>
        <v>233.46447782938344</v>
      </c>
    </row>
    <row r="1041" spans="1:18" x14ac:dyDescent="0.3">
      <c r="A1041" t="s">
        <v>131</v>
      </c>
      <c r="B1041">
        <v>11</v>
      </c>
      <c r="C1041" s="19">
        <v>18</v>
      </c>
      <c r="D1041" s="20">
        <v>2024</v>
      </c>
      <c r="E1041" s="21">
        <f t="shared" si="96"/>
        <v>45614</v>
      </c>
      <c r="F1041" s="20">
        <v>540.73</v>
      </c>
      <c r="G1041" s="20">
        <v>4504246</v>
      </c>
      <c r="H1041" s="20">
        <v>538.91999999999996</v>
      </c>
      <c r="I1041" s="20">
        <v>541.92999999999995</v>
      </c>
      <c r="J1041" s="22">
        <v>538.14499999999998</v>
      </c>
      <c r="K1041" s="2">
        <f t="shared" si="97"/>
        <v>128694.77087123219</v>
      </c>
      <c r="L1041" s="2">
        <f>IF(B1041&lt;&gt;B1040,L1040*(1+Dashboard!$G$5)+Dashboard!$G$6, L1040)</f>
        <v>124936.72076848822</v>
      </c>
      <c r="M1041">
        <f t="shared" si="95"/>
        <v>0</v>
      </c>
      <c r="N1041">
        <f t="shared" si="98"/>
        <v>238.00190644357107</v>
      </c>
      <c r="O1041">
        <f>IF(B1041&lt;&gt;B1040, Dashboard!$L$6,0)</f>
        <v>0</v>
      </c>
      <c r="P1041">
        <f t="shared" si="99"/>
        <v>234.69036268978209</v>
      </c>
      <c r="Q1041">
        <f>IF(B1041&lt;&gt;B1040,IF(F1041&lt;=AVERAGE(F1019:F1040),Dashboard!$N$6-Dashboard!$G$7,Dashboard!$N$6+Dashboard!$G$7),0)</f>
        <v>0</v>
      </c>
      <c r="R1041">
        <f t="shared" si="100"/>
        <v>233.46447782938344</v>
      </c>
    </row>
    <row r="1042" spans="1:18" x14ac:dyDescent="0.3">
      <c r="A1042" t="s">
        <v>130</v>
      </c>
      <c r="B1042">
        <v>11</v>
      </c>
      <c r="C1042" s="19">
        <v>19</v>
      </c>
      <c r="D1042" s="20">
        <v>2024</v>
      </c>
      <c r="E1042" s="21">
        <f t="shared" si="96"/>
        <v>45615</v>
      </c>
      <c r="F1042" s="20">
        <v>542.70000000000005</v>
      </c>
      <c r="G1042" s="20">
        <v>6978373</v>
      </c>
      <c r="H1042" s="20">
        <v>537.5</v>
      </c>
      <c r="I1042" s="20">
        <v>543.37</v>
      </c>
      <c r="J1042" s="22">
        <v>536.9</v>
      </c>
      <c r="K1042" s="2">
        <f t="shared" si="97"/>
        <v>129163.63462692604</v>
      </c>
      <c r="L1042" s="2">
        <f>IF(B1042&lt;&gt;B1041,L1041*(1+Dashboard!$G$5)+Dashboard!$G$6, L1041)</f>
        <v>124936.72076848822</v>
      </c>
      <c r="M1042">
        <f t="shared" si="95"/>
        <v>0</v>
      </c>
      <c r="N1042">
        <f t="shared" si="98"/>
        <v>238.00190644357107</v>
      </c>
      <c r="O1042">
        <f>IF(B1042&lt;&gt;B1041, Dashboard!$L$6,0)</f>
        <v>0</v>
      </c>
      <c r="P1042">
        <f t="shared" si="99"/>
        <v>234.69036268978209</v>
      </c>
      <c r="Q1042">
        <f>IF(B1042&lt;&gt;B1041,IF(F1042&lt;=AVERAGE(F1020:F1041),Dashboard!$N$6-Dashboard!$G$7,Dashboard!$N$6+Dashboard!$G$7),0)</f>
        <v>0</v>
      </c>
      <c r="R1042">
        <f t="shared" si="100"/>
        <v>233.46447782938344</v>
      </c>
    </row>
    <row r="1043" spans="1:18" x14ac:dyDescent="0.3">
      <c r="A1043" t="s">
        <v>129</v>
      </c>
      <c r="B1043">
        <v>11</v>
      </c>
      <c r="C1043" s="19">
        <v>20</v>
      </c>
      <c r="D1043" s="20">
        <v>2024</v>
      </c>
      <c r="E1043" s="21">
        <f t="shared" si="96"/>
        <v>45616</v>
      </c>
      <c r="F1043" s="20">
        <v>542.9</v>
      </c>
      <c r="G1043" s="20">
        <v>3949060</v>
      </c>
      <c r="H1043" s="20">
        <v>542.78</v>
      </c>
      <c r="I1043" s="20">
        <v>543.07000000000005</v>
      </c>
      <c r="J1043" s="22">
        <v>537.44000000000005</v>
      </c>
      <c r="K1043" s="2">
        <f t="shared" si="97"/>
        <v>129211.23500821473</v>
      </c>
      <c r="L1043" s="2">
        <f>IF(B1043&lt;&gt;B1042,L1042*(1+Dashboard!$G$5)+Dashboard!$G$6, L1042)</f>
        <v>124936.72076848822</v>
      </c>
      <c r="M1043">
        <f t="shared" si="95"/>
        <v>0</v>
      </c>
      <c r="N1043">
        <f t="shared" si="98"/>
        <v>238.00190644357107</v>
      </c>
      <c r="O1043">
        <f>IF(B1043&lt;&gt;B1042, Dashboard!$L$6,0)</f>
        <v>0</v>
      </c>
      <c r="P1043">
        <f t="shared" si="99"/>
        <v>234.69036268978209</v>
      </c>
      <c r="Q1043">
        <f>IF(B1043&lt;&gt;B1042,IF(F1043&lt;=AVERAGE(F1021:F1042),Dashboard!$N$6-Dashboard!$G$7,Dashboard!$N$6+Dashboard!$G$7),0)</f>
        <v>0</v>
      </c>
      <c r="R1043">
        <f t="shared" si="100"/>
        <v>233.46447782938344</v>
      </c>
    </row>
    <row r="1044" spans="1:18" x14ac:dyDescent="0.3">
      <c r="A1044" t="s">
        <v>128</v>
      </c>
      <c r="B1044">
        <v>11</v>
      </c>
      <c r="C1044" s="19">
        <v>21</v>
      </c>
      <c r="D1044" s="20">
        <v>2024</v>
      </c>
      <c r="E1044" s="21">
        <f t="shared" si="96"/>
        <v>45617</v>
      </c>
      <c r="F1044" s="20">
        <v>545.64</v>
      </c>
      <c r="G1044" s="20">
        <v>4530619</v>
      </c>
      <c r="H1044" s="20">
        <v>545.58000000000004</v>
      </c>
      <c r="I1044" s="20">
        <v>547.07000000000005</v>
      </c>
      <c r="J1044" s="22">
        <v>540.04</v>
      </c>
      <c r="K1044" s="2">
        <f t="shared" si="97"/>
        <v>129863.36023187012</v>
      </c>
      <c r="L1044" s="2">
        <f>IF(B1044&lt;&gt;B1043,L1043*(1+Dashboard!$G$5)+Dashboard!$G$6, L1043)</f>
        <v>124936.72076848822</v>
      </c>
      <c r="M1044">
        <f t="shared" si="95"/>
        <v>0</v>
      </c>
      <c r="N1044">
        <f t="shared" si="98"/>
        <v>238.00190644357107</v>
      </c>
      <c r="O1044">
        <f>IF(B1044&lt;&gt;B1043, Dashboard!$L$6,0)</f>
        <v>0</v>
      </c>
      <c r="P1044">
        <f t="shared" si="99"/>
        <v>234.69036268978209</v>
      </c>
      <c r="Q1044">
        <f>IF(B1044&lt;&gt;B1043,IF(F1044&lt;=AVERAGE(F1022:F1043),Dashboard!$N$6-Dashboard!$G$7,Dashboard!$N$6+Dashboard!$G$7),0)</f>
        <v>0</v>
      </c>
      <c r="R1044">
        <f t="shared" si="100"/>
        <v>233.46447782938344</v>
      </c>
    </row>
    <row r="1045" spans="1:18" x14ac:dyDescent="0.3">
      <c r="A1045" t="s">
        <v>127</v>
      </c>
      <c r="B1045">
        <v>11</v>
      </c>
      <c r="C1045" s="19">
        <v>22</v>
      </c>
      <c r="D1045" s="20">
        <v>2024</v>
      </c>
      <c r="E1045" s="21">
        <f t="shared" si="96"/>
        <v>45618</v>
      </c>
      <c r="F1045" s="20">
        <v>547.47</v>
      </c>
      <c r="G1045" s="20">
        <v>5574588</v>
      </c>
      <c r="H1045" s="20">
        <v>545.82000000000005</v>
      </c>
      <c r="I1045" s="20">
        <v>548.04960000000005</v>
      </c>
      <c r="J1045" s="22">
        <v>545.37</v>
      </c>
      <c r="K1045" s="2">
        <f t="shared" si="97"/>
        <v>130298.90372066187</v>
      </c>
      <c r="L1045" s="2">
        <f>IF(B1045&lt;&gt;B1044,L1044*(1+Dashboard!$G$5)+Dashboard!$G$6, L1044)</f>
        <v>124936.72076848822</v>
      </c>
      <c r="M1045">
        <f t="shared" si="95"/>
        <v>0</v>
      </c>
      <c r="N1045">
        <f t="shared" si="98"/>
        <v>238.00190644357107</v>
      </c>
      <c r="O1045">
        <f>IF(B1045&lt;&gt;B1044, Dashboard!$L$6,0)</f>
        <v>0</v>
      </c>
      <c r="P1045">
        <f t="shared" si="99"/>
        <v>234.69036268978209</v>
      </c>
      <c r="Q1045">
        <f>IF(B1045&lt;&gt;B1044,IF(F1045&lt;=AVERAGE(F1023:F1044),Dashboard!$N$6-Dashboard!$G$7,Dashboard!$N$6+Dashboard!$G$7),0)</f>
        <v>0</v>
      </c>
      <c r="R1045">
        <f t="shared" si="100"/>
        <v>233.46447782938344</v>
      </c>
    </row>
    <row r="1046" spans="1:18" x14ac:dyDescent="0.3">
      <c r="A1046" t="s">
        <v>126</v>
      </c>
      <c r="B1046">
        <v>11</v>
      </c>
      <c r="C1046" s="19">
        <v>25</v>
      </c>
      <c r="D1046" s="20">
        <v>2024</v>
      </c>
      <c r="E1046" s="21">
        <f t="shared" si="96"/>
        <v>45621</v>
      </c>
      <c r="F1046" s="20">
        <v>549.23</v>
      </c>
      <c r="G1046" s="20">
        <v>4305001</v>
      </c>
      <c r="H1046" s="20">
        <v>551.20000000000005</v>
      </c>
      <c r="I1046" s="20">
        <v>552.38</v>
      </c>
      <c r="J1046" s="22">
        <v>547.19989999999996</v>
      </c>
      <c r="K1046" s="2">
        <f t="shared" si="97"/>
        <v>130717.78707600254</v>
      </c>
      <c r="L1046" s="2">
        <f>IF(B1046&lt;&gt;B1045,L1045*(1+Dashboard!$G$5)+Dashboard!$G$6, L1045)</f>
        <v>124936.72076848822</v>
      </c>
      <c r="M1046">
        <f t="shared" si="95"/>
        <v>0</v>
      </c>
      <c r="N1046">
        <f t="shared" si="98"/>
        <v>238.00190644357107</v>
      </c>
      <c r="O1046">
        <f>IF(B1046&lt;&gt;B1045, Dashboard!$L$6,0)</f>
        <v>0</v>
      </c>
      <c r="P1046">
        <f t="shared" si="99"/>
        <v>234.69036268978209</v>
      </c>
      <c r="Q1046">
        <f>IF(B1046&lt;&gt;B1045,IF(F1046&lt;=AVERAGE(F1024:F1045),Dashboard!$N$6-Dashboard!$G$7,Dashboard!$N$6+Dashboard!$G$7),0)</f>
        <v>0</v>
      </c>
      <c r="R1046">
        <f t="shared" si="100"/>
        <v>233.46447782938344</v>
      </c>
    </row>
    <row r="1047" spans="1:18" x14ac:dyDescent="0.3">
      <c r="A1047" t="s">
        <v>125</v>
      </c>
      <c r="B1047">
        <v>11</v>
      </c>
      <c r="C1047" s="19">
        <v>26</v>
      </c>
      <c r="D1047" s="20">
        <v>2024</v>
      </c>
      <c r="E1047" s="21">
        <f t="shared" si="96"/>
        <v>45622</v>
      </c>
      <c r="F1047" s="20">
        <v>552.30999999999995</v>
      </c>
      <c r="G1047" s="20">
        <v>4438574</v>
      </c>
      <c r="H1047" s="20">
        <v>550.5</v>
      </c>
      <c r="I1047" s="20">
        <v>552.81989999999996</v>
      </c>
      <c r="J1047" s="22">
        <v>549.85</v>
      </c>
      <c r="K1047" s="2">
        <f t="shared" si="97"/>
        <v>131450.83294784871</v>
      </c>
      <c r="L1047" s="2">
        <f>IF(B1047&lt;&gt;B1046,L1046*(1+Dashboard!$G$5)+Dashboard!$G$6, L1046)</f>
        <v>124936.72076848822</v>
      </c>
      <c r="M1047">
        <f t="shared" si="95"/>
        <v>0</v>
      </c>
      <c r="N1047">
        <f t="shared" si="98"/>
        <v>238.00190644357107</v>
      </c>
      <c r="O1047">
        <f>IF(B1047&lt;&gt;B1046, Dashboard!$L$6,0)</f>
        <v>0</v>
      </c>
      <c r="P1047">
        <f t="shared" si="99"/>
        <v>234.69036268978209</v>
      </c>
      <c r="Q1047">
        <f>IF(B1047&lt;&gt;B1046,IF(F1047&lt;=AVERAGE(F1025:F1046),Dashboard!$N$6-Dashboard!$G$7,Dashboard!$N$6+Dashboard!$G$7),0)</f>
        <v>0</v>
      </c>
      <c r="R1047">
        <f t="shared" si="100"/>
        <v>233.46447782938344</v>
      </c>
    </row>
    <row r="1048" spans="1:18" x14ac:dyDescent="0.3">
      <c r="A1048" t="s">
        <v>124</v>
      </c>
      <c r="B1048">
        <v>11</v>
      </c>
      <c r="C1048" s="19">
        <v>27</v>
      </c>
      <c r="D1048" s="20">
        <v>2024</v>
      </c>
      <c r="E1048" s="21">
        <f t="shared" si="96"/>
        <v>45623</v>
      </c>
      <c r="F1048" s="20">
        <v>550.54999999999995</v>
      </c>
      <c r="G1048" s="20">
        <v>3312219</v>
      </c>
      <c r="H1048" s="20">
        <v>552.04</v>
      </c>
      <c r="I1048" s="20">
        <v>552.38</v>
      </c>
      <c r="J1048" s="22">
        <v>549.11</v>
      </c>
      <c r="K1048" s="2">
        <f t="shared" si="97"/>
        <v>131031.94959250804</v>
      </c>
      <c r="L1048" s="2">
        <f>IF(B1048&lt;&gt;B1047,L1047*(1+Dashboard!$G$5)+Dashboard!$G$6, L1047)</f>
        <v>124936.72076848822</v>
      </c>
      <c r="M1048">
        <f t="shared" si="95"/>
        <v>0</v>
      </c>
      <c r="N1048">
        <f t="shared" si="98"/>
        <v>238.00190644357107</v>
      </c>
      <c r="O1048">
        <f>IF(B1048&lt;&gt;B1047, Dashboard!$L$6,0)</f>
        <v>0</v>
      </c>
      <c r="P1048">
        <f t="shared" si="99"/>
        <v>234.69036268978209</v>
      </c>
      <c r="Q1048">
        <f>IF(B1048&lt;&gt;B1047,IF(F1048&lt;=AVERAGE(F1026:F1047),Dashboard!$N$6-Dashboard!$G$7,Dashboard!$N$6+Dashboard!$G$7),0)</f>
        <v>0</v>
      </c>
      <c r="R1048">
        <f t="shared" si="100"/>
        <v>233.46447782938344</v>
      </c>
    </row>
    <row r="1049" spans="1:18" x14ac:dyDescent="0.3">
      <c r="A1049" t="s">
        <v>123</v>
      </c>
      <c r="B1049">
        <v>11</v>
      </c>
      <c r="C1049" s="19">
        <v>29</v>
      </c>
      <c r="D1049" s="20">
        <v>2024</v>
      </c>
      <c r="E1049" s="21">
        <f t="shared" si="96"/>
        <v>45625</v>
      </c>
      <c r="F1049" s="20">
        <v>553.45000000000005</v>
      </c>
      <c r="G1049" s="20">
        <v>3988727</v>
      </c>
      <c r="H1049" s="20">
        <v>551.29</v>
      </c>
      <c r="I1049" s="20">
        <v>554.70000000000005</v>
      </c>
      <c r="J1049" s="22">
        <v>551.07000000000005</v>
      </c>
      <c r="K1049" s="2">
        <f t="shared" si="97"/>
        <v>131722.15512119443</v>
      </c>
      <c r="L1049" s="2">
        <f>IF(B1049&lt;&gt;B1048,L1048*(1+Dashboard!$G$5)+Dashboard!$G$6, L1048)</f>
        <v>124936.72076848822</v>
      </c>
      <c r="M1049">
        <f t="shared" ref="M1049:M1112" si="101">IF(B1049&lt;&gt;B1048,IF((L1049-K1049&gt;0),L1049-K1049,0),0)</f>
        <v>0</v>
      </c>
      <c r="N1049">
        <f t="shared" si="98"/>
        <v>238.00190644357107</v>
      </c>
      <c r="O1049">
        <f>IF(B1049&lt;&gt;B1048, Dashboard!$L$6,0)</f>
        <v>0</v>
      </c>
      <c r="P1049">
        <f t="shared" si="99"/>
        <v>234.69036268978209</v>
      </c>
      <c r="Q1049">
        <f>IF(B1049&lt;&gt;B1048,IF(F1049&lt;=AVERAGE(F1027:F1048),Dashboard!$N$6-Dashboard!$G$7,Dashboard!$N$6+Dashboard!$G$7),0)</f>
        <v>0</v>
      </c>
      <c r="R1049">
        <f t="shared" si="100"/>
        <v>233.46447782938344</v>
      </c>
    </row>
    <row r="1050" spans="1:18" x14ac:dyDescent="0.3">
      <c r="A1050" s="1">
        <v>45334</v>
      </c>
      <c r="B1050">
        <v>12</v>
      </c>
      <c r="C1050" s="19">
        <v>2</v>
      </c>
      <c r="D1050" s="20">
        <v>2024</v>
      </c>
      <c r="E1050" s="21">
        <f t="shared" si="96"/>
        <v>45628</v>
      </c>
      <c r="F1050" s="20">
        <v>555.01</v>
      </c>
      <c r="G1050" s="20">
        <v>5441011</v>
      </c>
      <c r="H1050" s="20">
        <v>554.36</v>
      </c>
      <c r="I1050" s="20">
        <v>555.57000000000005</v>
      </c>
      <c r="J1050" s="22">
        <v>553.89</v>
      </c>
      <c r="K1050" s="2">
        <f t="shared" si="97"/>
        <v>132093.43809524638</v>
      </c>
      <c r="L1050" s="2">
        <f>IF(B1050&lt;&gt;B1049,L1049*(1+Dashboard!$G$5)+Dashboard!$G$6, L1049)</f>
        <v>128036.1639112509</v>
      </c>
      <c r="M1050">
        <f t="shared" si="101"/>
        <v>0</v>
      </c>
      <c r="N1050">
        <f t="shared" si="98"/>
        <v>238.00190644357107</v>
      </c>
      <c r="O1050">
        <f>IF(B1050&lt;&gt;B1049, Dashboard!$L$6,0)</f>
        <v>1859.7282542371197</v>
      </c>
      <c r="P1050">
        <f t="shared" si="99"/>
        <v>238.04116403432926</v>
      </c>
      <c r="Q1050">
        <f>IF(B1050&lt;&gt;B1049,IF(F1050&lt;=AVERAGE(F1028:F1049),Dashboard!$N$6-Dashboard!$G$7,Dashboard!$N$6+Dashboard!$G$7),0)</f>
        <v>2232.609610169322</v>
      </c>
      <c r="R1050">
        <f t="shared" si="100"/>
        <v>237.49184201541655</v>
      </c>
    </row>
    <row r="1051" spans="1:18" x14ac:dyDescent="0.3">
      <c r="A1051" s="1">
        <v>45363</v>
      </c>
      <c r="B1051">
        <v>12</v>
      </c>
      <c r="C1051" s="19">
        <v>3</v>
      </c>
      <c r="D1051" s="20">
        <v>2024</v>
      </c>
      <c r="E1051" s="21">
        <f t="shared" si="96"/>
        <v>45629</v>
      </c>
      <c r="F1051" s="20">
        <v>555.14</v>
      </c>
      <c r="G1051" s="20">
        <v>4202906</v>
      </c>
      <c r="H1051" s="20">
        <v>554.79999999999995</v>
      </c>
      <c r="I1051" s="20">
        <v>555.43010000000004</v>
      </c>
      <c r="J1051" s="22">
        <v>553.79</v>
      </c>
      <c r="K1051" s="2">
        <f t="shared" si="97"/>
        <v>132124.37834308404</v>
      </c>
      <c r="L1051" s="2">
        <f>IF(B1051&lt;&gt;B1050,L1050*(1+Dashboard!$G$5)+Dashboard!$G$6, L1050)</f>
        <v>128036.1639112509</v>
      </c>
      <c r="M1051">
        <f t="shared" si="101"/>
        <v>0</v>
      </c>
      <c r="N1051">
        <f t="shared" si="98"/>
        <v>238.00190644357107</v>
      </c>
      <c r="O1051">
        <f>IF(B1051&lt;&gt;B1050, Dashboard!$L$6,0)</f>
        <v>0</v>
      </c>
      <c r="P1051">
        <f t="shared" si="99"/>
        <v>238.04116403432926</v>
      </c>
      <c r="Q1051">
        <f>IF(B1051&lt;&gt;B1050,IF(F1051&lt;=AVERAGE(F1029:F1050),Dashboard!$N$6-Dashboard!$G$7,Dashboard!$N$6+Dashboard!$G$7),0)</f>
        <v>0</v>
      </c>
      <c r="R1051">
        <f t="shared" si="100"/>
        <v>237.49184201541655</v>
      </c>
    </row>
    <row r="1052" spans="1:18" x14ac:dyDescent="0.3">
      <c r="A1052" s="1">
        <v>45394</v>
      </c>
      <c r="B1052">
        <v>12</v>
      </c>
      <c r="C1052" s="19">
        <v>4</v>
      </c>
      <c r="D1052" s="20">
        <v>2024</v>
      </c>
      <c r="E1052" s="21">
        <f t="shared" si="96"/>
        <v>45630</v>
      </c>
      <c r="F1052" s="20">
        <v>558.64</v>
      </c>
      <c r="G1052" s="20">
        <v>5490321</v>
      </c>
      <c r="H1052" s="20">
        <v>556.83000000000004</v>
      </c>
      <c r="I1052" s="20">
        <v>558.88</v>
      </c>
      <c r="J1052" s="22">
        <v>556.17100000000005</v>
      </c>
      <c r="K1052" s="2">
        <f t="shared" si="97"/>
        <v>132957.38501563654</v>
      </c>
      <c r="L1052" s="2">
        <f>IF(B1052&lt;&gt;B1051,L1051*(1+Dashboard!$G$5)+Dashboard!$G$6, L1051)</f>
        <v>128036.1639112509</v>
      </c>
      <c r="M1052">
        <f t="shared" si="101"/>
        <v>0</v>
      </c>
      <c r="N1052">
        <f t="shared" si="98"/>
        <v>238.00190644357107</v>
      </c>
      <c r="O1052">
        <f>IF(B1052&lt;&gt;B1051, Dashboard!$L$6,0)</f>
        <v>0</v>
      </c>
      <c r="P1052">
        <f t="shared" si="99"/>
        <v>238.04116403432926</v>
      </c>
      <c r="Q1052">
        <f>IF(B1052&lt;&gt;B1051,IF(F1052&lt;=AVERAGE(F1030:F1051),Dashboard!$N$6-Dashboard!$G$7,Dashboard!$N$6+Dashboard!$G$7),0)</f>
        <v>0</v>
      </c>
      <c r="R1052">
        <f t="shared" si="100"/>
        <v>237.49184201541655</v>
      </c>
    </row>
    <row r="1053" spans="1:18" x14ac:dyDescent="0.3">
      <c r="A1053" s="1">
        <v>45424</v>
      </c>
      <c r="B1053">
        <v>12</v>
      </c>
      <c r="C1053" s="19">
        <v>5</v>
      </c>
      <c r="D1053" s="20">
        <v>2024</v>
      </c>
      <c r="E1053" s="21">
        <f t="shared" si="96"/>
        <v>45631</v>
      </c>
      <c r="F1053" s="20">
        <v>557.71</v>
      </c>
      <c r="G1053" s="20">
        <v>3021561</v>
      </c>
      <c r="H1053" s="20">
        <v>558.63</v>
      </c>
      <c r="I1053" s="20">
        <v>559.41</v>
      </c>
      <c r="J1053" s="22">
        <v>557.46</v>
      </c>
      <c r="K1053" s="2">
        <f t="shared" si="97"/>
        <v>132736.04324264402</v>
      </c>
      <c r="L1053" s="2">
        <f>IF(B1053&lt;&gt;B1052,L1052*(1+Dashboard!$G$5)+Dashboard!$G$6, L1052)</f>
        <v>128036.1639112509</v>
      </c>
      <c r="M1053">
        <f t="shared" si="101"/>
        <v>0</v>
      </c>
      <c r="N1053">
        <f t="shared" si="98"/>
        <v>238.00190644357107</v>
      </c>
      <c r="O1053">
        <f>IF(B1053&lt;&gt;B1052, Dashboard!$L$6,0)</f>
        <v>0</v>
      </c>
      <c r="P1053">
        <f t="shared" si="99"/>
        <v>238.04116403432926</v>
      </c>
      <c r="Q1053">
        <f>IF(B1053&lt;&gt;B1052,IF(F1053&lt;=AVERAGE(F1031:F1052),Dashboard!$N$6-Dashboard!$G$7,Dashboard!$N$6+Dashboard!$G$7),0)</f>
        <v>0</v>
      </c>
      <c r="R1053">
        <f t="shared" si="100"/>
        <v>237.49184201541655</v>
      </c>
    </row>
    <row r="1054" spans="1:18" x14ac:dyDescent="0.3">
      <c r="A1054" s="1">
        <v>45455</v>
      </c>
      <c r="B1054">
        <v>12</v>
      </c>
      <c r="C1054" s="19">
        <v>6</v>
      </c>
      <c r="D1054" s="20">
        <v>2024</v>
      </c>
      <c r="E1054" s="21">
        <f t="shared" si="96"/>
        <v>45632</v>
      </c>
      <c r="F1054" s="20">
        <v>558.82000000000005</v>
      </c>
      <c r="G1054" s="20">
        <v>5134880</v>
      </c>
      <c r="H1054" s="20">
        <v>558.47</v>
      </c>
      <c r="I1054" s="20">
        <v>559.96</v>
      </c>
      <c r="J1054" s="22">
        <v>558.08000000000004</v>
      </c>
      <c r="K1054" s="2">
        <f t="shared" si="97"/>
        <v>133000.22535879639</v>
      </c>
      <c r="L1054" s="2">
        <f>IF(B1054&lt;&gt;B1053,L1053*(1+Dashboard!$G$5)+Dashboard!$G$6, L1053)</f>
        <v>128036.1639112509</v>
      </c>
      <c r="M1054">
        <f t="shared" si="101"/>
        <v>0</v>
      </c>
      <c r="N1054">
        <f t="shared" si="98"/>
        <v>238.00190644357107</v>
      </c>
      <c r="O1054">
        <f>IF(B1054&lt;&gt;B1053, Dashboard!$L$6,0)</f>
        <v>0</v>
      </c>
      <c r="P1054">
        <f t="shared" si="99"/>
        <v>238.04116403432926</v>
      </c>
      <c r="Q1054">
        <f>IF(B1054&lt;&gt;B1053,IF(F1054&lt;=AVERAGE(F1032:F1053),Dashboard!$N$6-Dashboard!$G$7,Dashboard!$N$6+Dashboard!$G$7),0)</f>
        <v>0</v>
      </c>
      <c r="R1054">
        <f t="shared" si="100"/>
        <v>237.49184201541655</v>
      </c>
    </row>
    <row r="1055" spans="1:18" x14ac:dyDescent="0.3">
      <c r="A1055" s="1">
        <v>45547</v>
      </c>
      <c r="B1055">
        <v>12</v>
      </c>
      <c r="C1055" s="19">
        <v>9</v>
      </c>
      <c r="D1055" s="20">
        <v>2024</v>
      </c>
      <c r="E1055" s="21">
        <f t="shared" si="96"/>
        <v>45635</v>
      </c>
      <c r="F1055" s="20">
        <v>555.91</v>
      </c>
      <c r="G1055" s="20">
        <v>4412276</v>
      </c>
      <c r="H1055" s="20">
        <v>558.71</v>
      </c>
      <c r="I1055" s="20">
        <v>558.86500000000001</v>
      </c>
      <c r="J1055" s="22">
        <v>555.38</v>
      </c>
      <c r="K1055" s="2">
        <f t="shared" si="97"/>
        <v>132307.63981104558</v>
      </c>
      <c r="L1055" s="2">
        <f>IF(B1055&lt;&gt;B1054,L1054*(1+Dashboard!$G$5)+Dashboard!$G$6, L1054)</f>
        <v>128036.1639112509</v>
      </c>
      <c r="M1055">
        <f t="shared" si="101"/>
        <v>0</v>
      </c>
      <c r="N1055">
        <f t="shared" si="98"/>
        <v>238.00190644357107</v>
      </c>
      <c r="O1055">
        <f>IF(B1055&lt;&gt;B1054, Dashboard!$L$6,0)</f>
        <v>0</v>
      </c>
      <c r="P1055">
        <f t="shared" si="99"/>
        <v>238.04116403432926</v>
      </c>
      <c r="Q1055">
        <f>IF(B1055&lt;&gt;B1054,IF(F1055&lt;=AVERAGE(F1033:F1054),Dashboard!$N$6-Dashboard!$G$7,Dashboard!$N$6+Dashboard!$G$7),0)</f>
        <v>0</v>
      </c>
      <c r="R1055">
        <f t="shared" si="100"/>
        <v>237.49184201541655</v>
      </c>
    </row>
    <row r="1056" spans="1:18" x14ac:dyDescent="0.3">
      <c r="A1056" s="1">
        <v>45577</v>
      </c>
      <c r="B1056">
        <v>12</v>
      </c>
      <c r="C1056" s="19">
        <v>10</v>
      </c>
      <c r="D1056" s="20">
        <v>2024</v>
      </c>
      <c r="E1056" s="21">
        <f t="shared" si="96"/>
        <v>45636</v>
      </c>
      <c r="F1056" s="20">
        <v>554.33000000000004</v>
      </c>
      <c r="G1056" s="20">
        <v>4110113</v>
      </c>
      <c r="H1056" s="20">
        <v>556.58000000000004</v>
      </c>
      <c r="I1056" s="20">
        <v>556.88</v>
      </c>
      <c r="J1056" s="22">
        <v>553.57000000000005</v>
      </c>
      <c r="K1056" s="2">
        <f t="shared" si="97"/>
        <v>131931.59679886478</v>
      </c>
      <c r="L1056" s="2">
        <f>IF(B1056&lt;&gt;B1055,L1055*(1+Dashboard!$G$5)+Dashboard!$G$6, L1055)</f>
        <v>128036.1639112509</v>
      </c>
      <c r="M1056">
        <f t="shared" si="101"/>
        <v>0</v>
      </c>
      <c r="N1056">
        <f t="shared" si="98"/>
        <v>238.00190644357107</v>
      </c>
      <c r="O1056">
        <f>IF(B1056&lt;&gt;B1055, Dashboard!$L$6,0)</f>
        <v>0</v>
      </c>
      <c r="P1056">
        <f t="shared" si="99"/>
        <v>238.04116403432926</v>
      </c>
      <c r="Q1056">
        <f>IF(B1056&lt;&gt;B1055,IF(F1056&lt;=AVERAGE(F1034:F1055),Dashboard!$N$6-Dashboard!$G$7,Dashboard!$N$6+Dashboard!$G$7),0)</f>
        <v>0</v>
      </c>
      <c r="R1056">
        <f t="shared" si="100"/>
        <v>237.49184201541655</v>
      </c>
    </row>
    <row r="1057" spans="1:18" x14ac:dyDescent="0.3">
      <c r="A1057" s="1">
        <v>45608</v>
      </c>
      <c r="B1057">
        <v>12</v>
      </c>
      <c r="C1057" s="19">
        <v>11</v>
      </c>
      <c r="D1057" s="20">
        <v>2024</v>
      </c>
      <c r="E1057" s="21">
        <f t="shared" si="96"/>
        <v>45637</v>
      </c>
      <c r="F1057" s="20">
        <v>558.53</v>
      </c>
      <c r="G1057" s="20">
        <v>3514417</v>
      </c>
      <c r="H1057" s="20">
        <v>556.91999999999996</v>
      </c>
      <c r="I1057" s="20">
        <v>559.39</v>
      </c>
      <c r="J1057" s="22">
        <v>556.66</v>
      </c>
      <c r="K1057" s="2">
        <f t="shared" si="97"/>
        <v>132931.20480592776</v>
      </c>
      <c r="L1057" s="2">
        <f>IF(B1057&lt;&gt;B1056,L1056*(1+Dashboard!$G$5)+Dashboard!$G$6, L1056)</f>
        <v>128036.1639112509</v>
      </c>
      <c r="M1057">
        <f t="shared" si="101"/>
        <v>0</v>
      </c>
      <c r="N1057">
        <f t="shared" si="98"/>
        <v>238.00190644357107</v>
      </c>
      <c r="O1057">
        <f>IF(B1057&lt;&gt;B1056, Dashboard!$L$6,0)</f>
        <v>0</v>
      </c>
      <c r="P1057">
        <f t="shared" si="99"/>
        <v>238.04116403432926</v>
      </c>
      <c r="Q1057">
        <f>IF(B1057&lt;&gt;B1056,IF(F1057&lt;=AVERAGE(F1035:F1056),Dashboard!$N$6-Dashboard!$G$7,Dashboard!$N$6+Dashboard!$G$7),0)</f>
        <v>0</v>
      </c>
      <c r="R1057">
        <f t="shared" si="100"/>
        <v>237.49184201541655</v>
      </c>
    </row>
    <row r="1058" spans="1:18" x14ac:dyDescent="0.3">
      <c r="A1058" s="1">
        <v>45638</v>
      </c>
      <c r="B1058">
        <v>12</v>
      </c>
      <c r="C1058" s="19">
        <v>12</v>
      </c>
      <c r="D1058" s="20">
        <v>2024</v>
      </c>
      <c r="E1058" s="21">
        <f t="shared" si="96"/>
        <v>45638</v>
      </c>
      <c r="F1058" s="20">
        <v>555.65</v>
      </c>
      <c r="G1058" s="20">
        <v>4048602</v>
      </c>
      <c r="H1058" s="20">
        <v>557.66999999999996</v>
      </c>
      <c r="I1058" s="20">
        <v>558.20000000000005</v>
      </c>
      <c r="J1058" s="22">
        <v>555.62</v>
      </c>
      <c r="K1058" s="2">
        <f t="shared" si="97"/>
        <v>132245.75931537026</v>
      </c>
      <c r="L1058" s="2">
        <f>IF(B1058&lt;&gt;B1057,L1057*(1+Dashboard!$G$5)+Dashboard!$G$6, L1057)</f>
        <v>128036.1639112509</v>
      </c>
      <c r="M1058">
        <f t="shared" si="101"/>
        <v>0</v>
      </c>
      <c r="N1058">
        <f t="shared" si="98"/>
        <v>238.00190644357107</v>
      </c>
      <c r="O1058">
        <f>IF(B1058&lt;&gt;B1057, Dashboard!$L$6,0)</f>
        <v>0</v>
      </c>
      <c r="P1058">
        <f t="shared" si="99"/>
        <v>238.04116403432926</v>
      </c>
      <c r="Q1058">
        <f>IF(B1058&lt;&gt;B1057,IF(F1058&lt;=AVERAGE(F1036:F1057),Dashboard!$N$6-Dashboard!$G$7,Dashboard!$N$6+Dashboard!$G$7),0)</f>
        <v>0</v>
      </c>
      <c r="R1058">
        <f t="shared" si="100"/>
        <v>237.49184201541655</v>
      </c>
    </row>
    <row r="1059" spans="1:18" x14ac:dyDescent="0.3">
      <c r="A1059" t="s">
        <v>122</v>
      </c>
      <c r="B1059">
        <v>12</v>
      </c>
      <c r="C1059" s="19">
        <v>13</v>
      </c>
      <c r="D1059" s="20">
        <v>2024</v>
      </c>
      <c r="E1059" s="21">
        <f t="shared" si="96"/>
        <v>45639</v>
      </c>
      <c r="F1059" s="20">
        <v>555.61</v>
      </c>
      <c r="G1059" s="20">
        <v>4666863</v>
      </c>
      <c r="H1059" s="20">
        <v>557.51</v>
      </c>
      <c r="I1059" s="20">
        <v>558.16</v>
      </c>
      <c r="J1059" s="22">
        <v>554.20439999999996</v>
      </c>
      <c r="K1059" s="2">
        <f t="shared" si="97"/>
        <v>132236.23923911253</v>
      </c>
      <c r="L1059" s="2">
        <f>IF(B1059&lt;&gt;B1058,L1058*(1+Dashboard!$G$5)+Dashboard!$G$6, L1058)</f>
        <v>128036.1639112509</v>
      </c>
      <c r="M1059">
        <f t="shared" si="101"/>
        <v>0</v>
      </c>
      <c r="N1059">
        <f t="shared" si="98"/>
        <v>238.00190644357107</v>
      </c>
      <c r="O1059">
        <f>IF(B1059&lt;&gt;B1058, Dashboard!$L$6,0)</f>
        <v>0</v>
      </c>
      <c r="P1059">
        <f t="shared" si="99"/>
        <v>238.04116403432926</v>
      </c>
      <c r="Q1059">
        <f>IF(B1059&lt;&gt;B1058,IF(F1059&lt;=AVERAGE(F1037:F1058),Dashboard!$N$6-Dashboard!$G$7,Dashboard!$N$6+Dashboard!$G$7),0)</f>
        <v>0</v>
      </c>
      <c r="R1059">
        <f t="shared" si="100"/>
        <v>237.49184201541655</v>
      </c>
    </row>
    <row r="1060" spans="1:18" x14ac:dyDescent="0.3">
      <c r="A1060" t="s">
        <v>121</v>
      </c>
      <c r="B1060">
        <v>12</v>
      </c>
      <c r="C1060" s="19">
        <v>16</v>
      </c>
      <c r="D1060" s="20">
        <v>2024</v>
      </c>
      <c r="E1060" s="21">
        <f t="shared" si="96"/>
        <v>45642</v>
      </c>
      <c r="F1060" s="20">
        <v>557.79</v>
      </c>
      <c r="G1060" s="20">
        <v>22846780</v>
      </c>
      <c r="H1060" s="20">
        <v>557.13</v>
      </c>
      <c r="I1060" s="20">
        <v>558.79830000000004</v>
      </c>
      <c r="J1060" s="22">
        <v>556.41499999999996</v>
      </c>
      <c r="K1060" s="2">
        <f t="shared" si="97"/>
        <v>132755.08339515951</v>
      </c>
      <c r="L1060" s="2">
        <f>IF(B1060&lt;&gt;B1059,L1059*(1+Dashboard!$G$5)+Dashboard!$G$6, L1059)</f>
        <v>128036.1639112509</v>
      </c>
      <c r="M1060">
        <f t="shared" si="101"/>
        <v>0</v>
      </c>
      <c r="N1060">
        <f t="shared" si="98"/>
        <v>238.00190644357107</v>
      </c>
      <c r="O1060">
        <f>IF(B1060&lt;&gt;B1059, Dashboard!$L$6,0)</f>
        <v>0</v>
      </c>
      <c r="P1060">
        <f t="shared" si="99"/>
        <v>238.04116403432926</v>
      </c>
      <c r="Q1060">
        <f>IF(B1060&lt;&gt;B1059,IF(F1060&lt;=AVERAGE(F1038:F1059),Dashboard!$N$6-Dashboard!$G$7,Dashboard!$N$6+Dashboard!$G$7),0)</f>
        <v>0</v>
      </c>
      <c r="R1060">
        <f t="shared" si="100"/>
        <v>237.49184201541655</v>
      </c>
    </row>
    <row r="1061" spans="1:18" x14ac:dyDescent="0.3">
      <c r="A1061" t="s">
        <v>120</v>
      </c>
      <c r="B1061">
        <v>12</v>
      </c>
      <c r="C1061" s="19">
        <v>17</v>
      </c>
      <c r="D1061" s="20">
        <v>2024</v>
      </c>
      <c r="E1061" s="21">
        <f t="shared" si="96"/>
        <v>45643</v>
      </c>
      <c r="F1061" s="20">
        <v>555.45000000000005</v>
      </c>
      <c r="G1061" s="20">
        <v>6110880</v>
      </c>
      <c r="H1061" s="20">
        <v>555.47</v>
      </c>
      <c r="I1061" s="20">
        <v>556.38499999999999</v>
      </c>
      <c r="J1061" s="22">
        <v>554.29</v>
      </c>
      <c r="K1061" s="2">
        <f t="shared" si="97"/>
        <v>132198.15893408156</v>
      </c>
      <c r="L1061" s="2">
        <f>IF(B1061&lt;&gt;B1060,L1060*(1+Dashboard!$G$5)+Dashboard!$G$6, L1060)</f>
        <v>128036.1639112509</v>
      </c>
      <c r="M1061">
        <f t="shared" si="101"/>
        <v>0</v>
      </c>
      <c r="N1061">
        <f t="shared" si="98"/>
        <v>238.00190644357107</v>
      </c>
      <c r="O1061">
        <f>IF(B1061&lt;&gt;B1060, Dashboard!$L$6,0)</f>
        <v>0</v>
      </c>
      <c r="P1061">
        <f t="shared" si="99"/>
        <v>238.04116403432926</v>
      </c>
      <c r="Q1061">
        <f>IF(B1061&lt;&gt;B1060,IF(F1061&lt;=AVERAGE(F1039:F1060),Dashboard!$N$6-Dashboard!$G$7,Dashboard!$N$6+Dashboard!$G$7),0)</f>
        <v>0</v>
      </c>
      <c r="R1061">
        <f t="shared" si="100"/>
        <v>237.49184201541655</v>
      </c>
    </row>
    <row r="1062" spans="1:18" x14ac:dyDescent="0.3">
      <c r="A1062" t="s">
        <v>119</v>
      </c>
      <c r="B1062">
        <v>12</v>
      </c>
      <c r="C1062" s="19">
        <v>18</v>
      </c>
      <c r="D1062" s="20">
        <v>2024</v>
      </c>
      <c r="E1062" s="21">
        <f t="shared" si="96"/>
        <v>45644</v>
      </c>
      <c r="F1062" s="20">
        <v>539.14</v>
      </c>
      <c r="G1062" s="20">
        <v>24584930</v>
      </c>
      <c r="H1062" s="20">
        <v>555.29999999999995</v>
      </c>
      <c r="I1062" s="20">
        <v>557.53</v>
      </c>
      <c r="J1062" s="22">
        <v>538.53</v>
      </c>
      <c r="K1062" s="2">
        <f t="shared" si="97"/>
        <v>128316.34783998691</v>
      </c>
      <c r="L1062" s="2">
        <f>IF(B1062&lt;&gt;B1061,L1061*(1+Dashboard!$G$5)+Dashboard!$G$6, L1061)</f>
        <v>128036.1639112509</v>
      </c>
      <c r="M1062">
        <f t="shared" si="101"/>
        <v>0</v>
      </c>
      <c r="N1062">
        <f t="shared" si="98"/>
        <v>238.00190644357107</v>
      </c>
      <c r="O1062">
        <f>IF(B1062&lt;&gt;B1061, Dashboard!$L$6,0)</f>
        <v>0</v>
      </c>
      <c r="P1062">
        <f t="shared" si="99"/>
        <v>238.04116403432926</v>
      </c>
      <c r="Q1062">
        <f>IF(B1062&lt;&gt;B1061,IF(F1062&lt;=AVERAGE(F1040:F1061),Dashboard!$N$6-Dashboard!$G$7,Dashboard!$N$6+Dashboard!$G$7),0)</f>
        <v>0</v>
      </c>
      <c r="R1062">
        <f t="shared" si="100"/>
        <v>237.49184201541655</v>
      </c>
    </row>
    <row r="1063" spans="1:18" x14ac:dyDescent="0.3">
      <c r="A1063" t="s">
        <v>118</v>
      </c>
      <c r="B1063">
        <v>12</v>
      </c>
      <c r="C1063" s="19">
        <v>19</v>
      </c>
      <c r="D1063" s="20">
        <v>2024</v>
      </c>
      <c r="E1063" s="21">
        <f t="shared" si="96"/>
        <v>45645</v>
      </c>
      <c r="F1063" s="20">
        <v>538.94000000000005</v>
      </c>
      <c r="G1063" s="20">
        <v>16792130</v>
      </c>
      <c r="H1063" s="20">
        <v>543.69000000000005</v>
      </c>
      <c r="I1063" s="20">
        <v>545.1</v>
      </c>
      <c r="J1063" s="22">
        <v>538.65</v>
      </c>
      <c r="K1063" s="2">
        <f t="shared" si="97"/>
        <v>128268.74745869821</v>
      </c>
      <c r="L1063" s="2">
        <f>IF(B1063&lt;&gt;B1062,L1062*(1+Dashboard!$G$5)+Dashboard!$G$6, L1062)</f>
        <v>128036.1639112509</v>
      </c>
      <c r="M1063">
        <f t="shared" si="101"/>
        <v>0</v>
      </c>
      <c r="N1063">
        <f t="shared" si="98"/>
        <v>238.00190644357107</v>
      </c>
      <c r="O1063">
        <f>IF(B1063&lt;&gt;B1062, Dashboard!$L$6,0)</f>
        <v>0</v>
      </c>
      <c r="P1063">
        <f t="shared" si="99"/>
        <v>238.04116403432926</v>
      </c>
      <c r="Q1063">
        <f>IF(B1063&lt;&gt;B1062,IF(F1063&lt;=AVERAGE(F1041:F1062),Dashboard!$N$6-Dashboard!$G$7,Dashboard!$N$6+Dashboard!$G$7),0)</f>
        <v>0</v>
      </c>
      <c r="R1063">
        <f t="shared" si="100"/>
        <v>237.49184201541655</v>
      </c>
    </row>
    <row r="1064" spans="1:18" x14ac:dyDescent="0.3">
      <c r="A1064" t="s">
        <v>117</v>
      </c>
      <c r="B1064">
        <v>12</v>
      </c>
      <c r="C1064" s="19">
        <v>20</v>
      </c>
      <c r="D1064" s="20">
        <v>2024</v>
      </c>
      <c r="E1064" s="21">
        <f t="shared" si="96"/>
        <v>45646</v>
      </c>
      <c r="F1064" s="20">
        <v>545.04</v>
      </c>
      <c r="G1064" s="20">
        <v>9389413</v>
      </c>
      <c r="H1064" s="20">
        <v>536.61</v>
      </c>
      <c r="I1064" s="20">
        <v>549.54</v>
      </c>
      <c r="J1064" s="22">
        <v>535.85</v>
      </c>
      <c r="K1064" s="2">
        <f t="shared" si="97"/>
        <v>129720.55908800397</v>
      </c>
      <c r="L1064" s="2">
        <f>IF(B1064&lt;&gt;B1063,L1063*(1+Dashboard!$G$5)+Dashboard!$G$6, L1063)</f>
        <v>128036.1639112509</v>
      </c>
      <c r="M1064">
        <f t="shared" si="101"/>
        <v>0</v>
      </c>
      <c r="N1064">
        <f t="shared" si="98"/>
        <v>238.00190644357107</v>
      </c>
      <c r="O1064">
        <f>IF(B1064&lt;&gt;B1063, Dashboard!$L$6,0)</f>
        <v>0</v>
      </c>
      <c r="P1064">
        <f t="shared" si="99"/>
        <v>238.04116403432926</v>
      </c>
      <c r="Q1064">
        <f>IF(B1064&lt;&gt;B1063,IF(F1064&lt;=AVERAGE(F1042:F1063),Dashboard!$N$6-Dashboard!$G$7,Dashboard!$N$6+Dashboard!$G$7),0)</f>
        <v>0</v>
      </c>
      <c r="R1064">
        <f t="shared" si="100"/>
        <v>237.49184201541655</v>
      </c>
    </row>
    <row r="1065" spans="1:18" x14ac:dyDescent="0.3">
      <c r="A1065" t="s">
        <v>116</v>
      </c>
      <c r="B1065">
        <v>12</v>
      </c>
      <c r="C1065" s="19">
        <v>23</v>
      </c>
      <c r="D1065" s="20">
        <v>2024</v>
      </c>
      <c r="E1065" s="21">
        <f t="shared" si="96"/>
        <v>45649</v>
      </c>
      <c r="F1065" s="20">
        <v>547.19000000000005</v>
      </c>
      <c r="G1065" s="20">
        <v>7063355</v>
      </c>
      <c r="H1065" s="20">
        <v>543.30999999999995</v>
      </c>
      <c r="I1065" s="20">
        <v>547.36</v>
      </c>
      <c r="J1065" s="22">
        <v>540.32000000000005</v>
      </c>
      <c r="K1065" s="2">
        <f t="shared" si="97"/>
        <v>130232.26318685767</v>
      </c>
      <c r="L1065" s="2">
        <f>IF(B1065&lt;&gt;B1064,L1064*(1+Dashboard!$G$5)+Dashboard!$G$6, L1064)</f>
        <v>128036.1639112509</v>
      </c>
      <c r="M1065">
        <f t="shared" si="101"/>
        <v>0</v>
      </c>
      <c r="N1065">
        <f t="shared" si="98"/>
        <v>238.00190644357107</v>
      </c>
      <c r="O1065">
        <f>IF(B1065&lt;&gt;B1064, Dashboard!$L$6,0)</f>
        <v>0</v>
      </c>
      <c r="P1065">
        <f t="shared" si="99"/>
        <v>238.04116403432926</v>
      </c>
      <c r="Q1065">
        <f>IF(B1065&lt;&gt;B1064,IF(F1065&lt;=AVERAGE(F1043:F1064),Dashboard!$N$6-Dashboard!$G$7,Dashboard!$N$6+Dashboard!$G$7),0)</f>
        <v>0</v>
      </c>
      <c r="R1065">
        <f t="shared" si="100"/>
        <v>237.49184201541655</v>
      </c>
    </row>
    <row r="1066" spans="1:18" x14ac:dyDescent="0.3">
      <c r="A1066" t="s">
        <v>115</v>
      </c>
      <c r="B1066">
        <v>12</v>
      </c>
      <c r="C1066" s="19">
        <v>24</v>
      </c>
      <c r="D1066" s="20">
        <v>2024</v>
      </c>
      <c r="E1066" s="21">
        <f t="shared" si="96"/>
        <v>45650</v>
      </c>
      <c r="F1066" s="20">
        <v>552.82000000000005</v>
      </c>
      <c r="G1066" s="20">
        <v>3439250</v>
      </c>
      <c r="H1066" s="20">
        <v>548.05999999999995</v>
      </c>
      <c r="I1066" s="20">
        <v>552.9</v>
      </c>
      <c r="J1066" s="22">
        <v>547.54</v>
      </c>
      <c r="K1066" s="2">
        <f t="shared" si="97"/>
        <v>131572.21392013496</v>
      </c>
      <c r="L1066" s="2">
        <f>IF(B1066&lt;&gt;B1065,L1065*(1+Dashboard!$G$5)+Dashboard!$G$6, L1065)</f>
        <v>128036.1639112509</v>
      </c>
      <c r="M1066">
        <f t="shared" si="101"/>
        <v>0</v>
      </c>
      <c r="N1066">
        <f t="shared" si="98"/>
        <v>238.00190644357107</v>
      </c>
      <c r="O1066">
        <f>IF(B1066&lt;&gt;B1065, Dashboard!$L$6,0)</f>
        <v>0</v>
      </c>
      <c r="P1066">
        <f t="shared" si="99"/>
        <v>238.04116403432926</v>
      </c>
      <c r="Q1066">
        <f>IF(B1066&lt;&gt;B1065,IF(F1066&lt;=AVERAGE(F1044:F1065),Dashboard!$N$6-Dashboard!$G$7,Dashboard!$N$6+Dashboard!$G$7),0)</f>
        <v>0</v>
      </c>
      <c r="R1066">
        <f t="shared" si="100"/>
        <v>237.49184201541655</v>
      </c>
    </row>
    <row r="1067" spans="1:18" x14ac:dyDescent="0.3">
      <c r="A1067" t="s">
        <v>114</v>
      </c>
      <c r="B1067">
        <v>12</v>
      </c>
      <c r="C1067" s="19">
        <v>26</v>
      </c>
      <c r="D1067" s="20">
        <v>2024</v>
      </c>
      <c r="E1067" s="21">
        <f t="shared" si="96"/>
        <v>45652</v>
      </c>
      <c r="F1067" s="20">
        <v>552.80999999999995</v>
      </c>
      <c r="G1067" s="20">
        <v>4496268</v>
      </c>
      <c r="H1067" s="20">
        <v>551.20000000000005</v>
      </c>
      <c r="I1067" s="20">
        <v>553.97</v>
      </c>
      <c r="J1067" s="22">
        <v>549.92010000000005</v>
      </c>
      <c r="K1067" s="2">
        <f t="shared" si="97"/>
        <v>131569.83390107052</v>
      </c>
      <c r="L1067" s="2">
        <f>IF(B1067&lt;&gt;B1066,L1066*(1+Dashboard!$G$5)+Dashboard!$G$6, L1066)</f>
        <v>128036.1639112509</v>
      </c>
      <c r="M1067">
        <f t="shared" si="101"/>
        <v>0</v>
      </c>
      <c r="N1067">
        <f t="shared" si="98"/>
        <v>238.00190644357107</v>
      </c>
      <c r="O1067">
        <f>IF(B1067&lt;&gt;B1066, Dashboard!$L$6,0)</f>
        <v>0</v>
      </c>
      <c r="P1067">
        <f t="shared" si="99"/>
        <v>238.04116403432926</v>
      </c>
      <c r="Q1067">
        <f>IF(B1067&lt;&gt;B1066,IF(F1067&lt;=AVERAGE(F1045:F1066),Dashboard!$N$6-Dashboard!$G$7,Dashboard!$N$6+Dashboard!$G$7),0)</f>
        <v>0</v>
      </c>
      <c r="R1067">
        <f t="shared" si="100"/>
        <v>237.49184201541655</v>
      </c>
    </row>
    <row r="1068" spans="1:18" x14ac:dyDescent="0.3">
      <c r="A1068" t="s">
        <v>113</v>
      </c>
      <c r="B1068">
        <v>12</v>
      </c>
      <c r="C1068" s="19">
        <v>27</v>
      </c>
      <c r="D1068" s="20">
        <v>2024</v>
      </c>
      <c r="E1068" s="21">
        <f t="shared" si="96"/>
        <v>45653</v>
      </c>
      <c r="F1068" s="20">
        <v>547.08000000000004</v>
      </c>
      <c r="G1068" s="20">
        <v>7077135</v>
      </c>
      <c r="H1068" s="20">
        <v>549.37</v>
      </c>
      <c r="I1068" s="20">
        <v>549.62</v>
      </c>
      <c r="J1068" s="22">
        <v>543.20010000000002</v>
      </c>
      <c r="K1068" s="2">
        <f t="shared" si="97"/>
        <v>130206.08297714888</v>
      </c>
      <c r="L1068" s="2">
        <f>IF(B1068&lt;&gt;B1067,L1067*(1+Dashboard!$G$5)+Dashboard!$G$6, L1067)</f>
        <v>128036.1639112509</v>
      </c>
      <c r="M1068">
        <f t="shared" si="101"/>
        <v>0</v>
      </c>
      <c r="N1068">
        <f t="shared" si="98"/>
        <v>238.00190644357107</v>
      </c>
      <c r="O1068">
        <f>IF(B1068&lt;&gt;B1067, Dashboard!$L$6,0)</f>
        <v>0</v>
      </c>
      <c r="P1068">
        <f t="shared" si="99"/>
        <v>238.04116403432926</v>
      </c>
      <c r="Q1068">
        <f>IF(B1068&lt;&gt;B1067,IF(F1068&lt;=AVERAGE(F1046:F1067),Dashboard!$N$6-Dashboard!$G$7,Dashboard!$N$6+Dashboard!$G$7),0)</f>
        <v>0</v>
      </c>
      <c r="R1068">
        <f t="shared" si="100"/>
        <v>237.49184201541655</v>
      </c>
    </row>
    <row r="1069" spans="1:18" x14ac:dyDescent="0.3">
      <c r="A1069" t="s">
        <v>112</v>
      </c>
      <c r="B1069">
        <v>12</v>
      </c>
      <c r="C1069" s="19">
        <v>30</v>
      </c>
      <c r="D1069" s="20">
        <v>2024</v>
      </c>
      <c r="E1069" s="21">
        <f t="shared" si="96"/>
        <v>45656</v>
      </c>
      <c r="F1069" s="20">
        <v>540.99</v>
      </c>
      <c r="G1069" s="20">
        <v>6505089</v>
      </c>
      <c r="H1069" s="20">
        <v>540.55999999999995</v>
      </c>
      <c r="I1069" s="20">
        <v>544.09</v>
      </c>
      <c r="J1069" s="22">
        <v>537.4</v>
      </c>
      <c r="K1069" s="2">
        <f t="shared" si="97"/>
        <v>128756.65136690752</v>
      </c>
      <c r="L1069" s="2">
        <f>IF(B1069&lt;&gt;B1068,L1068*(1+Dashboard!$G$5)+Dashboard!$G$6, L1068)</f>
        <v>128036.1639112509</v>
      </c>
      <c r="M1069">
        <f t="shared" si="101"/>
        <v>0</v>
      </c>
      <c r="N1069">
        <f t="shared" si="98"/>
        <v>238.00190644357107</v>
      </c>
      <c r="O1069">
        <f>IF(B1069&lt;&gt;B1068, Dashboard!$L$6,0)</f>
        <v>0</v>
      </c>
      <c r="P1069">
        <f t="shared" si="99"/>
        <v>238.04116403432926</v>
      </c>
      <c r="Q1069">
        <f>IF(B1069&lt;&gt;B1068,IF(F1069&lt;=AVERAGE(F1047:F1068),Dashboard!$N$6-Dashboard!$G$7,Dashboard!$N$6+Dashboard!$G$7),0)</f>
        <v>0</v>
      </c>
      <c r="R1069">
        <f t="shared" si="100"/>
        <v>237.49184201541655</v>
      </c>
    </row>
    <row r="1070" spans="1:18" x14ac:dyDescent="0.3">
      <c r="A1070" t="s">
        <v>111</v>
      </c>
      <c r="B1070">
        <v>12</v>
      </c>
      <c r="C1070" s="19">
        <v>31</v>
      </c>
      <c r="D1070" s="20">
        <v>2024</v>
      </c>
      <c r="E1070" s="21">
        <f t="shared" si="96"/>
        <v>45657</v>
      </c>
      <c r="F1070" s="20">
        <v>538.80999999999995</v>
      </c>
      <c r="G1070" s="20">
        <v>6040750</v>
      </c>
      <c r="H1070" s="20">
        <v>542.45000000000005</v>
      </c>
      <c r="I1070" s="20">
        <v>543.06510000000003</v>
      </c>
      <c r="J1070" s="22">
        <v>537.40009999999995</v>
      </c>
      <c r="K1070" s="2">
        <f t="shared" si="97"/>
        <v>128237.80721086051</v>
      </c>
      <c r="L1070" s="2">
        <f>IF(B1070&lt;&gt;B1069,L1069*(1+Dashboard!$G$5)+Dashboard!$G$6, L1069)</f>
        <v>128036.1639112509</v>
      </c>
      <c r="M1070">
        <f t="shared" si="101"/>
        <v>0</v>
      </c>
      <c r="N1070">
        <f t="shared" si="98"/>
        <v>238.00190644357107</v>
      </c>
      <c r="O1070">
        <f>IF(B1070&lt;&gt;B1069, Dashboard!$L$6,0)</f>
        <v>0</v>
      </c>
      <c r="P1070">
        <f t="shared" si="99"/>
        <v>238.04116403432926</v>
      </c>
      <c r="Q1070">
        <f>IF(B1070&lt;&gt;B1069,IF(F1070&lt;=AVERAGE(F1048:F1069),Dashboard!$N$6-Dashboard!$G$7,Dashboard!$N$6+Dashboard!$G$7),0)</f>
        <v>0</v>
      </c>
      <c r="R1070">
        <f t="shared" si="100"/>
        <v>237.49184201541655</v>
      </c>
    </row>
    <row r="1071" spans="1:18" x14ac:dyDescent="0.3">
      <c r="A1071" s="1">
        <v>45689</v>
      </c>
      <c r="B1071">
        <v>1</v>
      </c>
      <c r="C1071" s="19">
        <v>2</v>
      </c>
      <c r="D1071" s="20">
        <v>2025</v>
      </c>
      <c r="E1071" s="21">
        <f t="shared" si="96"/>
        <v>45659</v>
      </c>
      <c r="F1071" s="20">
        <v>537.46</v>
      </c>
      <c r="G1071" s="20">
        <v>7142698</v>
      </c>
      <c r="H1071" s="20">
        <v>542.02</v>
      </c>
      <c r="I1071" s="20">
        <v>543.53989999999999</v>
      </c>
      <c r="J1071" s="22">
        <v>533.79499999999996</v>
      </c>
      <c r="K1071" s="2">
        <f t="shared" si="97"/>
        <v>127916.50463716172</v>
      </c>
      <c r="L1071" s="2">
        <f>IF(B1071&lt;&gt;B1070,L1070*(1+Dashboard!$G$5)+Dashboard!$G$6, L1070)</f>
        <v>131162.8821536699</v>
      </c>
      <c r="M1071">
        <f t="shared" si="101"/>
        <v>3246.3775165081752</v>
      </c>
      <c r="N1071">
        <f t="shared" si="98"/>
        <v>238.00190644357107</v>
      </c>
      <c r="O1071">
        <f>IF(B1071&lt;&gt;B1070, Dashboard!$L$6,0)</f>
        <v>1859.7282542371197</v>
      </c>
      <c r="P1071">
        <f t="shared" si="99"/>
        <v>241.50138108162045</v>
      </c>
      <c r="Q1071">
        <f>IF(B1071&lt;&gt;B1070,IF(F1071&lt;=AVERAGE(F1049:F1070),Dashboard!$N$6-Dashboard!$G$7,Dashboard!$N$6+Dashboard!$G$7),0)</f>
        <v>1232.609610169322</v>
      </c>
      <c r="R1071">
        <f t="shared" si="100"/>
        <v>239.76594557279327</v>
      </c>
    </row>
    <row r="1072" spans="1:18" x14ac:dyDescent="0.3">
      <c r="A1072" s="1">
        <v>45717</v>
      </c>
      <c r="B1072">
        <v>1</v>
      </c>
      <c r="C1072" s="19">
        <v>3</v>
      </c>
      <c r="D1072" s="20">
        <v>2025</v>
      </c>
      <c r="E1072" s="21">
        <f t="shared" si="96"/>
        <v>45660</v>
      </c>
      <c r="F1072" s="20">
        <v>544.4</v>
      </c>
      <c r="G1072" s="20">
        <v>6419663</v>
      </c>
      <c r="H1072" s="20">
        <v>540.19000000000005</v>
      </c>
      <c r="I1072" s="20">
        <v>544.88</v>
      </c>
      <c r="J1072" s="22">
        <v>539.20000000000005</v>
      </c>
      <c r="K1072" s="2">
        <f t="shared" si="97"/>
        <v>132856.53452249075</v>
      </c>
      <c r="L1072" s="2">
        <f>IF(B1072&lt;&gt;B1071,L1071*(1+Dashboard!$G$5)+Dashboard!$G$6, L1071)</f>
        <v>131162.8821536699</v>
      </c>
      <c r="M1072">
        <f t="shared" si="101"/>
        <v>0</v>
      </c>
      <c r="N1072">
        <f t="shared" si="98"/>
        <v>244.0421280721726</v>
      </c>
      <c r="O1072">
        <f>IF(B1072&lt;&gt;B1071, Dashboard!$L$6,0)</f>
        <v>0</v>
      </c>
      <c r="P1072">
        <f t="shared" si="99"/>
        <v>241.50138108162045</v>
      </c>
      <c r="Q1072">
        <f>IF(B1072&lt;&gt;B1071,IF(F1072&lt;=AVERAGE(F1050:F1071),Dashboard!$N$6-Dashboard!$G$7,Dashboard!$N$6+Dashboard!$G$7),0)</f>
        <v>0</v>
      </c>
      <c r="R1072">
        <f t="shared" si="100"/>
        <v>239.76594557279327</v>
      </c>
    </row>
    <row r="1073" spans="1:18" x14ac:dyDescent="0.3">
      <c r="A1073" s="1">
        <v>45809</v>
      </c>
      <c r="B1073">
        <v>1</v>
      </c>
      <c r="C1073" s="19">
        <v>6</v>
      </c>
      <c r="D1073" s="20">
        <v>2025</v>
      </c>
      <c r="E1073" s="21">
        <f t="shared" si="96"/>
        <v>45663</v>
      </c>
      <c r="F1073" s="20">
        <v>547.57000000000005</v>
      </c>
      <c r="G1073" s="20">
        <v>5983435</v>
      </c>
      <c r="H1073" s="20">
        <v>548.28</v>
      </c>
      <c r="I1073" s="20">
        <v>551.42999999999995</v>
      </c>
      <c r="J1073" s="22">
        <v>545.82000000000005</v>
      </c>
      <c r="K1073" s="2">
        <f t="shared" si="97"/>
        <v>133630.14806847955</v>
      </c>
      <c r="L1073" s="2">
        <f>IF(B1073&lt;&gt;B1072,L1072*(1+Dashboard!$G$5)+Dashboard!$G$6, L1072)</f>
        <v>131162.8821536699</v>
      </c>
      <c r="M1073">
        <f t="shared" si="101"/>
        <v>0</v>
      </c>
      <c r="N1073">
        <f t="shared" si="98"/>
        <v>244.0421280721726</v>
      </c>
      <c r="O1073">
        <f>IF(B1073&lt;&gt;B1072, Dashboard!$L$6,0)</f>
        <v>0</v>
      </c>
      <c r="P1073">
        <f t="shared" si="99"/>
        <v>241.50138108162045</v>
      </c>
      <c r="Q1073">
        <f>IF(B1073&lt;&gt;B1072,IF(F1073&lt;=AVERAGE(F1051:F1072),Dashboard!$N$6-Dashboard!$G$7,Dashboard!$N$6+Dashboard!$G$7),0)</f>
        <v>0</v>
      </c>
      <c r="R1073">
        <f t="shared" si="100"/>
        <v>239.76594557279327</v>
      </c>
    </row>
    <row r="1074" spans="1:18" x14ac:dyDescent="0.3">
      <c r="A1074" s="1">
        <v>45839</v>
      </c>
      <c r="B1074">
        <v>1</v>
      </c>
      <c r="C1074" s="19">
        <v>7</v>
      </c>
      <c r="D1074" s="20">
        <v>2025</v>
      </c>
      <c r="E1074" s="21">
        <f t="shared" si="96"/>
        <v>45664</v>
      </c>
      <c r="F1074" s="20">
        <v>541.41</v>
      </c>
      <c r="G1074" s="20">
        <v>5383235</v>
      </c>
      <c r="H1074" s="20">
        <v>549.32000000000005</v>
      </c>
      <c r="I1074" s="20">
        <v>549.6</v>
      </c>
      <c r="J1074" s="22">
        <v>539.55999999999995</v>
      </c>
      <c r="K1074" s="2">
        <f t="shared" si="97"/>
        <v>132126.84855955496</v>
      </c>
      <c r="L1074" s="2">
        <f>IF(B1074&lt;&gt;B1073,L1073*(1+Dashboard!$G$5)+Dashboard!$G$6, L1073)</f>
        <v>131162.8821536699</v>
      </c>
      <c r="M1074">
        <f t="shared" si="101"/>
        <v>0</v>
      </c>
      <c r="N1074">
        <f t="shared" si="98"/>
        <v>244.0421280721726</v>
      </c>
      <c r="O1074">
        <f>IF(B1074&lt;&gt;B1073, Dashboard!$L$6,0)</f>
        <v>0</v>
      </c>
      <c r="P1074">
        <f t="shared" si="99"/>
        <v>241.50138108162045</v>
      </c>
      <c r="Q1074">
        <f>IF(B1074&lt;&gt;B1073,IF(F1074&lt;=AVERAGE(F1052:F1073),Dashboard!$N$6-Dashboard!$G$7,Dashboard!$N$6+Dashboard!$G$7),0)</f>
        <v>0</v>
      </c>
      <c r="R1074">
        <f t="shared" si="100"/>
        <v>239.76594557279327</v>
      </c>
    </row>
    <row r="1075" spans="1:18" x14ac:dyDescent="0.3">
      <c r="A1075" s="1">
        <v>45870</v>
      </c>
      <c r="B1075">
        <v>1</v>
      </c>
      <c r="C1075" s="19">
        <v>8</v>
      </c>
      <c r="D1075" s="20">
        <v>2025</v>
      </c>
      <c r="E1075" s="21">
        <f t="shared" si="96"/>
        <v>45665</v>
      </c>
      <c r="F1075" s="20">
        <v>542.14</v>
      </c>
      <c r="G1075" s="20">
        <v>4316999</v>
      </c>
      <c r="H1075" s="20">
        <v>541.32000000000005</v>
      </c>
      <c r="I1075" s="20">
        <v>543</v>
      </c>
      <c r="J1075" s="22">
        <v>538.08000000000004</v>
      </c>
      <c r="K1075" s="2">
        <f t="shared" si="97"/>
        <v>132304.99931304765</v>
      </c>
      <c r="L1075" s="2">
        <f>IF(B1075&lt;&gt;B1074,L1074*(1+Dashboard!$G$5)+Dashboard!$G$6, L1074)</f>
        <v>131162.8821536699</v>
      </c>
      <c r="M1075">
        <f t="shared" si="101"/>
        <v>0</v>
      </c>
      <c r="N1075">
        <f t="shared" si="98"/>
        <v>244.0421280721726</v>
      </c>
      <c r="O1075">
        <f>IF(B1075&lt;&gt;B1074, Dashboard!$L$6,0)</f>
        <v>0</v>
      </c>
      <c r="P1075">
        <f t="shared" si="99"/>
        <v>241.50138108162045</v>
      </c>
      <c r="Q1075">
        <f>IF(B1075&lt;&gt;B1074,IF(F1075&lt;=AVERAGE(F1053:F1074),Dashboard!$N$6-Dashboard!$G$7,Dashboard!$N$6+Dashboard!$G$7),0)</f>
        <v>0</v>
      </c>
      <c r="R1075">
        <f t="shared" si="100"/>
        <v>239.76594557279327</v>
      </c>
    </row>
    <row r="1076" spans="1:18" x14ac:dyDescent="0.3">
      <c r="A1076" s="1">
        <v>45931</v>
      </c>
      <c r="B1076">
        <v>1</v>
      </c>
      <c r="C1076" s="19">
        <v>10</v>
      </c>
      <c r="D1076" s="20">
        <v>2025</v>
      </c>
      <c r="E1076" s="21">
        <f t="shared" si="96"/>
        <v>45667</v>
      </c>
      <c r="F1076" s="20">
        <v>533.89</v>
      </c>
      <c r="G1076" s="20">
        <v>7935202</v>
      </c>
      <c r="H1076" s="20">
        <v>538.71</v>
      </c>
      <c r="I1076" s="20">
        <v>538.75</v>
      </c>
      <c r="J1076" s="22">
        <v>532</v>
      </c>
      <c r="K1076" s="2">
        <f t="shared" si="97"/>
        <v>130291.65175645222</v>
      </c>
      <c r="L1076" s="2">
        <f>IF(B1076&lt;&gt;B1075,L1075*(1+Dashboard!$G$5)+Dashboard!$G$6, L1075)</f>
        <v>131162.8821536699</v>
      </c>
      <c r="M1076">
        <f t="shared" si="101"/>
        <v>0</v>
      </c>
      <c r="N1076">
        <f t="shared" si="98"/>
        <v>244.0421280721726</v>
      </c>
      <c r="O1076">
        <f>IF(B1076&lt;&gt;B1075, Dashboard!$L$6,0)</f>
        <v>0</v>
      </c>
      <c r="P1076">
        <f t="shared" si="99"/>
        <v>241.50138108162045</v>
      </c>
      <c r="Q1076">
        <f>IF(B1076&lt;&gt;B1075,IF(F1076&lt;=AVERAGE(F1054:F1075),Dashboard!$N$6-Dashboard!$G$7,Dashboard!$N$6+Dashboard!$G$7),0)</f>
        <v>0</v>
      </c>
      <c r="R1076">
        <f t="shared" si="100"/>
        <v>239.76594557279327</v>
      </c>
    </row>
    <row r="1077" spans="1:18" x14ac:dyDescent="0.3">
      <c r="A1077" t="s">
        <v>110</v>
      </c>
      <c r="B1077">
        <v>1</v>
      </c>
      <c r="C1077" s="19">
        <v>13</v>
      </c>
      <c r="D1077" s="20">
        <v>2025</v>
      </c>
      <c r="E1077" s="21">
        <f t="shared" si="96"/>
        <v>45670</v>
      </c>
      <c r="F1077" s="20">
        <v>534.58000000000004</v>
      </c>
      <c r="G1077" s="20">
        <v>5621011</v>
      </c>
      <c r="H1077" s="20">
        <v>529.4</v>
      </c>
      <c r="I1077" s="20">
        <v>534.91</v>
      </c>
      <c r="J1077" s="22">
        <v>529.02</v>
      </c>
      <c r="K1077" s="2">
        <f t="shared" si="97"/>
        <v>130460.04082482203</v>
      </c>
      <c r="L1077" s="2">
        <f>IF(B1077&lt;&gt;B1076,L1076*(1+Dashboard!$G$5)+Dashboard!$G$6, L1076)</f>
        <v>131162.8821536699</v>
      </c>
      <c r="M1077">
        <f t="shared" si="101"/>
        <v>0</v>
      </c>
      <c r="N1077">
        <f t="shared" si="98"/>
        <v>244.0421280721726</v>
      </c>
      <c r="O1077">
        <f>IF(B1077&lt;&gt;B1076, Dashboard!$L$6,0)</f>
        <v>0</v>
      </c>
      <c r="P1077">
        <f t="shared" si="99"/>
        <v>241.50138108162045</v>
      </c>
      <c r="Q1077">
        <f>IF(B1077&lt;&gt;B1076,IF(F1077&lt;=AVERAGE(F1055:F1076),Dashboard!$N$6-Dashboard!$G$7,Dashboard!$N$6+Dashboard!$G$7),0)</f>
        <v>0</v>
      </c>
      <c r="R1077">
        <f t="shared" si="100"/>
        <v>239.76594557279327</v>
      </c>
    </row>
    <row r="1078" spans="1:18" x14ac:dyDescent="0.3">
      <c r="A1078" t="s">
        <v>109</v>
      </c>
      <c r="B1078">
        <v>1</v>
      </c>
      <c r="C1078" s="19">
        <v>14</v>
      </c>
      <c r="D1078" s="20">
        <v>2025</v>
      </c>
      <c r="E1078" s="21">
        <f t="shared" si="96"/>
        <v>45671</v>
      </c>
      <c r="F1078" s="20">
        <v>535.26</v>
      </c>
      <c r="G1078" s="20">
        <v>8820003</v>
      </c>
      <c r="H1078" s="20">
        <v>537.32000000000005</v>
      </c>
      <c r="I1078" s="20">
        <v>537.90639999999996</v>
      </c>
      <c r="J1078" s="22">
        <v>531.81489999999997</v>
      </c>
      <c r="K1078" s="2">
        <f t="shared" si="97"/>
        <v>130625.9894719111</v>
      </c>
      <c r="L1078" s="2">
        <f>IF(B1078&lt;&gt;B1077,L1077*(1+Dashboard!$G$5)+Dashboard!$G$6, L1077)</f>
        <v>131162.8821536699</v>
      </c>
      <c r="M1078">
        <f t="shared" si="101"/>
        <v>0</v>
      </c>
      <c r="N1078">
        <f t="shared" si="98"/>
        <v>244.0421280721726</v>
      </c>
      <c r="O1078">
        <f>IF(B1078&lt;&gt;B1077, Dashboard!$L$6,0)</f>
        <v>0</v>
      </c>
      <c r="P1078">
        <f t="shared" si="99"/>
        <v>241.50138108162045</v>
      </c>
      <c r="Q1078">
        <f>IF(B1078&lt;&gt;B1077,IF(F1078&lt;=AVERAGE(F1056:F1077),Dashboard!$N$6-Dashboard!$G$7,Dashboard!$N$6+Dashboard!$G$7),0)</f>
        <v>0</v>
      </c>
      <c r="R1078">
        <f t="shared" si="100"/>
        <v>239.76594557279327</v>
      </c>
    </row>
    <row r="1079" spans="1:18" x14ac:dyDescent="0.3">
      <c r="A1079" t="s">
        <v>108</v>
      </c>
      <c r="B1079">
        <v>1</v>
      </c>
      <c r="C1079" s="19">
        <v>15</v>
      </c>
      <c r="D1079" s="20">
        <v>2025</v>
      </c>
      <c r="E1079" s="21">
        <f t="shared" si="96"/>
        <v>45672</v>
      </c>
      <c r="F1079" s="20">
        <v>545.04999999999995</v>
      </c>
      <c r="G1079" s="20">
        <v>5307318</v>
      </c>
      <c r="H1079" s="20">
        <v>542.84</v>
      </c>
      <c r="I1079" s="20">
        <v>546.13</v>
      </c>
      <c r="J1079" s="22">
        <v>541.76</v>
      </c>
      <c r="K1079" s="2">
        <f t="shared" si="97"/>
        <v>133015.16190573765</v>
      </c>
      <c r="L1079" s="2">
        <f>IF(B1079&lt;&gt;B1078,L1078*(1+Dashboard!$G$5)+Dashboard!$G$6, L1078)</f>
        <v>131162.8821536699</v>
      </c>
      <c r="M1079">
        <f t="shared" si="101"/>
        <v>0</v>
      </c>
      <c r="N1079">
        <f t="shared" si="98"/>
        <v>244.0421280721726</v>
      </c>
      <c r="O1079">
        <f>IF(B1079&lt;&gt;B1078, Dashboard!$L$6,0)</f>
        <v>0</v>
      </c>
      <c r="P1079">
        <f t="shared" si="99"/>
        <v>241.50138108162045</v>
      </c>
      <c r="Q1079">
        <f>IF(B1079&lt;&gt;B1078,IF(F1079&lt;=AVERAGE(F1057:F1078),Dashboard!$N$6-Dashboard!$G$7,Dashboard!$N$6+Dashboard!$G$7),0)</f>
        <v>0</v>
      </c>
      <c r="R1079">
        <f t="shared" si="100"/>
        <v>239.76594557279327</v>
      </c>
    </row>
    <row r="1080" spans="1:18" x14ac:dyDescent="0.3">
      <c r="A1080" t="s">
        <v>107</v>
      </c>
      <c r="B1080">
        <v>1</v>
      </c>
      <c r="C1080" s="19">
        <v>16</v>
      </c>
      <c r="D1080" s="20">
        <v>2025</v>
      </c>
      <c r="E1080" s="21">
        <f t="shared" si="96"/>
        <v>45673</v>
      </c>
      <c r="F1080" s="20">
        <v>544.24</v>
      </c>
      <c r="G1080" s="20">
        <v>3632752</v>
      </c>
      <c r="H1080" s="20">
        <v>546.35</v>
      </c>
      <c r="I1080" s="20">
        <v>546.51</v>
      </c>
      <c r="J1080" s="22">
        <v>543.39</v>
      </c>
      <c r="K1080" s="2">
        <f t="shared" si="97"/>
        <v>132817.48778199923</v>
      </c>
      <c r="L1080" s="2">
        <f>IF(B1080&lt;&gt;B1079,L1079*(1+Dashboard!$G$5)+Dashboard!$G$6, L1079)</f>
        <v>131162.8821536699</v>
      </c>
      <c r="M1080">
        <f t="shared" si="101"/>
        <v>0</v>
      </c>
      <c r="N1080">
        <f t="shared" si="98"/>
        <v>244.0421280721726</v>
      </c>
      <c r="O1080">
        <f>IF(B1080&lt;&gt;B1079, Dashboard!$L$6,0)</f>
        <v>0</v>
      </c>
      <c r="P1080">
        <f t="shared" si="99"/>
        <v>241.50138108162045</v>
      </c>
      <c r="Q1080">
        <f>IF(B1080&lt;&gt;B1079,IF(F1080&lt;=AVERAGE(F1058:F1079),Dashboard!$N$6-Dashboard!$G$7,Dashboard!$N$6+Dashboard!$G$7),0)</f>
        <v>0</v>
      </c>
      <c r="R1080">
        <f t="shared" si="100"/>
        <v>239.76594557279327</v>
      </c>
    </row>
    <row r="1081" spans="1:18" x14ac:dyDescent="0.3">
      <c r="A1081" t="s">
        <v>106</v>
      </c>
      <c r="B1081">
        <v>1</v>
      </c>
      <c r="C1081" s="19">
        <v>17</v>
      </c>
      <c r="D1081" s="20">
        <v>2025</v>
      </c>
      <c r="E1081" s="21">
        <f t="shared" si="96"/>
        <v>45674</v>
      </c>
      <c r="F1081" s="20">
        <v>549.46</v>
      </c>
      <c r="G1081" s="20">
        <v>6558651</v>
      </c>
      <c r="H1081" s="20">
        <v>548.91999999999996</v>
      </c>
      <c r="I1081" s="20">
        <v>551.12</v>
      </c>
      <c r="J1081" s="22">
        <v>547.67999999999995</v>
      </c>
      <c r="K1081" s="2">
        <f t="shared" si="97"/>
        <v>134091.38769053598</v>
      </c>
      <c r="L1081" s="2">
        <f>IF(B1081&lt;&gt;B1080,L1080*(1+Dashboard!$G$5)+Dashboard!$G$6, L1080)</f>
        <v>131162.8821536699</v>
      </c>
      <c r="M1081">
        <f t="shared" si="101"/>
        <v>0</v>
      </c>
      <c r="N1081">
        <f t="shared" si="98"/>
        <v>244.0421280721726</v>
      </c>
      <c r="O1081">
        <f>IF(B1081&lt;&gt;B1080, Dashboard!$L$6,0)</f>
        <v>0</v>
      </c>
      <c r="P1081">
        <f t="shared" si="99"/>
        <v>241.50138108162045</v>
      </c>
      <c r="Q1081">
        <f>IF(B1081&lt;&gt;B1080,IF(F1081&lt;=AVERAGE(F1059:F1080),Dashboard!$N$6-Dashboard!$G$7,Dashboard!$N$6+Dashboard!$G$7),0)</f>
        <v>0</v>
      </c>
      <c r="R1081">
        <f t="shared" si="100"/>
        <v>239.76594557279327</v>
      </c>
    </row>
    <row r="1082" spans="1:18" x14ac:dyDescent="0.3">
      <c r="A1082" t="s">
        <v>105</v>
      </c>
      <c r="B1082">
        <v>1</v>
      </c>
      <c r="C1082" s="19">
        <v>21</v>
      </c>
      <c r="D1082" s="20">
        <v>2025</v>
      </c>
      <c r="E1082" s="21">
        <f t="shared" si="96"/>
        <v>45678</v>
      </c>
      <c r="F1082" s="20">
        <v>554.46</v>
      </c>
      <c r="G1082" s="20">
        <v>5301678</v>
      </c>
      <c r="H1082" s="20">
        <v>552.32000000000005</v>
      </c>
      <c r="I1082" s="20">
        <v>554.46</v>
      </c>
      <c r="J1082" s="22">
        <v>550.5</v>
      </c>
      <c r="K1082" s="2">
        <f t="shared" si="97"/>
        <v>135311.59833089684</v>
      </c>
      <c r="L1082" s="2">
        <f>IF(B1082&lt;&gt;B1081,L1081*(1+Dashboard!$G$5)+Dashboard!$G$6, L1081)</f>
        <v>131162.8821536699</v>
      </c>
      <c r="M1082">
        <f t="shared" si="101"/>
        <v>0</v>
      </c>
      <c r="N1082">
        <f t="shared" si="98"/>
        <v>244.0421280721726</v>
      </c>
      <c r="O1082">
        <f>IF(B1082&lt;&gt;B1081, Dashboard!$L$6,0)</f>
        <v>0</v>
      </c>
      <c r="P1082">
        <f t="shared" si="99"/>
        <v>241.50138108162045</v>
      </c>
      <c r="Q1082">
        <f>IF(B1082&lt;&gt;B1081,IF(F1082&lt;=AVERAGE(F1060:F1081),Dashboard!$N$6-Dashboard!$G$7,Dashboard!$N$6+Dashboard!$G$7),0)</f>
        <v>0</v>
      </c>
      <c r="R1082">
        <f t="shared" si="100"/>
        <v>239.76594557279327</v>
      </c>
    </row>
    <row r="1083" spans="1:18" x14ac:dyDescent="0.3">
      <c r="A1083" t="s">
        <v>104</v>
      </c>
      <c r="B1083">
        <v>1</v>
      </c>
      <c r="C1083" s="19">
        <v>22</v>
      </c>
      <c r="D1083" s="20">
        <v>2025</v>
      </c>
      <c r="E1083" s="21">
        <f t="shared" si="96"/>
        <v>45679</v>
      </c>
      <c r="F1083" s="20">
        <v>557.61</v>
      </c>
      <c r="G1083" s="20">
        <v>4780036</v>
      </c>
      <c r="H1083" s="20">
        <v>557.19000000000005</v>
      </c>
      <c r="I1083" s="20">
        <v>558.92989999999998</v>
      </c>
      <c r="J1083" s="22">
        <v>556.73</v>
      </c>
      <c r="K1083" s="2">
        <f t="shared" si="97"/>
        <v>136080.33103432416</v>
      </c>
      <c r="L1083" s="2">
        <f>IF(B1083&lt;&gt;B1082,L1082*(1+Dashboard!$G$5)+Dashboard!$G$6, L1082)</f>
        <v>131162.8821536699</v>
      </c>
      <c r="M1083">
        <f t="shared" si="101"/>
        <v>0</v>
      </c>
      <c r="N1083">
        <f t="shared" si="98"/>
        <v>244.0421280721726</v>
      </c>
      <c r="O1083">
        <f>IF(B1083&lt;&gt;B1082, Dashboard!$L$6,0)</f>
        <v>0</v>
      </c>
      <c r="P1083">
        <f t="shared" si="99"/>
        <v>241.50138108162045</v>
      </c>
      <c r="Q1083">
        <f>IF(B1083&lt;&gt;B1082,IF(F1083&lt;=AVERAGE(F1061:F1082),Dashboard!$N$6-Dashboard!$G$7,Dashboard!$N$6+Dashboard!$G$7),0)</f>
        <v>0</v>
      </c>
      <c r="R1083">
        <f t="shared" si="100"/>
        <v>239.76594557279327</v>
      </c>
    </row>
    <row r="1084" spans="1:18" x14ac:dyDescent="0.3">
      <c r="A1084" t="s">
        <v>103</v>
      </c>
      <c r="B1084">
        <v>1</v>
      </c>
      <c r="C1084" s="19">
        <v>23</v>
      </c>
      <c r="D1084" s="20">
        <v>2025</v>
      </c>
      <c r="E1084" s="21">
        <f t="shared" si="96"/>
        <v>45680</v>
      </c>
      <c r="F1084" s="20">
        <v>560.70000000000005</v>
      </c>
      <c r="G1084" s="20">
        <v>6217878</v>
      </c>
      <c r="H1084" s="20">
        <v>557.04</v>
      </c>
      <c r="I1084" s="20">
        <v>560.70000000000005</v>
      </c>
      <c r="J1084" s="22">
        <v>556.79999999999995</v>
      </c>
      <c r="K1084" s="2">
        <f t="shared" si="97"/>
        <v>136834.4212100672</v>
      </c>
      <c r="L1084" s="2">
        <f>IF(B1084&lt;&gt;B1083,L1083*(1+Dashboard!$G$5)+Dashboard!$G$6, L1083)</f>
        <v>131162.8821536699</v>
      </c>
      <c r="M1084">
        <f t="shared" si="101"/>
        <v>0</v>
      </c>
      <c r="N1084">
        <f t="shared" si="98"/>
        <v>244.0421280721726</v>
      </c>
      <c r="O1084">
        <f>IF(B1084&lt;&gt;B1083, Dashboard!$L$6,0)</f>
        <v>0</v>
      </c>
      <c r="P1084">
        <f t="shared" si="99"/>
        <v>241.50138108162045</v>
      </c>
      <c r="Q1084">
        <f>IF(B1084&lt;&gt;B1083,IF(F1084&lt;=AVERAGE(F1062:F1083),Dashboard!$N$6-Dashboard!$G$7,Dashboard!$N$6+Dashboard!$G$7),0)</f>
        <v>0</v>
      </c>
      <c r="R1084">
        <f t="shared" si="100"/>
        <v>239.76594557279327</v>
      </c>
    </row>
    <row r="1085" spans="1:18" x14ac:dyDescent="0.3">
      <c r="A1085" t="s">
        <v>102</v>
      </c>
      <c r="B1085">
        <v>1</v>
      </c>
      <c r="C1085" s="19">
        <v>24</v>
      </c>
      <c r="D1085" s="20">
        <v>2025</v>
      </c>
      <c r="E1085" s="21">
        <f t="shared" si="96"/>
        <v>45681</v>
      </c>
      <c r="F1085" s="20">
        <v>559.01</v>
      </c>
      <c r="G1085" s="20">
        <v>3612141</v>
      </c>
      <c r="H1085" s="20">
        <v>560.76</v>
      </c>
      <c r="I1085" s="20">
        <v>561.66</v>
      </c>
      <c r="J1085" s="22">
        <v>558.02</v>
      </c>
      <c r="K1085" s="2">
        <f t="shared" si="97"/>
        <v>136421.99001362521</v>
      </c>
      <c r="L1085" s="2">
        <f>IF(B1085&lt;&gt;B1084,L1084*(1+Dashboard!$G$5)+Dashboard!$G$6, L1084)</f>
        <v>131162.8821536699</v>
      </c>
      <c r="M1085">
        <f t="shared" si="101"/>
        <v>0</v>
      </c>
      <c r="N1085">
        <f t="shared" si="98"/>
        <v>244.0421280721726</v>
      </c>
      <c r="O1085">
        <f>IF(B1085&lt;&gt;B1084, Dashboard!$L$6,0)</f>
        <v>0</v>
      </c>
      <c r="P1085">
        <f t="shared" si="99"/>
        <v>241.50138108162045</v>
      </c>
      <c r="Q1085">
        <f>IF(B1085&lt;&gt;B1084,IF(F1085&lt;=AVERAGE(F1063:F1084),Dashboard!$N$6-Dashboard!$G$7,Dashboard!$N$6+Dashboard!$G$7),0)</f>
        <v>0</v>
      </c>
      <c r="R1085">
        <f t="shared" si="100"/>
        <v>239.76594557279327</v>
      </c>
    </row>
    <row r="1086" spans="1:18" x14ac:dyDescent="0.3">
      <c r="A1086" t="s">
        <v>101</v>
      </c>
      <c r="B1086">
        <v>1</v>
      </c>
      <c r="C1086" s="19">
        <v>27</v>
      </c>
      <c r="D1086" s="20">
        <v>2025</v>
      </c>
      <c r="E1086" s="21">
        <f t="shared" si="96"/>
        <v>45684</v>
      </c>
      <c r="F1086" s="20">
        <v>551.23</v>
      </c>
      <c r="G1086" s="20">
        <v>7617385</v>
      </c>
      <c r="H1086" s="20">
        <v>546.92999999999995</v>
      </c>
      <c r="I1086" s="20">
        <v>551.39</v>
      </c>
      <c r="J1086" s="22">
        <v>546.83000000000004</v>
      </c>
      <c r="K1086" s="2">
        <f t="shared" si="97"/>
        <v>134523.3422572237</v>
      </c>
      <c r="L1086" s="2">
        <f>IF(B1086&lt;&gt;B1085,L1085*(1+Dashboard!$G$5)+Dashboard!$G$6, L1085)</f>
        <v>131162.8821536699</v>
      </c>
      <c r="M1086">
        <f t="shared" si="101"/>
        <v>0</v>
      </c>
      <c r="N1086">
        <f t="shared" si="98"/>
        <v>244.0421280721726</v>
      </c>
      <c r="O1086">
        <f>IF(B1086&lt;&gt;B1085, Dashboard!$L$6,0)</f>
        <v>0</v>
      </c>
      <c r="P1086">
        <f t="shared" si="99"/>
        <v>241.50138108162045</v>
      </c>
      <c r="Q1086">
        <f>IF(B1086&lt;&gt;B1085,IF(F1086&lt;=AVERAGE(F1064:F1085),Dashboard!$N$6-Dashboard!$G$7,Dashboard!$N$6+Dashboard!$G$7),0)</f>
        <v>0</v>
      </c>
      <c r="R1086">
        <f t="shared" si="100"/>
        <v>239.76594557279327</v>
      </c>
    </row>
    <row r="1087" spans="1:18" x14ac:dyDescent="0.3">
      <c r="A1087" t="s">
        <v>100</v>
      </c>
      <c r="B1087">
        <v>1</v>
      </c>
      <c r="C1087" s="19">
        <v>28</v>
      </c>
      <c r="D1087" s="20">
        <v>2025</v>
      </c>
      <c r="E1087" s="21">
        <f t="shared" si="96"/>
        <v>45685</v>
      </c>
      <c r="F1087" s="20">
        <v>555.85</v>
      </c>
      <c r="G1087" s="20">
        <v>4164674</v>
      </c>
      <c r="H1087" s="20">
        <v>552.29999999999995</v>
      </c>
      <c r="I1087" s="20">
        <v>556.65</v>
      </c>
      <c r="J1087" s="22">
        <v>549.22</v>
      </c>
      <c r="K1087" s="2">
        <f t="shared" si="97"/>
        <v>135650.81688891715</v>
      </c>
      <c r="L1087" s="2">
        <f>IF(B1087&lt;&gt;B1086,L1086*(1+Dashboard!$G$5)+Dashboard!$G$6, L1086)</f>
        <v>131162.8821536699</v>
      </c>
      <c r="M1087">
        <f t="shared" si="101"/>
        <v>0</v>
      </c>
      <c r="N1087">
        <f t="shared" si="98"/>
        <v>244.0421280721726</v>
      </c>
      <c r="O1087">
        <f>IF(B1087&lt;&gt;B1086, Dashboard!$L$6,0)</f>
        <v>0</v>
      </c>
      <c r="P1087">
        <f t="shared" si="99"/>
        <v>241.50138108162045</v>
      </c>
      <c r="Q1087">
        <f>IF(B1087&lt;&gt;B1086,IF(F1087&lt;=AVERAGE(F1065:F1086),Dashboard!$N$6-Dashboard!$G$7,Dashboard!$N$6+Dashboard!$G$7),0)</f>
        <v>0</v>
      </c>
      <c r="R1087">
        <f t="shared" si="100"/>
        <v>239.76594557279327</v>
      </c>
    </row>
    <row r="1088" spans="1:18" x14ac:dyDescent="0.3">
      <c r="A1088" t="s">
        <v>99</v>
      </c>
      <c r="B1088">
        <v>1</v>
      </c>
      <c r="C1088" s="19">
        <v>29</v>
      </c>
      <c r="D1088" s="20">
        <v>2025</v>
      </c>
      <c r="E1088" s="21">
        <f t="shared" si="96"/>
        <v>45686</v>
      </c>
      <c r="F1088" s="20">
        <v>553.41</v>
      </c>
      <c r="G1088" s="20">
        <v>4174471</v>
      </c>
      <c r="H1088" s="20">
        <v>555.16999999999996</v>
      </c>
      <c r="I1088" s="20">
        <v>555.5</v>
      </c>
      <c r="J1088" s="22">
        <v>550.9701</v>
      </c>
      <c r="K1088" s="2">
        <f t="shared" si="97"/>
        <v>135055.35409642104</v>
      </c>
      <c r="L1088" s="2">
        <f>IF(B1088&lt;&gt;B1087,L1087*(1+Dashboard!$G$5)+Dashboard!$G$6, L1087)</f>
        <v>131162.8821536699</v>
      </c>
      <c r="M1088">
        <f t="shared" si="101"/>
        <v>0</v>
      </c>
      <c r="N1088">
        <f t="shared" si="98"/>
        <v>244.0421280721726</v>
      </c>
      <c r="O1088">
        <f>IF(B1088&lt;&gt;B1087, Dashboard!$L$6,0)</f>
        <v>0</v>
      </c>
      <c r="P1088">
        <f t="shared" si="99"/>
        <v>241.50138108162045</v>
      </c>
      <c r="Q1088">
        <f>IF(B1088&lt;&gt;B1087,IF(F1088&lt;=AVERAGE(F1066:F1087),Dashboard!$N$6-Dashboard!$G$7,Dashboard!$N$6+Dashboard!$G$7),0)</f>
        <v>0</v>
      </c>
      <c r="R1088">
        <f t="shared" si="100"/>
        <v>239.76594557279327</v>
      </c>
    </row>
    <row r="1089" spans="1:18" x14ac:dyDescent="0.3">
      <c r="A1089" t="s">
        <v>98</v>
      </c>
      <c r="B1089">
        <v>1</v>
      </c>
      <c r="C1089" s="19">
        <v>30</v>
      </c>
      <c r="D1089" s="20">
        <v>2025</v>
      </c>
      <c r="E1089" s="21">
        <f t="shared" si="96"/>
        <v>45687</v>
      </c>
      <c r="F1089" s="20">
        <v>556.29999999999995</v>
      </c>
      <c r="G1089" s="20">
        <v>4296538</v>
      </c>
      <c r="H1089" s="20">
        <v>555.37</v>
      </c>
      <c r="I1089" s="20">
        <v>557.78</v>
      </c>
      <c r="J1089" s="22">
        <v>552.38</v>
      </c>
      <c r="K1089" s="2">
        <f t="shared" si="97"/>
        <v>135760.63584654962</v>
      </c>
      <c r="L1089" s="2">
        <f>IF(B1089&lt;&gt;B1088,L1088*(1+Dashboard!$G$5)+Dashboard!$G$6, L1088)</f>
        <v>131162.8821536699</v>
      </c>
      <c r="M1089">
        <f t="shared" si="101"/>
        <v>0</v>
      </c>
      <c r="N1089">
        <f t="shared" si="98"/>
        <v>244.0421280721726</v>
      </c>
      <c r="O1089">
        <f>IF(B1089&lt;&gt;B1088, Dashboard!$L$6,0)</f>
        <v>0</v>
      </c>
      <c r="P1089">
        <f t="shared" si="99"/>
        <v>241.50138108162045</v>
      </c>
      <c r="Q1089">
        <f>IF(B1089&lt;&gt;B1088,IF(F1089&lt;=AVERAGE(F1067:F1088),Dashboard!$N$6-Dashboard!$G$7,Dashboard!$N$6+Dashboard!$G$7),0)</f>
        <v>0</v>
      </c>
      <c r="R1089">
        <f t="shared" si="100"/>
        <v>239.76594557279327</v>
      </c>
    </row>
    <row r="1090" spans="1:18" x14ac:dyDescent="0.3">
      <c r="A1090" t="s">
        <v>97</v>
      </c>
      <c r="B1090">
        <v>1</v>
      </c>
      <c r="C1090" s="19">
        <v>31</v>
      </c>
      <c r="D1090" s="20">
        <v>2025</v>
      </c>
      <c r="E1090" s="21">
        <f t="shared" ref="E1090:E1153" si="102">DATE(D1090,B1090,C1090)</f>
        <v>45688</v>
      </c>
      <c r="F1090" s="20">
        <v>553.33000000000004</v>
      </c>
      <c r="G1090" s="20">
        <v>6243322</v>
      </c>
      <c r="H1090" s="20">
        <v>558.62</v>
      </c>
      <c r="I1090" s="20">
        <v>560.89</v>
      </c>
      <c r="J1090" s="22">
        <v>552.71</v>
      </c>
      <c r="K1090" s="2">
        <f t="shared" si="97"/>
        <v>135035.83072617528</v>
      </c>
      <c r="L1090" s="2">
        <f>IF(B1090&lt;&gt;B1089,L1089*(1+Dashboard!$G$5)+Dashboard!$G$6, L1089)</f>
        <v>131162.8821536699</v>
      </c>
      <c r="M1090">
        <f t="shared" si="101"/>
        <v>0</v>
      </c>
      <c r="N1090">
        <f t="shared" si="98"/>
        <v>244.0421280721726</v>
      </c>
      <c r="O1090">
        <f>IF(B1090&lt;&gt;B1089, Dashboard!$L$6,0)</f>
        <v>0</v>
      </c>
      <c r="P1090">
        <f t="shared" si="99"/>
        <v>241.50138108162045</v>
      </c>
      <c r="Q1090">
        <f>IF(B1090&lt;&gt;B1089,IF(F1090&lt;=AVERAGE(F1068:F1089),Dashboard!$N$6-Dashboard!$G$7,Dashboard!$N$6+Dashboard!$G$7),0)</f>
        <v>0</v>
      </c>
      <c r="R1090">
        <f t="shared" si="100"/>
        <v>239.76594557279327</v>
      </c>
    </row>
    <row r="1091" spans="1:18" x14ac:dyDescent="0.3">
      <c r="A1091" s="1">
        <v>45718</v>
      </c>
      <c r="B1091">
        <v>2</v>
      </c>
      <c r="C1091" s="19">
        <v>3</v>
      </c>
      <c r="D1091" s="20">
        <v>2025</v>
      </c>
      <c r="E1091" s="21">
        <f t="shared" si="102"/>
        <v>45691</v>
      </c>
      <c r="F1091" s="20">
        <v>549.70000000000005</v>
      </c>
      <c r="G1091" s="20">
        <v>7824037</v>
      </c>
      <c r="H1091" s="20">
        <v>544.99</v>
      </c>
      <c r="I1091" s="20">
        <v>551.95989999999995</v>
      </c>
      <c r="J1091" s="22">
        <v>542.98</v>
      </c>
      <c r="K1091" s="2">
        <f t="shared" ref="K1091:K1154" si="103">N1091*F1091</f>
        <v>134149.9578012733</v>
      </c>
      <c r="L1091" s="2">
        <f>IF(B1091&lt;&gt;B1090,L1090*(1+Dashboard!$G$5)+Dashboard!$G$6, L1090)</f>
        <v>134317.11551662217</v>
      </c>
      <c r="M1091">
        <f t="shared" si="101"/>
        <v>167.15771534887608</v>
      </c>
      <c r="N1091">
        <f t="shared" si="98"/>
        <v>244.0421280721726</v>
      </c>
      <c r="O1091">
        <f>IF(B1091&lt;&gt;B1090, Dashboard!$L$6,0)</f>
        <v>1859.7282542371197</v>
      </c>
      <c r="P1091">
        <f t="shared" si="99"/>
        <v>244.88455054539546</v>
      </c>
      <c r="Q1091">
        <f>IF(B1091&lt;&gt;B1090,IF(F1091&lt;=AVERAGE(F1069:F1090),Dashboard!$N$6-Dashboard!$G$7,Dashboard!$N$6+Dashboard!$G$7),0)</f>
        <v>2232.609610169322</v>
      </c>
      <c r="R1091">
        <f t="shared" si="100"/>
        <v>243.86255213469224</v>
      </c>
    </row>
    <row r="1092" spans="1:18" x14ac:dyDescent="0.3">
      <c r="A1092" s="1">
        <v>45749</v>
      </c>
      <c r="B1092">
        <v>2</v>
      </c>
      <c r="C1092" s="19">
        <v>4</v>
      </c>
      <c r="D1092" s="20">
        <v>2025</v>
      </c>
      <c r="E1092" s="21">
        <f t="shared" si="102"/>
        <v>45692</v>
      </c>
      <c r="F1092" s="20">
        <v>553.35</v>
      </c>
      <c r="G1092" s="20">
        <v>4181413</v>
      </c>
      <c r="H1092" s="20">
        <v>549.70000000000005</v>
      </c>
      <c r="I1092" s="20">
        <v>553.83000000000004</v>
      </c>
      <c r="J1092" s="22">
        <v>549.23</v>
      </c>
      <c r="K1092" s="2">
        <f t="shared" si="103"/>
        <v>135208.97920888278</v>
      </c>
      <c r="L1092" s="2">
        <f>IF(B1092&lt;&gt;B1091,L1091*(1+Dashboard!$G$5)+Dashboard!$G$6, L1091)</f>
        <v>134317.11551662217</v>
      </c>
      <c r="M1092">
        <f t="shared" si="101"/>
        <v>0</v>
      </c>
      <c r="N1092">
        <f t="shared" ref="N1092:N1155" si="104">N1091+M1091/F1091</f>
        <v>244.34621705770812</v>
      </c>
      <c r="O1092">
        <f>IF(B1092&lt;&gt;B1091, Dashboard!$L$6,0)</f>
        <v>0</v>
      </c>
      <c r="P1092">
        <f t="shared" ref="P1092:P1155" si="105">P1091+O1092/F1092</f>
        <v>244.88455054539546</v>
      </c>
      <c r="Q1092">
        <f>IF(B1092&lt;&gt;B1091,IF(F1092&lt;=AVERAGE(F1070:F1091),Dashboard!$N$6-Dashboard!$G$7,Dashboard!$N$6+Dashboard!$G$7),0)</f>
        <v>0</v>
      </c>
      <c r="R1092">
        <f t="shared" ref="R1092:R1155" si="106">R1091+Q1092/H1092</f>
        <v>243.86255213469224</v>
      </c>
    </row>
    <row r="1093" spans="1:18" x14ac:dyDescent="0.3">
      <c r="A1093" s="1">
        <v>45779</v>
      </c>
      <c r="B1093">
        <v>2</v>
      </c>
      <c r="C1093" s="19">
        <v>5</v>
      </c>
      <c r="D1093" s="20">
        <v>2025</v>
      </c>
      <c r="E1093" s="21">
        <f t="shared" si="102"/>
        <v>45693</v>
      </c>
      <c r="F1093" s="20">
        <v>555.62</v>
      </c>
      <c r="G1093" s="20">
        <v>3424184</v>
      </c>
      <c r="H1093" s="20">
        <v>552.34</v>
      </c>
      <c r="I1093" s="20">
        <v>555.73</v>
      </c>
      <c r="J1093" s="22">
        <v>550.41</v>
      </c>
      <c r="K1093" s="2">
        <f t="shared" si="103"/>
        <v>135763.6451216038</v>
      </c>
      <c r="L1093" s="2">
        <f>IF(B1093&lt;&gt;B1092,L1092*(1+Dashboard!$G$5)+Dashboard!$G$6, L1092)</f>
        <v>134317.11551662217</v>
      </c>
      <c r="M1093">
        <f t="shared" si="101"/>
        <v>0</v>
      </c>
      <c r="N1093">
        <f t="shared" si="104"/>
        <v>244.34621705770812</v>
      </c>
      <c r="O1093">
        <f>IF(B1093&lt;&gt;B1092, Dashboard!$L$6,0)</f>
        <v>0</v>
      </c>
      <c r="P1093">
        <f t="shared" si="105"/>
        <v>244.88455054539546</v>
      </c>
      <c r="Q1093">
        <f>IF(B1093&lt;&gt;B1092,IF(F1093&lt;=AVERAGE(F1071:F1092),Dashboard!$N$6-Dashboard!$G$7,Dashboard!$N$6+Dashboard!$G$7),0)</f>
        <v>0</v>
      </c>
      <c r="R1093">
        <f t="shared" si="106"/>
        <v>243.86255213469224</v>
      </c>
    </row>
    <row r="1094" spans="1:18" x14ac:dyDescent="0.3">
      <c r="A1094" s="1">
        <v>45810</v>
      </c>
      <c r="B1094">
        <v>2</v>
      </c>
      <c r="C1094" s="19">
        <v>6</v>
      </c>
      <c r="D1094" s="20">
        <v>2025</v>
      </c>
      <c r="E1094" s="21">
        <f t="shared" si="102"/>
        <v>45694</v>
      </c>
      <c r="F1094" s="20">
        <v>557.62</v>
      </c>
      <c r="G1094" s="20">
        <v>3606299</v>
      </c>
      <c r="H1094" s="20">
        <v>557.29</v>
      </c>
      <c r="I1094" s="20">
        <v>557.65</v>
      </c>
      <c r="J1094" s="22">
        <v>554.19000000000005</v>
      </c>
      <c r="K1094" s="2">
        <f t="shared" si="103"/>
        <v>136252.33755571919</v>
      </c>
      <c r="L1094" s="2">
        <f>IF(B1094&lt;&gt;B1093,L1093*(1+Dashboard!$G$5)+Dashboard!$G$6, L1093)</f>
        <v>134317.11551662217</v>
      </c>
      <c r="M1094">
        <f t="shared" si="101"/>
        <v>0</v>
      </c>
      <c r="N1094">
        <f t="shared" si="104"/>
        <v>244.34621705770812</v>
      </c>
      <c r="O1094">
        <f>IF(B1094&lt;&gt;B1093, Dashboard!$L$6,0)</f>
        <v>0</v>
      </c>
      <c r="P1094">
        <f t="shared" si="105"/>
        <v>244.88455054539546</v>
      </c>
      <c r="Q1094">
        <f>IF(B1094&lt;&gt;B1093,IF(F1094&lt;=AVERAGE(F1072:F1093),Dashboard!$N$6-Dashboard!$G$7,Dashboard!$N$6+Dashboard!$G$7),0)</f>
        <v>0</v>
      </c>
      <c r="R1094">
        <f t="shared" si="106"/>
        <v>243.86255213469224</v>
      </c>
    </row>
    <row r="1095" spans="1:18" x14ac:dyDescent="0.3">
      <c r="A1095" s="1">
        <v>45840</v>
      </c>
      <c r="B1095">
        <v>2</v>
      </c>
      <c r="C1095" s="19">
        <v>7</v>
      </c>
      <c r="D1095" s="20">
        <v>2025</v>
      </c>
      <c r="E1095" s="21">
        <f t="shared" si="102"/>
        <v>45695</v>
      </c>
      <c r="F1095" s="20">
        <v>552.20000000000005</v>
      </c>
      <c r="G1095" s="20">
        <v>10161550</v>
      </c>
      <c r="H1095" s="20">
        <v>558.1</v>
      </c>
      <c r="I1095" s="20">
        <v>559.20000000000005</v>
      </c>
      <c r="J1095" s="22">
        <v>551.79499999999996</v>
      </c>
      <c r="K1095" s="2">
        <f t="shared" si="103"/>
        <v>134927.98105926643</v>
      </c>
      <c r="L1095" s="2">
        <f>IF(B1095&lt;&gt;B1094,L1094*(1+Dashboard!$G$5)+Dashboard!$G$6, L1094)</f>
        <v>134317.11551662217</v>
      </c>
      <c r="M1095">
        <f t="shared" si="101"/>
        <v>0</v>
      </c>
      <c r="N1095">
        <f t="shared" si="104"/>
        <v>244.34621705770812</v>
      </c>
      <c r="O1095">
        <f>IF(B1095&lt;&gt;B1094, Dashboard!$L$6,0)</f>
        <v>0</v>
      </c>
      <c r="P1095">
        <f t="shared" si="105"/>
        <v>244.88455054539546</v>
      </c>
      <c r="Q1095">
        <f>IF(B1095&lt;&gt;B1094,IF(F1095&lt;=AVERAGE(F1073:F1094),Dashboard!$N$6-Dashboard!$G$7,Dashboard!$N$6+Dashboard!$G$7),0)</f>
        <v>0</v>
      </c>
      <c r="R1095">
        <f t="shared" si="106"/>
        <v>243.86255213469224</v>
      </c>
    </row>
    <row r="1096" spans="1:18" x14ac:dyDescent="0.3">
      <c r="A1096" s="1">
        <v>45932</v>
      </c>
      <c r="B1096">
        <v>2</v>
      </c>
      <c r="C1096" s="19">
        <v>10</v>
      </c>
      <c r="D1096" s="20">
        <v>2025</v>
      </c>
      <c r="E1096" s="21">
        <f t="shared" si="102"/>
        <v>45698</v>
      </c>
      <c r="F1096" s="20">
        <v>556.15</v>
      </c>
      <c r="G1096" s="20">
        <v>3517552</v>
      </c>
      <c r="H1096" s="20">
        <v>555.44000000000005</v>
      </c>
      <c r="I1096" s="20">
        <v>556.77549999999997</v>
      </c>
      <c r="J1096" s="22">
        <v>554.24</v>
      </c>
      <c r="K1096" s="2">
        <f t="shared" si="103"/>
        <v>135893.14861664435</v>
      </c>
      <c r="L1096" s="2">
        <f>IF(B1096&lt;&gt;B1095,L1095*(1+Dashboard!$G$5)+Dashboard!$G$6, L1095)</f>
        <v>134317.11551662217</v>
      </c>
      <c r="M1096">
        <f t="shared" si="101"/>
        <v>0</v>
      </c>
      <c r="N1096">
        <f t="shared" si="104"/>
        <v>244.34621705770812</v>
      </c>
      <c r="O1096">
        <f>IF(B1096&lt;&gt;B1095, Dashboard!$L$6,0)</f>
        <v>0</v>
      </c>
      <c r="P1096">
        <f t="shared" si="105"/>
        <v>244.88455054539546</v>
      </c>
      <c r="Q1096">
        <f>IF(B1096&lt;&gt;B1095,IF(F1096&lt;=AVERAGE(F1074:F1095),Dashboard!$N$6-Dashboard!$G$7,Dashboard!$N$6+Dashboard!$G$7),0)</f>
        <v>0</v>
      </c>
      <c r="R1096">
        <f t="shared" si="106"/>
        <v>243.86255213469224</v>
      </c>
    </row>
    <row r="1097" spans="1:18" x14ac:dyDescent="0.3">
      <c r="A1097" s="1">
        <v>45963</v>
      </c>
      <c r="B1097">
        <v>2</v>
      </c>
      <c r="C1097" s="19">
        <v>11</v>
      </c>
      <c r="D1097" s="20">
        <v>2025</v>
      </c>
      <c r="E1097" s="21">
        <f t="shared" si="102"/>
        <v>45699</v>
      </c>
      <c r="F1097" s="20">
        <v>556.65</v>
      </c>
      <c r="G1097" s="20">
        <v>2752923</v>
      </c>
      <c r="H1097" s="20">
        <v>554.1</v>
      </c>
      <c r="I1097" s="20">
        <v>557.11500000000001</v>
      </c>
      <c r="J1097" s="22">
        <v>553.99</v>
      </c>
      <c r="K1097" s="2">
        <f t="shared" si="103"/>
        <v>136015.32172517321</v>
      </c>
      <c r="L1097" s="2">
        <f>IF(B1097&lt;&gt;B1096,L1096*(1+Dashboard!$G$5)+Dashboard!$G$6, L1096)</f>
        <v>134317.11551662217</v>
      </c>
      <c r="M1097">
        <f t="shared" si="101"/>
        <v>0</v>
      </c>
      <c r="N1097">
        <f t="shared" si="104"/>
        <v>244.34621705770812</v>
      </c>
      <c r="O1097">
        <f>IF(B1097&lt;&gt;B1096, Dashboard!$L$6,0)</f>
        <v>0</v>
      </c>
      <c r="P1097">
        <f t="shared" si="105"/>
        <v>244.88455054539546</v>
      </c>
      <c r="Q1097">
        <f>IF(B1097&lt;&gt;B1096,IF(F1097&lt;=AVERAGE(F1075:F1096),Dashboard!$N$6-Dashboard!$G$7,Dashboard!$N$6+Dashboard!$G$7),0)</f>
        <v>0</v>
      </c>
      <c r="R1097">
        <f t="shared" si="106"/>
        <v>243.86255213469224</v>
      </c>
    </row>
    <row r="1098" spans="1:18" x14ac:dyDescent="0.3">
      <c r="A1098" s="1">
        <v>45993</v>
      </c>
      <c r="B1098">
        <v>2</v>
      </c>
      <c r="C1098" s="19">
        <v>12</v>
      </c>
      <c r="D1098" s="20">
        <v>2025</v>
      </c>
      <c r="E1098" s="21">
        <f t="shared" si="102"/>
        <v>45700</v>
      </c>
      <c r="F1098" s="20">
        <v>554.80999999999995</v>
      </c>
      <c r="G1098" s="20">
        <v>3579483</v>
      </c>
      <c r="H1098" s="20">
        <v>551</v>
      </c>
      <c r="I1098" s="20">
        <v>555.91499999999996</v>
      </c>
      <c r="J1098" s="22">
        <v>550.39</v>
      </c>
      <c r="K1098" s="2">
        <f t="shared" si="103"/>
        <v>135565.72468578702</v>
      </c>
      <c r="L1098" s="2">
        <f>IF(B1098&lt;&gt;B1097,L1097*(1+Dashboard!$G$5)+Dashboard!$G$6, L1097)</f>
        <v>134317.11551662217</v>
      </c>
      <c r="M1098">
        <f t="shared" si="101"/>
        <v>0</v>
      </c>
      <c r="N1098">
        <f t="shared" si="104"/>
        <v>244.34621705770812</v>
      </c>
      <c r="O1098">
        <f>IF(B1098&lt;&gt;B1097, Dashboard!$L$6,0)</f>
        <v>0</v>
      </c>
      <c r="P1098">
        <f t="shared" si="105"/>
        <v>244.88455054539546</v>
      </c>
      <c r="Q1098">
        <f>IF(B1098&lt;&gt;B1097,IF(F1098&lt;=AVERAGE(F1076:F1097),Dashboard!$N$6-Dashboard!$G$7,Dashboard!$N$6+Dashboard!$G$7),0)</f>
        <v>0</v>
      </c>
      <c r="R1098">
        <f t="shared" si="106"/>
        <v>243.86255213469224</v>
      </c>
    </row>
    <row r="1099" spans="1:18" x14ac:dyDescent="0.3">
      <c r="A1099" t="s">
        <v>96</v>
      </c>
      <c r="B1099">
        <v>2</v>
      </c>
      <c r="C1099" s="19">
        <v>13</v>
      </c>
      <c r="D1099" s="20">
        <v>2025</v>
      </c>
      <c r="E1099" s="21">
        <f t="shared" si="102"/>
        <v>45701</v>
      </c>
      <c r="F1099" s="20">
        <v>560.66999999999996</v>
      </c>
      <c r="G1099" s="20">
        <v>3388498</v>
      </c>
      <c r="H1099" s="20">
        <v>555.87</v>
      </c>
      <c r="I1099" s="20">
        <v>560.88</v>
      </c>
      <c r="J1099" s="22">
        <v>554.69500000000005</v>
      </c>
      <c r="K1099" s="2">
        <f t="shared" si="103"/>
        <v>136997.5935177452</v>
      </c>
      <c r="L1099" s="2">
        <f>IF(B1099&lt;&gt;B1098,L1098*(1+Dashboard!$G$5)+Dashboard!$G$6, L1098)</f>
        <v>134317.11551662217</v>
      </c>
      <c r="M1099">
        <f t="shared" si="101"/>
        <v>0</v>
      </c>
      <c r="N1099">
        <f t="shared" si="104"/>
        <v>244.34621705770812</v>
      </c>
      <c r="O1099">
        <f>IF(B1099&lt;&gt;B1098, Dashboard!$L$6,0)</f>
        <v>0</v>
      </c>
      <c r="P1099">
        <f t="shared" si="105"/>
        <v>244.88455054539546</v>
      </c>
      <c r="Q1099">
        <f>IF(B1099&lt;&gt;B1098,IF(F1099&lt;=AVERAGE(F1077:F1098),Dashboard!$N$6-Dashboard!$G$7,Dashboard!$N$6+Dashboard!$G$7),0)</f>
        <v>0</v>
      </c>
      <c r="R1099">
        <f t="shared" si="106"/>
        <v>243.86255213469224</v>
      </c>
    </row>
    <row r="1100" spans="1:18" x14ac:dyDescent="0.3">
      <c r="A1100" t="s">
        <v>95</v>
      </c>
      <c r="B1100">
        <v>2</v>
      </c>
      <c r="C1100" s="19">
        <v>14</v>
      </c>
      <c r="D1100" s="20">
        <v>2025</v>
      </c>
      <c r="E1100" s="21">
        <f t="shared" si="102"/>
        <v>45702</v>
      </c>
      <c r="F1100" s="20">
        <v>560.69000000000005</v>
      </c>
      <c r="G1100" s="20">
        <v>3380570</v>
      </c>
      <c r="H1100" s="20">
        <v>560.9</v>
      </c>
      <c r="I1100" s="20">
        <v>561.86</v>
      </c>
      <c r="J1100" s="22">
        <v>560.07000000000005</v>
      </c>
      <c r="K1100" s="2">
        <f t="shared" si="103"/>
        <v>137002.48044208638</v>
      </c>
      <c r="L1100" s="2">
        <f>IF(B1100&lt;&gt;B1099,L1099*(1+Dashboard!$G$5)+Dashboard!$G$6, L1099)</f>
        <v>134317.11551662217</v>
      </c>
      <c r="M1100">
        <f t="shared" si="101"/>
        <v>0</v>
      </c>
      <c r="N1100">
        <f t="shared" si="104"/>
        <v>244.34621705770812</v>
      </c>
      <c r="O1100">
        <f>IF(B1100&lt;&gt;B1099, Dashboard!$L$6,0)</f>
        <v>0</v>
      </c>
      <c r="P1100">
        <f t="shared" si="105"/>
        <v>244.88455054539546</v>
      </c>
      <c r="Q1100">
        <f>IF(B1100&lt;&gt;B1099,IF(F1100&lt;=AVERAGE(F1078:F1099),Dashboard!$N$6-Dashboard!$G$7,Dashboard!$N$6+Dashboard!$G$7),0)</f>
        <v>0</v>
      </c>
      <c r="R1100">
        <f t="shared" si="106"/>
        <v>243.86255213469224</v>
      </c>
    </row>
    <row r="1101" spans="1:18" x14ac:dyDescent="0.3">
      <c r="A1101" t="s">
        <v>94</v>
      </c>
      <c r="B1101">
        <v>2</v>
      </c>
      <c r="C1101" s="19">
        <v>18</v>
      </c>
      <c r="D1101" s="20">
        <v>2025</v>
      </c>
      <c r="E1101" s="21">
        <f t="shared" si="102"/>
        <v>45706</v>
      </c>
      <c r="F1101" s="20">
        <v>562.30999999999995</v>
      </c>
      <c r="G1101" s="20">
        <v>3844905</v>
      </c>
      <c r="H1101" s="20">
        <v>561.79999999999995</v>
      </c>
      <c r="I1101" s="20">
        <v>562.30999999999995</v>
      </c>
      <c r="J1101" s="22">
        <v>559.49</v>
      </c>
      <c r="K1101" s="2">
        <f t="shared" si="103"/>
        <v>137398.32131371985</v>
      </c>
      <c r="L1101" s="2">
        <f>IF(B1101&lt;&gt;B1100,L1100*(1+Dashboard!$G$5)+Dashboard!$G$6, L1100)</f>
        <v>134317.11551662217</v>
      </c>
      <c r="M1101">
        <f t="shared" si="101"/>
        <v>0</v>
      </c>
      <c r="N1101">
        <f t="shared" si="104"/>
        <v>244.34621705770812</v>
      </c>
      <c r="O1101">
        <f>IF(B1101&lt;&gt;B1100, Dashboard!$L$6,0)</f>
        <v>0</v>
      </c>
      <c r="P1101">
        <f t="shared" si="105"/>
        <v>244.88455054539546</v>
      </c>
      <c r="Q1101">
        <f>IF(B1101&lt;&gt;B1100,IF(F1101&lt;=AVERAGE(F1079:F1100),Dashboard!$N$6-Dashboard!$G$7,Dashboard!$N$6+Dashboard!$G$7),0)</f>
        <v>0</v>
      </c>
      <c r="R1101">
        <f t="shared" si="106"/>
        <v>243.86255213469224</v>
      </c>
    </row>
    <row r="1102" spans="1:18" x14ac:dyDescent="0.3">
      <c r="A1102" t="s">
        <v>93</v>
      </c>
      <c r="B1102">
        <v>2</v>
      </c>
      <c r="C1102" s="19">
        <v>19</v>
      </c>
      <c r="D1102" s="20">
        <v>2025</v>
      </c>
      <c r="E1102" s="21">
        <f t="shared" si="102"/>
        <v>45707</v>
      </c>
      <c r="F1102" s="20">
        <v>563.66999999999996</v>
      </c>
      <c r="G1102" s="20">
        <v>3857561</v>
      </c>
      <c r="H1102" s="20">
        <v>561.02</v>
      </c>
      <c r="I1102" s="20">
        <v>563.91999999999996</v>
      </c>
      <c r="J1102" s="22">
        <v>560.53099999999995</v>
      </c>
      <c r="K1102" s="2">
        <f t="shared" si="103"/>
        <v>137730.63216891832</v>
      </c>
      <c r="L1102" s="2">
        <f>IF(B1102&lt;&gt;B1101,L1101*(1+Dashboard!$G$5)+Dashboard!$G$6, L1101)</f>
        <v>134317.11551662217</v>
      </c>
      <c r="M1102">
        <f t="shared" si="101"/>
        <v>0</v>
      </c>
      <c r="N1102">
        <f t="shared" si="104"/>
        <v>244.34621705770812</v>
      </c>
      <c r="O1102">
        <f>IF(B1102&lt;&gt;B1101, Dashboard!$L$6,0)</f>
        <v>0</v>
      </c>
      <c r="P1102">
        <f t="shared" si="105"/>
        <v>244.88455054539546</v>
      </c>
      <c r="Q1102">
        <f>IF(B1102&lt;&gt;B1101,IF(F1102&lt;=AVERAGE(F1080:F1101),Dashboard!$N$6-Dashboard!$G$7,Dashboard!$N$6+Dashboard!$G$7),0)</f>
        <v>0</v>
      </c>
      <c r="R1102">
        <f t="shared" si="106"/>
        <v>243.86255213469224</v>
      </c>
    </row>
    <row r="1103" spans="1:18" x14ac:dyDescent="0.3">
      <c r="A1103" t="s">
        <v>92</v>
      </c>
      <c r="B1103">
        <v>2</v>
      </c>
      <c r="C1103" s="19">
        <v>20</v>
      </c>
      <c r="D1103" s="20">
        <v>2025</v>
      </c>
      <c r="E1103" s="21">
        <f t="shared" si="102"/>
        <v>45708</v>
      </c>
      <c r="F1103" s="20">
        <v>561.29999999999995</v>
      </c>
      <c r="G1103" s="20">
        <v>4446782</v>
      </c>
      <c r="H1103" s="20">
        <v>562.39</v>
      </c>
      <c r="I1103" s="20">
        <v>562.48450000000003</v>
      </c>
      <c r="J1103" s="22">
        <v>558.22</v>
      </c>
      <c r="K1103" s="2">
        <f t="shared" si="103"/>
        <v>137151.53163449155</v>
      </c>
      <c r="L1103" s="2">
        <f>IF(B1103&lt;&gt;B1102,L1102*(1+Dashboard!$G$5)+Dashboard!$G$6, L1102)</f>
        <v>134317.11551662217</v>
      </c>
      <c r="M1103">
        <f t="shared" si="101"/>
        <v>0</v>
      </c>
      <c r="N1103">
        <f t="shared" si="104"/>
        <v>244.34621705770812</v>
      </c>
      <c r="O1103">
        <f>IF(B1103&lt;&gt;B1102, Dashboard!$L$6,0)</f>
        <v>0</v>
      </c>
      <c r="P1103">
        <f t="shared" si="105"/>
        <v>244.88455054539546</v>
      </c>
      <c r="Q1103">
        <f>IF(B1103&lt;&gt;B1102,IF(F1103&lt;=AVERAGE(F1081:F1102),Dashboard!$N$6-Dashboard!$G$7,Dashboard!$N$6+Dashboard!$G$7),0)</f>
        <v>0</v>
      </c>
      <c r="R1103">
        <f t="shared" si="106"/>
        <v>243.86255213469224</v>
      </c>
    </row>
    <row r="1104" spans="1:18" x14ac:dyDescent="0.3">
      <c r="A1104" t="s">
        <v>91</v>
      </c>
      <c r="B1104">
        <v>2</v>
      </c>
      <c r="C1104" s="19">
        <v>21</v>
      </c>
      <c r="D1104" s="20">
        <v>2025</v>
      </c>
      <c r="E1104" s="21">
        <f t="shared" si="102"/>
        <v>45709</v>
      </c>
      <c r="F1104" s="20">
        <v>551.75</v>
      </c>
      <c r="G1104" s="20">
        <v>6148694</v>
      </c>
      <c r="H1104" s="20">
        <v>561.1</v>
      </c>
      <c r="I1104" s="20">
        <v>561.20000000000005</v>
      </c>
      <c r="J1104" s="22">
        <v>551.26499999999999</v>
      </c>
      <c r="K1104" s="2">
        <f t="shared" si="103"/>
        <v>134818.02526159046</v>
      </c>
      <c r="L1104" s="2">
        <f>IF(B1104&lt;&gt;B1103,L1103*(1+Dashboard!$G$5)+Dashboard!$G$6, L1103)</f>
        <v>134317.11551662217</v>
      </c>
      <c r="M1104">
        <f t="shared" si="101"/>
        <v>0</v>
      </c>
      <c r="N1104">
        <f t="shared" si="104"/>
        <v>244.34621705770812</v>
      </c>
      <c r="O1104">
        <f>IF(B1104&lt;&gt;B1103, Dashboard!$L$6,0)</f>
        <v>0</v>
      </c>
      <c r="P1104">
        <f t="shared" si="105"/>
        <v>244.88455054539546</v>
      </c>
      <c r="Q1104">
        <f>IF(B1104&lt;&gt;B1103,IF(F1104&lt;=AVERAGE(F1082:F1103),Dashboard!$N$6-Dashboard!$G$7,Dashboard!$N$6+Dashboard!$G$7),0)</f>
        <v>0</v>
      </c>
      <c r="R1104">
        <f t="shared" si="106"/>
        <v>243.86255213469224</v>
      </c>
    </row>
    <row r="1105" spans="1:18" x14ac:dyDescent="0.3">
      <c r="A1105" t="s">
        <v>90</v>
      </c>
      <c r="B1105">
        <v>2</v>
      </c>
      <c r="C1105" s="19">
        <v>24</v>
      </c>
      <c r="D1105" s="20">
        <v>2025</v>
      </c>
      <c r="E1105" s="21">
        <f t="shared" si="102"/>
        <v>45712</v>
      </c>
      <c r="F1105" s="20">
        <v>549.14</v>
      </c>
      <c r="G1105" s="20">
        <v>4772255</v>
      </c>
      <c r="H1105" s="20">
        <v>553.61</v>
      </c>
      <c r="I1105" s="20">
        <v>554.51</v>
      </c>
      <c r="J1105" s="22">
        <v>548.51329999999996</v>
      </c>
      <c r="K1105" s="2">
        <f t="shared" si="103"/>
        <v>134180.28163506984</v>
      </c>
      <c r="L1105" s="2">
        <f>IF(B1105&lt;&gt;B1104,L1104*(1+Dashboard!$G$5)+Dashboard!$G$6, L1104)</f>
        <v>134317.11551662217</v>
      </c>
      <c r="M1105">
        <f t="shared" si="101"/>
        <v>0</v>
      </c>
      <c r="N1105">
        <f t="shared" si="104"/>
        <v>244.34621705770812</v>
      </c>
      <c r="O1105">
        <f>IF(B1105&lt;&gt;B1104, Dashboard!$L$6,0)</f>
        <v>0</v>
      </c>
      <c r="P1105">
        <f t="shared" si="105"/>
        <v>244.88455054539546</v>
      </c>
      <c r="Q1105">
        <f>IF(B1105&lt;&gt;B1104,IF(F1105&lt;=AVERAGE(F1083:F1104),Dashboard!$N$6-Dashboard!$G$7,Dashboard!$N$6+Dashboard!$G$7),0)</f>
        <v>0</v>
      </c>
      <c r="R1105">
        <f t="shared" si="106"/>
        <v>243.86255213469224</v>
      </c>
    </row>
    <row r="1106" spans="1:18" x14ac:dyDescent="0.3">
      <c r="A1106" t="s">
        <v>89</v>
      </c>
      <c r="B1106">
        <v>2</v>
      </c>
      <c r="C1106" s="19">
        <v>25</v>
      </c>
      <c r="D1106" s="20">
        <v>2025</v>
      </c>
      <c r="E1106" s="21">
        <f t="shared" si="102"/>
        <v>45713</v>
      </c>
      <c r="F1106" s="20">
        <v>546.41</v>
      </c>
      <c r="G1106" s="20">
        <v>5491494</v>
      </c>
      <c r="H1106" s="20">
        <v>549.17999999999995</v>
      </c>
      <c r="I1106" s="20">
        <v>549.77</v>
      </c>
      <c r="J1106" s="22">
        <v>542.16840000000002</v>
      </c>
      <c r="K1106" s="2">
        <f t="shared" si="103"/>
        <v>133513.21646250229</v>
      </c>
      <c r="L1106" s="2">
        <f>IF(B1106&lt;&gt;B1105,L1105*(1+Dashboard!$G$5)+Dashboard!$G$6, L1105)</f>
        <v>134317.11551662217</v>
      </c>
      <c r="M1106">
        <f t="shared" si="101"/>
        <v>0</v>
      </c>
      <c r="N1106">
        <f t="shared" si="104"/>
        <v>244.34621705770812</v>
      </c>
      <c r="O1106">
        <f>IF(B1106&lt;&gt;B1105, Dashboard!$L$6,0)</f>
        <v>0</v>
      </c>
      <c r="P1106">
        <f t="shared" si="105"/>
        <v>244.88455054539546</v>
      </c>
      <c r="Q1106">
        <f>IF(B1106&lt;&gt;B1105,IF(F1106&lt;=AVERAGE(F1084:F1105),Dashboard!$N$6-Dashboard!$G$7,Dashboard!$N$6+Dashboard!$G$7),0)</f>
        <v>0</v>
      </c>
      <c r="R1106">
        <f t="shared" si="106"/>
        <v>243.86255213469224</v>
      </c>
    </row>
    <row r="1107" spans="1:18" x14ac:dyDescent="0.3">
      <c r="A1107" t="s">
        <v>88</v>
      </c>
      <c r="B1107">
        <v>2</v>
      </c>
      <c r="C1107" s="19">
        <v>26</v>
      </c>
      <c r="D1107" s="20">
        <v>2025</v>
      </c>
      <c r="E1107" s="21">
        <f t="shared" si="102"/>
        <v>45714</v>
      </c>
      <c r="F1107" s="20">
        <v>546.75</v>
      </c>
      <c r="G1107" s="20">
        <v>4180803</v>
      </c>
      <c r="H1107" s="20">
        <v>548.01</v>
      </c>
      <c r="I1107" s="20">
        <v>551.34500000000003</v>
      </c>
      <c r="J1107" s="22">
        <v>544.25</v>
      </c>
      <c r="K1107" s="2">
        <f t="shared" si="103"/>
        <v>133596.29417630192</v>
      </c>
      <c r="L1107" s="2">
        <f>IF(B1107&lt;&gt;B1106,L1106*(1+Dashboard!$G$5)+Dashboard!$G$6, L1106)</f>
        <v>134317.11551662217</v>
      </c>
      <c r="M1107">
        <f t="shared" si="101"/>
        <v>0</v>
      </c>
      <c r="N1107">
        <f t="shared" si="104"/>
        <v>244.34621705770812</v>
      </c>
      <c r="O1107">
        <f>IF(B1107&lt;&gt;B1106, Dashboard!$L$6,0)</f>
        <v>0</v>
      </c>
      <c r="P1107">
        <f t="shared" si="105"/>
        <v>244.88455054539546</v>
      </c>
      <c r="Q1107">
        <f>IF(B1107&lt;&gt;B1106,IF(F1107&lt;=AVERAGE(F1085:F1106),Dashboard!$N$6-Dashboard!$G$7,Dashboard!$N$6+Dashboard!$G$7),0)</f>
        <v>0</v>
      </c>
      <c r="R1107">
        <f t="shared" si="106"/>
        <v>243.86255213469224</v>
      </c>
    </row>
    <row r="1108" spans="1:18" x14ac:dyDescent="0.3">
      <c r="A1108" t="s">
        <v>87</v>
      </c>
      <c r="B1108">
        <v>2</v>
      </c>
      <c r="C1108" s="19">
        <v>27</v>
      </c>
      <c r="D1108" s="20">
        <v>2025</v>
      </c>
      <c r="E1108" s="21">
        <f t="shared" si="102"/>
        <v>45715</v>
      </c>
      <c r="F1108" s="20">
        <v>537.97</v>
      </c>
      <c r="G1108" s="20">
        <v>5521351</v>
      </c>
      <c r="H1108" s="20">
        <v>548.83000000000004</v>
      </c>
      <c r="I1108" s="20">
        <v>549.88</v>
      </c>
      <c r="J1108" s="22">
        <v>537.6</v>
      </c>
      <c r="K1108" s="2">
        <f t="shared" si="103"/>
        <v>131450.93439053523</v>
      </c>
      <c r="L1108" s="2">
        <f>IF(B1108&lt;&gt;B1107,L1107*(1+Dashboard!$G$5)+Dashboard!$G$6, L1107)</f>
        <v>134317.11551662217</v>
      </c>
      <c r="M1108">
        <f t="shared" si="101"/>
        <v>0</v>
      </c>
      <c r="N1108">
        <f t="shared" si="104"/>
        <v>244.34621705770812</v>
      </c>
      <c r="O1108">
        <f>IF(B1108&lt;&gt;B1107, Dashboard!$L$6,0)</f>
        <v>0</v>
      </c>
      <c r="P1108">
        <f t="shared" si="105"/>
        <v>244.88455054539546</v>
      </c>
      <c r="Q1108">
        <f>IF(B1108&lt;&gt;B1107,IF(F1108&lt;=AVERAGE(F1086:F1107),Dashboard!$N$6-Dashboard!$G$7,Dashboard!$N$6+Dashboard!$G$7),0)</f>
        <v>0</v>
      </c>
      <c r="R1108">
        <f t="shared" si="106"/>
        <v>243.86255213469224</v>
      </c>
    </row>
    <row r="1109" spans="1:18" x14ac:dyDescent="0.3">
      <c r="A1109" t="s">
        <v>86</v>
      </c>
      <c r="B1109">
        <v>2</v>
      </c>
      <c r="C1109" s="19">
        <v>28</v>
      </c>
      <c r="D1109" s="20">
        <v>2025</v>
      </c>
      <c r="E1109" s="21">
        <f t="shared" si="102"/>
        <v>45716</v>
      </c>
      <c r="F1109" s="20">
        <v>546.33000000000004</v>
      </c>
      <c r="G1109" s="20">
        <v>7328051</v>
      </c>
      <c r="H1109" s="20">
        <v>538.41999999999996</v>
      </c>
      <c r="I1109" s="20">
        <v>546.89</v>
      </c>
      <c r="J1109" s="22">
        <v>535.58000000000004</v>
      </c>
      <c r="K1109" s="2">
        <f t="shared" si="103"/>
        <v>133493.6687651377</v>
      </c>
      <c r="L1109" s="2">
        <f>IF(B1109&lt;&gt;B1108,L1108*(1+Dashboard!$G$5)+Dashboard!$G$6, L1108)</f>
        <v>134317.11551662217</v>
      </c>
      <c r="M1109">
        <f t="shared" si="101"/>
        <v>0</v>
      </c>
      <c r="N1109">
        <f t="shared" si="104"/>
        <v>244.34621705770812</v>
      </c>
      <c r="O1109">
        <f>IF(B1109&lt;&gt;B1108, Dashboard!$L$6,0)</f>
        <v>0</v>
      </c>
      <c r="P1109">
        <f t="shared" si="105"/>
        <v>244.88455054539546</v>
      </c>
      <c r="Q1109">
        <f>IF(B1109&lt;&gt;B1108,IF(F1109&lt;=AVERAGE(F1087:F1108),Dashboard!$N$6-Dashboard!$G$7,Dashboard!$N$6+Dashboard!$G$7),0)</f>
        <v>0</v>
      </c>
      <c r="R1109">
        <f t="shared" si="106"/>
        <v>243.86255213469224</v>
      </c>
    </row>
    <row r="1110" spans="1:18" x14ac:dyDescent="0.3">
      <c r="A1110" s="1">
        <v>45719</v>
      </c>
      <c r="B1110">
        <v>3</v>
      </c>
      <c r="C1110" s="19">
        <v>3</v>
      </c>
      <c r="D1110" s="20">
        <v>2025</v>
      </c>
      <c r="E1110" s="21">
        <f t="shared" si="102"/>
        <v>45719</v>
      </c>
      <c r="F1110" s="20">
        <v>536.91999999999996</v>
      </c>
      <c r="G1110" s="20">
        <v>7289998</v>
      </c>
      <c r="H1110" s="20">
        <v>548.20000000000005</v>
      </c>
      <c r="I1110" s="20">
        <v>549.29</v>
      </c>
      <c r="J1110" s="22">
        <v>533.25099999999998</v>
      </c>
      <c r="K1110" s="2">
        <f t="shared" si="103"/>
        <v>131194.37086262464</v>
      </c>
      <c r="L1110" s="2">
        <f>IF(B1110&lt;&gt;B1109,L1109*(1+Dashboard!$G$5)+Dashboard!$G$6, L1109)</f>
        <v>137499.10613316845</v>
      </c>
      <c r="M1110">
        <f t="shared" si="101"/>
        <v>6304.7352705438097</v>
      </c>
      <c r="N1110">
        <f t="shared" si="104"/>
        <v>244.34621705770812</v>
      </c>
      <c r="O1110">
        <f>IF(B1110&lt;&gt;B1109, Dashboard!$L$6,0)</f>
        <v>1859.7282542371197</v>
      </c>
      <c r="P1110">
        <f t="shared" si="105"/>
        <v>248.34824765900106</v>
      </c>
      <c r="Q1110">
        <f>IF(B1110&lt;&gt;B1109,IF(F1110&lt;=AVERAGE(F1088:F1109),Dashboard!$N$6-Dashboard!$G$7,Dashboard!$N$6+Dashboard!$G$7),0)</f>
        <v>1232.609610169322</v>
      </c>
      <c r="R1110">
        <f t="shared" si="106"/>
        <v>246.11101913609559</v>
      </c>
    </row>
    <row r="1111" spans="1:18" x14ac:dyDescent="0.3">
      <c r="A1111" s="1">
        <v>45750</v>
      </c>
      <c r="B1111">
        <v>3</v>
      </c>
      <c r="C1111" s="19">
        <v>4</v>
      </c>
      <c r="D1111" s="20">
        <v>2025</v>
      </c>
      <c r="E1111" s="21">
        <f t="shared" si="102"/>
        <v>45720</v>
      </c>
      <c r="F1111" s="20">
        <v>530.45000000000005</v>
      </c>
      <c r="G1111" s="20">
        <v>10477440</v>
      </c>
      <c r="H1111" s="20">
        <v>533.05999999999995</v>
      </c>
      <c r="I1111" s="20">
        <v>538.2799</v>
      </c>
      <c r="J1111" s="22">
        <v>526.16</v>
      </c>
      <c r="K1111" s="2">
        <f t="shared" si="103"/>
        <v>135842.21271016018</v>
      </c>
      <c r="L1111" s="2">
        <f>IF(B1111&lt;&gt;B1110,L1110*(1+Dashboard!$G$5)+Dashboard!$G$6, L1110)</f>
        <v>137499.10613316845</v>
      </c>
      <c r="M1111">
        <f t="shared" si="101"/>
        <v>0</v>
      </c>
      <c r="N1111">
        <f t="shared" si="104"/>
        <v>256.08862797654854</v>
      </c>
      <c r="O1111">
        <f>IF(B1111&lt;&gt;B1110, Dashboard!$L$6,0)</f>
        <v>0</v>
      </c>
      <c r="P1111">
        <f t="shared" si="105"/>
        <v>248.34824765900106</v>
      </c>
      <c r="Q1111">
        <f>IF(B1111&lt;&gt;B1110,IF(F1111&lt;=AVERAGE(F1089:F1110),Dashboard!$N$6-Dashboard!$G$7,Dashboard!$N$6+Dashboard!$G$7),0)</f>
        <v>0</v>
      </c>
      <c r="R1111">
        <f t="shared" si="106"/>
        <v>246.11101913609559</v>
      </c>
    </row>
    <row r="1112" spans="1:18" x14ac:dyDescent="0.3">
      <c r="A1112" s="1">
        <v>45780</v>
      </c>
      <c r="B1112">
        <v>3</v>
      </c>
      <c r="C1112" s="19">
        <v>5</v>
      </c>
      <c r="D1112" s="20">
        <v>2025</v>
      </c>
      <c r="E1112" s="21">
        <f t="shared" si="102"/>
        <v>45721</v>
      </c>
      <c r="F1112" s="20">
        <v>536.4</v>
      </c>
      <c r="G1112" s="20">
        <v>6221745</v>
      </c>
      <c r="H1112" s="20">
        <v>530.25</v>
      </c>
      <c r="I1112" s="20">
        <v>537.79010000000005</v>
      </c>
      <c r="J1112" s="22">
        <v>526.92999999999995</v>
      </c>
      <c r="K1112" s="2">
        <f t="shared" si="103"/>
        <v>137365.94004662064</v>
      </c>
      <c r="L1112" s="2">
        <f>IF(B1112&lt;&gt;B1111,L1111*(1+Dashboard!$G$5)+Dashboard!$G$6, L1111)</f>
        <v>137499.10613316845</v>
      </c>
      <c r="M1112">
        <f t="shared" si="101"/>
        <v>0</v>
      </c>
      <c r="N1112">
        <f t="shared" si="104"/>
        <v>256.08862797654854</v>
      </c>
      <c r="O1112">
        <f>IF(B1112&lt;&gt;B1111, Dashboard!$L$6,0)</f>
        <v>0</v>
      </c>
      <c r="P1112">
        <f t="shared" si="105"/>
        <v>248.34824765900106</v>
      </c>
      <c r="Q1112">
        <f>IF(B1112&lt;&gt;B1111,IF(F1112&lt;=AVERAGE(F1090:F1111),Dashboard!$N$6-Dashboard!$G$7,Dashboard!$N$6+Dashboard!$G$7),0)</f>
        <v>0</v>
      </c>
      <c r="R1112">
        <f t="shared" si="106"/>
        <v>246.11101913609559</v>
      </c>
    </row>
    <row r="1113" spans="1:18" x14ac:dyDescent="0.3">
      <c r="A1113" s="1">
        <v>45811</v>
      </c>
      <c r="B1113">
        <v>3</v>
      </c>
      <c r="C1113" s="19">
        <v>6</v>
      </c>
      <c r="D1113" s="20">
        <v>2025</v>
      </c>
      <c r="E1113" s="21">
        <f t="shared" si="102"/>
        <v>45722</v>
      </c>
      <c r="F1113" s="20">
        <v>526.66999999999996</v>
      </c>
      <c r="G1113" s="20">
        <v>7228926</v>
      </c>
      <c r="H1113" s="20">
        <v>529.19000000000005</v>
      </c>
      <c r="I1113" s="20">
        <v>533.42999999999995</v>
      </c>
      <c r="J1113" s="22">
        <v>524.22</v>
      </c>
      <c r="K1113" s="2">
        <f t="shared" si="103"/>
        <v>134874.19769640881</v>
      </c>
      <c r="L1113" s="2">
        <f>IF(B1113&lt;&gt;B1112,L1112*(1+Dashboard!$G$5)+Dashboard!$G$6, L1112)</f>
        <v>137499.10613316845</v>
      </c>
      <c r="M1113">
        <f t="shared" ref="M1113:M1176" si="107">IF(B1113&lt;&gt;B1112,IF((L1113-K1113&gt;0),L1113-K1113,0),0)</f>
        <v>0</v>
      </c>
      <c r="N1113">
        <f t="shared" si="104"/>
        <v>256.08862797654854</v>
      </c>
      <c r="O1113">
        <f>IF(B1113&lt;&gt;B1112, Dashboard!$L$6,0)</f>
        <v>0</v>
      </c>
      <c r="P1113">
        <f t="shared" si="105"/>
        <v>248.34824765900106</v>
      </c>
      <c r="Q1113">
        <f>IF(B1113&lt;&gt;B1112,IF(F1113&lt;=AVERAGE(F1091:F1112),Dashboard!$N$6-Dashboard!$G$7,Dashboard!$N$6+Dashboard!$G$7),0)</f>
        <v>0</v>
      </c>
      <c r="R1113">
        <f t="shared" si="106"/>
        <v>246.11101913609559</v>
      </c>
    </row>
    <row r="1114" spans="1:18" x14ac:dyDescent="0.3">
      <c r="A1114" s="1">
        <v>45841</v>
      </c>
      <c r="B1114">
        <v>3</v>
      </c>
      <c r="C1114" s="19">
        <v>7</v>
      </c>
      <c r="D1114" s="20">
        <v>2025</v>
      </c>
      <c r="E1114" s="21">
        <f t="shared" si="102"/>
        <v>45723</v>
      </c>
      <c r="F1114" s="20">
        <v>529.51</v>
      </c>
      <c r="G1114" s="20">
        <v>7308280</v>
      </c>
      <c r="H1114" s="20">
        <v>524.9</v>
      </c>
      <c r="I1114" s="20">
        <v>530.88</v>
      </c>
      <c r="J1114" s="22">
        <v>520.13</v>
      </c>
      <c r="K1114" s="2">
        <f t="shared" si="103"/>
        <v>135601.48939986221</v>
      </c>
      <c r="L1114" s="2">
        <f>IF(B1114&lt;&gt;B1113,L1113*(1+Dashboard!$G$5)+Dashboard!$G$6, L1113)</f>
        <v>137499.10613316845</v>
      </c>
      <c r="M1114">
        <f t="shared" si="107"/>
        <v>0</v>
      </c>
      <c r="N1114">
        <f t="shared" si="104"/>
        <v>256.08862797654854</v>
      </c>
      <c r="O1114">
        <f>IF(B1114&lt;&gt;B1113, Dashboard!$L$6,0)</f>
        <v>0</v>
      </c>
      <c r="P1114">
        <f t="shared" si="105"/>
        <v>248.34824765900106</v>
      </c>
      <c r="Q1114">
        <f>IF(B1114&lt;&gt;B1113,IF(F1114&lt;=AVERAGE(F1092:F1113),Dashboard!$N$6-Dashboard!$G$7,Dashboard!$N$6+Dashboard!$G$7),0)</f>
        <v>0</v>
      </c>
      <c r="R1114">
        <f t="shared" si="106"/>
        <v>246.11101913609559</v>
      </c>
    </row>
    <row r="1115" spans="1:18" x14ac:dyDescent="0.3">
      <c r="A1115" s="1">
        <v>45933</v>
      </c>
      <c r="B1115">
        <v>3</v>
      </c>
      <c r="C1115" s="19">
        <v>10</v>
      </c>
      <c r="D1115" s="20">
        <v>2025</v>
      </c>
      <c r="E1115" s="21">
        <f t="shared" si="102"/>
        <v>45726</v>
      </c>
      <c r="F1115" s="20">
        <v>515.51</v>
      </c>
      <c r="G1115" s="20">
        <v>11176890</v>
      </c>
      <c r="H1115" s="20">
        <v>521.9</v>
      </c>
      <c r="I1115" s="20">
        <v>523.70000000000005</v>
      </c>
      <c r="J1115" s="22">
        <v>510.83</v>
      </c>
      <c r="K1115" s="2">
        <f t="shared" si="103"/>
        <v>132016.24860819054</v>
      </c>
      <c r="L1115" s="2">
        <f>IF(B1115&lt;&gt;B1114,L1114*(1+Dashboard!$G$5)+Dashboard!$G$6, L1114)</f>
        <v>137499.10613316845</v>
      </c>
      <c r="M1115">
        <f t="shared" si="107"/>
        <v>0</v>
      </c>
      <c r="N1115">
        <f t="shared" si="104"/>
        <v>256.08862797654854</v>
      </c>
      <c r="O1115">
        <f>IF(B1115&lt;&gt;B1114, Dashboard!$L$6,0)</f>
        <v>0</v>
      </c>
      <c r="P1115">
        <f t="shared" si="105"/>
        <v>248.34824765900106</v>
      </c>
      <c r="Q1115">
        <f>IF(B1115&lt;&gt;B1114,IF(F1115&lt;=AVERAGE(F1093:F1114),Dashboard!$N$6-Dashboard!$G$7,Dashboard!$N$6+Dashboard!$G$7),0)</f>
        <v>0</v>
      </c>
      <c r="R1115">
        <f t="shared" si="106"/>
        <v>246.11101913609559</v>
      </c>
    </row>
    <row r="1116" spans="1:18" x14ac:dyDescent="0.3">
      <c r="A1116" s="1">
        <v>45964</v>
      </c>
      <c r="B1116">
        <v>3</v>
      </c>
      <c r="C1116" s="19">
        <v>11</v>
      </c>
      <c r="D1116" s="20">
        <v>2025</v>
      </c>
      <c r="E1116" s="21">
        <f t="shared" si="102"/>
        <v>45727</v>
      </c>
      <c r="F1116" s="20">
        <v>511.28</v>
      </c>
      <c r="G1116" s="20">
        <v>11208910</v>
      </c>
      <c r="H1116" s="20">
        <v>514.33000000000004</v>
      </c>
      <c r="I1116" s="20">
        <v>517.5299</v>
      </c>
      <c r="J1116" s="22">
        <v>507.53</v>
      </c>
      <c r="K1116" s="2">
        <f t="shared" si="103"/>
        <v>130932.99371184973</v>
      </c>
      <c r="L1116" s="2">
        <f>IF(B1116&lt;&gt;B1115,L1115*(1+Dashboard!$G$5)+Dashboard!$G$6, L1115)</f>
        <v>137499.10613316845</v>
      </c>
      <c r="M1116">
        <f t="shared" si="107"/>
        <v>0</v>
      </c>
      <c r="N1116">
        <f t="shared" si="104"/>
        <v>256.08862797654854</v>
      </c>
      <c r="O1116">
        <f>IF(B1116&lt;&gt;B1115, Dashboard!$L$6,0)</f>
        <v>0</v>
      </c>
      <c r="P1116">
        <f t="shared" si="105"/>
        <v>248.34824765900106</v>
      </c>
      <c r="Q1116">
        <f>IF(B1116&lt;&gt;B1115,IF(F1116&lt;=AVERAGE(F1094:F1115),Dashboard!$N$6-Dashboard!$G$7,Dashboard!$N$6+Dashboard!$G$7),0)</f>
        <v>0</v>
      </c>
      <c r="R1116">
        <f t="shared" si="106"/>
        <v>246.11101913609559</v>
      </c>
    </row>
    <row r="1117" spans="1:18" x14ac:dyDescent="0.3">
      <c r="A1117" s="1">
        <v>45994</v>
      </c>
      <c r="B1117">
        <v>3</v>
      </c>
      <c r="C1117" s="19">
        <v>12</v>
      </c>
      <c r="D1117" s="20">
        <v>2025</v>
      </c>
      <c r="E1117" s="21">
        <f t="shared" si="102"/>
        <v>45728</v>
      </c>
      <c r="F1117" s="20">
        <v>513.76</v>
      </c>
      <c r="G1117" s="20">
        <v>8590555</v>
      </c>
      <c r="H1117" s="20">
        <v>516.89</v>
      </c>
      <c r="I1117" s="20">
        <v>517.74</v>
      </c>
      <c r="J1117" s="22">
        <v>509.1</v>
      </c>
      <c r="K1117" s="2">
        <f t="shared" si="103"/>
        <v>131568.09350923158</v>
      </c>
      <c r="L1117" s="2">
        <f>IF(B1117&lt;&gt;B1116,L1116*(1+Dashboard!$G$5)+Dashboard!$G$6, L1116)</f>
        <v>137499.10613316845</v>
      </c>
      <c r="M1117">
        <f t="shared" si="107"/>
        <v>0</v>
      </c>
      <c r="N1117">
        <f t="shared" si="104"/>
        <v>256.08862797654854</v>
      </c>
      <c r="O1117">
        <f>IF(B1117&lt;&gt;B1116, Dashboard!$L$6,0)</f>
        <v>0</v>
      </c>
      <c r="P1117">
        <f t="shared" si="105"/>
        <v>248.34824765900106</v>
      </c>
      <c r="Q1117">
        <f>IF(B1117&lt;&gt;B1116,IF(F1117&lt;=AVERAGE(F1095:F1116),Dashboard!$N$6-Dashboard!$G$7,Dashboard!$N$6+Dashboard!$G$7),0)</f>
        <v>0</v>
      </c>
      <c r="R1117">
        <f t="shared" si="106"/>
        <v>246.11101913609559</v>
      </c>
    </row>
    <row r="1118" spans="1:18" x14ac:dyDescent="0.3">
      <c r="A1118" t="s">
        <v>85</v>
      </c>
      <c r="B1118">
        <v>3</v>
      </c>
      <c r="C1118" s="19">
        <v>13</v>
      </c>
      <c r="D1118" s="20">
        <v>2025</v>
      </c>
      <c r="E1118" s="21">
        <f t="shared" si="102"/>
        <v>45729</v>
      </c>
      <c r="F1118" s="20">
        <v>507.05</v>
      </c>
      <c r="G1118" s="20">
        <v>21650000</v>
      </c>
      <c r="H1118" s="20">
        <v>513.51</v>
      </c>
      <c r="I1118" s="20">
        <v>514.05999999999995</v>
      </c>
      <c r="J1118" s="22">
        <v>505.42</v>
      </c>
      <c r="K1118" s="2">
        <f t="shared" si="103"/>
        <v>129849.73881550894</v>
      </c>
      <c r="L1118" s="2">
        <f>IF(B1118&lt;&gt;B1117,L1117*(1+Dashboard!$G$5)+Dashboard!$G$6, L1117)</f>
        <v>137499.10613316845</v>
      </c>
      <c r="M1118">
        <f t="shared" si="107"/>
        <v>0</v>
      </c>
      <c r="N1118">
        <f t="shared" si="104"/>
        <v>256.08862797654854</v>
      </c>
      <c r="O1118">
        <f>IF(B1118&lt;&gt;B1117, Dashboard!$L$6,0)</f>
        <v>0</v>
      </c>
      <c r="P1118">
        <f t="shared" si="105"/>
        <v>248.34824765900106</v>
      </c>
      <c r="Q1118">
        <f>IF(B1118&lt;&gt;B1117,IF(F1118&lt;=AVERAGE(F1096:F1117),Dashboard!$N$6-Dashboard!$G$7,Dashboard!$N$6+Dashboard!$G$7),0)</f>
        <v>0</v>
      </c>
      <c r="R1118">
        <f t="shared" si="106"/>
        <v>246.11101913609559</v>
      </c>
    </row>
    <row r="1119" spans="1:18" x14ac:dyDescent="0.3">
      <c r="A1119" t="s">
        <v>84</v>
      </c>
      <c r="B1119">
        <v>3</v>
      </c>
      <c r="C1119" s="19">
        <v>14</v>
      </c>
      <c r="D1119" s="20">
        <v>2025</v>
      </c>
      <c r="E1119" s="21">
        <f t="shared" si="102"/>
        <v>45730</v>
      </c>
      <c r="F1119" s="20">
        <v>517.46</v>
      </c>
      <c r="G1119" s="20">
        <v>7412261</v>
      </c>
      <c r="H1119" s="20">
        <v>511.28</v>
      </c>
      <c r="I1119" s="20">
        <v>518.41999999999996</v>
      </c>
      <c r="J1119" s="22">
        <v>510.84</v>
      </c>
      <c r="K1119" s="2">
        <f t="shared" si="103"/>
        <v>132515.62143274481</v>
      </c>
      <c r="L1119" s="2">
        <f>IF(B1119&lt;&gt;B1118,L1118*(1+Dashboard!$G$5)+Dashboard!$G$6, L1118)</f>
        <v>137499.10613316845</v>
      </c>
      <c r="M1119">
        <f t="shared" si="107"/>
        <v>0</v>
      </c>
      <c r="N1119">
        <f t="shared" si="104"/>
        <v>256.08862797654854</v>
      </c>
      <c r="O1119">
        <f>IF(B1119&lt;&gt;B1118, Dashboard!$L$6,0)</f>
        <v>0</v>
      </c>
      <c r="P1119">
        <f t="shared" si="105"/>
        <v>248.34824765900106</v>
      </c>
      <c r="Q1119">
        <f>IF(B1119&lt;&gt;B1118,IF(F1119&lt;=AVERAGE(F1097:F1118),Dashboard!$N$6-Dashboard!$G$7,Dashboard!$N$6+Dashboard!$G$7),0)</f>
        <v>0</v>
      </c>
      <c r="R1119">
        <f t="shared" si="106"/>
        <v>246.11101913609559</v>
      </c>
    </row>
    <row r="1120" spans="1:18" x14ac:dyDescent="0.3">
      <c r="A1120" t="s">
        <v>83</v>
      </c>
      <c r="B1120">
        <v>3</v>
      </c>
      <c r="C1120" s="19">
        <v>17</v>
      </c>
      <c r="D1120" s="20">
        <v>2025</v>
      </c>
      <c r="E1120" s="21">
        <f t="shared" si="102"/>
        <v>45733</v>
      </c>
      <c r="F1120" s="20">
        <v>521.41</v>
      </c>
      <c r="G1120" s="20">
        <v>6269843</v>
      </c>
      <c r="H1120" s="20">
        <v>517.45000000000005</v>
      </c>
      <c r="I1120" s="20">
        <v>523.84</v>
      </c>
      <c r="J1120" s="22">
        <v>517.08000000000004</v>
      </c>
      <c r="K1120" s="2">
        <f t="shared" si="103"/>
        <v>133527.17151325216</v>
      </c>
      <c r="L1120" s="2">
        <f>IF(B1120&lt;&gt;B1119,L1119*(1+Dashboard!$G$5)+Dashboard!$G$6, L1119)</f>
        <v>137499.10613316845</v>
      </c>
      <c r="M1120">
        <f t="shared" si="107"/>
        <v>0</v>
      </c>
      <c r="N1120">
        <f t="shared" si="104"/>
        <v>256.08862797654854</v>
      </c>
      <c r="O1120">
        <f>IF(B1120&lt;&gt;B1119, Dashboard!$L$6,0)</f>
        <v>0</v>
      </c>
      <c r="P1120">
        <f t="shared" si="105"/>
        <v>248.34824765900106</v>
      </c>
      <c r="Q1120">
        <f>IF(B1120&lt;&gt;B1119,IF(F1120&lt;=AVERAGE(F1098:F1119),Dashboard!$N$6-Dashboard!$G$7,Dashboard!$N$6+Dashboard!$G$7),0)</f>
        <v>0</v>
      </c>
      <c r="R1120">
        <f t="shared" si="106"/>
        <v>246.11101913609559</v>
      </c>
    </row>
    <row r="1121" spans="1:18" x14ac:dyDescent="0.3">
      <c r="A1121" t="s">
        <v>82</v>
      </c>
      <c r="B1121">
        <v>3</v>
      </c>
      <c r="C1121" s="19">
        <v>18</v>
      </c>
      <c r="D1121" s="20">
        <v>2025</v>
      </c>
      <c r="E1121" s="21">
        <f t="shared" si="102"/>
        <v>45734</v>
      </c>
      <c r="F1121" s="20">
        <v>515.91</v>
      </c>
      <c r="G1121" s="20">
        <v>6010598</v>
      </c>
      <c r="H1121" s="20">
        <v>519.32000000000005</v>
      </c>
      <c r="I1121" s="20">
        <v>519.52</v>
      </c>
      <c r="J1121" s="22">
        <v>514.07079999999996</v>
      </c>
      <c r="K1121" s="2">
        <f t="shared" si="103"/>
        <v>132118.68405938114</v>
      </c>
      <c r="L1121" s="2">
        <f>IF(B1121&lt;&gt;B1120,L1120*(1+Dashboard!$G$5)+Dashboard!$G$6, L1120)</f>
        <v>137499.10613316845</v>
      </c>
      <c r="M1121">
        <f t="shared" si="107"/>
        <v>0</v>
      </c>
      <c r="N1121">
        <f t="shared" si="104"/>
        <v>256.08862797654854</v>
      </c>
      <c r="O1121">
        <f>IF(B1121&lt;&gt;B1120, Dashboard!$L$6,0)</f>
        <v>0</v>
      </c>
      <c r="P1121">
        <f t="shared" si="105"/>
        <v>248.34824765900106</v>
      </c>
      <c r="Q1121">
        <f>IF(B1121&lt;&gt;B1120,IF(F1121&lt;=AVERAGE(F1099:F1120),Dashboard!$N$6-Dashboard!$G$7,Dashboard!$N$6+Dashboard!$G$7),0)</f>
        <v>0</v>
      </c>
      <c r="R1121">
        <f t="shared" si="106"/>
        <v>246.11101913609559</v>
      </c>
    </row>
    <row r="1122" spans="1:18" x14ac:dyDescent="0.3">
      <c r="A1122" t="s">
        <v>81</v>
      </c>
      <c r="B1122">
        <v>3</v>
      </c>
      <c r="C1122" s="19">
        <v>19</v>
      </c>
      <c r="D1122" s="20">
        <v>2025</v>
      </c>
      <c r="E1122" s="21">
        <f t="shared" si="102"/>
        <v>45735</v>
      </c>
      <c r="F1122" s="20">
        <v>521.33000000000004</v>
      </c>
      <c r="G1122" s="20">
        <v>5373949</v>
      </c>
      <c r="H1122" s="20">
        <v>517.54</v>
      </c>
      <c r="I1122" s="20">
        <v>524.96</v>
      </c>
      <c r="J1122" s="22">
        <v>516.41909999999996</v>
      </c>
      <c r="K1122" s="2">
        <f t="shared" si="103"/>
        <v>133506.68442301406</v>
      </c>
      <c r="L1122" s="2">
        <f>IF(B1122&lt;&gt;B1121,L1121*(1+Dashboard!$G$5)+Dashboard!$G$6, L1121)</f>
        <v>137499.10613316845</v>
      </c>
      <c r="M1122">
        <f t="shared" si="107"/>
        <v>0</v>
      </c>
      <c r="N1122">
        <f t="shared" si="104"/>
        <v>256.08862797654854</v>
      </c>
      <c r="O1122">
        <f>IF(B1122&lt;&gt;B1121, Dashboard!$L$6,0)</f>
        <v>0</v>
      </c>
      <c r="P1122">
        <f t="shared" si="105"/>
        <v>248.34824765900106</v>
      </c>
      <c r="Q1122">
        <f>IF(B1122&lt;&gt;B1121,IF(F1122&lt;=AVERAGE(F1100:F1121),Dashboard!$N$6-Dashboard!$G$7,Dashboard!$N$6+Dashboard!$G$7),0)</f>
        <v>0</v>
      </c>
      <c r="R1122">
        <f t="shared" si="106"/>
        <v>246.11101913609559</v>
      </c>
    </row>
    <row r="1123" spans="1:18" x14ac:dyDescent="0.3">
      <c r="A1123" t="s">
        <v>80</v>
      </c>
      <c r="B1123">
        <v>3</v>
      </c>
      <c r="C1123" s="19">
        <v>20</v>
      </c>
      <c r="D1123" s="20">
        <v>2025</v>
      </c>
      <c r="E1123" s="21">
        <f t="shared" si="102"/>
        <v>45736</v>
      </c>
      <c r="F1123" s="20">
        <v>520.13</v>
      </c>
      <c r="G1123" s="20">
        <v>6029737</v>
      </c>
      <c r="H1123" s="20">
        <v>517.96</v>
      </c>
      <c r="I1123" s="20">
        <v>524.61500000000001</v>
      </c>
      <c r="J1123" s="22">
        <v>517.32000000000005</v>
      </c>
      <c r="K1123" s="2">
        <f t="shared" si="103"/>
        <v>133199.3780694422</v>
      </c>
      <c r="L1123" s="2">
        <f>IF(B1123&lt;&gt;B1122,L1122*(1+Dashboard!$G$5)+Dashboard!$G$6, L1122)</f>
        <v>137499.10613316845</v>
      </c>
      <c r="M1123">
        <f t="shared" si="107"/>
        <v>0</v>
      </c>
      <c r="N1123">
        <f t="shared" si="104"/>
        <v>256.08862797654854</v>
      </c>
      <c r="O1123">
        <f>IF(B1123&lt;&gt;B1122, Dashboard!$L$6,0)</f>
        <v>0</v>
      </c>
      <c r="P1123">
        <f t="shared" si="105"/>
        <v>248.34824765900106</v>
      </c>
      <c r="Q1123">
        <f>IF(B1123&lt;&gt;B1122,IF(F1123&lt;=AVERAGE(F1101:F1122),Dashboard!$N$6-Dashboard!$G$7,Dashboard!$N$6+Dashboard!$G$7),0)</f>
        <v>0</v>
      </c>
      <c r="R1123">
        <f t="shared" si="106"/>
        <v>246.11101913609559</v>
      </c>
    </row>
    <row r="1124" spans="1:18" x14ac:dyDescent="0.3">
      <c r="A1124" t="s">
        <v>79</v>
      </c>
      <c r="B1124">
        <v>3</v>
      </c>
      <c r="C1124" s="19">
        <v>21</v>
      </c>
      <c r="D1124" s="20">
        <v>2025</v>
      </c>
      <c r="E1124" s="21">
        <f t="shared" si="102"/>
        <v>45737</v>
      </c>
      <c r="F1124" s="20">
        <v>520.26</v>
      </c>
      <c r="G1124" s="20">
        <v>5059011</v>
      </c>
      <c r="H1124" s="20">
        <v>515.79</v>
      </c>
      <c r="I1124" s="20">
        <v>520.95000000000005</v>
      </c>
      <c r="J1124" s="22">
        <v>514.65499999999997</v>
      </c>
      <c r="K1124" s="2">
        <f t="shared" si="103"/>
        <v>133232.66959107915</v>
      </c>
      <c r="L1124" s="2">
        <f>IF(B1124&lt;&gt;B1123,L1123*(1+Dashboard!$G$5)+Dashboard!$G$6, L1123)</f>
        <v>137499.10613316845</v>
      </c>
      <c r="M1124">
        <f t="shared" si="107"/>
        <v>0</v>
      </c>
      <c r="N1124">
        <f t="shared" si="104"/>
        <v>256.08862797654854</v>
      </c>
      <c r="O1124">
        <f>IF(B1124&lt;&gt;B1123, Dashboard!$L$6,0)</f>
        <v>0</v>
      </c>
      <c r="P1124">
        <f t="shared" si="105"/>
        <v>248.34824765900106</v>
      </c>
      <c r="Q1124">
        <f>IF(B1124&lt;&gt;B1123,IF(F1124&lt;=AVERAGE(F1102:F1123),Dashboard!$N$6-Dashboard!$G$7,Dashboard!$N$6+Dashboard!$G$7),0)</f>
        <v>0</v>
      </c>
      <c r="R1124">
        <f t="shared" si="106"/>
        <v>246.11101913609559</v>
      </c>
    </row>
    <row r="1125" spans="1:18" x14ac:dyDescent="0.3">
      <c r="A1125" t="s">
        <v>78</v>
      </c>
      <c r="B1125">
        <v>3</v>
      </c>
      <c r="C1125" s="19">
        <v>24</v>
      </c>
      <c r="D1125" s="20">
        <v>2025</v>
      </c>
      <c r="E1125" s="21">
        <f t="shared" si="102"/>
        <v>45740</v>
      </c>
      <c r="F1125" s="20">
        <v>529.39</v>
      </c>
      <c r="G1125" s="20">
        <v>22376270</v>
      </c>
      <c r="H1125" s="20">
        <v>526.48</v>
      </c>
      <c r="I1125" s="20">
        <v>530.39</v>
      </c>
      <c r="J1125" s="22">
        <v>525.88</v>
      </c>
      <c r="K1125" s="2">
        <f t="shared" si="103"/>
        <v>135570.75876450504</v>
      </c>
      <c r="L1125" s="2">
        <f>IF(B1125&lt;&gt;B1124,L1124*(1+Dashboard!$G$5)+Dashboard!$G$6, L1124)</f>
        <v>137499.10613316845</v>
      </c>
      <c r="M1125">
        <f t="shared" si="107"/>
        <v>0</v>
      </c>
      <c r="N1125">
        <f t="shared" si="104"/>
        <v>256.08862797654854</v>
      </c>
      <c r="O1125">
        <f>IF(B1125&lt;&gt;B1124, Dashboard!$L$6,0)</f>
        <v>0</v>
      </c>
      <c r="P1125">
        <f t="shared" si="105"/>
        <v>248.34824765900106</v>
      </c>
      <c r="Q1125">
        <f>IF(B1125&lt;&gt;B1124,IF(F1125&lt;=AVERAGE(F1103:F1124),Dashboard!$N$6-Dashboard!$G$7,Dashboard!$N$6+Dashboard!$G$7),0)</f>
        <v>0</v>
      </c>
      <c r="R1125">
        <f t="shared" si="106"/>
        <v>246.11101913609559</v>
      </c>
    </row>
    <row r="1126" spans="1:18" x14ac:dyDescent="0.3">
      <c r="A1126" t="s">
        <v>77</v>
      </c>
      <c r="B1126">
        <v>3</v>
      </c>
      <c r="C1126" s="19">
        <v>25</v>
      </c>
      <c r="D1126" s="20">
        <v>2025</v>
      </c>
      <c r="E1126" s="21">
        <f t="shared" si="102"/>
        <v>45741</v>
      </c>
      <c r="F1126" s="20">
        <v>530.65</v>
      </c>
      <c r="G1126" s="20">
        <v>6260199</v>
      </c>
      <c r="H1126" s="20">
        <v>530.59</v>
      </c>
      <c r="I1126" s="20">
        <v>531.6</v>
      </c>
      <c r="J1126" s="22">
        <v>529.11</v>
      </c>
      <c r="K1126" s="2">
        <f t="shared" si="103"/>
        <v>135893.43043575546</v>
      </c>
      <c r="L1126" s="2">
        <f>IF(B1126&lt;&gt;B1125,L1125*(1+Dashboard!$G$5)+Dashboard!$G$6, L1125)</f>
        <v>137499.10613316845</v>
      </c>
      <c r="M1126">
        <f t="shared" si="107"/>
        <v>0</v>
      </c>
      <c r="N1126">
        <f t="shared" si="104"/>
        <v>256.08862797654854</v>
      </c>
      <c r="O1126">
        <f>IF(B1126&lt;&gt;B1125, Dashboard!$L$6,0)</f>
        <v>0</v>
      </c>
      <c r="P1126">
        <f t="shared" si="105"/>
        <v>248.34824765900106</v>
      </c>
      <c r="Q1126">
        <f>IF(B1126&lt;&gt;B1125,IF(F1126&lt;=AVERAGE(F1104:F1125),Dashboard!$N$6-Dashboard!$G$7,Dashboard!$N$6+Dashboard!$G$7),0)</f>
        <v>0</v>
      </c>
      <c r="R1126">
        <f t="shared" si="106"/>
        <v>246.11101913609559</v>
      </c>
    </row>
    <row r="1127" spans="1:18" x14ac:dyDescent="0.3">
      <c r="A1127" t="s">
        <v>76</v>
      </c>
      <c r="B1127">
        <v>3</v>
      </c>
      <c r="C1127" s="19">
        <v>26</v>
      </c>
      <c r="D1127" s="20">
        <v>2025</v>
      </c>
      <c r="E1127" s="21">
        <f t="shared" si="102"/>
        <v>45742</v>
      </c>
      <c r="F1127" s="20">
        <v>524.46</v>
      </c>
      <c r="G1127" s="20">
        <v>4429626</v>
      </c>
      <c r="H1127" s="20">
        <v>530.55999999999995</v>
      </c>
      <c r="I1127" s="20">
        <v>531.41</v>
      </c>
      <c r="J1127" s="22">
        <v>523.1</v>
      </c>
      <c r="K1127" s="2">
        <f t="shared" si="103"/>
        <v>134308.24182858065</v>
      </c>
      <c r="L1127" s="2">
        <f>IF(B1127&lt;&gt;B1126,L1126*(1+Dashboard!$G$5)+Dashboard!$G$6, L1126)</f>
        <v>137499.10613316845</v>
      </c>
      <c r="M1127">
        <f t="shared" si="107"/>
        <v>0</v>
      </c>
      <c r="N1127">
        <f t="shared" si="104"/>
        <v>256.08862797654854</v>
      </c>
      <c r="O1127">
        <f>IF(B1127&lt;&gt;B1126, Dashboard!$L$6,0)</f>
        <v>0</v>
      </c>
      <c r="P1127">
        <f t="shared" si="105"/>
        <v>248.34824765900106</v>
      </c>
      <c r="Q1127">
        <f>IF(B1127&lt;&gt;B1126,IF(F1127&lt;=AVERAGE(F1105:F1126),Dashboard!$N$6-Dashboard!$G$7,Dashboard!$N$6+Dashboard!$G$7),0)</f>
        <v>0</v>
      </c>
      <c r="R1127">
        <f t="shared" si="106"/>
        <v>246.11101913609559</v>
      </c>
    </row>
    <row r="1128" spans="1:18" x14ac:dyDescent="0.3">
      <c r="A1128" t="s">
        <v>75</v>
      </c>
      <c r="B1128">
        <v>3</v>
      </c>
      <c r="C1128" s="19">
        <v>27</v>
      </c>
      <c r="D1128" s="20">
        <v>2025</v>
      </c>
      <c r="E1128" s="21">
        <f t="shared" si="102"/>
        <v>45743</v>
      </c>
      <c r="F1128" s="20">
        <v>521.21</v>
      </c>
      <c r="G1128" s="20">
        <v>5534928</v>
      </c>
      <c r="H1128" s="20">
        <v>521.29</v>
      </c>
      <c r="I1128" s="20">
        <v>524.678</v>
      </c>
      <c r="J1128" s="22">
        <v>519.23</v>
      </c>
      <c r="K1128" s="2">
        <f t="shared" si="103"/>
        <v>133475.95378765688</v>
      </c>
      <c r="L1128" s="2">
        <f>IF(B1128&lt;&gt;B1127,L1127*(1+Dashboard!$G$5)+Dashboard!$G$6, L1127)</f>
        <v>137499.10613316845</v>
      </c>
      <c r="M1128">
        <f t="shared" si="107"/>
        <v>0</v>
      </c>
      <c r="N1128">
        <f t="shared" si="104"/>
        <v>256.08862797654854</v>
      </c>
      <c r="O1128">
        <f>IF(B1128&lt;&gt;B1127, Dashboard!$L$6,0)</f>
        <v>0</v>
      </c>
      <c r="P1128">
        <f t="shared" si="105"/>
        <v>248.34824765900106</v>
      </c>
      <c r="Q1128">
        <f>IF(B1128&lt;&gt;B1127,IF(F1128&lt;=AVERAGE(F1106:F1127),Dashboard!$N$6-Dashboard!$G$7,Dashboard!$N$6+Dashboard!$G$7),0)</f>
        <v>0</v>
      </c>
      <c r="R1128">
        <f t="shared" si="106"/>
        <v>246.11101913609559</v>
      </c>
    </row>
    <row r="1129" spans="1:18" x14ac:dyDescent="0.3">
      <c r="A1129" t="s">
        <v>74</v>
      </c>
      <c r="B1129">
        <v>3</v>
      </c>
      <c r="C1129" s="19">
        <v>28</v>
      </c>
      <c r="D1129" s="20">
        <v>2025</v>
      </c>
      <c r="E1129" s="21">
        <f t="shared" si="102"/>
        <v>45744</v>
      </c>
      <c r="F1129" s="20">
        <v>510.8</v>
      </c>
      <c r="G1129" s="20">
        <v>5831793</v>
      </c>
      <c r="H1129" s="20">
        <v>519.76</v>
      </c>
      <c r="I1129" s="20">
        <v>520.46</v>
      </c>
      <c r="J1129" s="22">
        <v>510.16</v>
      </c>
      <c r="K1129" s="2">
        <f t="shared" si="103"/>
        <v>130810.071170421</v>
      </c>
      <c r="L1129" s="2">
        <f>IF(B1129&lt;&gt;B1128,L1128*(1+Dashboard!$G$5)+Dashboard!$G$6, L1128)</f>
        <v>137499.10613316845</v>
      </c>
      <c r="M1129">
        <f t="shared" si="107"/>
        <v>0</v>
      </c>
      <c r="N1129">
        <f t="shared" si="104"/>
        <v>256.08862797654854</v>
      </c>
      <c r="O1129">
        <f>IF(B1129&lt;&gt;B1128, Dashboard!$L$6,0)</f>
        <v>0</v>
      </c>
      <c r="P1129">
        <f t="shared" si="105"/>
        <v>248.34824765900106</v>
      </c>
      <c r="Q1129">
        <f>IF(B1129&lt;&gt;B1128,IF(F1129&lt;=AVERAGE(F1107:F1128),Dashboard!$N$6-Dashboard!$G$7,Dashboard!$N$6+Dashboard!$G$7),0)</f>
        <v>0</v>
      </c>
      <c r="R1129">
        <f t="shared" si="106"/>
        <v>246.11101913609559</v>
      </c>
    </row>
    <row r="1130" spans="1:18" x14ac:dyDescent="0.3">
      <c r="A1130" t="s">
        <v>73</v>
      </c>
      <c r="B1130">
        <v>3</v>
      </c>
      <c r="C1130" s="19">
        <v>31</v>
      </c>
      <c r="D1130" s="20">
        <v>2025</v>
      </c>
      <c r="E1130" s="21">
        <f t="shared" si="102"/>
        <v>45747</v>
      </c>
      <c r="F1130" s="20">
        <v>513.91</v>
      </c>
      <c r="G1130" s="20">
        <v>8196668</v>
      </c>
      <c r="H1130" s="20">
        <v>505.31</v>
      </c>
      <c r="I1130" s="20">
        <v>515.33000000000004</v>
      </c>
      <c r="J1130" s="22">
        <v>502.64</v>
      </c>
      <c r="K1130" s="2">
        <f t="shared" si="103"/>
        <v>131606.50680342806</v>
      </c>
      <c r="L1130" s="2">
        <f>IF(B1130&lt;&gt;B1129,L1129*(1+Dashboard!$G$5)+Dashboard!$G$6, L1129)</f>
        <v>137499.10613316845</v>
      </c>
      <c r="M1130">
        <f t="shared" si="107"/>
        <v>0</v>
      </c>
      <c r="N1130">
        <f t="shared" si="104"/>
        <v>256.08862797654854</v>
      </c>
      <c r="O1130">
        <f>IF(B1130&lt;&gt;B1129, Dashboard!$L$6,0)</f>
        <v>0</v>
      </c>
      <c r="P1130">
        <f t="shared" si="105"/>
        <v>248.34824765900106</v>
      </c>
      <c r="Q1130">
        <f>IF(B1130&lt;&gt;B1129,IF(F1130&lt;=AVERAGE(F1108:F1129),Dashboard!$N$6-Dashboard!$G$7,Dashboard!$N$6+Dashboard!$G$7),0)</f>
        <v>0</v>
      </c>
      <c r="R1130">
        <f t="shared" si="106"/>
        <v>246.11101913609559</v>
      </c>
    </row>
    <row r="1131" spans="1:18" x14ac:dyDescent="0.3">
      <c r="A1131" s="1">
        <v>45661</v>
      </c>
      <c r="B1131">
        <v>4</v>
      </c>
      <c r="C1131" s="19">
        <v>1</v>
      </c>
      <c r="D1131" s="20">
        <v>2025</v>
      </c>
      <c r="E1131" s="21">
        <f t="shared" si="102"/>
        <v>45748</v>
      </c>
      <c r="F1131" s="20">
        <v>515.79999999999995</v>
      </c>
      <c r="G1131" s="20">
        <v>7697017</v>
      </c>
      <c r="H1131" s="20">
        <v>512.36</v>
      </c>
      <c r="I1131" s="20">
        <v>517.35</v>
      </c>
      <c r="J1131" s="22">
        <v>508.88</v>
      </c>
      <c r="K1131" s="2">
        <f t="shared" si="103"/>
        <v>132090.51431030373</v>
      </c>
      <c r="L1131" s="2">
        <f>IF(B1131&lt;&gt;B1130,L1130*(1+Dashboard!$G$5)+Dashboard!$G$6, L1130)</f>
        <v>140709.0982671403</v>
      </c>
      <c r="M1131">
        <f t="shared" si="107"/>
        <v>8618.5839568365773</v>
      </c>
      <c r="N1131">
        <f t="shared" si="104"/>
        <v>256.08862797654854</v>
      </c>
      <c r="O1131">
        <f>IF(B1131&lt;&gt;B1130, Dashboard!$L$6,0)</f>
        <v>1859.7282542371197</v>
      </c>
      <c r="P1131">
        <f t="shared" si="105"/>
        <v>251.95376967186868</v>
      </c>
      <c r="Q1131">
        <f>IF(B1131&lt;&gt;B1130,IF(F1131&lt;=AVERAGE(F1109:F1130),Dashboard!$N$6-Dashboard!$G$7,Dashboard!$N$6+Dashboard!$G$7),0)</f>
        <v>1232.609610169322</v>
      </c>
      <c r="R1131">
        <f t="shared" si="106"/>
        <v>248.51676823861985</v>
      </c>
    </row>
    <row r="1132" spans="1:18" x14ac:dyDescent="0.3">
      <c r="A1132" s="1">
        <v>45692</v>
      </c>
      <c r="B1132">
        <v>4</v>
      </c>
      <c r="C1132" s="19">
        <v>2</v>
      </c>
      <c r="D1132" s="20">
        <v>2025</v>
      </c>
      <c r="E1132" s="21">
        <f t="shared" si="102"/>
        <v>45749</v>
      </c>
      <c r="F1132" s="20">
        <v>518.91</v>
      </c>
      <c r="G1132" s="20">
        <v>6308643</v>
      </c>
      <c r="H1132" s="20">
        <v>510.14</v>
      </c>
      <c r="I1132" s="20">
        <v>521.49</v>
      </c>
      <c r="J1132" s="22">
        <v>509.9298</v>
      </c>
      <c r="K1132" s="2">
        <f t="shared" si="103"/>
        <v>141557.49938309766</v>
      </c>
      <c r="L1132" s="2">
        <f>IF(B1132&lt;&gt;B1131,L1131*(1+Dashboard!$G$5)+Dashboard!$G$6, L1131)</f>
        <v>140709.0982671403</v>
      </c>
      <c r="M1132">
        <f t="shared" si="107"/>
        <v>0</v>
      </c>
      <c r="N1132">
        <f t="shared" si="104"/>
        <v>272.79778648146629</v>
      </c>
      <c r="O1132">
        <f>IF(B1132&lt;&gt;B1131, Dashboard!$L$6,0)</f>
        <v>0</v>
      </c>
      <c r="P1132">
        <f t="shared" si="105"/>
        <v>251.95376967186868</v>
      </c>
      <c r="Q1132">
        <f>IF(B1132&lt;&gt;B1131,IF(F1132&lt;=AVERAGE(F1110:F1131),Dashboard!$N$6-Dashboard!$G$7,Dashboard!$N$6+Dashboard!$G$7),0)</f>
        <v>0</v>
      </c>
      <c r="R1132">
        <f t="shared" si="106"/>
        <v>248.51676823861985</v>
      </c>
    </row>
    <row r="1133" spans="1:18" x14ac:dyDescent="0.3">
      <c r="A1133" s="1">
        <v>45720</v>
      </c>
      <c r="B1133">
        <v>4</v>
      </c>
      <c r="C1133" s="19">
        <v>3</v>
      </c>
      <c r="D1133" s="20">
        <v>2025</v>
      </c>
      <c r="E1133" s="21">
        <f t="shared" si="102"/>
        <v>45750</v>
      </c>
      <c r="F1133" s="20">
        <v>494.16</v>
      </c>
      <c r="G1133" s="20">
        <v>16226020</v>
      </c>
      <c r="H1133" s="20">
        <v>501</v>
      </c>
      <c r="I1133" s="20">
        <v>503.66</v>
      </c>
      <c r="J1133" s="22">
        <v>493.5</v>
      </c>
      <c r="K1133" s="2">
        <f t="shared" si="103"/>
        <v>134805.75416768139</v>
      </c>
      <c r="L1133" s="2">
        <f>IF(B1133&lt;&gt;B1132,L1132*(1+Dashboard!$G$5)+Dashboard!$G$6, L1132)</f>
        <v>140709.0982671403</v>
      </c>
      <c r="M1133">
        <f t="shared" si="107"/>
        <v>0</v>
      </c>
      <c r="N1133">
        <f t="shared" si="104"/>
        <v>272.79778648146629</v>
      </c>
      <c r="O1133">
        <f>IF(B1133&lt;&gt;B1132, Dashboard!$L$6,0)</f>
        <v>0</v>
      </c>
      <c r="P1133">
        <f t="shared" si="105"/>
        <v>251.95376967186868</v>
      </c>
      <c r="Q1133">
        <f>IF(B1133&lt;&gt;B1132,IF(F1133&lt;=AVERAGE(F1111:F1132),Dashboard!$N$6-Dashboard!$G$7,Dashboard!$N$6+Dashboard!$G$7),0)</f>
        <v>0</v>
      </c>
      <c r="R1133">
        <f t="shared" si="106"/>
        <v>248.51676823861985</v>
      </c>
    </row>
    <row r="1134" spans="1:18" x14ac:dyDescent="0.3">
      <c r="A1134" s="1">
        <v>45751</v>
      </c>
      <c r="B1134">
        <v>4</v>
      </c>
      <c r="C1134" s="19">
        <v>4</v>
      </c>
      <c r="D1134" s="20">
        <v>2025</v>
      </c>
      <c r="E1134" s="21">
        <f t="shared" si="102"/>
        <v>45751</v>
      </c>
      <c r="F1134" s="20">
        <v>465.52</v>
      </c>
      <c r="G1134" s="20">
        <v>30966510</v>
      </c>
      <c r="H1134" s="20">
        <v>481.28</v>
      </c>
      <c r="I1134" s="20">
        <v>483.3</v>
      </c>
      <c r="J1134" s="22">
        <v>464.24</v>
      </c>
      <c r="K1134" s="2">
        <f t="shared" si="103"/>
        <v>126992.82556285219</v>
      </c>
      <c r="L1134" s="2">
        <f>IF(B1134&lt;&gt;B1133,L1133*(1+Dashboard!$G$5)+Dashboard!$G$6, L1133)</f>
        <v>140709.0982671403</v>
      </c>
      <c r="M1134">
        <f t="shared" si="107"/>
        <v>0</v>
      </c>
      <c r="N1134">
        <f t="shared" si="104"/>
        <v>272.79778648146629</v>
      </c>
      <c r="O1134">
        <f>IF(B1134&lt;&gt;B1133, Dashboard!$L$6,0)</f>
        <v>0</v>
      </c>
      <c r="P1134">
        <f t="shared" si="105"/>
        <v>251.95376967186868</v>
      </c>
      <c r="Q1134">
        <f>IF(B1134&lt;&gt;B1133,IF(F1134&lt;=AVERAGE(F1112:F1133),Dashboard!$N$6-Dashboard!$G$7,Dashboard!$N$6+Dashboard!$G$7),0)</f>
        <v>0</v>
      </c>
      <c r="R1134">
        <f t="shared" si="106"/>
        <v>248.51676823861985</v>
      </c>
    </row>
    <row r="1135" spans="1:18" x14ac:dyDescent="0.3">
      <c r="A1135" s="1">
        <v>45842</v>
      </c>
      <c r="B1135">
        <v>4</v>
      </c>
      <c r="C1135" s="19">
        <v>7</v>
      </c>
      <c r="D1135" s="20">
        <v>2025</v>
      </c>
      <c r="E1135" s="21">
        <f t="shared" si="102"/>
        <v>45754</v>
      </c>
      <c r="F1135" s="20">
        <v>463.56</v>
      </c>
      <c r="G1135" s="20">
        <v>31285270</v>
      </c>
      <c r="H1135" s="20">
        <v>449.54</v>
      </c>
      <c r="I1135" s="20">
        <v>480.76</v>
      </c>
      <c r="J1135" s="22">
        <v>442.8</v>
      </c>
      <c r="K1135" s="2">
        <f t="shared" si="103"/>
        <v>126458.14190134851</v>
      </c>
      <c r="L1135" s="2">
        <f>IF(B1135&lt;&gt;B1134,L1134*(1+Dashboard!$G$5)+Dashboard!$G$6, L1134)</f>
        <v>140709.0982671403</v>
      </c>
      <c r="M1135">
        <f t="shared" si="107"/>
        <v>0</v>
      </c>
      <c r="N1135">
        <f t="shared" si="104"/>
        <v>272.79778648146629</v>
      </c>
      <c r="O1135">
        <f>IF(B1135&lt;&gt;B1134, Dashboard!$L$6,0)</f>
        <v>0</v>
      </c>
      <c r="P1135">
        <f t="shared" si="105"/>
        <v>251.95376967186868</v>
      </c>
      <c r="Q1135">
        <f>IF(B1135&lt;&gt;B1134,IF(F1135&lt;=AVERAGE(F1113:F1134),Dashboard!$N$6-Dashboard!$G$7,Dashboard!$N$6+Dashboard!$G$7),0)</f>
        <v>0</v>
      </c>
      <c r="R1135">
        <f t="shared" si="106"/>
        <v>248.51676823861985</v>
      </c>
    </row>
    <row r="1136" spans="1:18" x14ac:dyDescent="0.3">
      <c r="A1136" s="1">
        <v>45873</v>
      </c>
      <c r="B1136">
        <v>4</v>
      </c>
      <c r="C1136" s="19">
        <v>8</v>
      </c>
      <c r="D1136" s="20">
        <v>2025</v>
      </c>
      <c r="E1136" s="21">
        <f t="shared" si="102"/>
        <v>45755</v>
      </c>
      <c r="F1136" s="20">
        <v>456.74</v>
      </c>
      <c r="G1136" s="20">
        <v>19002680</v>
      </c>
      <c r="H1136" s="20">
        <v>479.68</v>
      </c>
      <c r="I1136" s="20">
        <v>482.49</v>
      </c>
      <c r="J1136" s="22">
        <v>449.6</v>
      </c>
      <c r="K1136" s="2">
        <f t="shared" si="103"/>
        <v>124597.66099754491</v>
      </c>
      <c r="L1136" s="2">
        <f>IF(B1136&lt;&gt;B1135,L1135*(1+Dashboard!$G$5)+Dashboard!$G$6, L1135)</f>
        <v>140709.0982671403</v>
      </c>
      <c r="M1136">
        <f t="shared" si="107"/>
        <v>0</v>
      </c>
      <c r="N1136">
        <f t="shared" si="104"/>
        <v>272.79778648146629</v>
      </c>
      <c r="O1136">
        <f>IF(B1136&lt;&gt;B1135, Dashboard!$L$6,0)</f>
        <v>0</v>
      </c>
      <c r="P1136">
        <f t="shared" si="105"/>
        <v>251.95376967186868</v>
      </c>
      <c r="Q1136">
        <f>IF(B1136&lt;&gt;B1135,IF(F1136&lt;=AVERAGE(F1114:F1135),Dashboard!$N$6-Dashboard!$G$7,Dashboard!$N$6+Dashboard!$G$7),0)</f>
        <v>0</v>
      </c>
      <c r="R1136">
        <f t="shared" si="106"/>
        <v>248.51676823861985</v>
      </c>
    </row>
    <row r="1137" spans="1:18" x14ac:dyDescent="0.3">
      <c r="A1137" s="1">
        <v>45904</v>
      </c>
      <c r="B1137">
        <v>4</v>
      </c>
      <c r="C1137" s="19">
        <v>9</v>
      </c>
      <c r="D1137" s="20">
        <v>2025</v>
      </c>
      <c r="E1137" s="21">
        <f t="shared" si="102"/>
        <v>45756</v>
      </c>
      <c r="F1137" s="20">
        <v>499.1</v>
      </c>
      <c r="G1137" s="20">
        <v>29286590</v>
      </c>
      <c r="H1137" s="20">
        <v>453.49</v>
      </c>
      <c r="I1137" s="20">
        <v>502.06119999999999</v>
      </c>
      <c r="J1137" s="22">
        <v>453.16</v>
      </c>
      <c r="K1137" s="2">
        <f t="shared" si="103"/>
        <v>136153.37523289982</v>
      </c>
      <c r="L1137" s="2">
        <f>IF(B1137&lt;&gt;B1136,L1136*(1+Dashboard!$G$5)+Dashboard!$G$6, L1136)</f>
        <v>140709.0982671403</v>
      </c>
      <c r="M1137">
        <f t="shared" si="107"/>
        <v>0</v>
      </c>
      <c r="N1137">
        <f t="shared" si="104"/>
        <v>272.79778648146629</v>
      </c>
      <c r="O1137">
        <f>IF(B1137&lt;&gt;B1136, Dashboard!$L$6,0)</f>
        <v>0</v>
      </c>
      <c r="P1137">
        <f t="shared" si="105"/>
        <v>251.95376967186868</v>
      </c>
      <c r="Q1137">
        <f>IF(B1137&lt;&gt;B1136,IF(F1137&lt;=AVERAGE(F1115:F1136),Dashboard!$N$6-Dashboard!$G$7,Dashboard!$N$6+Dashboard!$G$7),0)</f>
        <v>0</v>
      </c>
      <c r="R1137">
        <f t="shared" si="106"/>
        <v>248.51676823861985</v>
      </c>
    </row>
    <row r="1138" spans="1:18" x14ac:dyDescent="0.3">
      <c r="A1138" s="1">
        <v>45934</v>
      </c>
      <c r="B1138">
        <v>4</v>
      </c>
      <c r="C1138" s="19">
        <v>10</v>
      </c>
      <c r="D1138" s="20">
        <v>2025</v>
      </c>
      <c r="E1138" s="21">
        <f t="shared" si="102"/>
        <v>45757</v>
      </c>
      <c r="F1138" s="20">
        <v>482.06</v>
      </c>
      <c r="G1138" s="20">
        <v>16651300</v>
      </c>
      <c r="H1138" s="20">
        <v>489.15</v>
      </c>
      <c r="I1138" s="20">
        <v>490.3</v>
      </c>
      <c r="J1138" s="22">
        <v>468.33</v>
      </c>
      <c r="K1138" s="2">
        <f t="shared" si="103"/>
        <v>131504.90095125564</v>
      </c>
      <c r="L1138" s="2">
        <f>IF(B1138&lt;&gt;B1137,L1137*(1+Dashboard!$G$5)+Dashboard!$G$6, L1137)</f>
        <v>140709.0982671403</v>
      </c>
      <c r="M1138">
        <f t="shared" si="107"/>
        <v>0</v>
      </c>
      <c r="N1138">
        <f t="shared" si="104"/>
        <v>272.79778648146629</v>
      </c>
      <c r="O1138">
        <f>IF(B1138&lt;&gt;B1137, Dashboard!$L$6,0)</f>
        <v>0</v>
      </c>
      <c r="P1138">
        <f t="shared" si="105"/>
        <v>251.95376967186868</v>
      </c>
      <c r="Q1138">
        <f>IF(B1138&lt;&gt;B1137,IF(F1138&lt;=AVERAGE(F1116:F1137),Dashboard!$N$6-Dashboard!$G$7,Dashboard!$N$6+Dashboard!$G$7),0)</f>
        <v>0</v>
      </c>
      <c r="R1138">
        <f t="shared" si="106"/>
        <v>248.51676823861985</v>
      </c>
    </row>
    <row r="1139" spans="1:18" x14ac:dyDescent="0.3">
      <c r="A1139" s="1">
        <v>45965</v>
      </c>
      <c r="B1139">
        <v>4</v>
      </c>
      <c r="C1139" s="19">
        <v>11</v>
      </c>
      <c r="D1139" s="20">
        <v>2025</v>
      </c>
      <c r="E1139" s="21">
        <f t="shared" si="102"/>
        <v>45758</v>
      </c>
      <c r="F1139" s="20">
        <v>490.55</v>
      </c>
      <c r="G1139" s="20">
        <v>11541200</v>
      </c>
      <c r="H1139" s="20">
        <v>480.69</v>
      </c>
      <c r="I1139" s="20">
        <v>493</v>
      </c>
      <c r="J1139" s="22">
        <v>478</v>
      </c>
      <c r="K1139" s="2">
        <f t="shared" si="103"/>
        <v>133820.95415848328</v>
      </c>
      <c r="L1139" s="2">
        <f>IF(B1139&lt;&gt;B1138,L1138*(1+Dashboard!$G$5)+Dashboard!$G$6, L1138)</f>
        <v>140709.0982671403</v>
      </c>
      <c r="M1139">
        <f t="shared" si="107"/>
        <v>0</v>
      </c>
      <c r="N1139">
        <f t="shared" si="104"/>
        <v>272.79778648146629</v>
      </c>
      <c r="O1139">
        <f>IF(B1139&lt;&gt;B1138, Dashboard!$L$6,0)</f>
        <v>0</v>
      </c>
      <c r="P1139">
        <f t="shared" si="105"/>
        <v>251.95376967186868</v>
      </c>
      <c r="Q1139">
        <f>IF(B1139&lt;&gt;B1138,IF(F1139&lt;=AVERAGE(F1117:F1138),Dashboard!$N$6-Dashboard!$G$7,Dashboard!$N$6+Dashboard!$G$7),0)</f>
        <v>0</v>
      </c>
      <c r="R1139">
        <f t="shared" si="106"/>
        <v>248.51676823861985</v>
      </c>
    </row>
    <row r="1140" spans="1:18" x14ac:dyDescent="0.3">
      <c r="A1140" t="s">
        <v>72</v>
      </c>
      <c r="B1140">
        <v>4</v>
      </c>
      <c r="C1140" s="19">
        <v>14</v>
      </c>
      <c r="D1140" s="20">
        <v>2025</v>
      </c>
      <c r="E1140" s="21">
        <f t="shared" si="102"/>
        <v>45761</v>
      </c>
      <c r="F1140" s="20">
        <v>495.48</v>
      </c>
      <c r="G1140" s="20">
        <v>7701488</v>
      </c>
      <c r="H1140" s="20">
        <v>500.05</v>
      </c>
      <c r="I1140" s="20">
        <v>500.26</v>
      </c>
      <c r="J1140" s="22">
        <v>490.69</v>
      </c>
      <c r="K1140" s="2">
        <f t="shared" si="103"/>
        <v>135165.84724583692</v>
      </c>
      <c r="L1140" s="2">
        <f>IF(B1140&lt;&gt;B1139,L1139*(1+Dashboard!$G$5)+Dashboard!$G$6, L1139)</f>
        <v>140709.0982671403</v>
      </c>
      <c r="M1140">
        <f t="shared" si="107"/>
        <v>0</v>
      </c>
      <c r="N1140">
        <f t="shared" si="104"/>
        <v>272.79778648146629</v>
      </c>
      <c r="O1140">
        <f>IF(B1140&lt;&gt;B1139, Dashboard!$L$6,0)</f>
        <v>0</v>
      </c>
      <c r="P1140">
        <f t="shared" si="105"/>
        <v>251.95376967186868</v>
      </c>
      <c r="Q1140">
        <f>IF(B1140&lt;&gt;B1139,IF(F1140&lt;=AVERAGE(F1118:F1139),Dashboard!$N$6-Dashboard!$G$7,Dashboard!$N$6+Dashboard!$G$7),0)</f>
        <v>0</v>
      </c>
      <c r="R1140">
        <f t="shared" si="106"/>
        <v>248.51676823861985</v>
      </c>
    </row>
    <row r="1141" spans="1:18" x14ac:dyDescent="0.3">
      <c r="A1141" t="s">
        <v>71</v>
      </c>
      <c r="B1141">
        <v>4</v>
      </c>
      <c r="C1141" s="19">
        <v>15</v>
      </c>
      <c r="D1141" s="20">
        <v>2025</v>
      </c>
      <c r="E1141" s="21">
        <f t="shared" si="102"/>
        <v>45762</v>
      </c>
      <c r="F1141" s="20">
        <v>494.09</v>
      </c>
      <c r="G1141" s="20">
        <v>8200583</v>
      </c>
      <c r="H1141" s="20">
        <v>496.03</v>
      </c>
      <c r="I1141" s="20">
        <v>499.27</v>
      </c>
      <c r="J1141" s="22">
        <v>493.42</v>
      </c>
      <c r="K1141" s="2">
        <f t="shared" si="103"/>
        <v>134786.65832262769</v>
      </c>
      <c r="L1141" s="2">
        <f>IF(B1141&lt;&gt;B1140,L1140*(1+Dashboard!$G$5)+Dashboard!$G$6, L1140)</f>
        <v>140709.0982671403</v>
      </c>
      <c r="M1141">
        <f t="shared" si="107"/>
        <v>0</v>
      </c>
      <c r="N1141">
        <f t="shared" si="104"/>
        <v>272.79778648146629</v>
      </c>
      <c r="O1141">
        <f>IF(B1141&lt;&gt;B1140, Dashboard!$L$6,0)</f>
        <v>0</v>
      </c>
      <c r="P1141">
        <f t="shared" si="105"/>
        <v>251.95376967186868</v>
      </c>
      <c r="Q1141">
        <f>IF(B1141&lt;&gt;B1140,IF(F1141&lt;=AVERAGE(F1119:F1140),Dashboard!$N$6-Dashboard!$G$7,Dashboard!$N$6+Dashboard!$G$7),0)</f>
        <v>0</v>
      </c>
      <c r="R1141">
        <f t="shared" si="106"/>
        <v>248.51676823861985</v>
      </c>
    </row>
    <row r="1142" spans="1:18" x14ac:dyDescent="0.3">
      <c r="A1142" t="s">
        <v>70</v>
      </c>
      <c r="B1142">
        <v>4</v>
      </c>
      <c r="C1142" s="19">
        <v>16</v>
      </c>
      <c r="D1142" s="20">
        <v>2025</v>
      </c>
      <c r="E1142" s="21">
        <f t="shared" si="102"/>
        <v>45763</v>
      </c>
      <c r="F1142" s="20">
        <v>483.23</v>
      </c>
      <c r="G1142" s="20">
        <v>6374869</v>
      </c>
      <c r="H1142" s="20">
        <v>488.65</v>
      </c>
      <c r="I1142" s="20">
        <v>491.76499999999999</v>
      </c>
      <c r="J1142" s="22">
        <v>478.23</v>
      </c>
      <c r="K1142" s="2">
        <f t="shared" si="103"/>
        <v>131824.07436143895</v>
      </c>
      <c r="L1142" s="2">
        <f>IF(B1142&lt;&gt;B1141,L1141*(1+Dashboard!$G$5)+Dashboard!$G$6, L1141)</f>
        <v>140709.0982671403</v>
      </c>
      <c r="M1142">
        <f t="shared" si="107"/>
        <v>0</v>
      </c>
      <c r="N1142">
        <f t="shared" si="104"/>
        <v>272.79778648146629</v>
      </c>
      <c r="O1142">
        <f>IF(B1142&lt;&gt;B1141, Dashboard!$L$6,0)</f>
        <v>0</v>
      </c>
      <c r="P1142">
        <f t="shared" si="105"/>
        <v>251.95376967186868</v>
      </c>
      <c r="Q1142">
        <f>IF(B1142&lt;&gt;B1141,IF(F1142&lt;=AVERAGE(F1120:F1141),Dashboard!$N$6-Dashboard!$G$7,Dashboard!$N$6+Dashboard!$G$7),0)</f>
        <v>0</v>
      </c>
      <c r="R1142">
        <f t="shared" si="106"/>
        <v>248.51676823861985</v>
      </c>
    </row>
    <row r="1143" spans="1:18" x14ac:dyDescent="0.3">
      <c r="A1143" t="s">
        <v>69</v>
      </c>
      <c r="B1143">
        <v>4</v>
      </c>
      <c r="C1143" s="19">
        <v>17</v>
      </c>
      <c r="D1143" s="20">
        <v>2025</v>
      </c>
      <c r="E1143" s="21">
        <f t="shared" si="102"/>
        <v>45764</v>
      </c>
      <c r="F1143" s="20">
        <v>483.9</v>
      </c>
      <c r="G1143" s="20">
        <v>5638939</v>
      </c>
      <c r="H1143" s="20">
        <v>484.79</v>
      </c>
      <c r="I1143" s="20">
        <v>488.16</v>
      </c>
      <c r="J1143" s="22">
        <v>481.5</v>
      </c>
      <c r="K1143" s="2">
        <f t="shared" si="103"/>
        <v>132006.84887838154</v>
      </c>
      <c r="L1143" s="2">
        <f>IF(B1143&lt;&gt;B1142,L1142*(1+Dashboard!$G$5)+Dashboard!$G$6, L1142)</f>
        <v>140709.0982671403</v>
      </c>
      <c r="M1143">
        <f t="shared" si="107"/>
        <v>0</v>
      </c>
      <c r="N1143">
        <f t="shared" si="104"/>
        <v>272.79778648146629</v>
      </c>
      <c r="O1143">
        <f>IF(B1143&lt;&gt;B1142, Dashboard!$L$6,0)</f>
        <v>0</v>
      </c>
      <c r="P1143">
        <f t="shared" si="105"/>
        <v>251.95376967186868</v>
      </c>
      <c r="Q1143">
        <f>IF(B1143&lt;&gt;B1142,IF(F1143&lt;=AVERAGE(F1121:F1142),Dashboard!$N$6-Dashboard!$G$7,Dashboard!$N$6+Dashboard!$G$7),0)</f>
        <v>0</v>
      </c>
      <c r="R1143">
        <f t="shared" si="106"/>
        <v>248.51676823861985</v>
      </c>
    </row>
    <row r="1144" spans="1:18" x14ac:dyDescent="0.3">
      <c r="A1144" t="s">
        <v>68</v>
      </c>
      <c r="B1144">
        <v>4</v>
      </c>
      <c r="C1144" s="19">
        <v>21</v>
      </c>
      <c r="D1144" s="20">
        <v>2025</v>
      </c>
      <c r="E1144" s="21">
        <f t="shared" si="102"/>
        <v>45768</v>
      </c>
      <c r="F1144" s="20">
        <v>472.37</v>
      </c>
      <c r="G1144" s="20">
        <v>7762501</v>
      </c>
      <c r="H1144" s="20">
        <v>479.02</v>
      </c>
      <c r="I1144" s="20">
        <v>479.49</v>
      </c>
      <c r="J1144" s="22">
        <v>467.33</v>
      </c>
      <c r="K1144" s="2">
        <f t="shared" si="103"/>
        <v>128861.49040025023</v>
      </c>
      <c r="L1144" s="2">
        <f>IF(B1144&lt;&gt;B1143,L1143*(1+Dashboard!$G$5)+Dashboard!$G$6, L1143)</f>
        <v>140709.0982671403</v>
      </c>
      <c r="M1144">
        <f t="shared" si="107"/>
        <v>0</v>
      </c>
      <c r="N1144">
        <f t="shared" si="104"/>
        <v>272.79778648146629</v>
      </c>
      <c r="O1144">
        <f>IF(B1144&lt;&gt;B1143, Dashboard!$L$6,0)</f>
        <v>0</v>
      </c>
      <c r="P1144">
        <f t="shared" si="105"/>
        <v>251.95376967186868</v>
      </c>
      <c r="Q1144">
        <f>IF(B1144&lt;&gt;B1143,IF(F1144&lt;=AVERAGE(F1122:F1143),Dashboard!$N$6-Dashboard!$G$7,Dashboard!$N$6+Dashboard!$G$7),0)</f>
        <v>0</v>
      </c>
      <c r="R1144">
        <f t="shared" si="106"/>
        <v>248.51676823861985</v>
      </c>
    </row>
    <row r="1145" spans="1:18" x14ac:dyDescent="0.3">
      <c r="A1145" t="s">
        <v>67</v>
      </c>
      <c r="B1145">
        <v>4</v>
      </c>
      <c r="C1145" s="19">
        <v>22</v>
      </c>
      <c r="D1145" s="20">
        <v>2025</v>
      </c>
      <c r="E1145" s="21">
        <f t="shared" si="102"/>
        <v>45769</v>
      </c>
      <c r="F1145" s="20">
        <v>484.29</v>
      </c>
      <c r="G1145" s="20">
        <v>6236319</v>
      </c>
      <c r="H1145" s="20">
        <v>478.07</v>
      </c>
      <c r="I1145" s="20">
        <v>486.48</v>
      </c>
      <c r="J1145" s="22">
        <v>477.19</v>
      </c>
      <c r="K1145" s="2">
        <f t="shared" si="103"/>
        <v>132113.2400151093</v>
      </c>
      <c r="L1145" s="2">
        <f>IF(B1145&lt;&gt;B1144,L1144*(1+Dashboard!$G$5)+Dashboard!$G$6, L1144)</f>
        <v>140709.0982671403</v>
      </c>
      <c r="M1145">
        <f t="shared" si="107"/>
        <v>0</v>
      </c>
      <c r="N1145">
        <f t="shared" si="104"/>
        <v>272.79778648146629</v>
      </c>
      <c r="O1145">
        <f>IF(B1145&lt;&gt;B1144, Dashboard!$L$6,0)</f>
        <v>0</v>
      </c>
      <c r="P1145">
        <f t="shared" si="105"/>
        <v>251.95376967186868</v>
      </c>
      <c r="Q1145">
        <f>IF(B1145&lt;&gt;B1144,IF(F1145&lt;=AVERAGE(F1123:F1144),Dashboard!$N$6-Dashboard!$G$7,Dashboard!$N$6+Dashboard!$G$7),0)</f>
        <v>0</v>
      </c>
      <c r="R1145">
        <f t="shared" si="106"/>
        <v>248.51676823861985</v>
      </c>
    </row>
    <row r="1146" spans="1:18" x14ac:dyDescent="0.3">
      <c r="A1146" t="s">
        <v>66</v>
      </c>
      <c r="B1146">
        <v>4</v>
      </c>
      <c r="C1146" s="19">
        <v>23</v>
      </c>
      <c r="D1146" s="20">
        <v>2025</v>
      </c>
      <c r="E1146" s="21">
        <f t="shared" si="102"/>
        <v>45770</v>
      </c>
      <c r="F1146" s="20">
        <v>492.07</v>
      </c>
      <c r="G1146" s="20">
        <v>8047601</v>
      </c>
      <c r="H1146" s="20">
        <v>496.69</v>
      </c>
      <c r="I1146" s="20">
        <v>501.18</v>
      </c>
      <c r="J1146" s="22">
        <v>490.7</v>
      </c>
      <c r="K1146" s="2">
        <f t="shared" si="103"/>
        <v>134235.60679393512</v>
      </c>
      <c r="L1146" s="2">
        <f>IF(B1146&lt;&gt;B1145,L1145*(1+Dashboard!$G$5)+Dashboard!$G$6, L1145)</f>
        <v>140709.0982671403</v>
      </c>
      <c r="M1146">
        <f t="shared" si="107"/>
        <v>0</v>
      </c>
      <c r="N1146">
        <f t="shared" si="104"/>
        <v>272.79778648146629</v>
      </c>
      <c r="O1146">
        <f>IF(B1146&lt;&gt;B1145, Dashboard!$L$6,0)</f>
        <v>0</v>
      </c>
      <c r="P1146">
        <f t="shared" si="105"/>
        <v>251.95376967186868</v>
      </c>
      <c r="Q1146">
        <f>IF(B1146&lt;&gt;B1145,IF(F1146&lt;=AVERAGE(F1124:F1145),Dashboard!$N$6-Dashboard!$G$7,Dashboard!$N$6+Dashboard!$G$7),0)</f>
        <v>0</v>
      </c>
      <c r="R1146">
        <f t="shared" si="106"/>
        <v>248.51676823861985</v>
      </c>
    </row>
    <row r="1147" spans="1:18" x14ac:dyDescent="0.3">
      <c r="A1147" t="s">
        <v>65</v>
      </c>
      <c r="B1147">
        <v>4</v>
      </c>
      <c r="C1147" s="19">
        <v>24</v>
      </c>
      <c r="D1147" s="20">
        <v>2025</v>
      </c>
      <c r="E1147" s="21">
        <f t="shared" si="102"/>
        <v>45771</v>
      </c>
      <c r="F1147" s="20">
        <v>502.41</v>
      </c>
      <c r="G1147" s="20">
        <v>6184333</v>
      </c>
      <c r="H1147" s="20">
        <v>493.26</v>
      </c>
      <c r="I1147" s="20">
        <v>503</v>
      </c>
      <c r="J1147" s="22">
        <v>492.22309999999999</v>
      </c>
      <c r="K1147" s="2">
        <f t="shared" si="103"/>
        <v>137056.33590615349</v>
      </c>
      <c r="L1147" s="2">
        <f>IF(B1147&lt;&gt;B1146,L1146*(1+Dashboard!$G$5)+Dashboard!$G$6, L1146)</f>
        <v>140709.0982671403</v>
      </c>
      <c r="M1147">
        <f t="shared" si="107"/>
        <v>0</v>
      </c>
      <c r="N1147">
        <f t="shared" si="104"/>
        <v>272.79778648146629</v>
      </c>
      <c r="O1147">
        <f>IF(B1147&lt;&gt;B1146, Dashboard!$L$6,0)</f>
        <v>0</v>
      </c>
      <c r="P1147">
        <f t="shared" si="105"/>
        <v>251.95376967186868</v>
      </c>
      <c r="Q1147">
        <f>IF(B1147&lt;&gt;B1146,IF(F1147&lt;=AVERAGE(F1125:F1146),Dashboard!$N$6-Dashboard!$G$7,Dashboard!$N$6+Dashboard!$G$7),0)</f>
        <v>0</v>
      </c>
      <c r="R1147">
        <f t="shared" si="106"/>
        <v>248.51676823861985</v>
      </c>
    </row>
    <row r="1148" spans="1:18" x14ac:dyDescent="0.3">
      <c r="A1148" t="s">
        <v>64</v>
      </c>
      <c r="B1148">
        <v>4</v>
      </c>
      <c r="C1148" s="19">
        <v>25</v>
      </c>
      <c r="D1148" s="20">
        <v>2025</v>
      </c>
      <c r="E1148" s="21">
        <f t="shared" si="102"/>
        <v>45772</v>
      </c>
      <c r="F1148" s="20">
        <v>506.11</v>
      </c>
      <c r="G1148" s="20">
        <v>6933423</v>
      </c>
      <c r="H1148" s="20">
        <v>502.44</v>
      </c>
      <c r="I1148" s="20">
        <v>506.52</v>
      </c>
      <c r="J1148" s="22">
        <v>499.75</v>
      </c>
      <c r="K1148" s="2">
        <f t="shared" si="103"/>
        <v>138065.68771613491</v>
      </c>
      <c r="L1148" s="2">
        <f>IF(B1148&lt;&gt;B1147,L1147*(1+Dashboard!$G$5)+Dashboard!$G$6, L1147)</f>
        <v>140709.0982671403</v>
      </c>
      <c r="M1148">
        <f t="shared" si="107"/>
        <v>0</v>
      </c>
      <c r="N1148">
        <f t="shared" si="104"/>
        <v>272.79778648146629</v>
      </c>
      <c r="O1148">
        <f>IF(B1148&lt;&gt;B1147, Dashboard!$L$6,0)</f>
        <v>0</v>
      </c>
      <c r="P1148">
        <f t="shared" si="105"/>
        <v>251.95376967186868</v>
      </c>
      <c r="Q1148">
        <f>IF(B1148&lt;&gt;B1147,IF(F1148&lt;=AVERAGE(F1126:F1147),Dashboard!$N$6-Dashboard!$G$7,Dashboard!$N$6+Dashboard!$G$7),0)</f>
        <v>0</v>
      </c>
      <c r="R1148">
        <f t="shared" si="106"/>
        <v>248.51676823861985</v>
      </c>
    </row>
    <row r="1149" spans="1:18" x14ac:dyDescent="0.3">
      <c r="A1149" t="s">
        <v>63</v>
      </c>
      <c r="B1149">
        <v>4</v>
      </c>
      <c r="C1149" s="19">
        <v>28</v>
      </c>
      <c r="D1149" s="20">
        <v>2025</v>
      </c>
      <c r="E1149" s="21">
        <f t="shared" si="102"/>
        <v>45775</v>
      </c>
      <c r="F1149" s="20">
        <v>506.42</v>
      </c>
      <c r="G1149" s="20">
        <v>4210016</v>
      </c>
      <c r="H1149" s="20">
        <v>506.81</v>
      </c>
      <c r="I1149" s="20">
        <v>508.74</v>
      </c>
      <c r="J1149" s="22">
        <v>500.96</v>
      </c>
      <c r="K1149" s="2">
        <f t="shared" si="103"/>
        <v>138150.25502994415</v>
      </c>
      <c r="L1149" s="2">
        <f>IF(B1149&lt;&gt;B1148,L1148*(1+Dashboard!$G$5)+Dashboard!$G$6, L1148)</f>
        <v>140709.0982671403</v>
      </c>
      <c r="M1149">
        <f t="shared" si="107"/>
        <v>0</v>
      </c>
      <c r="N1149">
        <f t="shared" si="104"/>
        <v>272.79778648146629</v>
      </c>
      <c r="O1149">
        <f>IF(B1149&lt;&gt;B1148, Dashboard!$L$6,0)</f>
        <v>0</v>
      </c>
      <c r="P1149">
        <f t="shared" si="105"/>
        <v>251.95376967186868</v>
      </c>
      <c r="Q1149">
        <f>IF(B1149&lt;&gt;B1148,IF(F1149&lt;=AVERAGE(F1127:F1148),Dashboard!$N$6-Dashboard!$G$7,Dashboard!$N$6+Dashboard!$G$7),0)</f>
        <v>0</v>
      </c>
      <c r="R1149">
        <f t="shared" si="106"/>
        <v>248.51676823861985</v>
      </c>
    </row>
    <row r="1150" spans="1:18" x14ac:dyDescent="0.3">
      <c r="A1150" t="s">
        <v>62</v>
      </c>
      <c r="B1150">
        <v>4</v>
      </c>
      <c r="C1150" s="19">
        <v>29</v>
      </c>
      <c r="D1150" s="20">
        <v>2025</v>
      </c>
      <c r="E1150" s="21">
        <f t="shared" si="102"/>
        <v>45776</v>
      </c>
      <c r="F1150" s="20">
        <v>509.49</v>
      </c>
      <c r="G1150" s="20">
        <v>6525457</v>
      </c>
      <c r="H1150" s="20">
        <v>504.54</v>
      </c>
      <c r="I1150" s="20">
        <v>510.54969999999997</v>
      </c>
      <c r="J1150" s="22">
        <v>504.26</v>
      </c>
      <c r="K1150" s="2">
        <f t="shared" si="103"/>
        <v>138987.74423444227</v>
      </c>
      <c r="L1150" s="2">
        <f>IF(B1150&lt;&gt;B1149,L1149*(1+Dashboard!$G$5)+Dashboard!$G$6, L1149)</f>
        <v>140709.0982671403</v>
      </c>
      <c r="M1150">
        <f t="shared" si="107"/>
        <v>0</v>
      </c>
      <c r="N1150">
        <f t="shared" si="104"/>
        <v>272.79778648146629</v>
      </c>
      <c r="O1150">
        <f>IF(B1150&lt;&gt;B1149, Dashboard!$L$6,0)</f>
        <v>0</v>
      </c>
      <c r="P1150">
        <f t="shared" si="105"/>
        <v>251.95376967186868</v>
      </c>
      <c r="Q1150">
        <f>IF(B1150&lt;&gt;B1149,IF(F1150&lt;=AVERAGE(F1128:F1149),Dashboard!$N$6-Dashboard!$G$7,Dashboard!$N$6+Dashboard!$G$7),0)</f>
        <v>0</v>
      </c>
      <c r="R1150">
        <f t="shared" si="106"/>
        <v>248.51676823861985</v>
      </c>
    </row>
    <row r="1151" spans="1:18" x14ac:dyDescent="0.3">
      <c r="A1151" t="s">
        <v>61</v>
      </c>
      <c r="B1151">
        <v>4</v>
      </c>
      <c r="C1151" s="19">
        <v>30</v>
      </c>
      <c r="D1151" s="20">
        <v>2025</v>
      </c>
      <c r="E1151" s="21">
        <f t="shared" si="102"/>
        <v>45777</v>
      </c>
      <c r="F1151" s="20">
        <v>509.74</v>
      </c>
      <c r="G1151" s="20">
        <v>7873686</v>
      </c>
      <c r="H1151" s="20">
        <v>503.26</v>
      </c>
      <c r="I1151" s="20">
        <v>511.5</v>
      </c>
      <c r="J1151" s="22">
        <v>497.76</v>
      </c>
      <c r="K1151" s="2">
        <f t="shared" si="103"/>
        <v>139055.94368106264</v>
      </c>
      <c r="L1151" s="2">
        <f>IF(B1151&lt;&gt;B1150,L1150*(1+Dashboard!$G$5)+Dashboard!$G$6, L1150)</f>
        <v>140709.0982671403</v>
      </c>
      <c r="M1151">
        <f t="shared" si="107"/>
        <v>0</v>
      </c>
      <c r="N1151">
        <f t="shared" si="104"/>
        <v>272.79778648146629</v>
      </c>
      <c r="O1151">
        <f>IF(B1151&lt;&gt;B1150, Dashboard!$L$6,0)</f>
        <v>0</v>
      </c>
      <c r="P1151">
        <f t="shared" si="105"/>
        <v>251.95376967186868</v>
      </c>
      <c r="Q1151">
        <f>IF(B1151&lt;&gt;B1150,IF(F1151&lt;=AVERAGE(F1129:F1150),Dashboard!$N$6-Dashboard!$G$7,Dashboard!$N$6+Dashboard!$G$7),0)</f>
        <v>0</v>
      </c>
      <c r="R1151">
        <f t="shared" si="106"/>
        <v>248.51676823861985</v>
      </c>
    </row>
    <row r="1152" spans="1:18" x14ac:dyDescent="0.3">
      <c r="A1152" s="1">
        <v>45662</v>
      </c>
      <c r="B1152">
        <v>5</v>
      </c>
      <c r="C1152" s="19">
        <v>1</v>
      </c>
      <c r="D1152" s="20">
        <v>2025</v>
      </c>
      <c r="E1152" s="21">
        <f t="shared" si="102"/>
        <v>45778</v>
      </c>
      <c r="F1152" s="20">
        <v>513.35</v>
      </c>
      <c r="G1152" s="20">
        <v>5784483</v>
      </c>
      <c r="H1152" s="20">
        <v>515.13</v>
      </c>
      <c r="I1152" s="20">
        <v>518.44000000000005</v>
      </c>
      <c r="J1152" s="22">
        <v>512.77</v>
      </c>
      <c r="K1152" s="2">
        <f t="shared" si="103"/>
        <v>140040.74369026072</v>
      </c>
      <c r="L1152" s="2">
        <f>IF(B1152&lt;&gt;B1151,L1151*(1+Dashboard!$G$5)+Dashboard!$G$6, L1151)</f>
        <v>143947.33833189114</v>
      </c>
      <c r="M1152">
        <f t="shared" si="107"/>
        <v>3906.5946416304214</v>
      </c>
      <c r="N1152">
        <f t="shared" si="104"/>
        <v>272.79778648146629</v>
      </c>
      <c r="O1152">
        <f>IF(B1152&lt;&gt;B1151, Dashboard!$L$6,0)</f>
        <v>1859.7282542371197</v>
      </c>
      <c r="P1152">
        <f t="shared" si="105"/>
        <v>255.57649929929076</v>
      </c>
      <c r="Q1152">
        <f>IF(B1152&lt;&gt;B1151,IF(F1152&lt;=AVERAGE(F1130:F1151),Dashboard!$N$6-Dashboard!$G$7,Dashboard!$N$6+Dashboard!$G$7),0)</f>
        <v>2232.609610169322</v>
      </c>
      <c r="R1152">
        <f t="shared" si="106"/>
        <v>252.85083849305914</v>
      </c>
    </row>
    <row r="1153" spans="1:18" x14ac:dyDescent="0.3">
      <c r="A1153" s="1">
        <v>45693</v>
      </c>
      <c r="B1153">
        <v>5</v>
      </c>
      <c r="C1153" s="19">
        <v>2</v>
      </c>
      <c r="D1153" s="20">
        <v>2025</v>
      </c>
      <c r="E1153" s="21">
        <f t="shared" si="102"/>
        <v>45779</v>
      </c>
      <c r="F1153" s="20">
        <v>520.71</v>
      </c>
      <c r="G1153" s="20">
        <v>6285390</v>
      </c>
      <c r="H1153" s="20">
        <v>519.12</v>
      </c>
      <c r="I1153" s="20">
        <v>522.41</v>
      </c>
      <c r="J1153" s="22">
        <v>516.89</v>
      </c>
      <c r="K1153" s="2">
        <f t="shared" si="103"/>
        <v>146011.13965676253</v>
      </c>
      <c r="L1153" s="2">
        <f>IF(B1153&lt;&gt;B1152,L1152*(1+Dashboard!$G$5)+Dashboard!$G$6, L1152)</f>
        <v>143947.33833189114</v>
      </c>
      <c r="M1153">
        <f t="shared" si="107"/>
        <v>0</v>
      </c>
      <c r="N1153">
        <f t="shared" si="104"/>
        <v>280.40778870534945</v>
      </c>
      <c r="O1153">
        <f>IF(B1153&lt;&gt;B1152, Dashboard!$L$6,0)</f>
        <v>0</v>
      </c>
      <c r="P1153">
        <f t="shared" si="105"/>
        <v>255.57649929929076</v>
      </c>
      <c r="Q1153">
        <f>IF(B1153&lt;&gt;B1152,IF(F1153&lt;=AVERAGE(F1131:F1152),Dashboard!$N$6-Dashboard!$G$7,Dashboard!$N$6+Dashboard!$G$7),0)</f>
        <v>0</v>
      </c>
      <c r="R1153">
        <f t="shared" si="106"/>
        <v>252.85083849305914</v>
      </c>
    </row>
    <row r="1154" spans="1:18" x14ac:dyDescent="0.3">
      <c r="A1154" s="1">
        <v>45782</v>
      </c>
      <c r="B1154">
        <v>5</v>
      </c>
      <c r="C1154" s="19">
        <v>5</v>
      </c>
      <c r="D1154" s="20">
        <v>2025</v>
      </c>
      <c r="E1154" s="21">
        <f t="shared" ref="E1154:E1217" si="108">DATE(D1154,B1154,C1154)</f>
        <v>45782</v>
      </c>
      <c r="F1154" s="20">
        <v>517.99</v>
      </c>
      <c r="G1154" s="20">
        <v>4793497</v>
      </c>
      <c r="H1154" s="20">
        <v>517.08000000000004</v>
      </c>
      <c r="I1154" s="20">
        <v>520.85</v>
      </c>
      <c r="J1154" s="22">
        <v>516.27</v>
      </c>
      <c r="K1154" s="2">
        <f t="shared" si="103"/>
        <v>145248.43047148397</v>
      </c>
      <c r="L1154" s="2">
        <f>IF(B1154&lt;&gt;B1153,L1153*(1+Dashboard!$G$5)+Dashboard!$G$6, L1153)</f>
        <v>143947.33833189114</v>
      </c>
      <c r="M1154">
        <f t="shared" si="107"/>
        <v>0</v>
      </c>
      <c r="N1154">
        <f t="shared" si="104"/>
        <v>280.40778870534945</v>
      </c>
      <c r="O1154">
        <f>IF(B1154&lt;&gt;B1153, Dashboard!$L$6,0)</f>
        <v>0</v>
      </c>
      <c r="P1154">
        <f t="shared" si="105"/>
        <v>255.57649929929076</v>
      </c>
      <c r="Q1154">
        <f>IF(B1154&lt;&gt;B1153,IF(F1154&lt;=AVERAGE(F1132:F1153),Dashboard!$N$6-Dashboard!$G$7,Dashboard!$N$6+Dashboard!$G$7),0)</f>
        <v>0</v>
      </c>
      <c r="R1154">
        <f t="shared" si="106"/>
        <v>252.85083849305914</v>
      </c>
    </row>
    <row r="1155" spans="1:18" x14ac:dyDescent="0.3">
      <c r="A1155" s="1">
        <v>45813</v>
      </c>
      <c r="B1155">
        <v>5</v>
      </c>
      <c r="C1155" s="19">
        <v>6</v>
      </c>
      <c r="D1155" s="20">
        <v>2025</v>
      </c>
      <c r="E1155" s="21">
        <f t="shared" si="108"/>
        <v>45783</v>
      </c>
      <c r="F1155" s="20">
        <v>513.58000000000004</v>
      </c>
      <c r="G1155" s="20">
        <v>4694270</v>
      </c>
      <c r="H1155" s="20">
        <v>512.89</v>
      </c>
      <c r="I1155" s="20">
        <v>517.82500000000005</v>
      </c>
      <c r="J1155" s="22">
        <v>511.94</v>
      </c>
      <c r="K1155" s="2">
        <f t="shared" ref="K1155:K1218" si="109">N1155*F1155</f>
        <v>144011.83212329337</v>
      </c>
      <c r="L1155" s="2">
        <f>IF(B1155&lt;&gt;B1154,L1154*(1+Dashboard!$G$5)+Dashboard!$G$6, L1154)</f>
        <v>143947.33833189114</v>
      </c>
      <c r="M1155">
        <f t="shared" si="107"/>
        <v>0</v>
      </c>
      <c r="N1155">
        <f t="shared" si="104"/>
        <v>280.40778870534945</v>
      </c>
      <c r="O1155">
        <f>IF(B1155&lt;&gt;B1154, Dashboard!$L$6,0)</f>
        <v>0</v>
      </c>
      <c r="P1155">
        <f t="shared" si="105"/>
        <v>255.57649929929076</v>
      </c>
      <c r="Q1155">
        <f>IF(B1155&lt;&gt;B1154,IF(F1155&lt;=AVERAGE(F1133:F1154),Dashboard!$N$6-Dashboard!$G$7,Dashboard!$N$6+Dashboard!$G$7),0)</f>
        <v>0</v>
      </c>
      <c r="R1155">
        <f t="shared" si="106"/>
        <v>252.85083849305914</v>
      </c>
    </row>
    <row r="1156" spans="1:18" x14ac:dyDescent="0.3">
      <c r="A1156" s="1">
        <v>45843</v>
      </c>
      <c r="B1156">
        <v>5</v>
      </c>
      <c r="C1156" s="19">
        <v>7</v>
      </c>
      <c r="D1156" s="20">
        <v>2025</v>
      </c>
      <c r="E1156" s="21">
        <f t="shared" si="108"/>
        <v>45784</v>
      </c>
      <c r="F1156" s="20">
        <v>515.9</v>
      </c>
      <c r="G1156" s="20">
        <v>5467344</v>
      </c>
      <c r="H1156" s="20">
        <v>514.91999999999996</v>
      </c>
      <c r="I1156" s="20">
        <v>518.17999999999995</v>
      </c>
      <c r="J1156" s="22">
        <v>511.1</v>
      </c>
      <c r="K1156" s="2">
        <f t="shared" si="109"/>
        <v>144662.37819308977</v>
      </c>
      <c r="L1156" s="2">
        <f>IF(B1156&lt;&gt;B1155,L1155*(1+Dashboard!$G$5)+Dashboard!$G$6, L1155)</f>
        <v>143947.33833189114</v>
      </c>
      <c r="M1156">
        <f t="shared" si="107"/>
        <v>0</v>
      </c>
      <c r="N1156">
        <f t="shared" ref="N1156:N1219" si="110">N1155+M1155/F1155</f>
        <v>280.40778870534945</v>
      </c>
      <c r="O1156">
        <f>IF(B1156&lt;&gt;B1155, Dashboard!$L$6,0)</f>
        <v>0</v>
      </c>
      <c r="P1156">
        <f t="shared" ref="P1156:P1219" si="111">P1155+O1156/F1156</f>
        <v>255.57649929929076</v>
      </c>
      <c r="Q1156">
        <f>IF(B1156&lt;&gt;B1155,IF(F1156&lt;=AVERAGE(F1134:F1155),Dashboard!$N$6-Dashboard!$G$7,Dashboard!$N$6+Dashboard!$G$7),0)</f>
        <v>0</v>
      </c>
      <c r="R1156">
        <f t="shared" ref="R1156:R1219" si="112">R1155+Q1156/H1156</f>
        <v>252.85083849305914</v>
      </c>
    </row>
    <row r="1157" spans="1:18" x14ac:dyDescent="0.3">
      <c r="A1157" s="1">
        <v>45874</v>
      </c>
      <c r="B1157">
        <v>5</v>
      </c>
      <c r="C1157" s="19">
        <v>8</v>
      </c>
      <c r="D1157" s="20">
        <v>2025</v>
      </c>
      <c r="E1157" s="21">
        <f t="shared" si="108"/>
        <v>45785</v>
      </c>
      <c r="F1157" s="20">
        <v>519.34</v>
      </c>
      <c r="G1157" s="20">
        <v>5088200</v>
      </c>
      <c r="H1157" s="20">
        <v>519.54</v>
      </c>
      <c r="I1157" s="20">
        <v>524.23</v>
      </c>
      <c r="J1157" s="22">
        <v>516.34500000000003</v>
      </c>
      <c r="K1157" s="2">
        <f t="shared" si="109"/>
        <v>145626.98098623619</v>
      </c>
      <c r="L1157" s="2">
        <f>IF(B1157&lt;&gt;B1156,L1156*(1+Dashboard!$G$5)+Dashboard!$G$6, L1156)</f>
        <v>143947.33833189114</v>
      </c>
      <c r="M1157">
        <f t="shared" si="107"/>
        <v>0</v>
      </c>
      <c r="N1157">
        <f t="shared" si="110"/>
        <v>280.40778870534945</v>
      </c>
      <c r="O1157">
        <f>IF(B1157&lt;&gt;B1156, Dashboard!$L$6,0)</f>
        <v>0</v>
      </c>
      <c r="P1157">
        <f t="shared" si="111"/>
        <v>255.57649929929076</v>
      </c>
      <c r="Q1157">
        <f>IF(B1157&lt;&gt;B1156,IF(F1157&lt;=AVERAGE(F1135:F1156),Dashboard!$N$6-Dashboard!$G$7,Dashboard!$N$6+Dashboard!$G$7),0)</f>
        <v>0</v>
      </c>
      <c r="R1157">
        <f t="shared" si="112"/>
        <v>252.85083849305914</v>
      </c>
    </row>
    <row r="1158" spans="1:18" x14ac:dyDescent="0.3">
      <c r="A1158" s="1">
        <v>45905</v>
      </c>
      <c r="B1158">
        <v>5</v>
      </c>
      <c r="C1158" s="19">
        <v>9</v>
      </c>
      <c r="D1158" s="20">
        <v>2025</v>
      </c>
      <c r="E1158" s="21">
        <f t="shared" si="108"/>
        <v>45786</v>
      </c>
      <c r="F1158" s="20">
        <v>518.65</v>
      </c>
      <c r="G1158" s="20">
        <v>4739506</v>
      </c>
      <c r="H1158" s="20">
        <v>520.69000000000005</v>
      </c>
      <c r="I1158" s="20">
        <v>521.63059999999996</v>
      </c>
      <c r="J1158" s="22">
        <v>517.36</v>
      </c>
      <c r="K1158" s="2">
        <f t="shared" si="109"/>
        <v>145433.4996120295</v>
      </c>
      <c r="L1158" s="2">
        <f>IF(B1158&lt;&gt;B1157,L1157*(1+Dashboard!$G$5)+Dashboard!$G$6, L1157)</f>
        <v>143947.33833189114</v>
      </c>
      <c r="M1158">
        <f t="shared" si="107"/>
        <v>0</v>
      </c>
      <c r="N1158">
        <f t="shared" si="110"/>
        <v>280.40778870534945</v>
      </c>
      <c r="O1158">
        <f>IF(B1158&lt;&gt;B1157, Dashboard!$L$6,0)</f>
        <v>0</v>
      </c>
      <c r="P1158">
        <f t="shared" si="111"/>
        <v>255.57649929929076</v>
      </c>
      <c r="Q1158">
        <f>IF(B1158&lt;&gt;B1157,IF(F1158&lt;=AVERAGE(F1136:F1157),Dashboard!$N$6-Dashboard!$G$7,Dashboard!$N$6+Dashboard!$G$7),0)</f>
        <v>0</v>
      </c>
      <c r="R1158">
        <f t="shared" si="112"/>
        <v>252.85083849305914</v>
      </c>
    </row>
    <row r="1159" spans="1:18" x14ac:dyDescent="0.3">
      <c r="A1159" s="1">
        <v>45996</v>
      </c>
      <c r="B1159">
        <v>5</v>
      </c>
      <c r="C1159" s="19">
        <v>12</v>
      </c>
      <c r="D1159" s="20">
        <v>2025</v>
      </c>
      <c r="E1159" s="21">
        <f t="shared" si="108"/>
        <v>45789</v>
      </c>
      <c r="F1159" s="20">
        <v>535.91999999999996</v>
      </c>
      <c r="G1159" s="20">
        <v>7793576</v>
      </c>
      <c r="H1159" s="20">
        <v>534.5</v>
      </c>
      <c r="I1159" s="20">
        <v>535.91999999999996</v>
      </c>
      <c r="J1159" s="22">
        <v>530.39</v>
      </c>
      <c r="K1159" s="2">
        <f t="shared" si="109"/>
        <v>150276.14212297086</v>
      </c>
      <c r="L1159" s="2">
        <f>IF(B1159&lt;&gt;B1158,L1158*(1+Dashboard!$G$5)+Dashboard!$G$6, L1158)</f>
        <v>143947.33833189114</v>
      </c>
      <c r="M1159">
        <f t="shared" si="107"/>
        <v>0</v>
      </c>
      <c r="N1159">
        <f t="shared" si="110"/>
        <v>280.40778870534945</v>
      </c>
      <c r="O1159">
        <f>IF(B1159&lt;&gt;B1158, Dashboard!$L$6,0)</f>
        <v>0</v>
      </c>
      <c r="P1159">
        <f t="shared" si="111"/>
        <v>255.57649929929076</v>
      </c>
      <c r="Q1159">
        <f>IF(B1159&lt;&gt;B1158,IF(F1159&lt;=AVERAGE(F1137:F1158),Dashboard!$N$6-Dashboard!$G$7,Dashboard!$N$6+Dashboard!$G$7),0)</f>
        <v>0</v>
      </c>
      <c r="R1159">
        <f t="shared" si="112"/>
        <v>252.85083849305914</v>
      </c>
    </row>
    <row r="1160" spans="1:18" x14ac:dyDescent="0.3">
      <c r="A1160" t="s">
        <v>60</v>
      </c>
      <c r="B1160">
        <v>5</v>
      </c>
      <c r="C1160" s="19">
        <v>13</v>
      </c>
      <c r="D1160" s="20">
        <v>2025</v>
      </c>
      <c r="E1160" s="21">
        <f t="shared" si="108"/>
        <v>45790</v>
      </c>
      <c r="F1160" s="20">
        <v>539.44000000000005</v>
      </c>
      <c r="G1160" s="20">
        <v>7356804</v>
      </c>
      <c r="H1160" s="20">
        <v>536.33000000000004</v>
      </c>
      <c r="I1160" s="20">
        <v>541.48</v>
      </c>
      <c r="J1160" s="22">
        <v>535.78</v>
      </c>
      <c r="K1160" s="2">
        <f t="shared" si="109"/>
        <v>151263.17753921374</v>
      </c>
      <c r="L1160" s="2">
        <f>IF(B1160&lt;&gt;B1159,L1159*(1+Dashboard!$G$5)+Dashboard!$G$6, L1159)</f>
        <v>143947.33833189114</v>
      </c>
      <c r="M1160">
        <f t="shared" si="107"/>
        <v>0</v>
      </c>
      <c r="N1160">
        <f t="shared" si="110"/>
        <v>280.40778870534945</v>
      </c>
      <c r="O1160">
        <f>IF(B1160&lt;&gt;B1159, Dashboard!$L$6,0)</f>
        <v>0</v>
      </c>
      <c r="P1160">
        <f t="shared" si="111"/>
        <v>255.57649929929076</v>
      </c>
      <c r="Q1160">
        <f>IF(B1160&lt;&gt;B1159,IF(F1160&lt;=AVERAGE(F1138:F1159),Dashboard!$N$6-Dashboard!$G$7,Dashboard!$N$6+Dashboard!$G$7),0)</f>
        <v>0</v>
      </c>
      <c r="R1160">
        <f t="shared" si="112"/>
        <v>252.85083849305914</v>
      </c>
    </row>
    <row r="1161" spans="1:18" x14ac:dyDescent="0.3">
      <c r="A1161" t="s">
        <v>59</v>
      </c>
      <c r="B1161">
        <v>5</v>
      </c>
      <c r="C1161" s="19">
        <v>14</v>
      </c>
      <c r="D1161" s="20">
        <v>2025</v>
      </c>
      <c r="E1161" s="21">
        <f t="shared" si="108"/>
        <v>45791</v>
      </c>
      <c r="F1161" s="20">
        <v>540.11</v>
      </c>
      <c r="G1161" s="20">
        <v>5031301</v>
      </c>
      <c r="H1161" s="20">
        <v>540.37</v>
      </c>
      <c r="I1161" s="20">
        <v>541.41999999999996</v>
      </c>
      <c r="J1161" s="22">
        <v>538.24</v>
      </c>
      <c r="K1161" s="2">
        <f t="shared" si="109"/>
        <v>151451.0507576463</v>
      </c>
      <c r="L1161" s="2">
        <f>IF(B1161&lt;&gt;B1160,L1160*(1+Dashboard!$G$5)+Dashboard!$G$6, L1160)</f>
        <v>143947.33833189114</v>
      </c>
      <c r="M1161">
        <f t="shared" si="107"/>
        <v>0</v>
      </c>
      <c r="N1161">
        <f t="shared" si="110"/>
        <v>280.40778870534945</v>
      </c>
      <c r="O1161">
        <f>IF(B1161&lt;&gt;B1160, Dashboard!$L$6,0)</f>
        <v>0</v>
      </c>
      <c r="P1161">
        <f t="shared" si="111"/>
        <v>255.57649929929076</v>
      </c>
      <c r="Q1161">
        <f>IF(B1161&lt;&gt;B1160,IF(F1161&lt;=AVERAGE(F1139:F1160),Dashboard!$N$6-Dashboard!$G$7,Dashboard!$N$6+Dashboard!$G$7),0)</f>
        <v>0</v>
      </c>
      <c r="R1161">
        <f t="shared" si="112"/>
        <v>252.85083849305914</v>
      </c>
    </row>
    <row r="1162" spans="1:18" x14ac:dyDescent="0.3">
      <c r="A1162" t="s">
        <v>58</v>
      </c>
      <c r="B1162">
        <v>5</v>
      </c>
      <c r="C1162" s="19">
        <v>15</v>
      </c>
      <c r="D1162" s="20">
        <v>2025</v>
      </c>
      <c r="E1162" s="21">
        <f t="shared" si="108"/>
        <v>45792</v>
      </c>
      <c r="F1162" s="20">
        <v>542.76</v>
      </c>
      <c r="G1162" s="20">
        <v>7362193</v>
      </c>
      <c r="H1162" s="20">
        <v>538.26</v>
      </c>
      <c r="I1162" s="20">
        <v>543.24890000000005</v>
      </c>
      <c r="J1162" s="22">
        <v>537.84</v>
      </c>
      <c r="K1162" s="2">
        <f t="shared" si="109"/>
        <v>152194.13139771545</v>
      </c>
      <c r="L1162" s="2">
        <f>IF(B1162&lt;&gt;B1161,L1161*(1+Dashboard!$G$5)+Dashboard!$G$6, L1161)</f>
        <v>143947.33833189114</v>
      </c>
      <c r="M1162">
        <f t="shared" si="107"/>
        <v>0</v>
      </c>
      <c r="N1162">
        <f t="shared" si="110"/>
        <v>280.40778870534945</v>
      </c>
      <c r="O1162">
        <f>IF(B1162&lt;&gt;B1161, Dashboard!$L$6,0)</f>
        <v>0</v>
      </c>
      <c r="P1162">
        <f t="shared" si="111"/>
        <v>255.57649929929076</v>
      </c>
      <c r="Q1162">
        <f>IF(B1162&lt;&gt;B1161,IF(F1162&lt;=AVERAGE(F1140:F1161),Dashboard!$N$6-Dashboard!$G$7,Dashboard!$N$6+Dashboard!$G$7),0)</f>
        <v>0</v>
      </c>
      <c r="R1162">
        <f t="shared" si="112"/>
        <v>252.85083849305914</v>
      </c>
    </row>
    <row r="1163" spans="1:18" x14ac:dyDescent="0.3">
      <c r="A1163" t="s">
        <v>57</v>
      </c>
      <c r="B1163">
        <v>5</v>
      </c>
      <c r="C1163" s="19">
        <v>16</v>
      </c>
      <c r="D1163" s="20">
        <v>2025</v>
      </c>
      <c r="E1163" s="21">
        <f t="shared" si="108"/>
        <v>45793</v>
      </c>
      <c r="F1163" s="20">
        <v>546.26</v>
      </c>
      <c r="G1163" s="20">
        <v>7255342</v>
      </c>
      <c r="H1163" s="20">
        <v>543.47</v>
      </c>
      <c r="I1163" s="20">
        <v>546.47</v>
      </c>
      <c r="J1163" s="22">
        <v>541.70000000000005</v>
      </c>
      <c r="K1163" s="2">
        <f t="shared" si="109"/>
        <v>153175.55865818419</v>
      </c>
      <c r="L1163" s="2">
        <f>IF(B1163&lt;&gt;B1162,L1162*(1+Dashboard!$G$5)+Dashboard!$G$6, L1162)</f>
        <v>143947.33833189114</v>
      </c>
      <c r="M1163">
        <f t="shared" si="107"/>
        <v>0</v>
      </c>
      <c r="N1163">
        <f t="shared" si="110"/>
        <v>280.40778870534945</v>
      </c>
      <c r="O1163">
        <f>IF(B1163&lt;&gt;B1162, Dashboard!$L$6,0)</f>
        <v>0</v>
      </c>
      <c r="P1163">
        <f t="shared" si="111"/>
        <v>255.57649929929076</v>
      </c>
      <c r="Q1163">
        <f>IF(B1163&lt;&gt;B1162,IF(F1163&lt;=AVERAGE(F1141:F1162),Dashboard!$N$6-Dashboard!$G$7,Dashboard!$N$6+Dashboard!$G$7),0)</f>
        <v>0</v>
      </c>
      <c r="R1163">
        <f t="shared" si="112"/>
        <v>252.85083849305914</v>
      </c>
    </row>
    <row r="1164" spans="1:18" x14ac:dyDescent="0.3">
      <c r="A1164" t="s">
        <v>56</v>
      </c>
      <c r="B1164">
        <v>5</v>
      </c>
      <c r="C1164" s="19">
        <v>19</v>
      </c>
      <c r="D1164" s="20">
        <v>2025</v>
      </c>
      <c r="E1164" s="21">
        <f t="shared" si="108"/>
        <v>45796</v>
      </c>
      <c r="F1164" s="20">
        <v>546.82000000000005</v>
      </c>
      <c r="G1164" s="20">
        <v>7766058</v>
      </c>
      <c r="H1164" s="20">
        <v>540.63</v>
      </c>
      <c r="I1164" s="20">
        <v>547.45000000000005</v>
      </c>
      <c r="J1164" s="22">
        <v>540.58000000000004</v>
      </c>
      <c r="K1164" s="2">
        <f t="shared" si="109"/>
        <v>153332.5870198592</v>
      </c>
      <c r="L1164" s="2">
        <f>IF(B1164&lt;&gt;B1163,L1163*(1+Dashboard!$G$5)+Dashboard!$G$6, L1163)</f>
        <v>143947.33833189114</v>
      </c>
      <c r="M1164">
        <f t="shared" si="107"/>
        <v>0</v>
      </c>
      <c r="N1164">
        <f t="shared" si="110"/>
        <v>280.40778870534945</v>
      </c>
      <c r="O1164">
        <f>IF(B1164&lt;&gt;B1163, Dashboard!$L$6,0)</f>
        <v>0</v>
      </c>
      <c r="P1164">
        <f t="shared" si="111"/>
        <v>255.57649929929076</v>
      </c>
      <c r="Q1164">
        <f>IF(B1164&lt;&gt;B1163,IF(F1164&lt;=AVERAGE(F1142:F1163),Dashboard!$N$6-Dashboard!$G$7,Dashboard!$N$6+Dashboard!$G$7),0)</f>
        <v>0</v>
      </c>
      <c r="R1164">
        <f t="shared" si="112"/>
        <v>252.85083849305914</v>
      </c>
    </row>
    <row r="1165" spans="1:18" x14ac:dyDescent="0.3">
      <c r="A1165" t="s">
        <v>55</v>
      </c>
      <c r="B1165">
        <v>5</v>
      </c>
      <c r="C1165" s="19">
        <v>20</v>
      </c>
      <c r="D1165" s="20">
        <v>2025</v>
      </c>
      <c r="E1165" s="21">
        <f t="shared" si="108"/>
        <v>45797</v>
      </c>
      <c r="F1165" s="20">
        <v>544.88</v>
      </c>
      <c r="G1165" s="20">
        <v>7158205</v>
      </c>
      <c r="H1165" s="20">
        <v>545.22</v>
      </c>
      <c r="I1165" s="20">
        <v>546.05999999999995</v>
      </c>
      <c r="J1165" s="22">
        <v>541.99</v>
      </c>
      <c r="K1165" s="2">
        <f t="shared" si="109"/>
        <v>152788.59590977081</v>
      </c>
      <c r="L1165" s="2">
        <f>IF(B1165&lt;&gt;B1164,L1164*(1+Dashboard!$G$5)+Dashboard!$G$6, L1164)</f>
        <v>143947.33833189114</v>
      </c>
      <c r="M1165">
        <f t="shared" si="107"/>
        <v>0</v>
      </c>
      <c r="N1165">
        <f t="shared" si="110"/>
        <v>280.40778870534945</v>
      </c>
      <c r="O1165">
        <f>IF(B1165&lt;&gt;B1164, Dashboard!$L$6,0)</f>
        <v>0</v>
      </c>
      <c r="P1165">
        <f t="shared" si="111"/>
        <v>255.57649929929076</v>
      </c>
      <c r="Q1165">
        <f>IF(B1165&lt;&gt;B1164,IF(F1165&lt;=AVERAGE(F1143:F1164),Dashboard!$N$6-Dashboard!$G$7,Dashboard!$N$6+Dashboard!$G$7),0)</f>
        <v>0</v>
      </c>
      <c r="R1165">
        <f t="shared" si="112"/>
        <v>252.85083849305914</v>
      </c>
    </row>
    <row r="1166" spans="1:18" x14ac:dyDescent="0.3">
      <c r="A1166" t="s">
        <v>54</v>
      </c>
      <c r="B1166">
        <v>5</v>
      </c>
      <c r="C1166" s="19">
        <v>21</v>
      </c>
      <c r="D1166" s="20">
        <v>2025</v>
      </c>
      <c r="E1166" s="21">
        <f t="shared" si="108"/>
        <v>45798</v>
      </c>
      <c r="F1166" s="20">
        <v>535.77</v>
      </c>
      <c r="G1166" s="20">
        <v>6339491</v>
      </c>
      <c r="H1166" s="20">
        <v>540.91</v>
      </c>
      <c r="I1166" s="20">
        <v>544.69050000000004</v>
      </c>
      <c r="J1166" s="22">
        <v>534.82000000000005</v>
      </c>
      <c r="K1166" s="2">
        <f t="shared" si="109"/>
        <v>150234.08095466506</v>
      </c>
      <c r="L1166" s="2">
        <f>IF(B1166&lt;&gt;B1165,L1165*(1+Dashboard!$G$5)+Dashboard!$G$6, L1165)</f>
        <v>143947.33833189114</v>
      </c>
      <c r="M1166">
        <f t="shared" si="107"/>
        <v>0</v>
      </c>
      <c r="N1166">
        <f t="shared" si="110"/>
        <v>280.40778870534945</v>
      </c>
      <c r="O1166">
        <f>IF(B1166&lt;&gt;B1165, Dashboard!$L$6,0)</f>
        <v>0</v>
      </c>
      <c r="P1166">
        <f t="shared" si="111"/>
        <v>255.57649929929076</v>
      </c>
      <c r="Q1166">
        <f>IF(B1166&lt;&gt;B1165,IF(F1166&lt;=AVERAGE(F1144:F1165),Dashboard!$N$6-Dashboard!$G$7,Dashboard!$N$6+Dashboard!$G$7),0)</f>
        <v>0</v>
      </c>
      <c r="R1166">
        <f t="shared" si="112"/>
        <v>252.85083849305914</v>
      </c>
    </row>
    <row r="1167" spans="1:18" x14ac:dyDescent="0.3">
      <c r="A1167" t="s">
        <v>53</v>
      </c>
      <c r="B1167">
        <v>5</v>
      </c>
      <c r="C1167" s="19">
        <v>22</v>
      </c>
      <c r="D1167" s="20">
        <v>2025</v>
      </c>
      <c r="E1167" s="21">
        <f t="shared" si="108"/>
        <v>45799</v>
      </c>
      <c r="F1167" s="20">
        <v>536.02</v>
      </c>
      <c r="G1167" s="20">
        <v>5816572</v>
      </c>
      <c r="H1167" s="20">
        <v>535.6</v>
      </c>
      <c r="I1167" s="20">
        <v>539.22500000000002</v>
      </c>
      <c r="J1167" s="22">
        <v>534.44000000000005</v>
      </c>
      <c r="K1167" s="2">
        <f t="shared" si="109"/>
        <v>150304.18290184141</v>
      </c>
      <c r="L1167" s="2">
        <f>IF(B1167&lt;&gt;B1166,L1166*(1+Dashboard!$G$5)+Dashboard!$G$6, L1166)</f>
        <v>143947.33833189114</v>
      </c>
      <c r="M1167">
        <f t="shared" si="107"/>
        <v>0</v>
      </c>
      <c r="N1167">
        <f t="shared" si="110"/>
        <v>280.40778870534945</v>
      </c>
      <c r="O1167">
        <f>IF(B1167&lt;&gt;B1166, Dashboard!$L$6,0)</f>
        <v>0</v>
      </c>
      <c r="P1167">
        <f t="shared" si="111"/>
        <v>255.57649929929076</v>
      </c>
      <c r="Q1167">
        <f>IF(B1167&lt;&gt;B1166,IF(F1167&lt;=AVERAGE(F1145:F1166),Dashboard!$N$6-Dashboard!$G$7,Dashboard!$N$6+Dashboard!$G$7),0)</f>
        <v>0</v>
      </c>
      <c r="R1167">
        <f t="shared" si="112"/>
        <v>252.85083849305914</v>
      </c>
    </row>
    <row r="1168" spans="1:18" x14ac:dyDescent="0.3">
      <c r="A1168" t="s">
        <v>52</v>
      </c>
      <c r="B1168">
        <v>5</v>
      </c>
      <c r="C1168" s="19">
        <v>23</v>
      </c>
      <c r="D1168" s="20">
        <v>2025</v>
      </c>
      <c r="E1168" s="21">
        <f t="shared" si="108"/>
        <v>45800</v>
      </c>
      <c r="F1168" s="20">
        <v>532.4</v>
      </c>
      <c r="G1168" s="20">
        <v>6455875</v>
      </c>
      <c r="H1168" s="20">
        <v>529.42999999999995</v>
      </c>
      <c r="I1168" s="20">
        <v>534.80989999999997</v>
      </c>
      <c r="J1168" s="22">
        <v>529.11</v>
      </c>
      <c r="K1168" s="2">
        <f t="shared" si="109"/>
        <v>149289.10670672805</v>
      </c>
      <c r="L1168" s="2">
        <f>IF(B1168&lt;&gt;B1167,L1167*(1+Dashboard!$G$5)+Dashboard!$G$6, L1167)</f>
        <v>143947.33833189114</v>
      </c>
      <c r="M1168">
        <f t="shared" si="107"/>
        <v>0</v>
      </c>
      <c r="N1168">
        <f t="shared" si="110"/>
        <v>280.40778870534945</v>
      </c>
      <c r="O1168">
        <f>IF(B1168&lt;&gt;B1167, Dashboard!$L$6,0)</f>
        <v>0</v>
      </c>
      <c r="P1168">
        <f t="shared" si="111"/>
        <v>255.57649929929076</v>
      </c>
      <c r="Q1168">
        <f>IF(B1168&lt;&gt;B1167,IF(F1168&lt;=AVERAGE(F1146:F1167),Dashboard!$N$6-Dashboard!$G$7,Dashboard!$N$6+Dashboard!$G$7),0)</f>
        <v>0</v>
      </c>
      <c r="R1168">
        <f t="shared" si="112"/>
        <v>252.85083849305914</v>
      </c>
    </row>
    <row r="1169" spans="1:18" x14ac:dyDescent="0.3">
      <c r="A1169" t="s">
        <v>51</v>
      </c>
      <c r="B1169">
        <v>5</v>
      </c>
      <c r="C1169" s="19">
        <v>27</v>
      </c>
      <c r="D1169" s="20">
        <v>2025</v>
      </c>
      <c r="E1169" s="21">
        <f t="shared" si="108"/>
        <v>45804</v>
      </c>
      <c r="F1169" s="20">
        <v>543.34</v>
      </c>
      <c r="G1169" s="20">
        <v>6118091</v>
      </c>
      <c r="H1169" s="20">
        <v>538.72</v>
      </c>
      <c r="I1169" s="20">
        <v>543.52</v>
      </c>
      <c r="J1169" s="22">
        <v>537.17999999999995</v>
      </c>
      <c r="K1169" s="2">
        <f t="shared" si="109"/>
        <v>152356.76791516459</v>
      </c>
      <c r="L1169" s="2">
        <f>IF(B1169&lt;&gt;B1168,L1168*(1+Dashboard!$G$5)+Dashboard!$G$6, L1168)</f>
        <v>143947.33833189114</v>
      </c>
      <c r="M1169">
        <f t="shared" si="107"/>
        <v>0</v>
      </c>
      <c r="N1169">
        <f t="shared" si="110"/>
        <v>280.40778870534945</v>
      </c>
      <c r="O1169">
        <f>IF(B1169&lt;&gt;B1168, Dashboard!$L$6,0)</f>
        <v>0</v>
      </c>
      <c r="P1169">
        <f t="shared" si="111"/>
        <v>255.57649929929076</v>
      </c>
      <c r="Q1169">
        <f>IF(B1169&lt;&gt;B1168,IF(F1169&lt;=AVERAGE(F1147:F1168),Dashboard!$N$6-Dashboard!$G$7,Dashboard!$N$6+Dashboard!$G$7),0)</f>
        <v>0</v>
      </c>
      <c r="R1169">
        <f t="shared" si="112"/>
        <v>252.85083849305914</v>
      </c>
    </row>
    <row r="1170" spans="1:18" x14ac:dyDescent="0.3">
      <c r="A1170" t="s">
        <v>50</v>
      </c>
      <c r="B1170">
        <v>5</v>
      </c>
      <c r="C1170" s="19">
        <v>28</v>
      </c>
      <c r="D1170" s="20">
        <v>2025</v>
      </c>
      <c r="E1170" s="21">
        <f t="shared" si="108"/>
        <v>45805</v>
      </c>
      <c r="F1170" s="20">
        <v>540.24</v>
      </c>
      <c r="G1170" s="20">
        <v>4910507</v>
      </c>
      <c r="H1170" s="20">
        <v>543.79</v>
      </c>
      <c r="I1170" s="20">
        <v>544.9</v>
      </c>
      <c r="J1170" s="22">
        <v>539.61</v>
      </c>
      <c r="K1170" s="2">
        <f t="shared" si="109"/>
        <v>151487.50377017798</v>
      </c>
      <c r="L1170" s="2">
        <f>IF(B1170&lt;&gt;B1169,L1169*(1+Dashboard!$G$5)+Dashboard!$G$6, L1169)</f>
        <v>143947.33833189114</v>
      </c>
      <c r="M1170">
        <f t="shared" si="107"/>
        <v>0</v>
      </c>
      <c r="N1170">
        <f t="shared" si="110"/>
        <v>280.40778870534945</v>
      </c>
      <c r="O1170">
        <f>IF(B1170&lt;&gt;B1169, Dashboard!$L$6,0)</f>
        <v>0</v>
      </c>
      <c r="P1170">
        <f t="shared" si="111"/>
        <v>255.57649929929076</v>
      </c>
      <c r="Q1170">
        <f>IF(B1170&lt;&gt;B1169,IF(F1170&lt;=AVERAGE(F1148:F1169),Dashboard!$N$6-Dashboard!$G$7,Dashboard!$N$6+Dashboard!$G$7),0)</f>
        <v>0</v>
      </c>
      <c r="R1170">
        <f t="shared" si="112"/>
        <v>252.85083849305914</v>
      </c>
    </row>
    <row r="1171" spans="1:18" x14ac:dyDescent="0.3">
      <c r="A1171" t="s">
        <v>49</v>
      </c>
      <c r="B1171">
        <v>5</v>
      </c>
      <c r="C1171" s="19">
        <v>29</v>
      </c>
      <c r="D1171" s="20">
        <v>2025</v>
      </c>
      <c r="E1171" s="21">
        <f t="shared" si="108"/>
        <v>45806</v>
      </c>
      <c r="F1171" s="20">
        <v>542.32000000000005</v>
      </c>
      <c r="G1171" s="20">
        <v>4668939</v>
      </c>
      <c r="H1171" s="20">
        <v>545.15</v>
      </c>
      <c r="I1171" s="20">
        <v>545.28</v>
      </c>
      <c r="J1171" s="22">
        <v>538.74</v>
      </c>
      <c r="K1171" s="2">
        <f t="shared" si="109"/>
        <v>152070.75197068512</v>
      </c>
      <c r="L1171" s="2">
        <f>IF(B1171&lt;&gt;B1170,L1170*(1+Dashboard!$G$5)+Dashboard!$G$6, L1170)</f>
        <v>143947.33833189114</v>
      </c>
      <c r="M1171">
        <f t="shared" si="107"/>
        <v>0</v>
      </c>
      <c r="N1171">
        <f t="shared" si="110"/>
        <v>280.40778870534945</v>
      </c>
      <c r="O1171">
        <f>IF(B1171&lt;&gt;B1170, Dashboard!$L$6,0)</f>
        <v>0</v>
      </c>
      <c r="P1171">
        <f t="shared" si="111"/>
        <v>255.57649929929076</v>
      </c>
      <c r="Q1171">
        <f>IF(B1171&lt;&gt;B1170,IF(F1171&lt;=AVERAGE(F1149:F1170),Dashboard!$N$6-Dashboard!$G$7,Dashboard!$N$6+Dashboard!$G$7),0)</f>
        <v>0</v>
      </c>
      <c r="R1171">
        <f t="shared" si="112"/>
        <v>252.85083849305914</v>
      </c>
    </row>
    <row r="1172" spans="1:18" x14ac:dyDescent="0.3">
      <c r="A1172" t="s">
        <v>48</v>
      </c>
      <c r="B1172">
        <v>5</v>
      </c>
      <c r="C1172" s="19">
        <v>30</v>
      </c>
      <c r="D1172" s="20">
        <v>2025</v>
      </c>
      <c r="E1172" s="21">
        <f t="shared" si="108"/>
        <v>45807</v>
      </c>
      <c r="F1172" s="20">
        <v>541.76</v>
      </c>
      <c r="G1172" s="20">
        <v>6171491</v>
      </c>
      <c r="H1172" s="20">
        <v>541.35</v>
      </c>
      <c r="I1172" s="20">
        <v>543.39</v>
      </c>
      <c r="J1172" s="22">
        <v>536.16</v>
      </c>
      <c r="K1172" s="2">
        <f t="shared" si="109"/>
        <v>151913.72360901011</v>
      </c>
      <c r="L1172" s="2">
        <f>IF(B1172&lt;&gt;B1171,L1171*(1+Dashboard!$G$5)+Dashboard!$G$6, L1171)</f>
        <v>143947.33833189114</v>
      </c>
      <c r="M1172">
        <f t="shared" si="107"/>
        <v>0</v>
      </c>
      <c r="N1172">
        <f t="shared" si="110"/>
        <v>280.40778870534945</v>
      </c>
      <c r="O1172">
        <f>IF(B1172&lt;&gt;B1171, Dashboard!$L$6,0)</f>
        <v>0</v>
      </c>
      <c r="P1172">
        <f t="shared" si="111"/>
        <v>255.57649929929076</v>
      </c>
      <c r="Q1172">
        <f>IF(B1172&lt;&gt;B1171,IF(F1172&lt;=AVERAGE(F1150:F1171),Dashboard!$N$6-Dashboard!$G$7,Dashboard!$N$6+Dashboard!$G$7),0)</f>
        <v>0</v>
      </c>
      <c r="R1172">
        <f t="shared" si="112"/>
        <v>252.85083849305914</v>
      </c>
    </row>
    <row r="1173" spans="1:18" x14ac:dyDescent="0.3">
      <c r="A1173" s="1">
        <v>45694</v>
      </c>
      <c r="B1173">
        <v>6</v>
      </c>
      <c r="C1173" s="19">
        <v>2</v>
      </c>
      <c r="D1173" s="20">
        <v>2025</v>
      </c>
      <c r="E1173" s="21">
        <f t="shared" si="108"/>
        <v>45810</v>
      </c>
      <c r="F1173" s="20">
        <v>544.91</v>
      </c>
      <c r="G1173" s="20">
        <v>5933526</v>
      </c>
      <c r="H1173" s="20">
        <v>540.25</v>
      </c>
      <c r="I1173" s="20">
        <v>544.91</v>
      </c>
      <c r="J1173" s="22">
        <v>537.79999999999995</v>
      </c>
      <c r="K1173" s="2">
        <f t="shared" si="109"/>
        <v>152797.00814343194</v>
      </c>
      <c r="L1173" s="2">
        <f>IF(B1173&lt;&gt;B1172,L1172*(1+Dashboard!$G$5)+Dashboard!$G$6, L1172)</f>
        <v>147214.07490921178</v>
      </c>
      <c r="M1173">
        <f t="shared" si="107"/>
        <v>0</v>
      </c>
      <c r="N1173">
        <f t="shared" si="110"/>
        <v>280.40778870534945</v>
      </c>
      <c r="O1173">
        <f>IF(B1173&lt;&gt;B1172, Dashboard!$L$6,0)</f>
        <v>1859.7282542371197</v>
      </c>
      <c r="P1173">
        <f t="shared" si="111"/>
        <v>258.98940831956406</v>
      </c>
      <c r="Q1173">
        <f>IF(B1173&lt;&gt;B1172,IF(F1173&lt;=AVERAGE(F1151:F1172),Dashboard!$N$6-Dashboard!$G$7,Dashboard!$N$6+Dashboard!$G$7),0)</f>
        <v>2232.609610169322</v>
      </c>
      <c r="R1173">
        <f t="shared" si="112"/>
        <v>256.98338751697275</v>
      </c>
    </row>
    <row r="1174" spans="1:18" x14ac:dyDescent="0.3">
      <c r="A1174" s="1">
        <v>45722</v>
      </c>
      <c r="B1174">
        <v>6</v>
      </c>
      <c r="C1174" s="19">
        <v>3</v>
      </c>
      <c r="D1174" s="20">
        <v>2025</v>
      </c>
      <c r="E1174" s="21">
        <f t="shared" si="108"/>
        <v>45811</v>
      </c>
      <c r="F1174" s="20">
        <v>548</v>
      </c>
      <c r="G1174" s="20">
        <v>4993615</v>
      </c>
      <c r="H1174" s="20">
        <v>544.53</v>
      </c>
      <c r="I1174" s="20">
        <v>548.87</v>
      </c>
      <c r="J1174" s="22">
        <v>544.09</v>
      </c>
      <c r="K1174" s="2">
        <f t="shared" si="109"/>
        <v>153663.46821053149</v>
      </c>
      <c r="L1174" s="2">
        <f>IF(B1174&lt;&gt;B1173,L1173*(1+Dashboard!$G$5)+Dashboard!$G$6, L1173)</f>
        <v>147214.07490921178</v>
      </c>
      <c r="M1174">
        <f t="shared" si="107"/>
        <v>0</v>
      </c>
      <c r="N1174">
        <f t="shared" si="110"/>
        <v>280.40778870534945</v>
      </c>
      <c r="O1174">
        <f>IF(B1174&lt;&gt;B1173, Dashboard!$L$6,0)</f>
        <v>0</v>
      </c>
      <c r="P1174">
        <f t="shared" si="111"/>
        <v>258.98940831956406</v>
      </c>
      <c r="Q1174">
        <f>IF(B1174&lt;&gt;B1173,IF(F1174&lt;=AVERAGE(F1152:F1173),Dashboard!$N$6-Dashboard!$G$7,Dashboard!$N$6+Dashboard!$G$7),0)</f>
        <v>0</v>
      </c>
      <c r="R1174">
        <f t="shared" si="112"/>
        <v>256.98338751697275</v>
      </c>
    </row>
    <row r="1175" spans="1:18" x14ac:dyDescent="0.3">
      <c r="A1175" s="1">
        <v>45753</v>
      </c>
      <c r="B1175">
        <v>6</v>
      </c>
      <c r="C1175" s="19">
        <v>4</v>
      </c>
      <c r="D1175" s="20">
        <v>2025</v>
      </c>
      <c r="E1175" s="21">
        <f t="shared" si="108"/>
        <v>45812</v>
      </c>
      <c r="F1175" s="20">
        <v>547.65</v>
      </c>
      <c r="G1175" s="20">
        <v>4543355</v>
      </c>
      <c r="H1175" s="20">
        <v>548.75</v>
      </c>
      <c r="I1175" s="20">
        <v>549.65</v>
      </c>
      <c r="J1175" s="22">
        <v>547.44259999999997</v>
      </c>
      <c r="K1175" s="2">
        <f t="shared" si="109"/>
        <v>153565.32548448461</v>
      </c>
      <c r="L1175" s="2">
        <f>IF(B1175&lt;&gt;B1174,L1174*(1+Dashboard!$G$5)+Dashboard!$G$6, L1174)</f>
        <v>147214.07490921178</v>
      </c>
      <c r="M1175">
        <f t="shared" si="107"/>
        <v>0</v>
      </c>
      <c r="N1175">
        <f t="shared" si="110"/>
        <v>280.40778870534945</v>
      </c>
      <c r="O1175">
        <f>IF(B1175&lt;&gt;B1174, Dashboard!$L$6,0)</f>
        <v>0</v>
      </c>
      <c r="P1175">
        <f t="shared" si="111"/>
        <v>258.98940831956406</v>
      </c>
      <c r="Q1175">
        <f>IF(B1175&lt;&gt;B1174,IF(F1175&lt;=AVERAGE(F1153:F1174),Dashboard!$N$6-Dashboard!$G$7,Dashboard!$N$6+Dashboard!$G$7),0)</f>
        <v>0</v>
      </c>
      <c r="R1175">
        <f t="shared" si="112"/>
        <v>256.98338751697275</v>
      </c>
    </row>
    <row r="1176" spans="1:18" x14ac:dyDescent="0.3">
      <c r="A1176" s="1">
        <v>45783</v>
      </c>
      <c r="B1176">
        <v>6</v>
      </c>
      <c r="C1176" s="19">
        <v>5</v>
      </c>
      <c r="D1176" s="20">
        <v>2025</v>
      </c>
      <c r="E1176" s="21">
        <f t="shared" si="108"/>
        <v>45813</v>
      </c>
      <c r="F1176" s="20">
        <v>545.09</v>
      </c>
      <c r="G1176" s="20">
        <v>6387510</v>
      </c>
      <c r="H1176" s="20">
        <v>549.48</v>
      </c>
      <c r="I1176" s="20">
        <v>550.63</v>
      </c>
      <c r="J1176" s="22">
        <v>543.33749999999998</v>
      </c>
      <c r="K1176" s="2">
        <f t="shared" si="109"/>
        <v>152847.48154539894</v>
      </c>
      <c r="L1176" s="2">
        <f>IF(B1176&lt;&gt;B1175,L1175*(1+Dashboard!$G$5)+Dashboard!$G$6, L1175)</f>
        <v>147214.07490921178</v>
      </c>
      <c r="M1176">
        <f t="shared" si="107"/>
        <v>0</v>
      </c>
      <c r="N1176">
        <f t="shared" si="110"/>
        <v>280.40778870534945</v>
      </c>
      <c r="O1176">
        <f>IF(B1176&lt;&gt;B1175, Dashboard!$L$6,0)</f>
        <v>0</v>
      </c>
      <c r="P1176">
        <f t="shared" si="111"/>
        <v>258.98940831956406</v>
      </c>
      <c r="Q1176">
        <f>IF(B1176&lt;&gt;B1175,IF(F1176&lt;=AVERAGE(F1154:F1175),Dashboard!$N$6-Dashboard!$G$7,Dashboard!$N$6+Dashboard!$G$7),0)</f>
        <v>0</v>
      </c>
      <c r="R1176">
        <f t="shared" si="112"/>
        <v>256.98338751697275</v>
      </c>
    </row>
    <row r="1177" spans="1:18" x14ac:dyDescent="0.3">
      <c r="A1177" s="1">
        <v>45814</v>
      </c>
      <c r="B1177">
        <v>6</v>
      </c>
      <c r="C1177" s="19">
        <v>6</v>
      </c>
      <c r="D1177" s="20">
        <v>2025</v>
      </c>
      <c r="E1177" s="21">
        <f t="shared" si="108"/>
        <v>45814</v>
      </c>
      <c r="F1177" s="20">
        <v>550.66</v>
      </c>
      <c r="G1177" s="20">
        <v>4735972</v>
      </c>
      <c r="H1177" s="20">
        <v>550.29999999999995</v>
      </c>
      <c r="I1177" s="20">
        <v>552.32000000000005</v>
      </c>
      <c r="J1177" s="22">
        <v>548.69989999999996</v>
      </c>
      <c r="K1177" s="2">
        <f t="shared" si="109"/>
        <v>154409.35292848773</v>
      </c>
      <c r="L1177" s="2">
        <f>IF(B1177&lt;&gt;B1176,L1176*(1+Dashboard!$G$5)+Dashboard!$G$6, L1176)</f>
        <v>147214.07490921178</v>
      </c>
      <c r="M1177">
        <f t="shared" ref="M1177:M1240" si="113">IF(B1177&lt;&gt;B1176,IF((L1177-K1177&gt;0),L1177-K1177,0),0)</f>
        <v>0</v>
      </c>
      <c r="N1177">
        <f t="shared" si="110"/>
        <v>280.40778870534945</v>
      </c>
      <c r="O1177">
        <f>IF(B1177&lt;&gt;B1176, Dashboard!$L$6,0)</f>
        <v>0</v>
      </c>
      <c r="P1177">
        <f t="shared" si="111"/>
        <v>258.98940831956406</v>
      </c>
      <c r="Q1177">
        <f>IF(B1177&lt;&gt;B1176,IF(F1177&lt;=AVERAGE(F1155:F1176),Dashboard!$N$6-Dashboard!$G$7,Dashboard!$N$6+Dashboard!$G$7),0)</f>
        <v>0</v>
      </c>
      <c r="R1177">
        <f t="shared" si="112"/>
        <v>256.98338751697275</v>
      </c>
    </row>
    <row r="1178" spans="1:18" x14ac:dyDescent="0.3">
      <c r="A1178" s="1">
        <v>45906</v>
      </c>
      <c r="B1178">
        <v>6</v>
      </c>
      <c r="C1178" s="19">
        <v>9</v>
      </c>
      <c r="D1178" s="20">
        <v>2025</v>
      </c>
      <c r="E1178" s="21">
        <f t="shared" si="108"/>
        <v>45817</v>
      </c>
      <c r="F1178" s="20">
        <v>551.25</v>
      </c>
      <c r="G1178" s="20">
        <v>4516381</v>
      </c>
      <c r="H1178" s="20">
        <v>551.29999999999995</v>
      </c>
      <c r="I1178" s="20">
        <v>552.70000000000005</v>
      </c>
      <c r="J1178" s="22">
        <v>550.20000000000005</v>
      </c>
      <c r="K1178" s="2">
        <f t="shared" si="109"/>
        <v>154574.79352382387</v>
      </c>
      <c r="L1178" s="2">
        <f>IF(B1178&lt;&gt;B1177,L1177*(1+Dashboard!$G$5)+Dashboard!$G$6, L1177)</f>
        <v>147214.07490921178</v>
      </c>
      <c r="M1178">
        <f t="shared" si="113"/>
        <v>0</v>
      </c>
      <c r="N1178">
        <f t="shared" si="110"/>
        <v>280.40778870534945</v>
      </c>
      <c r="O1178">
        <f>IF(B1178&lt;&gt;B1177, Dashboard!$L$6,0)</f>
        <v>0</v>
      </c>
      <c r="P1178">
        <f t="shared" si="111"/>
        <v>258.98940831956406</v>
      </c>
      <c r="Q1178">
        <f>IF(B1178&lt;&gt;B1177,IF(F1178&lt;=AVERAGE(F1156:F1177),Dashboard!$N$6-Dashboard!$G$7,Dashboard!$N$6+Dashboard!$G$7),0)</f>
        <v>0</v>
      </c>
      <c r="R1178">
        <f t="shared" si="112"/>
        <v>256.98338751697275</v>
      </c>
    </row>
    <row r="1179" spans="1:18" x14ac:dyDescent="0.3">
      <c r="A1179" s="1">
        <v>45936</v>
      </c>
      <c r="B1179">
        <v>6</v>
      </c>
      <c r="C1179" s="19">
        <v>10</v>
      </c>
      <c r="D1179" s="20">
        <v>2025</v>
      </c>
      <c r="E1179" s="21">
        <f t="shared" si="108"/>
        <v>45818</v>
      </c>
      <c r="F1179" s="20">
        <v>554.39</v>
      </c>
      <c r="G1179" s="20">
        <v>5984087</v>
      </c>
      <c r="H1179" s="20">
        <v>551.78</v>
      </c>
      <c r="I1179" s="20">
        <v>554.74</v>
      </c>
      <c r="J1179" s="22">
        <v>550.74</v>
      </c>
      <c r="K1179" s="2">
        <f t="shared" si="109"/>
        <v>155455.27398035867</v>
      </c>
      <c r="L1179" s="2">
        <f>IF(B1179&lt;&gt;B1178,L1178*(1+Dashboard!$G$5)+Dashboard!$G$6, L1178)</f>
        <v>147214.07490921178</v>
      </c>
      <c r="M1179">
        <f t="shared" si="113"/>
        <v>0</v>
      </c>
      <c r="N1179">
        <f t="shared" si="110"/>
        <v>280.40778870534945</v>
      </c>
      <c r="O1179">
        <f>IF(B1179&lt;&gt;B1178, Dashboard!$L$6,0)</f>
        <v>0</v>
      </c>
      <c r="P1179">
        <f t="shared" si="111"/>
        <v>258.98940831956406</v>
      </c>
      <c r="Q1179">
        <f>IF(B1179&lt;&gt;B1178,IF(F1179&lt;=AVERAGE(F1157:F1178),Dashboard!$N$6-Dashboard!$G$7,Dashboard!$N$6+Dashboard!$G$7),0)</f>
        <v>0</v>
      </c>
      <c r="R1179">
        <f t="shared" si="112"/>
        <v>256.98338751697275</v>
      </c>
    </row>
    <row r="1180" spans="1:18" x14ac:dyDescent="0.3">
      <c r="A1180" s="1">
        <v>45967</v>
      </c>
      <c r="B1180">
        <v>6</v>
      </c>
      <c r="C1180" s="19">
        <v>11</v>
      </c>
      <c r="D1180" s="20">
        <v>2025</v>
      </c>
      <c r="E1180" s="21">
        <f t="shared" si="108"/>
        <v>45819</v>
      </c>
      <c r="F1180" s="20">
        <v>552.86</v>
      </c>
      <c r="G1180" s="20">
        <v>20800560</v>
      </c>
      <c r="H1180" s="20">
        <v>555.41</v>
      </c>
      <c r="I1180" s="20">
        <v>556.22500000000002</v>
      </c>
      <c r="J1180" s="22">
        <v>550.91</v>
      </c>
      <c r="K1180" s="2">
        <f t="shared" si="109"/>
        <v>155026.25006363951</v>
      </c>
      <c r="L1180" s="2">
        <f>IF(B1180&lt;&gt;B1179,L1179*(1+Dashboard!$G$5)+Dashboard!$G$6, L1179)</f>
        <v>147214.07490921178</v>
      </c>
      <c r="M1180">
        <f t="shared" si="113"/>
        <v>0</v>
      </c>
      <c r="N1180">
        <f t="shared" si="110"/>
        <v>280.40778870534945</v>
      </c>
      <c r="O1180">
        <f>IF(B1180&lt;&gt;B1179, Dashboard!$L$6,0)</f>
        <v>0</v>
      </c>
      <c r="P1180">
        <f t="shared" si="111"/>
        <v>258.98940831956406</v>
      </c>
      <c r="Q1180">
        <f>IF(B1180&lt;&gt;B1179,IF(F1180&lt;=AVERAGE(F1158:F1179),Dashboard!$N$6-Dashboard!$G$7,Dashboard!$N$6+Dashboard!$G$7),0)</f>
        <v>0</v>
      </c>
      <c r="R1180">
        <f t="shared" si="112"/>
        <v>256.98338751697275</v>
      </c>
    </row>
    <row r="1181" spans="1:18" x14ac:dyDescent="0.3">
      <c r="A1181" s="1">
        <v>45997</v>
      </c>
      <c r="B1181">
        <v>6</v>
      </c>
      <c r="C1181" s="19">
        <v>12</v>
      </c>
      <c r="D1181" s="20">
        <v>2025</v>
      </c>
      <c r="E1181" s="21">
        <f t="shared" si="108"/>
        <v>45820</v>
      </c>
      <c r="F1181" s="20">
        <v>554.95000000000005</v>
      </c>
      <c r="G1181" s="20">
        <v>8422943</v>
      </c>
      <c r="H1181" s="20">
        <v>551.6</v>
      </c>
      <c r="I1181" s="20">
        <v>555</v>
      </c>
      <c r="J1181" s="22">
        <v>551.13220000000001</v>
      </c>
      <c r="K1181" s="2">
        <f t="shared" si="109"/>
        <v>155612.30234203368</v>
      </c>
      <c r="L1181" s="2">
        <f>IF(B1181&lt;&gt;B1180,L1180*(1+Dashboard!$G$5)+Dashboard!$G$6, L1180)</f>
        <v>147214.07490921178</v>
      </c>
      <c r="M1181">
        <f t="shared" si="113"/>
        <v>0</v>
      </c>
      <c r="N1181">
        <f t="shared" si="110"/>
        <v>280.40778870534945</v>
      </c>
      <c r="O1181">
        <f>IF(B1181&lt;&gt;B1180, Dashboard!$L$6,0)</f>
        <v>0</v>
      </c>
      <c r="P1181">
        <f t="shared" si="111"/>
        <v>258.98940831956406</v>
      </c>
      <c r="Q1181">
        <f>IF(B1181&lt;&gt;B1180,IF(F1181&lt;=AVERAGE(F1159:F1180),Dashboard!$N$6-Dashboard!$G$7,Dashboard!$N$6+Dashboard!$G$7),0)</f>
        <v>0</v>
      </c>
      <c r="R1181">
        <f t="shared" si="112"/>
        <v>256.98338751697275</v>
      </c>
    </row>
    <row r="1182" spans="1:18" x14ac:dyDescent="0.3">
      <c r="A1182" t="s">
        <v>47</v>
      </c>
      <c r="B1182">
        <v>6</v>
      </c>
      <c r="C1182" s="19">
        <v>13</v>
      </c>
      <c r="D1182" s="20">
        <v>2025</v>
      </c>
      <c r="E1182" s="21">
        <f t="shared" si="108"/>
        <v>45821</v>
      </c>
      <c r="F1182" s="20">
        <v>548.77</v>
      </c>
      <c r="G1182" s="20">
        <v>7100626</v>
      </c>
      <c r="H1182" s="20">
        <v>550.24</v>
      </c>
      <c r="I1182" s="20">
        <v>553.245</v>
      </c>
      <c r="J1182" s="22">
        <v>547.41</v>
      </c>
      <c r="K1182" s="2">
        <f t="shared" si="109"/>
        <v>153879.3822078346</v>
      </c>
      <c r="L1182" s="2">
        <f>IF(B1182&lt;&gt;B1181,L1181*(1+Dashboard!$G$5)+Dashboard!$G$6, L1181)</f>
        <v>147214.07490921178</v>
      </c>
      <c r="M1182">
        <f t="shared" si="113"/>
        <v>0</v>
      </c>
      <c r="N1182">
        <f t="shared" si="110"/>
        <v>280.40778870534945</v>
      </c>
      <c r="O1182">
        <f>IF(B1182&lt;&gt;B1181, Dashboard!$L$6,0)</f>
        <v>0</v>
      </c>
      <c r="P1182">
        <f t="shared" si="111"/>
        <v>258.98940831956406</v>
      </c>
      <c r="Q1182">
        <f>IF(B1182&lt;&gt;B1181,IF(F1182&lt;=AVERAGE(F1160:F1181),Dashboard!$N$6-Dashboard!$G$7,Dashboard!$N$6+Dashboard!$G$7),0)</f>
        <v>0</v>
      </c>
      <c r="R1182">
        <f t="shared" si="112"/>
        <v>256.98338751697275</v>
      </c>
    </row>
    <row r="1183" spans="1:18" x14ac:dyDescent="0.3">
      <c r="A1183" t="s">
        <v>46</v>
      </c>
      <c r="B1183">
        <v>6</v>
      </c>
      <c r="C1183" s="19">
        <v>16</v>
      </c>
      <c r="D1183" s="20">
        <v>2025</v>
      </c>
      <c r="E1183" s="21">
        <f t="shared" si="108"/>
        <v>45824</v>
      </c>
      <c r="F1183" s="20">
        <v>554.07000000000005</v>
      </c>
      <c r="G1183" s="20">
        <v>7421327</v>
      </c>
      <c r="H1183" s="20">
        <v>551.94000000000005</v>
      </c>
      <c r="I1183" s="20">
        <v>555.69000000000005</v>
      </c>
      <c r="J1183" s="22">
        <v>551.87</v>
      </c>
      <c r="K1183" s="2">
        <f t="shared" si="109"/>
        <v>155365.54348797299</v>
      </c>
      <c r="L1183" s="2">
        <f>IF(B1183&lt;&gt;B1182,L1182*(1+Dashboard!$G$5)+Dashboard!$G$6, L1182)</f>
        <v>147214.07490921178</v>
      </c>
      <c r="M1183">
        <f t="shared" si="113"/>
        <v>0</v>
      </c>
      <c r="N1183">
        <f t="shared" si="110"/>
        <v>280.40778870534945</v>
      </c>
      <c r="O1183">
        <f>IF(B1183&lt;&gt;B1182, Dashboard!$L$6,0)</f>
        <v>0</v>
      </c>
      <c r="P1183">
        <f t="shared" si="111"/>
        <v>258.98940831956406</v>
      </c>
      <c r="Q1183">
        <f>IF(B1183&lt;&gt;B1182,IF(F1183&lt;=AVERAGE(F1161:F1182),Dashboard!$N$6-Dashboard!$G$7,Dashboard!$N$6+Dashboard!$G$7),0)</f>
        <v>0</v>
      </c>
      <c r="R1183">
        <f t="shared" si="112"/>
        <v>256.98338751697275</v>
      </c>
    </row>
    <row r="1184" spans="1:18" x14ac:dyDescent="0.3">
      <c r="A1184" t="s">
        <v>45</v>
      </c>
      <c r="B1184">
        <v>6</v>
      </c>
      <c r="C1184" s="19">
        <v>17</v>
      </c>
      <c r="D1184" s="20">
        <v>2025</v>
      </c>
      <c r="E1184" s="21">
        <f t="shared" si="108"/>
        <v>45825</v>
      </c>
      <c r="F1184" s="20">
        <v>549.35</v>
      </c>
      <c r="G1184" s="20">
        <v>4753344</v>
      </c>
      <c r="H1184" s="20">
        <v>551.79</v>
      </c>
      <c r="I1184" s="20">
        <v>553.16</v>
      </c>
      <c r="J1184" s="22">
        <v>548.63499999999999</v>
      </c>
      <c r="K1184" s="2">
        <f t="shared" si="109"/>
        <v>154042.01872528373</v>
      </c>
      <c r="L1184" s="2">
        <f>IF(B1184&lt;&gt;B1183,L1183*(1+Dashboard!$G$5)+Dashboard!$G$6, L1183)</f>
        <v>147214.07490921178</v>
      </c>
      <c r="M1184">
        <f t="shared" si="113"/>
        <v>0</v>
      </c>
      <c r="N1184">
        <f t="shared" si="110"/>
        <v>280.40778870534945</v>
      </c>
      <c r="O1184">
        <f>IF(B1184&lt;&gt;B1183, Dashboard!$L$6,0)</f>
        <v>0</v>
      </c>
      <c r="P1184">
        <f t="shared" si="111"/>
        <v>258.98940831956406</v>
      </c>
      <c r="Q1184">
        <f>IF(B1184&lt;&gt;B1183,IF(F1184&lt;=AVERAGE(F1162:F1183),Dashboard!$N$6-Dashboard!$G$7,Dashboard!$N$6+Dashboard!$G$7),0)</f>
        <v>0</v>
      </c>
      <c r="R1184">
        <f t="shared" si="112"/>
        <v>256.98338751697275</v>
      </c>
    </row>
    <row r="1185" spans="1:18" x14ac:dyDescent="0.3">
      <c r="A1185" t="s">
        <v>44</v>
      </c>
      <c r="B1185">
        <v>6</v>
      </c>
      <c r="C1185" s="19">
        <v>18</v>
      </c>
      <c r="D1185" s="20">
        <v>2025</v>
      </c>
      <c r="E1185" s="21">
        <f t="shared" si="108"/>
        <v>45826</v>
      </c>
      <c r="F1185" s="20">
        <v>549.24</v>
      </c>
      <c r="G1185" s="20">
        <v>4602329</v>
      </c>
      <c r="H1185" s="20">
        <v>550.16</v>
      </c>
      <c r="I1185" s="20">
        <v>552.71</v>
      </c>
      <c r="J1185" s="22">
        <v>548.39</v>
      </c>
      <c r="K1185" s="2">
        <f t="shared" si="109"/>
        <v>154011.17386852612</v>
      </c>
      <c r="L1185" s="2">
        <f>IF(B1185&lt;&gt;B1184,L1184*(1+Dashboard!$G$5)+Dashboard!$G$6, L1184)</f>
        <v>147214.07490921178</v>
      </c>
      <c r="M1185">
        <f t="shared" si="113"/>
        <v>0</v>
      </c>
      <c r="N1185">
        <f t="shared" si="110"/>
        <v>280.40778870534945</v>
      </c>
      <c r="O1185">
        <f>IF(B1185&lt;&gt;B1184, Dashboard!$L$6,0)</f>
        <v>0</v>
      </c>
      <c r="P1185">
        <f t="shared" si="111"/>
        <v>258.98940831956406</v>
      </c>
      <c r="Q1185">
        <f>IF(B1185&lt;&gt;B1184,IF(F1185&lt;=AVERAGE(F1163:F1184),Dashboard!$N$6-Dashboard!$G$7,Dashboard!$N$6+Dashboard!$G$7),0)</f>
        <v>0</v>
      </c>
      <c r="R1185">
        <f t="shared" si="112"/>
        <v>256.98338751697275</v>
      </c>
    </row>
    <row r="1186" spans="1:18" x14ac:dyDescent="0.3">
      <c r="A1186" t="s">
        <v>43</v>
      </c>
      <c r="B1186">
        <v>6</v>
      </c>
      <c r="C1186" s="19">
        <v>20</v>
      </c>
      <c r="D1186" s="20">
        <v>2025</v>
      </c>
      <c r="E1186" s="21">
        <f t="shared" si="108"/>
        <v>45828</v>
      </c>
      <c r="F1186" s="20">
        <v>547.72</v>
      </c>
      <c r="G1186" s="20">
        <v>9978477</v>
      </c>
      <c r="H1186" s="20">
        <v>551.72</v>
      </c>
      <c r="I1186" s="20">
        <v>552.72</v>
      </c>
      <c r="J1186" s="22">
        <v>546.62</v>
      </c>
      <c r="K1186" s="2">
        <f t="shared" si="109"/>
        <v>153584.954029694</v>
      </c>
      <c r="L1186" s="2">
        <f>IF(B1186&lt;&gt;B1185,L1185*(1+Dashboard!$G$5)+Dashboard!$G$6, L1185)</f>
        <v>147214.07490921178</v>
      </c>
      <c r="M1186">
        <f t="shared" si="113"/>
        <v>0</v>
      </c>
      <c r="N1186">
        <f t="shared" si="110"/>
        <v>280.40778870534945</v>
      </c>
      <c r="O1186">
        <f>IF(B1186&lt;&gt;B1185, Dashboard!$L$6,0)</f>
        <v>0</v>
      </c>
      <c r="P1186">
        <f t="shared" si="111"/>
        <v>258.98940831956406</v>
      </c>
      <c r="Q1186">
        <f>IF(B1186&lt;&gt;B1185,IF(F1186&lt;=AVERAGE(F1164:F1185),Dashboard!$N$6-Dashboard!$G$7,Dashboard!$N$6+Dashboard!$G$7),0)</f>
        <v>0</v>
      </c>
      <c r="R1186">
        <f t="shared" si="112"/>
        <v>256.98338751697275</v>
      </c>
    </row>
    <row r="1187" spans="1:18" x14ac:dyDescent="0.3">
      <c r="A1187" t="s">
        <v>42</v>
      </c>
      <c r="B1187">
        <v>6</v>
      </c>
      <c r="C1187" s="19">
        <v>23</v>
      </c>
      <c r="D1187" s="20">
        <v>2025</v>
      </c>
      <c r="E1187" s="21">
        <f t="shared" si="108"/>
        <v>45831</v>
      </c>
      <c r="F1187" s="20">
        <v>553.36</v>
      </c>
      <c r="G1187" s="20">
        <v>9820188</v>
      </c>
      <c r="H1187" s="20">
        <v>548.66</v>
      </c>
      <c r="I1187" s="20">
        <v>553.70000000000005</v>
      </c>
      <c r="J1187" s="22">
        <v>545.75</v>
      </c>
      <c r="K1187" s="2">
        <f t="shared" si="109"/>
        <v>155166.45395799217</v>
      </c>
      <c r="L1187" s="2">
        <f>IF(B1187&lt;&gt;B1186,L1186*(1+Dashboard!$G$5)+Dashboard!$G$6, L1186)</f>
        <v>147214.07490921178</v>
      </c>
      <c r="M1187">
        <f t="shared" si="113"/>
        <v>0</v>
      </c>
      <c r="N1187">
        <f t="shared" si="110"/>
        <v>280.40778870534945</v>
      </c>
      <c r="O1187">
        <f>IF(B1187&lt;&gt;B1186, Dashboard!$L$6,0)</f>
        <v>0</v>
      </c>
      <c r="P1187">
        <f t="shared" si="111"/>
        <v>258.98940831956406</v>
      </c>
      <c r="Q1187">
        <f>IF(B1187&lt;&gt;B1186,IF(F1187&lt;=AVERAGE(F1165:F1186),Dashboard!$N$6-Dashboard!$G$7,Dashboard!$N$6+Dashboard!$G$7),0)</f>
        <v>0</v>
      </c>
      <c r="R1187">
        <f t="shared" si="112"/>
        <v>256.98338751697275</v>
      </c>
    </row>
    <row r="1188" spans="1:18" x14ac:dyDescent="0.3">
      <c r="A1188" t="s">
        <v>41</v>
      </c>
      <c r="B1188">
        <v>6</v>
      </c>
      <c r="C1188" s="19">
        <v>24</v>
      </c>
      <c r="D1188" s="20">
        <v>2025</v>
      </c>
      <c r="E1188" s="21">
        <f t="shared" si="108"/>
        <v>45832</v>
      </c>
      <c r="F1188" s="20">
        <v>559.44000000000005</v>
      </c>
      <c r="G1188" s="20">
        <v>6770036</v>
      </c>
      <c r="H1188" s="20">
        <v>557.17999999999995</v>
      </c>
      <c r="I1188" s="20">
        <v>560.42999999999995</v>
      </c>
      <c r="J1188" s="22">
        <v>556.37</v>
      </c>
      <c r="K1188" s="2">
        <f t="shared" si="109"/>
        <v>156871.33331332071</v>
      </c>
      <c r="L1188" s="2">
        <f>IF(B1188&lt;&gt;B1187,L1187*(1+Dashboard!$G$5)+Dashboard!$G$6, L1187)</f>
        <v>147214.07490921178</v>
      </c>
      <c r="M1188">
        <f t="shared" si="113"/>
        <v>0</v>
      </c>
      <c r="N1188">
        <f t="shared" si="110"/>
        <v>280.40778870534945</v>
      </c>
      <c r="O1188">
        <f>IF(B1188&lt;&gt;B1187, Dashboard!$L$6,0)</f>
        <v>0</v>
      </c>
      <c r="P1188">
        <f t="shared" si="111"/>
        <v>258.98940831956406</v>
      </c>
      <c r="Q1188">
        <f>IF(B1188&lt;&gt;B1187,IF(F1188&lt;=AVERAGE(F1166:F1187),Dashboard!$N$6-Dashboard!$G$7,Dashboard!$N$6+Dashboard!$G$7),0)</f>
        <v>0</v>
      </c>
      <c r="R1188">
        <f t="shared" si="112"/>
        <v>256.98338751697275</v>
      </c>
    </row>
    <row r="1189" spans="1:18" x14ac:dyDescent="0.3">
      <c r="A1189" t="s">
        <v>40</v>
      </c>
      <c r="B1189">
        <v>6</v>
      </c>
      <c r="C1189" s="19">
        <v>25</v>
      </c>
      <c r="D1189" s="20">
        <v>2025</v>
      </c>
      <c r="E1189" s="21">
        <f t="shared" si="108"/>
        <v>45833</v>
      </c>
      <c r="F1189" s="20">
        <v>559.72</v>
      </c>
      <c r="G1189" s="20">
        <v>16472310</v>
      </c>
      <c r="H1189" s="20">
        <v>560.52</v>
      </c>
      <c r="I1189" s="20">
        <v>561.02</v>
      </c>
      <c r="J1189" s="22">
        <v>558.34</v>
      </c>
      <c r="K1189" s="2">
        <f t="shared" si="109"/>
        <v>156949.8474941582</v>
      </c>
      <c r="L1189" s="2">
        <f>IF(B1189&lt;&gt;B1188,L1188*(1+Dashboard!$G$5)+Dashboard!$G$6, L1188)</f>
        <v>147214.07490921178</v>
      </c>
      <c r="M1189">
        <f t="shared" si="113"/>
        <v>0</v>
      </c>
      <c r="N1189">
        <f t="shared" si="110"/>
        <v>280.40778870534945</v>
      </c>
      <c r="O1189">
        <f>IF(B1189&lt;&gt;B1188, Dashboard!$L$6,0)</f>
        <v>0</v>
      </c>
      <c r="P1189">
        <f t="shared" si="111"/>
        <v>258.98940831956406</v>
      </c>
      <c r="Q1189">
        <f>IF(B1189&lt;&gt;B1188,IF(F1189&lt;=AVERAGE(F1167:F1188),Dashboard!$N$6-Dashboard!$G$7,Dashboard!$N$6+Dashboard!$G$7),0)</f>
        <v>0</v>
      </c>
      <c r="R1189">
        <f t="shared" si="112"/>
        <v>256.98338751697275</v>
      </c>
    </row>
    <row r="1190" spans="1:18" x14ac:dyDescent="0.3">
      <c r="A1190" t="s">
        <v>39</v>
      </c>
      <c r="B1190">
        <v>6</v>
      </c>
      <c r="C1190" s="19">
        <v>26</v>
      </c>
      <c r="D1190" s="20">
        <v>2025</v>
      </c>
      <c r="E1190" s="21">
        <f t="shared" si="108"/>
        <v>45834</v>
      </c>
      <c r="F1190" s="20">
        <v>564.15</v>
      </c>
      <c r="G1190" s="20">
        <v>6081444</v>
      </c>
      <c r="H1190" s="20">
        <v>561.52</v>
      </c>
      <c r="I1190" s="20">
        <v>564.54999999999995</v>
      </c>
      <c r="J1190" s="22">
        <v>560.96</v>
      </c>
      <c r="K1190" s="2">
        <f t="shared" si="109"/>
        <v>158192.05399812289</v>
      </c>
      <c r="L1190" s="2">
        <f>IF(B1190&lt;&gt;B1189,L1189*(1+Dashboard!$G$5)+Dashboard!$G$6, L1189)</f>
        <v>147214.07490921178</v>
      </c>
      <c r="M1190">
        <f t="shared" si="113"/>
        <v>0</v>
      </c>
      <c r="N1190">
        <f t="shared" si="110"/>
        <v>280.40778870534945</v>
      </c>
      <c r="O1190">
        <f>IF(B1190&lt;&gt;B1189, Dashboard!$L$6,0)</f>
        <v>0</v>
      </c>
      <c r="P1190">
        <f t="shared" si="111"/>
        <v>258.98940831956406</v>
      </c>
      <c r="Q1190">
        <f>IF(B1190&lt;&gt;B1189,IF(F1190&lt;=AVERAGE(F1168:F1189),Dashboard!$N$6-Dashboard!$G$7,Dashboard!$N$6+Dashboard!$G$7),0)</f>
        <v>0</v>
      </c>
      <c r="R1190">
        <f t="shared" si="112"/>
        <v>256.98338751697275</v>
      </c>
    </row>
    <row r="1191" spans="1:18" x14ac:dyDescent="0.3">
      <c r="A1191" t="s">
        <v>38</v>
      </c>
      <c r="B1191">
        <v>6</v>
      </c>
      <c r="C1191" s="19">
        <v>27</v>
      </c>
      <c r="D1191" s="20">
        <v>2025</v>
      </c>
      <c r="E1191" s="21">
        <f t="shared" si="108"/>
        <v>45835</v>
      </c>
      <c r="F1191" s="20">
        <v>566.95000000000005</v>
      </c>
      <c r="G1191" s="20">
        <v>6056524</v>
      </c>
      <c r="H1191" s="20">
        <v>565.11</v>
      </c>
      <c r="I1191" s="20">
        <v>568.33000000000004</v>
      </c>
      <c r="J1191" s="22">
        <v>563.21</v>
      </c>
      <c r="K1191" s="2">
        <f t="shared" si="109"/>
        <v>158977.19580649788</v>
      </c>
      <c r="L1191" s="2">
        <f>IF(B1191&lt;&gt;B1190,L1190*(1+Dashboard!$G$5)+Dashboard!$G$6, L1190)</f>
        <v>147214.07490921178</v>
      </c>
      <c r="M1191">
        <f t="shared" si="113"/>
        <v>0</v>
      </c>
      <c r="N1191">
        <f t="shared" si="110"/>
        <v>280.40778870534945</v>
      </c>
      <c r="O1191">
        <f>IF(B1191&lt;&gt;B1190, Dashboard!$L$6,0)</f>
        <v>0</v>
      </c>
      <c r="P1191">
        <f t="shared" si="111"/>
        <v>258.98940831956406</v>
      </c>
      <c r="Q1191">
        <f>IF(B1191&lt;&gt;B1190,IF(F1191&lt;=AVERAGE(F1169:F1190),Dashboard!$N$6-Dashboard!$G$7,Dashboard!$N$6+Dashboard!$G$7),0)</f>
        <v>0</v>
      </c>
      <c r="R1191">
        <f t="shared" si="112"/>
        <v>256.98338751697275</v>
      </c>
    </row>
    <row r="1192" spans="1:18" x14ac:dyDescent="0.3">
      <c r="A1192" t="s">
        <v>37</v>
      </c>
      <c r="B1192">
        <v>6</v>
      </c>
      <c r="C1192" s="19">
        <v>30</v>
      </c>
      <c r="D1192" s="20">
        <v>2025</v>
      </c>
      <c r="E1192" s="21">
        <f t="shared" si="108"/>
        <v>45838</v>
      </c>
      <c r="F1192" s="20">
        <v>568.03</v>
      </c>
      <c r="G1192" s="20">
        <v>5750571</v>
      </c>
      <c r="H1192" s="20">
        <v>567.5</v>
      </c>
      <c r="I1192" s="20">
        <v>569.15</v>
      </c>
      <c r="J1192" s="22">
        <v>565.375</v>
      </c>
      <c r="K1192" s="2">
        <f t="shared" si="109"/>
        <v>159280.03621829965</v>
      </c>
      <c r="L1192" s="2">
        <f>IF(B1192&lt;&gt;B1191,L1191*(1+Dashboard!$G$5)+Dashboard!$G$6, L1191)</f>
        <v>147214.07490921178</v>
      </c>
      <c r="M1192">
        <f t="shared" si="113"/>
        <v>0</v>
      </c>
      <c r="N1192">
        <f t="shared" si="110"/>
        <v>280.40778870534945</v>
      </c>
      <c r="O1192">
        <f>IF(B1192&lt;&gt;B1191, Dashboard!$L$6,0)</f>
        <v>0</v>
      </c>
      <c r="P1192">
        <f t="shared" si="111"/>
        <v>258.98940831956406</v>
      </c>
      <c r="Q1192">
        <f>IF(B1192&lt;&gt;B1191,IF(F1192&lt;=AVERAGE(F1170:F1191),Dashboard!$N$6-Dashboard!$G$7,Dashboard!$N$6+Dashboard!$G$7),0)</f>
        <v>0</v>
      </c>
      <c r="R1192">
        <f t="shared" si="112"/>
        <v>256.98338751697275</v>
      </c>
    </row>
    <row r="1193" spans="1:18" x14ac:dyDescent="0.3">
      <c r="A1193" s="1">
        <v>45664</v>
      </c>
      <c r="B1193">
        <v>7</v>
      </c>
      <c r="C1193" s="19">
        <v>1</v>
      </c>
      <c r="D1193" s="20">
        <v>2025</v>
      </c>
      <c r="E1193" s="21">
        <f t="shared" si="108"/>
        <v>45839</v>
      </c>
      <c r="F1193" s="20">
        <v>567.77</v>
      </c>
      <c r="G1193" s="20">
        <v>7412742</v>
      </c>
      <c r="H1193" s="20">
        <v>566.55999999999995</v>
      </c>
      <c r="I1193" s="20">
        <v>568.79999999999995</v>
      </c>
      <c r="J1193" s="22">
        <v>565.79999999999995</v>
      </c>
      <c r="K1193" s="2">
        <f t="shared" si="109"/>
        <v>159207.13019323625</v>
      </c>
      <c r="L1193" s="2">
        <f>IF(B1193&lt;&gt;B1192,L1192*(1+Dashboard!$G$5)+Dashboard!$G$6, L1192)</f>
        <v>150509.55876841283</v>
      </c>
      <c r="M1193">
        <f t="shared" si="113"/>
        <v>0</v>
      </c>
      <c r="N1193">
        <f t="shared" si="110"/>
        <v>280.40778870534945</v>
      </c>
      <c r="O1193">
        <f>IF(B1193&lt;&gt;B1192, Dashboard!$L$6,0)</f>
        <v>1859.7282542371197</v>
      </c>
      <c r="P1193">
        <f t="shared" si="111"/>
        <v>262.26490412638219</v>
      </c>
      <c r="Q1193">
        <f>IF(B1193&lt;&gt;B1192,IF(F1193&lt;=AVERAGE(F1171:F1192),Dashboard!$N$6-Dashboard!$G$7,Dashboard!$N$6+Dashboard!$G$7),0)</f>
        <v>2232.609610169322</v>
      </c>
      <c r="R1193">
        <f t="shared" si="112"/>
        <v>260.92402859676895</v>
      </c>
    </row>
    <row r="1194" spans="1:18" x14ac:dyDescent="0.3">
      <c r="A1194" s="1">
        <v>45695</v>
      </c>
      <c r="B1194">
        <v>7</v>
      </c>
      <c r="C1194" s="19">
        <v>2</v>
      </c>
      <c r="D1194" s="20">
        <v>2025</v>
      </c>
      <c r="E1194" s="21">
        <f t="shared" si="108"/>
        <v>45840</v>
      </c>
      <c r="F1194" s="20">
        <v>570.29</v>
      </c>
      <c r="G1194" s="20">
        <v>6164018</v>
      </c>
      <c r="H1194" s="20">
        <v>567.37</v>
      </c>
      <c r="I1194" s="20">
        <v>570.34</v>
      </c>
      <c r="J1194" s="22">
        <v>566.80999999999995</v>
      </c>
      <c r="K1194" s="2">
        <f t="shared" si="109"/>
        <v>159913.75782077372</v>
      </c>
      <c r="L1194" s="2">
        <f>IF(B1194&lt;&gt;B1193,L1193*(1+Dashboard!$G$5)+Dashboard!$G$6, L1193)</f>
        <v>150509.55876841283</v>
      </c>
      <c r="M1194">
        <f t="shared" si="113"/>
        <v>0</v>
      </c>
      <c r="N1194">
        <f t="shared" si="110"/>
        <v>280.40778870534945</v>
      </c>
      <c r="O1194">
        <f>IF(B1194&lt;&gt;B1193, Dashboard!$L$6,0)</f>
        <v>0</v>
      </c>
      <c r="P1194">
        <f t="shared" si="111"/>
        <v>262.26490412638219</v>
      </c>
      <c r="Q1194">
        <f>IF(B1194&lt;&gt;B1193,IF(F1194&lt;=AVERAGE(F1172:F1193),Dashboard!$N$6-Dashboard!$G$7,Dashboard!$N$6+Dashboard!$G$7),0)</f>
        <v>0</v>
      </c>
      <c r="R1194">
        <f t="shared" si="112"/>
        <v>260.92402859676895</v>
      </c>
    </row>
    <row r="1195" spans="1:18" x14ac:dyDescent="0.3">
      <c r="A1195" s="1">
        <v>45723</v>
      </c>
      <c r="B1195">
        <v>7</v>
      </c>
      <c r="C1195" s="19">
        <v>3</v>
      </c>
      <c r="D1195" s="20">
        <v>2025</v>
      </c>
      <c r="E1195" s="21">
        <f t="shared" si="108"/>
        <v>45841</v>
      </c>
      <c r="F1195" s="20">
        <v>575.22</v>
      </c>
      <c r="G1195" s="20">
        <v>4836962</v>
      </c>
      <c r="H1195" s="20">
        <v>572.17999999999995</v>
      </c>
      <c r="I1195" s="20">
        <v>575.66999999999996</v>
      </c>
      <c r="J1195" s="22">
        <v>572.13</v>
      </c>
      <c r="K1195" s="2">
        <f t="shared" si="109"/>
        <v>161296.16821909111</v>
      </c>
      <c r="L1195" s="2">
        <f>IF(B1195&lt;&gt;B1194,L1194*(1+Dashboard!$G$5)+Dashboard!$G$6, L1194)</f>
        <v>150509.55876841283</v>
      </c>
      <c r="M1195">
        <f t="shared" si="113"/>
        <v>0</v>
      </c>
      <c r="N1195">
        <f t="shared" si="110"/>
        <v>280.40778870534945</v>
      </c>
      <c r="O1195">
        <f>IF(B1195&lt;&gt;B1194, Dashboard!$L$6,0)</f>
        <v>0</v>
      </c>
      <c r="P1195">
        <f t="shared" si="111"/>
        <v>262.26490412638219</v>
      </c>
      <c r="Q1195">
        <f>IF(B1195&lt;&gt;B1194,IF(F1195&lt;=AVERAGE(F1173:F1194),Dashboard!$N$6-Dashboard!$G$7,Dashboard!$N$6+Dashboard!$G$7),0)</f>
        <v>0</v>
      </c>
      <c r="R1195">
        <f t="shared" si="112"/>
        <v>260.92402859676895</v>
      </c>
    </row>
    <row r="1196" spans="1:18" x14ac:dyDescent="0.3">
      <c r="A1196" s="1">
        <v>45845</v>
      </c>
      <c r="B1196">
        <v>7</v>
      </c>
      <c r="C1196" s="19">
        <v>7</v>
      </c>
      <c r="D1196" s="20">
        <v>2025</v>
      </c>
      <c r="E1196" s="21">
        <f t="shared" si="108"/>
        <v>45845</v>
      </c>
      <c r="F1196" s="20">
        <v>570.61</v>
      </c>
      <c r="G1196" s="20">
        <v>6417829</v>
      </c>
      <c r="H1196" s="20">
        <v>573</v>
      </c>
      <c r="I1196" s="20">
        <v>573.59</v>
      </c>
      <c r="J1196" s="22">
        <v>567.98</v>
      </c>
      <c r="K1196" s="2">
        <f t="shared" si="109"/>
        <v>160003.48831315944</v>
      </c>
      <c r="L1196" s="2">
        <f>IF(B1196&lt;&gt;B1195,L1195*(1+Dashboard!$G$5)+Dashboard!$G$6, L1195)</f>
        <v>150509.55876841283</v>
      </c>
      <c r="M1196">
        <f t="shared" si="113"/>
        <v>0</v>
      </c>
      <c r="N1196">
        <f t="shared" si="110"/>
        <v>280.40778870534945</v>
      </c>
      <c r="O1196">
        <f>IF(B1196&lt;&gt;B1195, Dashboard!$L$6,0)</f>
        <v>0</v>
      </c>
      <c r="P1196">
        <f t="shared" si="111"/>
        <v>262.26490412638219</v>
      </c>
      <c r="Q1196">
        <f>IF(B1196&lt;&gt;B1195,IF(F1196&lt;=AVERAGE(F1174:F1195),Dashboard!$N$6-Dashboard!$G$7,Dashboard!$N$6+Dashboard!$G$7),0)</f>
        <v>0</v>
      </c>
      <c r="R1196">
        <f t="shared" si="112"/>
        <v>260.92402859676895</v>
      </c>
    </row>
    <row r="1197" spans="1:18" x14ac:dyDescent="0.3">
      <c r="A1197" s="1">
        <v>45876</v>
      </c>
      <c r="B1197">
        <v>7</v>
      </c>
      <c r="C1197" s="19">
        <v>8</v>
      </c>
      <c r="D1197" s="20">
        <v>2025</v>
      </c>
      <c r="E1197" s="21">
        <f t="shared" si="108"/>
        <v>45846</v>
      </c>
      <c r="F1197" s="20">
        <v>570.23</v>
      </c>
      <c r="G1197" s="20">
        <v>6944624</v>
      </c>
      <c r="H1197" s="20">
        <v>571.15</v>
      </c>
      <c r="I1197" s="20">
        <v>571.83000000000004</v>
      </c>
      <c r="J1197" s="22">
        <v>569.48</v>
      </c>
      <c r="K1197" s="2">
        <f t="shared" si="109"/>
        <v>159896.93335345143</v>
      </c>
      <c r="L1197" s="2">
        <f>IF(B1197&lt;&gt;B1196,L1196*(1+Dashboard!$G$5)+Dashboard!$G$6, L1196)</f>
        <v>150509.55876841283</v>
      </c>
      <c r="M1197">
        <f t="shared" si="113"/>
        <v>0</v>
      </c>
      <c r="N1197">
        <f t="shared" si="110"/>
        <v>280.40778870534945</v>
      </c>
      <c r="O1197">
        <f>IF(B1197&lt;&gt;B1196, Dashboard!$L$6,0)</f>
        <v>0</v>
      </c>
      <c r="P1197">
        <f t="shared" si="111"/>
        <v>262.26490412638219</v>
      </c>
      <c r="Q1197">
        <f>IF(B1197&lt;&gt;B1196,IF(F1197&lt;=AVERAGE(F1175:F1196),Dashboard!$N$6-Dashboard!$G$7,Dashboard!$N$6+Dashboard!$G$7),0)</f>
        <v>0</v>
      </c>
      <c r="R1197">
        <f t="shared" si="112"/>
        <v>260.92402859676895</v>
      </c>
    </row>
    <row r="1198" spans="1:18" x14ac:dyDescent="0.3">
      <c r="A1198" s="1">
        <v>45907</v>
      </c>
      <c r="B1198">
        <v>7</v>
      </c>
      <c r="C1198" s="19">
        <v>9</v>
      </c>
      <c r="D1198" s="20">
        <v>2025</v>
      </c>
      <c r="E1198" s="21">
        <f t="shared" si="108"/>
        <v>45847</v>
      </c>
      <c r="F1198" s="20">
        <v>573.61</v>
      </c>
      <c r="G1198" s="20">
        <v>7156477</v>
      </c>
      <c r="H1198" s="20">
        <v>572.46</v>
      </c>
      <c r="I1198" s="20">
        <v>574.26</v>
      </c>
      <c r="J1198" s="22">
        <v>570.76</v>
      </c>
      <c r="K1198" s="2">
        <f t="shared" si="109"/>
        <v>160844.7116792755</v>
      </c>
      <c r="L1198" s="2">
        <f>IF(B1198&lt;&gt;B1197,L1197*(1+Dashboard!$G$5)+Dashboard!$G$6, L1197)</f>
        <v>150509.55876841283</v>
      </c>
      <c r="M1198">
        <f t="shared" si="113"/>
        <v>0</v>
      </c>
      <c r="N1198">
        <f t="shared" si="110"/>
        <v>280.40778870534945</v>
      </c>
      <c r="O1198">
        <f>IF(B1198&lt;&gt;B1197, Dashboard!$L$6,0)</f>
        <v>0</v>
      </c>
      <c r="P1198">
        <f t="shared" si="111"/>
        <v>262.26490412638219</v>
      </c>
      <c r="Q1198">
        <f>IF(B1198&lt;&gt;B1197,IF(F1198&lt;=AVERAGE(F1176:F1197),Dashboard!$N$6-Dashboard!$G$7,Dashboard!$N$6+Dashboard!$G$7),0)</f>
        <v>0</v>
      </c>
      <c r="R1198">
        <f t="shared" si="112"/>
        <v>260.92402859676895</v>
      </c>
    </row>
    <row r="1199" spans="1:18" x14ac:dyDescent="0.3">
      <c r="A1199" s="1">
        <v>45937</v>
      </c>
      <c r="B1199">
        <v>7</v>
      </c>
      <c r="C1199" s="19">
        <v>10</v>
      </c>
      <c r="D1199" s="20">
        <v>2025</v>
      </c>
      <c r="E1199" s="21">
        <f t="shared" si="108"/>
        <v>45848</v>
      </c>
      <c r="F1199" s="20">
        <v>575.29</v>
      </c>
      <c r="G1199" s="20">
        <v>4961691</v>
      </c>
      <c r="H1199" s="20">
        <v>573.78</v>
      </c>
      <c r="I1199" s="20">
        <v>576.26</v>
      </c>
      <c r="J1199" s="22">
        <v>572.70000000000005</v>
      </c>
      <c r="K1199" s="2">
        <f t="shared" si="109"/>
        <v>161315.79676430047</v>
      </c>
      <c r="L1199" s="2">
        <f>IF(B1199&lt;&gt;B1198,L1198*(1+Dashboard!$G$5)+Dashboard!$G$6, L1198)</f>
        <v>150509.55876841283</v>
      </c>
      <c r="M1199">
        <f t="shared" si="113"/>
        <v>0</v>
      </c>
      <c r="N1199">
        <f t="shared" si="110"/>
        <v>280.40778870534945</v>
      </c>
      <c r="O1199">
        <f>IF(B1199&lt;&gt;B1198, Dashboard!$L$6,0)</f>
        <v>0</v>
      </c>
      <c r="P1199">
        <f t="shared" si="111"/>
        <v>262.26490412638219</v>
      </c>
      <c r="Q1199">
        <f>IF(B1199&lt;&gt;B1198,IF(F1199&lt;=AVERAGE(F1177:F1198),Dashboard!$N$6-Dashboard!$G$7,Dashboard!$N$6+Dashboard!$G$7),0)</f>
        <v>0</v>
      </c>
      <c r="R1199">
        <f t="shared" si="112"/>
        <v>260.92402859676895</v>
      </c>
    </row>
    <row r="1200" spans="1:18" x14ac:dyDescent="0.3">
      <c r="A1200" s="1">
        <v>45968</v>
      </c>
      <c r="B1200">
        <v>7</v>
      </c>
      <c r="C1200" s="19">
        <v>11</v>
      </c>
      <c r="D1200" s="20">
        <v>2025</v>
      </c>
      <c r="E1200" s="21">
        <f t="shared" si="108"/>
        <v>45849</v>
      </c>
      <c r="F1200" s="20">
        <v>573.22</v>
      </c>
      <c r="G1200" s="20">
        <v>4428852</v>
      </c>
      <c r="H1200" s="20">
        <v>572.45000000000005</v>
      </c>
      <c r="I1200" s="20">
        <v>574.37570000000005</v>
      </c>
      <c r="J1200" s="22">
        <v>571.37</v>
      </c>
      <c r="K1200" s="2">
        <f t="shared" si="109"/>
        <v>160735.35264168042</v>
      </c>
      <c r="L1200" s="2">
        <f>IF(B1200&lt;&gt;B1199,L1199*(1+Dashboard!$G$5)+Dashboard!$G$6, L1199)</f>
        <v>150509.55876841283</v>
      </c>
      <c r="M1200">
        <f t="shared" si="113"/>
        <v>0</v>
      </c>
      <c r="N1200">
        <f t="shared" si="110"/>
        <v>280.40778870534945</v>
      </c>
      <c r="O1200">
        <f>IF(B1200&lt;&gt;B1199, Dashboard!$L$6,0)</f>
        <v>0</v>
      </c>
      <c r="P1200">
        <f t="shared" si="111"/>
        <v>262.26490412638219</v>
      </c>
      <c r="Q1200">
        <f>IF(B1200&lt;&gt;B1199,IF(F1200&lt;=AVERAGE(F1178:F1199),Dashboard!$N$6-Dashboard!$G$7,Dashboard!$N$6+Dashboard!$G$7),0)</f>
        <v>0</v>
      </c>
      <c r="R1200">
        <f t="shared" si="112"/>
        <v>260.92402859676895</v>
      </c>
    </row>
    <row r="1201" spans="1:18" x14ac:dyDescent="0.3">
      <c r="A1201" t="s">
        <v>36</v>
      </c>
      <c r="B1201">
        <v>7</v>
      </c>
      <c r="C1201" s="19">
        <v>14</v>
      </c>
      <c r="D1201" s="20">
        <v>2025</v>
      </c>
      <c r="E1201" s="21">
        <f t="shared" si="108"/>
        <v>45852</v>
      </c>
      <c r="F1201" s="20">
        <v>574.35</v>
      </c>
      <c r="G1201" s="20">
        <v>4747041</v>
      </c>
      <c r="H1201" s="20">
        <v>572.85</v>
      </c>
      <c r="I1201" s="20">
        <v>574.67899999999997</v>
      </c>
      <c r="J1201" s="22">
        <v>571.58000000000004</v>
      </c>
      <c r="K1201" s="2">
        <f t="shared" si="109"/>
        <v>161052.21344291745</v>
      </c>
      <c r="L1201" s="2">
        <f>IF(B1201&lt;&gt;B1200,L1200*(1+Dashboard!$G$5)+Dashboard!$G$6, L1200)</f>
        <v>150509.55876841283</v>
      </c>
      <c r="M1201">
        <f t="shared" si="113"/>
        <v>0</v>
      </c>
      <c r="N1201">
        <f t="shared" si="110"/>
        <v>280.40778870534945</v>
      </c>
      <c r="O1201">
        <f>IF(B1201&lt;&gt;B1200, Dashboard!$L$6,0)</f>
        <v>0</v>
      </c>
      <c r="P1201">
        <f t="shared" si="111"/>
        <v>262.26490412638219</v>
      </c>
      <c r="Q1201">
        <f>IF(B1201&lt;&gt;B1200,IF(F1201&lt;=AVERAGE(F1179:F1200),Dashboard!$N$6-Dashboard!$G$7,Dashboard!$N$6+Dashboard!$G$7),0)</f>
        <v>0</v>
      </c>
      <c r="R1201">
        <f t="shared" si="112"/>
        <v>260.92402859676895</v>
      </c>
    </row>
    <row r="1202" spans="1:18" x14ac:dyDescent="0.3">
      <c r="A1202" t="s">
        <v>35</v>
      </c>
      <c r="B1202">
        <v>7</v>
      </c>
      <c r="C1202" s="19">
        <v>15</v>
      </c>
      <c r="D1202" s="20">
        <v>2025</v>
      </c>
      <c r="E1202" s="21">
        <f t="shared" si="108"/>
        <v>45853</v>
      </c>
      <c r="F1202" s="20">
        <v>571.86</v>
      </c>
      <c r="G1202" s="20">
        <v>5398956</v>
      </c>
      <c r="H1202" s="20">
        <v>576.85</v>
      </c>
      <c r="I1202" s="20">
        <v>577.16</v>
      </c>
      <c r="J1202" s="22">
        <v>571.85</v>
      </c>
      <c r="K1202" s="2">
        <f t="shared" si="109"/>
        <v>160353.99804904114</v>
      </c>
      <c r="L1202" s="2">
        <f>IF(B1202&lt;&gt;B1201,L1201*(1+Dashboard!$G$5)+Dashboard!$G$6, L1201)</f>
        <v>150509.55876841283</v>
      </c>
      <c r="M1202">
        <f t="shared" si="113"/>
        <v>0</v>
      </c>
      <c r="N1202">
        <f t="shared" si="110"/>
        <v>280.40778870534945</v>
      </c>
      <c r="O1202">
        <f>IF(B1202&lt;&gt;B1201, Dashboard!$L$6,0)</f>
        <v>0</v>
      </c>
      <c r="P1202">
        <f t="shared" si="111"/>
        <v>262.26490412638219</v>
      </c>
      <c r="Q1202">
        <f>IF(B1202&lt;&gt;B1201,IF(F1202&lt;=AVERAGE(F1180:F1201),Dashboard!$N$6-Dashboard!$G$7,Dashboard!$N$6+Dashboard!$G$7),0)</f>
        <v>0</v>
      </c>
      <c r="R1202">
        <f t="shared" si="112"/>
        <v>260.92402859676895</v>
      </c>
    </row>
    <row r="1203" spans="1:18" x14ac:dyDescent="0.3">
      <c r="A1203" t="s">
        <v>34</v>
      </c>
      <c r="B1203">
        <v>7</v>
      </c>
      <c r="C1203" s="19">
        <v>16</v>
      </c>
      <c r="D1203" s="20">
        <v>2025</v>
      </c>
      <c r="E1203" s="21">
        <f t="shared" si="108"/>
        <v>45854</v>
      </c>
      <c r="F1203" s="20">
        <v>573.74</v>
      </c>
      <c r="G1203" s="20">
        <v>6141184</v>
      </c>
      <c r="H1203" s="20">
        <v>573.4</v>
      </c>
      <c r="I1203" s="20">
        <v>574.26</v>
      </c>
      <c r="J1203" s="22">
        <v>568.16999999999996</v>
      </c>
      <c r="K1203" s="2">
        <f t="shared" si="109"/>
        <v>160881.16469180721</v>
      </c>
      <c r="L1203" s="2">
        <f>IF(B1203&lt;&gt;B1202,L1202*(1+Dashboard!$G$5)+Dashboard!$G$6, L1202)</f>
        <v>150509.55876841283</v>
      </c>
      <c r="M1203">
        <f t="shared" si="113"/>
        <v>0</v>
      </c>
      <c r="N1203">
        <f t="shared" si="110"/>
        <v>280.40778870534945</v>
      </c>
      <c r="O1203">
        <f>IF(B1203&lt;&gt;B1202, Dashboard!$L$6,0)</f>
        <v>0</v>
      </c>
      <c r="P1203">
        <f t="shared" si="111"/>
        <v>262.26490412638219</v>
      </c>
      <c r="Q1203">
        <f>IF(B1203&lt;&gt;B1202,IF(F1203&lt;=AVERAGE(F1181:F1202),Dashboard!$N$6-Dashboard!$G$7,Dashboard!$N$6+Dashboard!$G$7),0)</f>
        <v>0</v>
      </c>
      <c r="R1203">
        <f t="shared" si="112"/>
        <v>260.92402859676895</v>
      </c>
    </row>
    <row r="1204" spans="1:18" x14ac:dyDescent="0.3">
      <c r="A1204" t="s">
        <v>33</v>
      </c>
      <c r="B1204">
        <v>7</v>
      </c>
      <c r="C1204" s="19">
        <v>17</v>
      </c>
      <c r="D1204" s="20">
        <v>2025</v>
      </c>
      <c r="E1204" s="21">
        <f t="shared" si="108"/>
        <v>45855</v>
      </c>
      <c r="F1204" s="20">
        <v>577.17999999999995</v>
      </c>
      <c r="G1204" s="20">
        <v>6495346</v>
      </c>
      <c r="H1204" s="20">
        <v>574.02</v>
      </c>
      <c r="I1204" s="20">
        <v>577.65</v>
      </c>
      <c r="J1204" s="22">
        <v>573.79999999999995</v>
      </c>
      <c r="K1204" s="2">
        <f t="shared" si="109"/>
        <v>161845.76748495357</v>
      </c>
      <c r="L1204" s="2">
        <f>IF(B1204&lt;&gt;B1203,L1203*(1+Dashboard!$G$5)+Dashboard!$G$6, L1203)</f>
        <v>150509.55876841283</v>
      </c>
      <c r="M1204">
        <f t="shared" si="113"/>
        <v>0</v>
      </c>
      <c r="N1204">
        <f t="shared" si="110"/>
        <v>280.40778870534945</v>
      </c>
      <c r="O1204">
        <f>IF(B1204&lt;&gt;B1203, Dashboard!$L$6,0)</f>
        <v>0</v>
      </c>
      <c r="P1204">
        <f t="shared" si="111"/>
        <v>262.26490412638219</v>
      </c>
      <c r="Q1204">
        <f>IF(B1204&lt;&gt;B1203,IF(F1204&lt;=AVERAGE(F1182:F1203),Dashboard!$N$6-Dashboard!$G$7,Dashboard!$N$6+Dashboard!$G$7),0)</f>
        <v>0</v>
      </c>
      <c r="R1204">
        <f t="shared" si="112"/>
        <v>260.92402859676895</v>
      </c>
    </row>
    <row r="1205" spans="1:18" x14ac:dyDescent="0.3">
      <c r="A1205" t="s">
        <v>32</v>
      </c>
      <c r="B1205">
        <v>7</v>
      </c>
      <c r="C1205" s="19">
        <v>18</v>
      </c>
      <c r="D1205" s="20">
        <v>2025</v>
      </c>
      <c r="E1205" s="21">
        <f t="shared" si="108"/>
        <v>45856</v>
      </c>
      <c r="F1205" s="20">
        <v>576.91999999999996</v>
      </c>
      <c r="G1205" s="20">
        <v>4262378</v>
      </c>
      <c r="H1205" s="20">
        <v>578.47</v>
      </c>
      <c r="I1205" s="20">
        <v>578.5</v>
      </c>
      <c r="J1205" s="22">
        <v>575.84</v>
      </c>
      <c r="K1205" s="2">
        <f t="shared" si="109"/>
        <v>161772.86145989018</v>
      </c>
      <c r="L1205" s="2">
        <f>IF(B1205&lt;&gt;B1204,L1204*(1+Dashboard!$G$5)+Dashboard!$G$6, L1204)</f>
        <v>150509.55876841283</v>
      </c>
      <c r="M1205">
        <f t="shared" si="113"/>
        <v>0</v>
      </c>
      <c r="N1205">
        <f t="shared" si="110"/>
        <v>280.40778870534945</v>
      </c>
      <c r="O1205">
        <f>IF(B1205&lt;&gt;B1204, Dashboard!$L$6,0)</f>
        <v>0</v>
      </c>
      <c r="P1205">
        <f t="shared" si="111"/>
        <v>262.26490412638219</v>
      </c>
      <c r="Q1205">
        <f>IF(B1205&lt;&gt;B1204,IF(F1205&lt;=AVERAGE(F1183:F1204),Dashboard!$N$6-Dashboard!$G$7,Dashboard!$N$6+Dashboard!$G$7),0)</f>
        <v>0</v>
      </c>
      <c r="R1205">
        <f t="shared" si="112"/>
        <v>260.92402859676895</v>
      </c>
    </row>
    <row r="1206" spans="1:18" x14ac:dyDescent="0.3">
      <c r="A1206" t="s">
        <v>31</v>
      </c>
      <c r="B1206">
        <v>7</v>
      </c>
      <c r="C1206" s="19">
        <v>21</v>
      </c>
      <c r="D1206" s="20">
        <v>2025</v>
      </c>
      <c r="E1206" s="21">
        <f t="shared" si="108"/>
        <v>45859</v>
      </c>
      <c r="F1206" s="20">
        <v>577.95000000000005</v>
      </c>
      <c r="G1206" s="20">
        <v>5913837</v>
      </c>
      <c r="H1206" s="20">
        <v>577.98</v>
      </c>
      <c r="I1206" s="20">
        <v>580.53</v>
      </c>
      <c r="J1206" s="22">
        <v>577.59</v>
      </c>
      <c r="K1206" s="2">
        <f t="shared" si="109"/>
        <v>162061.68148225674</v>
      </c>
      <c r="L1206" s="2">
        <f>IF(B1206&lt;&gt;B1205,L1205*(1+Dashboard!$G$5)+Dashboard!$G$6, L1205)</f>
        <v>150509.55876841283</v>
      </c>
      <c r="M1206">
        <f t="shared" si="113"/>
        <v>0</v>
      </c>
      <c r="N1206">
        <f t="shared" si="110"/>
        <v>280.40778870534945</v>
      </c>
      <c r="O1206">
        <f>IF(B1206&lt;&gt;B1205, Dashboard!$L$6,0)</f>
        <v>0</v>
      </c>
      <c r="P1206">
        <f t="shared" si="111"/>
        <v>262.26490412638219</v>
      </c>
      <c r="Q1206">
        <f>IF(B1206&lt;&gt;B1205,IF(F1206&lt;=AVERAGE(F1184:F1205),Dashboard!$N$6-Dashboard!$G$7,Dashboard!$N$6+Dashboard!$G$7),0)</f>
        <v>0</v>
      </c>
      <c r="R1206">
        <f t="shared" si="112"/>
        <v>260.92402859676895</v>
      </c>
    </row>
    <row r="1207" spans="1:18" x14ac:dyDescent="0.3">
      <c r="A1207" t="s">
        <v>30</v>
      </c>
      <c r="B1207">
        <v>7</v>
      </c>
      <c r="C1207" s="19">
        <v>22</v>
      </c>
      <c r="D1207" s="20">
        <v>2025</v>
      </c>
      <c r="E1207" s="21">
        <f t="shared" si="108"/>
        <v>45860</v>
      </c>
      <c r="F1207" s="20">
        <v>577.95000000000005</v>
      </c>
      <c r="G1207" s="20">
        <v>4767703</v>
      </c>
      <c r="H1207" s="20">
        <v>578.28</v>
      </c>
      <c r="I1207" s="20">
        <v>578.84</v>
      </c>
      <c r="J1207" s="22">
        <v>575.64</v>
      </c>
      <c r="K1207" s="2">
        <f t="shared" si="109"/>
        <v>162061.68148225674</v>
      </c>
      <c r="L1207" s="2">
        <f>IF(B1207&lt;&gt;B1206,L1206*(1+Dashboard!$G$5)+Dashboard!$G$6, L1206)</f>
        <v>150509.55876841283</v>
      </c>
      <c r="M1207">
        <f t="shared" si="113"/>
        <v>0</v>
      </c>
      <c r="N1207">
        <f t="shared" si="110"/>
        <v>280.40778870534945</v>
      </c>
      <c r="O1207">
        <f>IF(B1207&lt;&gt;B1206, Dashboard!$L$6,0)</f>
        <v>0</v>
      </c>
      <c r="P1207">
        <f t="shared" si="111"/>
        <v>262.26490412638219</v>
      </c>
      <c r="Q1207">
        <f>IF(B1207&lt;&gt;B1206,IF(F1207&lt;=AVERAGE(F1185:F1206),Dashboard!$N$6-Dashboard!$G$7,Dashboard!$N$6+Dashboard!$G$7),0)</f>
        <v>0</v>
      </c>
      <c r="R1207">
        <f t="shared" si="112"/>
        <v>260.92402859676895</v>
      </c>
    </row>
    <row r="1208" spans="1:18" x14ac:dyDescent="0.3">
      <c r="A1208" t="s">
        <v>29</v>
      </c>
      <c r="B1208">
        <v>7</v>
      </c>
      <c r="C1208" s="19">
        <v>23</v>
      </c>
      <c r="D1208" s="20">
        <v>2025</v>
      </c>
      <c r="E1208" s="21">
        <f t="shared" si="108"/>
        <v>45861</v>
      </c>
      <c r="F1208" s="20">
        <v>582.86</v>
      </c>
      <c r="G1208" s="20">
        <v>4257345</v>
      </c>
      <c r="H1208" s="20">
        <v>580.57000000000005</v>
      </c>
      <c r="I1208" s="20">
        <v>582.96</v>
      </c>
      <c r="J1208" s="22">
        <v>578.87</v>
      </c>
      <c r="K1208" s="2">
        <f t="shared" si="109"/>
        <v>163438.4837248</v>
      </c>
      <c r="L1208" s="2">
        <f>IF(B1208&lt;&gt;B1207,L1207*(1+Dashboard!$G$5)+Dashboard!$G$6, L1207)</f>
        <v>150509.55876841283</v>
      </c>
      <c r="M1208">
        <f t="shared" si="113"/>
        <v>0</v>
      </c>
      <c r="N1208">
        <f t="shared" si="110"/>
        <v>280.40778870534945</v>
      </c>
      <c r="O1208">
        <f>IF(B1208&lt;&gt;B1207, Dashboard!$L$6,0)</f>
        <v>0</v>
      </c>
      <c r="P1208">
        <f t="shared" si="111"/>
        <v>262.26490412638219</v>
      </c>
      <c r="Q1208">
        <f>IF(B1208&lt;&gt;B1207,IF(F1208&lt;=AVERAGE(F1186:F1207),Dashboard!$N$6-Dashboard!$G$7,Dashboard!$N$6+Dashboard!$G$7),0)</f>
        <v>0</v>
      </c>
      <c r="R1208">
        <f t="shared" si="112"/>
        <v>260.92402859676895</v>
      </c>
    </row>
    <row r="1209" spans="1:18" x14ac:dyDescent="0.3">
      <c r="A1209" t="s">
        <v>28</v>
      </c>
      <c r="B1209">
        <v>7</v>
      </c>
      <c r="C1209" s="19">
        <v>24</v>
      </c>
      <c r="D1209" s="20">
        <v>2025</v>
      </c>
      <c r="E1209" s="21">
        <f t="shared" si="108"/>
        <v>45862</v>
      </c>
      <c r="F1209" s="20">
        <v>583.26</v>
      </c>
      <c r="G1209" s="20">
        <v>3840901</v>
      </c>
      <c r="H1209" s="20">
        <v>583.34</v>
      </c>
      <c r="I1209" s="20">
        <v>584.75</v>
      </c>
      <c r="J1209" s="22">
        <v>582.72</v>
      </c>
      <c r="K1209" s="2">
        <f t="shared" si="109"/>
        <v>163550.6468402821</v>
      </c>
      <c r="L1209" s="2">
        <f>IF(B1209&lt;&gt;B1208,L1208*(1+Dashboard!$G$5)+Dashboard!$G$6, L1208)</f>
        <v>150509.55876841283</v>
      </c>
      <c r="M1209">
        <f t="shared" si="113"/>
        <v>0</v>
      </c>
      <c r="N1209">
        <f t="shared" si="110"/>
        <v>280.40778870534945</v>
      </c>
      <c r="O1209">
        <f>IF(B1209&lt;&gt;B1208, Dashboard!$L$6,0)</f>
        <v>0</v>
      </c>
      <c r="P1209">
        <f t="shared" si="111"/>
        <v>262.26490412638219</v>
      </c>
      <c r="Q1209">
        <f>IF(B1209&lt;&gt;B1208,IF(F1209&lt;=AVERAGE(F1187:F1208),Dashboard!$N$6-Dashboard!$G$7,Dashboard!$N$6+Dashboard!$G$7),0)</f>
        <v>0</v>
      </c>
      <c r="R1209">
        <f t="shared" si="112"/>
        <v>260.92402859676895</v>
      </c>
    </row>
    <row r="1210" spans="1:18" x14ac:dyDescent="0.3">
      <c r="A1210" t="s">
        <v>27</v>
      </c>
      <c r="B1210">
        <v>7</v>
      </c>
      <c r="C1210" s="19">
        <v>25</v>
      </c>
      <c r="D1210" s="20">
        <v>2025</v>
      </c>
      <c r="E1210" s="21">
        <f t="shared" si="108"/>
        <v>45863</v>
      </c>
      <c r="F1210" s="20">
        <v>585.58000000000004</v>
      </c>
      <c r="G1210" s="20">
        <v>4210090</v>
      </c>
      <c r="H1210" s="20">
        <v>583.80999999999995</v>
      </c>
      <c r="I1210" s="20">
        <v>586.04</v>
      </c>
      <c r="J1210" s="22">
        <v>583.59</v>
      </c>
      <c r="K1210" s="2">
        <f t="shared" si="109"/>
        <v>164201.19291007853</v>
      </c>
      <c r="L1210" s="2">
        <f>IF(B1210&lt;&gt;B1209,L1209*(1+Dashboard!$G$5)+Dashboard!$G$6, L1209)</f>
        <v>150509.55876841283</v>
      </c>
      <c r="M1210">
        <f t="shared" si="113"/>
        <v>0</v>
      </c>
      <c r="N1210">
        <f t="shared" si="110"/>
        <v>280.40778870534945</v>
      </c>
      <c r="O1210">
        <f>IF(B1210&lt;&gt;B1209, Dashboard!$L$6,0)</f>
        <v>0</v>
      </c>
      <c r="P1210">
        <f t="shared" si="111"/>
        <v>262.26490412638219</v>
      </c>
      <c r="Q1210">
        <f>IF(B1210&lt;&gt;B1209,IF(F1210&lt;=AVERAGE(F1188:F1209),Dashboard!$N$6-Dashboard!$G$7,Dashboard!$N$6+Dashboard!$G$7),0)</f>
        <v>0</v>
      </c>
      <c r="R1210">
        <f t="shared" si="112"/>
        <v>260.92402859676895</v>
      </c>
    </row>
    <row r="1211" spans="1:18" x14ac:dyDescent="0.3">
      <c r="A1211" t="s">
        <v>26</v>
      </c>
      <c r="B1211">
        <v>7</v>
      </c>
      <c r="C1211" s="19">
        <v>28</v>
      </c>
      <c r="D1211" s="20">
        <v>2025</v>
      </c>
      <c r="E1211" s="21">
        <f t="shared" si="108"/>
        <v>45866</v>
      </c>
      <c r="F1211" s="20">
        <v>585.44000000000005</v>
      </c>
      <c r="G1211" s="20">
        <v>4193101</v>
      </c>
      <c r="H1211" s="20">
        <v>586.04</v>
      </c>
      <c r="I1211" s="20">
        <v>586.5</v>
      </c>
      <c r="J1211" s="22">
        <v>584.24</v>
      </c>
      <c r="K1211" s="2">
        <f t="shared" si="109"/>
        <v>164161.93581965979</v>
      </c>
      <c r="L1211" s="2">
        <f>IF(B1211&lt;&gt;B1210,L1210*(1+Dashboard!$G$5)+Dashboard!$G$6, L1210)</f>
        <v>150509.55876841283</v>
      </c>
      <c r="M1211">
        <f t="shared" si="113"/>
        <v>0</v>
      </c>
      <c r="N1211">
        <f t="shared" si="110"/>
        <v>280.40778870534945</v>
      </c>
      <c r="O1211">
        <f>IF(B1211&lt;&gt;B1210, Dashboard!$L$6,0)</f>
        <v>0</v>
      </c>
      <c r="P1211">
        <f t="shared" si="111"/>
        <v>262.26490412638219</v>
      </c>
      <c r="Q1211">
        <f>IF(B1211&lt;&gt;B1210,IF(F1211&lt;=AVERAGE(F1189:F1210),Dashboard!$N$6-Dashboard!$G$7,Dashboard!$N$6+Dashboard!$G$7),0)</f>
        <v>0</v>
      </c>
      <c r="R1211">
        <f t="shared" si="112"/>
        <v>260.92402859676895</v>
      </c>
    </row>
    <row r="1212" spans="1:18" x14ac:dyDescent="0.3">
      <c r="A1212" t="s">
        <v>25</v>
      </c>
      <c r="B1212">
        <v>7</v>
      </c>
      <c r="C1212" s="19">
        <v>29</v>
      </c>
      <c r="D1212" s="20">
        <v>2025</v>
      </c>
      <c r="E1212" s="21">
        <f t="shared" si="108"/>
        <v>45867</v>
      </c>
      <c r="F1212" s="20">
        <v>583.91999999999996</v>
      </c>
      <c r="G1212" s="20">
        <v>5053447</v>
      </c>
      <c r="H1212" s="20">
        <v>586.82000000000005</v>
      </c>
      <c r="I1212" s="20">
        <v>587.08000000000004</v>
      </c>
      <c r="J1212" s="22">
        <v>583.12</v>
      </c>
      <c r="K1212" s="2">
        <f t="shared" si="109"/>
        <v>163735.71598082763</v>
      </c>
      <c r="L1212" s="2">
        <f>IF(B1212&lt;&gt;B1211,L1211*(1+Dashboard!$G$5)+Dashboard!$G$6, L1211)</f>
        <v>150509.55876841283</v>
      </c>
      <c r="M1212">
        <f t="shared" si="113"/>
        <v>0</v>
      </c>
      <c r="N1212">
        <f t="shared" si="110"/>
        <v>280.40778870534945</v>
      </c>
      <c r="O1212">
        <f>IF(B1212&lt;&gt;B1211, Dashboard!$L$6,0)</f>
        <v>0</v>
      </c>
      <c r="P1212">
        <f t="shared" si="111"/>
        <v>262.26490412638219</v>
      </c>
      <c r="Q1212">
        <f>IF(B1212&lt;&gt;B1211,IF(F1212&lt;=AVERAGE(F1190:F1211),Dashboard!$N$6-Dashboard!$G$7,Dashboard!$N$6+Dashboard!$G$7),0)</f>
        <v>0</v>
      </c>
      <c r="R1212">
        <f t="shared" si="112"/>
        <v>260.92402859676895</v>
      </c>
    </row>
    <row r="1213" spans="1:18" x14ac:dyDescent="0.3">
      <c r="A1213" t="s">
        <v>24</v>
      </c>
      <c r="B1213">
        <v>7</v>
      </c>
      <c r="C1213" s="19">
        <v>30</v>
      </c>
      <c r="D1213" s="20">
        <v>2025</v>
      </c>
      <c r="E1213" s="21">
        <f t="shared" si="108"/>
        <v>45868</v>
      </c>
      <c r="F1213" s="20">
        <v>583.21</v>
      </c>
      <c r="G1213" s="20">
        <v>6974729</v>
      </c>
      <c r="H1213" s="20">
        <v>584.66</v>
      </c>
      <c r="I1213" s="20">
        <v>586.15</v>
      </c>
      <c r="J1213" s="22">
        <v>580.54999999999995</v>
      </c>
      <c r="K1213" s="2">
        <f t="shared" si="109"/>
        <v>163536.62645084687</v>
      </c>
      <c r="L1213" s="2">
        <f>IF(B1213&lt;&gt;B1212,L1212*(1+Dashboard!$G$5)+Dashboard!$G$6, L1212)</f>
        <v>150509.55876841283</v>
      </c>
      <c r="M1213">
        <f t="shared" si="113"/>
        <v>0</v>
      </c>
      <c r="N1213">
        <f t="shared" si="110"/>
        <v>280.40778870534945</v>
      </c>
      <c r="O1213">
        <f>IF(B1213&lt;&gt;B1212, Dashboard!$L$6,0)</f>
        <v>0</v>
      </c>
      <c r="P1213">
        <f t="shared" si="111"/>
        <v>262.26490412638219</v>
      </c>
      <c r="Q1213">
        <f>IF(B1213&lt;&gt;B1212,IF(F1213&lt;=AVERAGE(F1191:F1212),Dashboard!$N$6-Dashboard!$G$7,Dashboard!$N$6+Dashboard!$G$7),0)</f>
        <v>0</v>
      </c>
      <c r="R1213">
        <f t="shared" si="112"/>
        <v>260.92402859676895</v>
      </c>
    </row>
    <row r="1214" spans="1:18" x14ac:dyDescent="0.3">
      <c r="A1214" t="s">
        <v>23</v>
      </c>
      <c r="B1214">
        <v>7</v>
      </c>
      <c r="C1214" s="19">
        <v>31</v>
      </c>
      <c r="D1214" s="20">
        <v>2025</v>
      </c>
      <c r="E1214" s="21">
        <f t="shared" si="108"/>
        <v>45869</v>
      </c>
      <c r="F1214" s="20">
        <v>581.02</v>
      </c>
      <c r="G1214" s="20">
        <v>7046843</v>
      </c>
      <c r="H1214" s="20">
        <v>587.83000000000004</v>
      </c>
      <c r="I1214" s="20">
        <v>588.16139999999996</v>
      </c>
      <c r="J1214" s="22">
        <v>579.84</v>
      </c>
      <c r="K1214" s="2">
        <f t="shared" si="109"/>
        <v>162922.53339358213</v>
      </c>
      <c r="L1214" s="2">
        <f>IF(B1214&lt;&gt;B1213,L1213*(1+Dashboard!$G$5)+Dashboard!$G$6, L1213)</f>
        <v>150509.55876841283</v>
      </c>
      <c r="M1214">
        <f t="shared" si="113"/>
        <v>0</v>
      </c>
      <c r="N1214">
        <f t="shared" si="110"/>
        <v>280.40778870534945</v>
      </c>
      <c r="O1214">
        <f>IF(B1214&lt;&gt;B1213, Dashboard!$L$6,0)</f>
        <v>0</v>
      </c>
      <c r="P1214">
        <f t="shared" si="111"/>
        <v>262.26490412638219</v>
      </c>
      <c r="Q1214">
        <f>IF(B1214&lt;&gt;B1213,IF(F1214&lt;=AVERAGE(F1192:F1213),Dashboard!$N$6-Dashboard!$G$7,Dashboard!$N$6+Dashboard!$G$7),0)</f>
        <v>0</v>
      </c>
      <c r="R1214">
        <f t="shared" si="112"/>
        <v>260.92402859676895</v>
      </c>
    </row>
    <row r="1215" spans="1:18" x14ac:dyDescent="0.3">
      <c r="A1215" s="1">
        <v>45665</v>
      </c>
      <c r="B1215">
        <v>8</v>
      </c>
      <c r="C1215" s="19">
        <v>1</v>
      </c>
      <c r="D1215" s="20">
        <v>2025</v>
      </c>
      <c r="E1215" s="21">
        <f t="shared" si="108"/>
        <v>45870</v>
      </c>
      <c r="F1215" s="20">
        <v>571.45000000000005</v>
      </c>
      <c r="G1215" s="20">
        <v>8781254</v>
      </c>
      <c r="H1215" s="20">
        <v>575.73</v>
      </c>
      <c r="I1215" s="20">
        <v>575.74</v>
      </c>
      <c r="J1215" s="22">
        <v>569.29</v>
      </c>
      <c r="K1215" s="2">
        <f t="shared" si="109"/>
        <v>160239.03085567197</v>
      </c>
      <c r="L1215" s="2">
        <f>IF(B1215&lt;&gt;B1214,L1214*(1+Dashboard!$G$5)+Dashboard!$G$6, L1214)</f>
        <v>153834.04288557483</v>
      </c>
      <c r="M1215">
        <f t="shared" si="113"/>
        <v>0</v>
      </c>
      <c r="N1215">
        <f t="shared" si="110"/>
        <v>280.40778870534945</v>
      </c>
      <c r="O1215">
        <f>IF(B1215&lt;&gt;B1214, Dashboard!$L$6,0)</f>
        <v>1859.7282542371197</v>
      </c>
      <c r="P1215">
        <f t="shared" si="111"/>
        <v>265.51930653120695</v>
      </c>
      <c r="Q1215">
        <f>IF(B1215&lt;&gt;B1214,IF(F1215&lt;=AVERAGE(F1193:F1214),Dashboard!$N$6-Dashboard!$G$7,Dashboard!$N$6+Dashboard!$G$7),0)</f>
        <v>1232.609610169322</v>
      </c>
      <c r="R1215">
        <f t="shared" si="112"/>
        <v>263.06497940733868</v>
      </c>
    </row>
    <row r="1216" spans="1:18" x14ac:dyDescent="0.3">
      <c r="A1216" s="1">
        <v>45755</v>
      </c>
      <c r="B1216">
        <v>8</v>
      </c>
      <c r="C1216" s="19">
        <v>4</v>
      </c>
      <c r="D1216" s="20">
        <v>2025</v>
      </c>
      <c r="E1216" s="21">
        <f t="shared" si="108"/>
        <v>45873</v>
      </c>
      <c r="F1216" s="20">
        <v>580.14</v>
      </c>
      <c r="G1216" s="20">
        <v>6640089</v>
      </c>
      <c r="H1216" s="20">
        <v>575.16999999999996</v>
      </c>
      <c r="I1216" s="20">
        <v>580.21</v>
      </c>
      <c r="J1216" s="22">
        <v>575.08000000000004</v>
      </c>
      <c r="K1216" s="2">
        <f t="shared" si="109"/>
        <v>162675.77453952143</v>
      </c>
      <c r="L1216" s="2">
        <f>IF(B1216&lt;&gt;B1215,L1215*(1+Dashboard!$G$5)+Dashboard!$G$6, L1215)</f>
        <v>153834.04288557483</v>
      </c>
      <c r="M1216">
        <f t="shared" si="113"/>
        <v>0</v>
      </c>
      <c r="N1216">
        <f t="shared" si="110"/>
        <v>280.40778870534945</v>
      </c>
      <c r="O1216">
        <f>IF(B1216&lt;&gt;B1215, Dashboard!$L$6,0)</f>
        <v>0</v>
      </c>
      <c r="P1216">
        <f t="shared" si="111"/>
        <v>265.51930653120695</v>
      </c>
      <c r="Q1216">
        <f>IF(B1216&lt;&gt;B1215,IF(F1216&lt;=AVERAGE(F1194:F1215),Dashboard!$N$6-Dashboard!$G$7,Dashboard!$N$6+Dashboard!$G$7),0)</f>
        <v>0</v>
      </c>
      <c r="R1216">
        <f t="shared" si="112"/>
        <v>263.06497940733868</v>
      </c>
    </row>
    <row r="1217" spans="1:18" x14ac:dyDescent="0.3">
      <c r="A1217" s="1">
        <v>45785</v>
      </c>
      <c r="B1217">
        <v>8</v>
      </c>
      <c r="C1217" s="19">
        <v>5</v>
      </c>
      <c r="D1217" s="20">
        <v>2025</v>
      </c>
      <c r="E1217" s="21">
        <f t="shared" si="108"/>
        <v>45874</v>
      </c>
      <c r="F1217" s="20">
        <v>577.35</v>
      </c>
      <c r="G1217" s="20">
        <v>4647381</v>
      </c>
      <c r="H1217" s="20">
        <v>580.79</v>
      </c>
      <c r="I1217" s="20">
        <v>581.5</v>
      </c>
      <c r="J1217" s="22">
        <v>576.4</v>
      </c>
      <c r="K1217" s="2">
        <f t="shared" si="109"/>
        <v>161893.4368090335</v>
      </c>
      <c r="L1217" s="2">
        <f>IF(B1217&lt;&gt;B1216,L1216*(1+Dashboard!$G$5)+Dashboard!$G$6, L1216)</f>
        <v>153834.04288557483</v>
      </c>
      <c r="M1217">
        <f t="shared" si="113"/>
        <v>0</v>
      </c>
      <c r="N1217">
        <f t="shared" si="110"/>
        <v>280.40778870534945</v>
      </c>
      <c r="O1217">
        <f>IF(B1217&lt;&gt;B1216, Dashboard!$L$6,0)</f>
        <v>0</v>
      </c>
      <c r="P1217">
        <f t="shared" si="111"/>
        <v>265.51930653120695</v>
      </c>
      <c r="Q1217">
        <f>IF(B1217&lt;&gt;B1216,IF(F1217&lt;=AVERAGE(F1195:F1216),Dashboard!$N$6-Dashboard!$G$7,Dashboard!$N$6+Dashboard!$G$7),0)</f>
        <v>0</v>
      </c>
      <c r="R1217">
        <f t="shared" si="112"/>
        <v>263.06497940733868</v>
      </c>
    </row>
    <row r="1218" spans="1:18" x14ac:dyDescent="0.3">
      <c r="A1218" s="1">
        <v>45816</v>
      </c>
      <c r="B1218">
        <v>8</v>
      </c>
      <c r="C1218" s="19">
        <v>6</v>
      </c>
      <c r="D1218" s="20">
        <v>2025</v>
      </c>
      <c r="E1218" s="21">
        <f t="shared" ref="E1218:E1248" si="114">DATE(D1218,B1218,C1218)</f>
        <v>45875</v>
      </c>
      <c r="F1218" s="20">
        <v>581.64</v>
      </c>
      <c r="G1218" s="20">
        <v>4545015</v>
      </c>
      <c r="H1218" s="20">
        <v>578.25</v>
      </c>
      <c r="I1218" s="20">
        <v>582.27</v>
      </c>
      <c r="J1218" s="22">
        <v>577.41</v>
      </c>
      <c r="K1218" s="2">
        <f t="shared" si="109"/>
        <v>163096.38622257946</v>
      </c>
      <c r="L1218" s="2">
        <f>IF(B1218&lt;&gt;B1217,L1217*(1+Dashboard!$G$5)+Dashboard!$G$6, L1217)</f>
        <v>153834.04288557483</v>
      </c>
      <c r="M1218">
        <f t="shared" si="113"/>
        <v>0</v>
      </c>
      <c r="N1218">
        <f t="shared" si="110"/>
        <v>280.40778870534945</v>
      </c>
      <c r="O1218">
        <f>IF(B1218&lt;&gt;B1217, Dashboard!$L$6,0)</f>
        <v>0</v>
      </c>
      <c r="P1218">
        <f t="shared" si="111"/>
        <v>265.51930653120695</v>
      </c>
      <c r="Q1218">
        <f>IF(B1218&lt;&gt;B1217,IF(F1218&lt;=AVERAGE(F1196:F1217),Dashboard!$N$6-Dashboard!$G$7,Dashboard!$N$6+Dashboard!$G$7),0)</f>
        <v>0</v>
      </c>
      <c r="R1218">
        <f t="shared" si="112"/>
        <v>263.06497940733868</v>
      </c>
    </row>
    <row r="1219" spans="1:18" x14ac:dyDescent="0.3">
      <c r="A1219" s="1">
        <v>45846</v>
      </c>
      <c r="B1219">
        <v>8</v>
      </c>
      <c r="C1219" s="19">
        <v>7</v>
      </c>
      <c r="D1219" s="20">
        <v>2025</v>
      </c>
      <c r="E1219" s="21">
        <f t="shared" si="114"/>
        <v>45876</v>
      </c>
      <c r="F1219" s="20">
        <v>581.29</v>
      </c>
      <c r="G1219" s="20">
        <v>4594260</v>
      </c>
      <c r="H1219" s="20">
        <v>584.87</v>
      </c>
      <c r="I1219" s="20">
        <v>585.52</v>
      </c>
      <c r="J1219" s="22">
        <v>578.31269999999995</v>
      </c>
      <c r="K1219" s="2">
        <f t="shared" ref="K1219:K1248" si="115">N1219*F1219</f>
        <v>162998.24349653258</v>
      </c>
      <c r="L1219" s="2">
        <f>IF(B1219&lt;&gt;B1218,L1218*(1+Dashboard!$G$5)+Dashboard!$G$6, L1218)</f>
        <v>153834.04288557483</v>
      </c>
      <c r="M1219">
        <f t="shared" si="113"/>
        <v>0</v>
      </c>
      <c r="N1219">
        <f t="shared" si="110"/>
        <v>280.40778870534945</v>
      </c>
      <c r="O1219">
        <f>IF(B1219&lt;&gt;B1218, Dashboard!$L$6,0)</f>
        <v>0</v>
      </c>
      <c r="P1219">
        <f t="shared" si="111"/>
        <v>265.51930653120695</v>
      </c>
      <c r="Q1219">
        <f>IF(B1219&lt;&gt;B1218,IF(F1219&lt;=AVERAGE(F1197:F1218),Dashboard!$N$6-Dashboard!$G$7,Dashboard!$N$6+Dashboard!$G$7),0)</f>
        <v>0</v>
      </c>
      <c r="R1219">
        <f t="shared" si="112"/>
        <v>263.06497940733868</v>
      </c>
    </row>
    <row r="1220" spans="1:18" x14ac:dyDescent="0.3">
      <c r="A1220" s="1">
        <v>45877</v>
      </c>
      <c r="B1220">
        <v>8</v>
      </c>
      <c r="C1220" s="19">
        <v>8</v>
      </c>
      <c r="D1220" s="20">
        <v>2025</v>
      </c>
      <c r="E1220" s="21">
        <f t="shared" si="114"/>
        <v>45877</v>
      </c>
      <c r="F1220" s="20">
        <v>585.74</v>
      </c>
      <c r="G1220" s="20">
        <v>4342341</v>
      </c>
      <c r="H1220" s="20">
        <v>582.92999999999995</v>
      </c>
      <c r="I1220" s="20">
        <v>586.16999999999996</v>
      </c>
      <c r="J1220" s="22">
        <v>582.6</v>
      </c>
      <c r="K1220" s="2">
        <f t="shared" si="115"/>
        <v>164246.05815627138</v>
      </c>
      <c r="L1220" s="2">
        <f>IF(B1220&lt;&gt;B1219,L1219*(1+Dashboard!$G$5)+Dashboard!$G$6, L1219)</f>
        <v>153834.04288557483</v>
      </c>
      <c r="M1220">
        <f t="shared" si="113"/>
        <v>0</v>
      </c>
      <c r="N1220">
        <f t="shared" ref="N1220:N1248" si="116">N1219+M1219/F1219</f>
        <v>280.40778870534945</v>
      </c>
      <c r="O1220">
        <f>IF(B1220&lt;&gt;B1219, Dashboard!$L$6,0)</f>
        <v>0</v>
      </c>
      <c r="P1220">
        <f t="shared" ref="P1220:P1248" si="117">P1219+O1220/F1220</f>
        <v>265.51930653120695</v>
      </c>
      <c r="Q1220">
        <f>IF(B1220&lt;&gt;B1219,IF(F1220&lt;=AVERAGE(F1198:F1219),Dashboard!$N$6-Dashboard!$G$7,Dashboard!$N$6+Dashboard!$G$7),0)</f>
        <v>0</v>
      </c>
      <c r="R1220">
        <f t="shared" ref="R1220:R1248" si="118">R1219+Q1220/H1220</f>
        <v>263.06497940733868</v>
      </c>
    </row>
    <row r="1221" spans="1:18" x14ac:dyDescent="0.3">
      <c r="A1221" s="1">
        <v>45969</v>
      </c>
      <c r="B1221">
        <v>8</v>
      </c>
      <c r="C1221" s="19">
        <v>11</v>
      </c>
      <c r="D1221" s="20">
        <v>2025</v>
      </c>
      <c r="E1221" s="21">
        <f t="shared" si="114"/>
        <v>45880</v>
      </c>
      <c r="F1221" s="20">
        <v>584.54</v>
      </c>
      <c r="G1221" s="20">
        <v>5373949</v>
      </c>
      <c r="H1221" s="20">
        <v>586.03</v>
      </c>
      <c r="I1221" s="20">
        <v>587.36</v>
      </c>
      <c r="J1221" s="22">
        <v>583.44000000000005</v>
      </c>
      <c r="K1221" s="2">
        <f t="shared" si="115"/>
        <v>163909.56880982497</v>
      </c>
      <c r="L1221" s="2">
        <f>IF(B1221&lt;&gt;B1220,L1220*(1+Dashboard!$G$5)+Dashboard!$G$6, L1220)</f>
        <v>153834.04288557483</v>
      </c>
      <c r="M1221">
        <f t="shared" si="113"/>
        <v>0</v>
      </c>
      <c r="N1221">
        <f t="shared" si="116"/>
        <v>280.40778870534945</v>
      </c>
      <c r="O1221">
        <f>IF(B1221&lt;&gt;B1220, Dashboard!$L$6,0)</f>
        <v>0</v>
      </c>
      <c r="P1221">
        <f t="shared" si="117"/>
        <v>265.51930653120695</v>
      </c>
      <c r="Q1221">
        <f>IF(B1221&lt;&gt;B1220,IF(F1221&lt;=AVERAGE(F1199:F1220),Dashboard!$N$6-Dashboard!$G$7,Dashboard!$N$6+Dashboard!$G$7),0)</f>
        <v>0</v>
      </c>
      <c r="R1221">
        <f t="shared" si="118"/>
        <v>263.06497940733868</v>
      </c>
    </row>
    <row r="1222" spans="1:18" x14ac:dyDescent="0.3">
      <c r="A1222" s="1">
        <v>45999</v>
      </c>
      <c r="B1222">
        <v>8</v>
      </c>
      <c r="C1222" s="19">
        <v>12</v>
      </c>
      <c r="D1222" s="20">
        <v>2025</v>
      </c>
      <c r="E1222" s="21">
        <f t="shared" si="114"/>
        <v>45881</v>
      </c>
      <c r="F1222" s="20">
        <v>590.78</v>
      </c>
      <c r="G1222" s="20">
        <v>5874245</v>
      </c>
      <c r="H1222" s="20">
        <v>586.75</v>
      </c>
      <c r="I1222" s="20">
        <v>590.96</v>
      </c>
      <c r="J1222" s="22">
        <v>585.43499999999995</v>
      </c>
      <c r="K1222" s="2">
        <f t="shared" si="115"/>
        <v>165659.31341134635</v>
      </c>
      <c r="L1222" s="2">
        <f>IF(B1222&lt;&gt;B1221,L1221*(1+Dashboard!$G$5)+Dashboard!$G$6, L1221)</f>
        <v>153834.04288557483</v>
      </c>
      <c r="M1222">
        <f t="shared" si="113"/>
        <v>0</v>
      </c>
      <c r="N1222">
        <f t="shared" si="116"/>
        <v>280.40778870534945</v>
      </c>
      <c r="O1222">
        <f>IF(B1222&lt;&gt;B1221, Dashboard!$L$6,0)</f>
        <v>0</v>
      </c>
      <c r="P1222">
        <f t="shared" si="117"/>
        <v>265.51930653120695</v>
      </c>
      <c r="Q1222">
        <f>IF(B1222&lt;&gt;B1221,IF(F1222&lt;=AVERAGE(F1200:F1221),Dashboard!$N$6-Dashboard!$G$7,Dashboard!$N$6+Dashboard!$G$7),0)</f>
        <v>0</v>
      </c>
      <c r="R1222">
        <f t="shared" si="118"/>
        <v>263.06497940733868</v>
      </c>
    </row>
    <row r="1223" spans="1:18" x14ac:dyDescent="0.3">
      <c r="A1223" t="s">
        <v>22</v>
      </c>
      <c r="B1223">
        <v>8</v>
      </c>
      <c r="C1223" s="19">
        <v>13</v>
      </c>
      <c r="D1223" s="20">
        <v>2025</v>
      </c>
      <c r="E1223" s="21">
        <f t="shared" si="114"/>
        <v>45882</v>
      </c>
      <c r="F1223" s="20">
        <v>592.84</v>
      </c>
      <c r="G1223" s="20">
        <v>5392973</v>
      </c>
      <c r="H1223" s="20">
        <v>592.86</v>
      </c>
      <c r="I1223" s="20">
        <v>594.03</v>
      </c>
      <c r="J1223" s="22">
        <v>590.80999999999995</v>
      </c>
      <c r="K1223" s="2">
        <f t="shared" si="115"/>
        <v>166236.95345607938</v>
      </c>
      <c r="L1223" s="2">
        <f>IF(B1223&lt;&gt;B1222,L1222*(1+Dashboard!$G$5)+Dashboard!$G$6, L1222)</f>
        <v>153834.04288557483</v>
      </c>
      <c r="M1223">
        <f t="shared" si="113"/>
        <v>0</v>
      </c>
      <c r="N1223">
        <f t="shared" si="116"/>
        <v>280.40778870534945</v>
      </c>
      <c r="O1223">
        <f>IF(B1223&lt;&gt;B1222, Dashboard!$L$6,0)</f>
        <v>0</v>
      </c>
      <c r="P1223">
        <f t="shared" si="117"/>
        <v>265.51930653120695</v>
      </c>
      <c r="Q1223">
        <f>IF(B1223&lt;&gt;B1222,IF(F1223&lt;=AVERAGE(F1201:F1222),Dashboard!$N$6-Dashboard!$G$7,Dashboard!$N$6+Dashboard!$G$7),0)</f>
        <v>0</v>
      </c>
      <c r="R1223">
        <f t="shared" si="118"/>
        <v>263.06497940733868</v>
      </c>
    </row>
    <row r="1224" spans="1:18" x14ac:dyDescent="0.3">
      <c r="A1224" t="s">
        <v>21</v>
      </c>
      <c r="B1224">
        <v>8</v>
      </c>
      <c r="C1224" s="19">
        <v>14</v>
      </c>
      <c r="D1224" s="20">
        <v>2025</v>
      </c>
      <c r="E1224" s="21">
        <f t="shared" si="114"/>
        <v>45883</v>
      </c>
      <c r="F1224" s="20">
        <v>592.85</v>
      </c>
      <c r="G1224" s="20">
        <v>6236666</v>
      </c>
      <c r="H1224" s="20">
        <v>590.91999999999996</v>
      </c>
      <c r="I1224" s="20">
        <v>593.51</v>
      </c>
      <c r="J1224" s="22">
        <v>590.5</v>
      </c>
      <c r="K1224" s="2">
        <f t="shared" si="115"/>
        <v>166239.75753396642</v>
      </c>
      <c r="L1224" s="2">
        <f>IF(B1224&lt;&gt;B1223,L1223*(1+Dashboard!$G$5)+Dashboard!$G$6, L1223)</f>
        <v>153834.04288557483</v>
      </c>
      <c r="M1224">
        <f t="shared" si="113"/>
        <v>0</v>
      </c>
      <c r="N1224">
        <f t="shared" si="116"/>
        <v>280.40778870534945</v>
      </c>
      <c r="O1224">
        <f>IF(B1224&lt;&gt;B1223, Dashboard!$L$6,0)</f>
        <v>0</v>
      </c>
      <c r="P1224">
        <f t="shared" si="117"/>
        <v>265.51930653120695</v>
      </c>
      <c r="Q1224">
        <f>IF(B1224&lt;&gt;B1223,IF(F1224&lt;=AVERAGE(F1202:F1223),Dashboard!$N$6-Dashboard!$G$7,Dashboard!$N$6+Dashboard!$G$7),0)</f>
        <v>0</v>
      </c>
      <c r="R1224">
        <f t="shared" si="118"/>
        <v>263.06497940733868</v>
      </c>
    </row>
    <row r="1225" spans="1:18" x14ac:dyDescent="0.3">
      <c r="A1225" t="s">
        <v>20</v>
      </c>
      <c r="B1225">
        <v>8</v>
      </c>
      <c r="C1225" s="19">
        <v>15</v>
      </c>
      <c r="D1225" s="20">
        <v>2025</v>
      </c>
      <c r="E1225" s="21">
        <f t="shared" si="114"/>
        <v>45884</v>
      </c>
      <c r="F1225" s="20">
        <v>591.57000000000005</v>
      </c>
      <c r="G1225" s="20">
        <v>7196315</v>
      </c>
      <c r="H1225" s="20">
        <v>593.86</v>
      </c>
      <c r="I1225" s="20">
        <v>593.95000000000005</v>
      </c>
      <c r="J1225" s="22">
        <v>590.66</v>
      </c>
      <c r="K1225" s="2">
        <f t="shared" si="115"/>
        <v>165880.83556442359</v>
      </c>
      <c r="L1225" s="2">
        <f>IF(B1225&lt;&gt;B1224,L1224*(1+Dashboard!$G$5)+Dashboard!$G$6, L1224)</f>
        <v>153834.04288557483</v>
      </c>
      <c r="M1225">
        <f t="shared" si="113"/>
        <v>0</v>
      </c>
      <c r="N1225">
        <f t="shared" si="116"/>
        <v>280.40778870534945</v>
      </c>
      <c r="O1225">
        <f>IF(B1225&lt;&gt;B1224, Dashboard!$L$6,0)</f>
        <v>0</v>
      </c>
      <c r="P1225">
        <f t="shared" si="117"/>
        <v>265.51930653120695</v>
      </c>
      <c r="Q1225">
        <f>IF(B1225&lt;&gt;B1224,IF(F1225&lt;=AVERAGE(F1203:F1224),Dashboard!$N$6-Dashboard!$G$7,Dashboard!$N$6+Dashboard!$G$7),0)</f>
        <v>0</v>
      </c>
      <c r="R1225">
        <f t="shared" si="118"/>
        <v>263.06497940733868</v>
      </c>
    </row>
    <row r="1226" spans="1:18" x14ac:dyDescent="0.3">
      <c r="A1226" t="s">
        <v>19</v>
      </c>
      <c r="B1226">
        <v>8</v>
      </c>
      <c r="C1226" s="19">
        <v>18</v>
      </c>
      <c r="D1226" s="20">
        <v>2025</v>
      </c>
      <c r="E1226" s="21">
        <f t="shared" si="114"/>
        <v>45887</v>
      </c>
      <c r="F1226" s="20">
        <v>591.36</v>
      </c>
      <c r="G1226" s="20">
        <v>5311743</v>
      </c>
      <c r="H1226" s="20">
        <v>590.98</v>
      </c>
      <c r="I1226" s="20">
        <v>592.02</v>
      </c>
      <c r="J1226" s="22">
        <v>590.35</v>
      </c>
      <c r="K1226" s="2">
        <f t="shared" si="115"/>
        <v>165821.94992879545</v>
      </c>
      <c r="L1226" s="2">
        <f>IF(B1226&lt;&gt;B1225,L1225*(1+Dashboard!$G$5)+Dashboard!$G$6, L1225)</f>
        <v>153834.04288557483</v>
      </c>
      <c r="M1226">
        <f t="shared" si="113"/>
        <v>0</v>
      </c>
      <c r="N1226">
        <f t="shared" si="116"/>
        <v>280.40778870534945</v>
      </c>
      <c r="O1226">
        <f>IF(B1226&lt;&gt;B1225, Dashboard!$L$6,0)</f>
        <v>0</v>
      </c>
      <c r="P1226">
        <f t="shared" si="117"/>
        <v>265.51930653120695</v>
      </c>
      <c r="Q1226">
        <f>IF(B1226&lt;&gt;B1225,IF(F1226&lt;=AVERAGE(F1204:F1225),Dashboard!$N$6-Dashboard!$G$7,Dashboard!$N$6+Dashboard!$G$7),0)</f>
        <v>0</v>
      </c>
      <c r="R1226">
        <f t="shared" si="118"/>
        <v>263.06497940733868</v>
      </c>
    </row>
    <row r="1227" spans="1:18" x14ac:dyDescent="0.3">
      <c r="A1227" t="s">
        <v>18</v>
      </c>
      <c r="B1227">
        <v>8</v>
      </c>
      <c r="C1227" s="19">
        <v>19</v>
      </c>
      <c r="D1227" s="20">
        <v>2025</v>
      </c>
      <c r="E1227" s="21">
        <f t="shared" si="114"/>
        <v>45888</v>
      </c>
      <c r="F1227" s="20">
        <v>588.13</v>
      </c>
      <c r="G1227" s="20">
        <v>6739284</v>
      </c>
      <c r="H1227" s="20">
        <v>591.25</v>
      </c>
      <c r="I1227" s="20">
        <v>592.12</v>
      </c>
      <c r="J1227" s="22">
        <v>586.94000000000005</v>
      </c>
      <c r="K1227" s="2">
        <f t="shared" si="115"/>
        <v>164916.23277127717</v>
      </c>
      <c r="L1227" s="2">
        <f>IF(B1227&lt;&gt;B1226,L1226*(1+Dashboard!$G$5)+Dashboard!$G$6, L1226)</f>
        <v>153834.04288557483</v>
      </c>
      <c r="M1227">
        <f t="shared" si="113"/>
        <v>0</v>
      </c>
      <c r="N1227">
        <f t="shared" si="116"/>
        <v>280.40778870534945</v>
      </c>
      <c r="O1227">
        <f>IF(B1227&lt;&gt;B1226, Dashboard!$L$6,0)</f>
        <v>0</v>
      </c>
      <c r="P1227">
        <f t="shared" si="117"/>
        <v>265.51930653120695</v>
      </c>
      <c r="Q1227">
        <f>IF(B1227&lt;&gt;B1226,IF(F1227&lt;=AVERAGE(F1205:F1226),Dashboard!$N$6-Dashboard!$G$7,Dashboard!$N$6+Dashboard!$G$7),0)</f>
        <v>0</v>
      </c>
      <c r="R1227">
        <f t="shared" si="118"/>
        <v>263.06497940733868</v>
      </c>
    </row>
    <row r="1228" spans="1:18" x14ac:dyDescent="0.3">
      <c r="A1228" t="s">
        <v>17</v>
      </c>
      <c r="B1228">
        <v>8</v>
      </c>
      <c r="C1228" s="19">
        <v>20</v>
      </c>
      <c r="D1228" s="20">
        <v>2025</v>
      </c>
      <c r="E1228" s="21">
        <f t="shared" si="114"/>
        <v>45889</v>
      </c>
      <c r="F1228" s="20">
        <v>586.58000000000004</v>
      </c>
      <c r="G1228" s="20">
        <v>7113572</v>
      </c>
      <c r="H1228" s="20">
        <v>587.80999999999995</v>
      </c>
      <c r="I1228" s="20">
        <v>588</v>
      </c>
      <c r="J1228" s="22">
        <v>581.85</v>
      </c>
      <c r="K1228" s="2">
        <f t="shared" si="115"/>
        <v>164481.60069878388</v>
      </c>
      <c r="L1228" s="2">
        <f>IF(B1228&lt;&gt;B1227,L1227*(1+Dashboard!$G$5)+Dashboard!$G$6, L1227)</f>
        <v>153834.04288557483</v>
      </c>
      <c r="M1228">
        <f t="shared" si="113"/>
        <v>0</v>
      </c>
      <c r="N1228">
        <f t="shared" si="116"/>
        <v>280.40778870534945</v>
      </c>
      <c r="O1228">
        <f>IF(B1228&lt;&gt;B1227, Dashboard!$L$6,0)</f>
        <v>0</v>
      </c>
      <c r="P1228">
        <f t="shared" si="117"/>
        <v>265.51930653120695</v>
      </c>
      <c r="Q1228">
        <f>IF(B1228&lt;&gt;B1227,IF(F1228&lt;=AVERAGE(F1206:F1227),Dashboard!$N$6-Dashboard!$G$7,Dashboard!$N$6+Dashboard!$G$7),0)</f>
        <v>0</v>
      </c>
      <c r="R1228">
        <f t="shared" si="118"/>
        <v>263.06497940733868</v>
      </c>
    </row>
    <row r="1229" spans="1:18" x14ac:dyDescent="0.3">
      <c r="A1229" t="s">
        <v>16</v>
      </c>
      <c r="B1229">
        <v>8</v>
      </c>
      <c r="C1229" s="19">
        <v>21</v>
      </c>
      <c r="D1229" s="20">
        <v>2025</v>
      </c>
      <c r="E1229" s="21">
        <f t="shared" si="114"/>
        <v>45890</v>
      </c>
      <c r="F1229" s="20">
        <v>584.27</v>
      </c>
      <c r="G1229" s="20">
        <v>4807277</v>
      </c>
      <c r="H1229" s="20">
        <v>584.92999999999995</v>
      </c>
      <c r="I1229" s="20">
        <v>586.46</v>
      </c>
      <c r="J1229" s="22">
        <v>582.65</v>
      </c>
      <c r="K1229" s="2">
        <f t="shared" si="115"/>
        <v>163833.85870687451</v>
      </c>
      <c r="L1229" s="2">
        <f>IF(B1229&lt;&gt;B1228,L1228*(1+Dashboard!$G$5)+Dashboard!$G$6, L1228)</f>
        <v>153834.04288557483</v>
      </c>
      <c r="M1229">
        <f t="shared" si="113"/>
        <v>0</v>
      </c>
      <c r="N1229">
        <f t="shared" si="116"/>
        <v>280.40778870534945</v>
      </c>
      <c r="O1229">
        <f>IF(B1229&lt;&gt;B1228, Dashboard!$L$6,0)</f>
        <v>0</v>
      </c>
      <c r="P1229">
        <f t="shared" si="117"/>
        <v>265.51930653120695</v>
      </c>
      <c r="Q1229">
        <f>IF(B1229&lt;&gt;B1228,IF(F1229&lt;=AVERAGE(F1207:F1228),Dashboard!$N$6-Dashboard!$G$7,Dashboard!$N$6+Dashboard!$G$7),0)</f>
        <v>0</v>
      </c>
      <c r="R1229">
        <f t="shared" si="118"/>
        <v>263.06497940733868</v>
      </c>
    </row>
    <row r="1230" spans="1:18" x14ac:dyDescent="0.3">
      <c r="A1230" t="s">
        <v>15</v>
      </c>
      <c r="B1230">
        <v>8</v>
      </c>
      <c r="C1230" s="19">
        <v>22</v>
      </c>
      <c r="D1230" s="20">
        <v>2025</v>
      </c>
      <c r="E1230" s="21">
        <f t="shared" si="114"/>
        <v>45891</v>
      </c>
      <c r="F1230" s="20">
        <v>593.21</v>
      </c>
      <c r="G1230" s="20">
        <v>6389278</v>
      </c>
      <c r="H1230" s="20">
        <v>586.27</v>
      </c>
      <c r="I1230" s="20">
        <v>594.32000000000005</v>
      </c>
      <c r="J1230" s="22">
        <v>585.84</v>
      </c>
      <c r="K1230" s="2">
        <f t="shared" si="115"/>
        <v>166340.70433790036</v>
      </c>
      <c r="L1230" s="2">
        <f>IF(B1230&lt;&gt;B1229,L1229*(1+Dashboard!$G$5)+Dashboard!$G$6, L1229)</f>
        <v>153834.04288557483</v>
      </c>
      <c r="M1230">
        <f t="shared" si="113"/>
        <v>0</v>
      </c>
      <c r="N1230">
        <f t="shared" si="116"/>
        <v>280.40778870534945</v>
      </c>
      <c r="O1230">
        <f>IF(B1230&lt;&gt;B1229, Dashboard!$L$6,0)</f>
        <v>0</v>
      </c>
      <c r="P1230">
        <f t="shared" si="117"/>
        <v>265.51930653120695</v>
      </c>
      <c r="Q1230">
        <f>IF(B1230&lt;&gt;B1229,IF(F1230&lt;=AVERAGE(F1208:F1229),Dashboard!$N$6-Dashboard!$G$7,Dashboard!$N$6+Dashboard!$G$7),0)</f>
        <v>0</v>
      </c>
      <c r="R1230">
        <f t="shared" si="118"/>
        <v>263.06497940733868</v>
      </c>
    </row>
    <row r="1231" spans="1:18" x14ac:dyDescent="0.3">
      <c r="A1231" t="s">
        <v>14</v>
      </c>
      <c r="B1231">
        <v>8</v>
      </c>
      <c r="C1231" s="19">
        <v>25</v>
      </c>
      <c r="D1231" s="20">
        <v>2025</v>
      </c>
      <c r="E1231" s="21">
        <f t="shared" si="114"/>
        <v>45894</v>
      </c>
      <c r="F1231" s="20">
        <v>590.70000000000005</v>
      </c>
      <c r="G1231" s="20">
        <v>6483035</v>
      </c>
      <c r="H1231" s="20">
        <v>592.04999999999995</v>
      </c>
      <c r="I1231" s="20">
        <v>593.22990000000004</v>
      </c>
      <c r="J1231" s="22">
        <v>590.54999999999995</v>
      </c>
      <c r="K1231" s="2">
        <f t="shared" si="115"/>
        <v>165636.88078824992</v>
      </c>
      <c r="L1231" s="2">
        <f>IF(B1231&lt;&gt;B1230,L1230*(1+Dashboard!$G$5)+Dashboard!$G$6, L1230)</f>
        <v>153834.04288557483</v>
      </c>
      <c r="M1231">
        <f t="shared" si="113"/>
        <v>0</v>
      </c>
      <c r="N1231">
        <f t="shared" si="116"/>
        <v>280.40778870534945</v>
      </c>
      <c r="O1231">
        <f>IF(B1231&lt;&gt;B1230, Dashboard!$L$6,0)</f>
        <v>0</v>
      </c>
      <c r="P1231">
        <f t="shared" si="117"/>
        <v>265.51930653120695</v>
      </c>
      <c r="Q1231">
        <f>IF(B1231&lt;&gt;B1230,IF(F1231&lt;=AVERAGE(F1209:F1230),Dashboard!$N$6-Dashboard!$G$7,Dashboard!$N$6+Dashboard!$G$7),0)</f>
        <v>0</v>
      </c>
      <c r="R1231">
        <f t="shared" si="118"/>
        <v>263.06497940733868</v>
      </c>
    </row>
    <row r="1232" spans="1:18" x14ac:dyDescent="0.3">
      <c r="A1232" t="s">
        <v>13</v>
      </c>
      <c r="B1232">
        <v>8</v>
      </c>
      <c r="C1232" s="19">
        <v>26</v>
      </c>
      <c r="D1232" s="20">
        <v>2025</v>
      </c>
      <c r="E1232" s="21">
        <f t="shared" si="114"/>
        <v>45895</v>
      </c>
      <c r="F1232" s="20">
        <v>593.05999999999995</v>
      </c>
      <c r="G1232" s="20">
        <v>4776577</v>
      </c>
      <c r="H1232" s="20">
        <v>590.38</v>
      </c>
      <c r="I1232" s="20">
        <v>593.42999999999995</v>
      </c>
      <c r="J1232" s="22">
        <v>589.79499999999996</v>
      </c>
      <c r="K1232" s="2">
        <f t="shared" si="115"/>
        <v>166298.64316959452</v>
      </c>
      <c r="L1232" s="2">
        <f>IF(B1232&lt;&gt;B1231,L1231*(1+Dashboard!$G$5)+Dashboard!$G$6, L1231)</f>
        <v>153834.04288557483</v>
      </c>
      <c r="M1232">
        <f t="shared" si="113"/>
        <v>0</v>
      </c>
      <c r="N1232">
        <f t="shared" si="116"/>
        <v>280.40778870534945</v>
      </c>
      <c r="O1232">
        <f>IF(B1232&lt;&gt;B1231, Dashboard!$L$6,0)</f>
        <v>0</v>
      </c>
      <c r="P1232">
        <f t="shared" si="117"/>
        <v>265.51930653120695</v>
      </c>
      <c r="Q1232">
        <f>IF(B1232&lt;&gt;B1231,IF(F1232&lt;=AVERAGE(F1210:F1231),Dashboard!$N$6-Dashboard!$G$7,Dashboard!$N$6+Dashboard!$G$7),0)</f>
        <v>0</v>
      </c>
      <c r="R1232">
        <f t="shared" si="118"/>
        <v>263.06497940733868</v>
      </c>
    </row>
    <row r="1233" spans="1:18" x14ac:dyDescent="0.3">
      <c r="A1233" t="s">
        <v>12</v>
      </c>
      <c r="B1233">
        <v>8</v>
      </c>
      <c r="C1233" s="19">
        <v>27</v>
      </c>
      <c r="D1233" s="20">
        <v>2025</v>
      </c>
      <c r="E1233" s="21">
        <f t="shared" si="114"/>
        <v>45896</v>
      </c>
      <c r="F1233" s="20">
        <v>594.41999999999996</v>
      </c>
      <c r="G1233" s="20">
        <v>6171422</v>
      </c>
      <c r="H1233" s="20">
        <v>592.52</v>
      </c>
      <c r="I1233" s="20">
        <v>595.14</v>
      </c>
      <c r="J1233" s="22">
        <v>592.44000000000005</v>
      </c>
      <c r="K1233" s="2">
        <f t="shared" si="115"/>
        <v>166679.9977622338</v>
      </c>
      <c r="L1233" s="2">
        <f>IF(B1233&lt;&gt;B1232,L1232*(1+Dashboard!$G$5)+Dashboard!$G$6, L1232)</f>
        <v>153834.04288557483</v>
      </c>
      <c r="M1233">
        <f t="shared" si="113"/>
        <v>0</v>
      </c>
      <c r="N1233">
        <f t="shared" si="116"/>
        <v>280.40778870534945</v>
      </c>
      <c r="O1233">
        <f>IF(B1233&lt;&gt;B1232, Dashboard!$L$6,0)</f>
        <v>0</v>
      </c>
      <c r="P1233">
        <f t="shared" si="117"/>
        <v>265.51930653120695</v>
      </c>
      <c r="Q1233">
        <f>IF(B1233&lt;&gt;B1232,IF(F1233&lt;=AVERAGE(F1211:F1232),Dashboard!$N$6-Dashboard!$G$7,Dashboard!$N$6+Dashboard!$G$7),0)</f>
        <v>0</v>
      </c>
      <c r="R1233">
        <f t="shared" si="118"/>
        <v>263.06497940733868</v>
      </c>
    </row>
    <row r="1234" spans="1:18" x14ac:dyDescent="0.3">
      <c r="A1234" t="s">
        <v>11</v>
      </c>
      <c r="B1234">
        <v>8</v>
      </c>
      <c r="C1234" s="19">
        <v>28</v>
      </c>
      <c r="D1234" s="20">
        <v>2025</v>
      </c>
      <c r="E1234" s="21">
        <f t="shared" si="114"/>
        <v>45897</v>
      </c>
      <c r="F1234" s="20">
        <v>596.52</v>
      </c>
      <c r="G1234" s="20">
        <v>5058689</v>
      </c>
      <c r="H1234" s="20">
        <v>595.07000000000005</v>
      </c>
      <c r="I1234" s="20">
        <v>597.07000000000005</v>
      </c>
      <c r="J1234" s="22">
        <v>593.27</v>
      </c>
      <c r="K1234" s="2">
        <f t="shared" si="115"/>
        <v>167268.85411851504</v>
      </c>
      <c r="L1234" s="2">
        <f>IF(B1234&lt;&gt;B1233,L1233*(1+Dashboard!$G$5)+Dashboard!$G$6, L1233)</f>
        <v>153834.04288557483</v>
      </c>
      <c r="M1234">
        <f t="shared" si="113"/>
        <v>0</v>
      </c>
      <c r="N1234">
        <f t="shared" si="116"/>
        <v>280.40778870534945</v>
      </c>
      <c r="O1234">
        <f>IF(B1234&lt;&gt;B1233, Dashboard!$L$6,0)</f>
        <v>0</v>
      </c>
      <c r="P1234">
        <f t="shared" si="117"/>
        <v>265.51930653120695</v>
      </c>
      <c r="Q1234">
        <f>IF(B1234&lt;&gt;B1233,IF(F1234&lt;=AVERAGE(F1212:F1233),Dashboard!$N$6-Dashboard!$G$7,Dashboard!$N$6+Dashboard!$G$7),0)</f>
        <v>0</v>
      </c>
      <c r="R1234">
        <f t="shared" si="118"/>
        <v>263.06497940733868</v>
      </c>
    </row>
    <row r="1235" spans="1:18" x14ac:dyDescent="0.3">
      <c r="A1235" t="s">
        <v>10</v>
      </c>
      <c r="B1235">
        <v>8</v>
      </c>
      <c r="C1235" s="19">
        <v>29</v>
      </c>
      <c r="D1235" s="20">
        <v>2025</v>
      </c>
      <c r="E1235" s="21">
        <f t="shared" si="114"/>
        <v>45898</v>
      </c>
      <c r="F1235" s="20">
        <v>593.08000000000004</v>
      </c>
      <c r="G1235" s="20">
        <v>7512032</v>
      </c>
      <c r="H1235" s="20">
        <v>595.24</v>
      </c>
      <c r="I1235" s="20">
        <v>595.54999999999995</v>
      </c>
      <c r="J1235" s="22">
        <v>591.245</v>
      </c>
      <c r="K1235" s="2">
        <f t="shared" si="115"/>
        <v>166304.25132536865</v>
      </c>
      <c r="L1235" s="2">
        <f>IF(B1235&lt;&gt;B1234,L1234*(1+Dashboard!$G$5)+Dashboard!$G$6, L1234)</f>
        <v>153834.04288557483</v>
      </c>
      <c r="M1235">
        <f t="shared" si="113"/>
        <v>0</v>
      </c>
      <c r="N1235">
        <f t="shared" si="116"/>
        <v>280.40778870534945</v>
      </c>
      <c r="O1235">
        <f>IF(B1235&lt;&gt;B1234, Dashboard!$L$6,0)</f>
        <v>0</v>
      </c>
      <c r="P1235">
        <f t="shared" si="117"/>
        <v>265.51930653120695</v>
      </c>
      <c r="Q1235">
        <f>IF(B1235&lt;&gt;B1234,IF(F1235&lt;=AVERAGE(F1213:F1234),Dashboard!$N$6-Dashboard!$G$7,Dashboard!$N$6+Dashboard!$G$7),0)</f>
        <v>0</v>
      </c>
      <c r="R1235">
        <f t="shared" si="118"/>
        <v>263.06497940733868</v>
      </c>
    </row>
    <row r="1236" spans="1:18" x14ac:dyDescent="0.3">
      <c r="A1236" s="1">
        <v>45697</v>
      </c>
      <c r="B1236">
        <v>9</v>
      </c>
      <c r="C1236" s="19">
        <v>2</v>
      </c>
      <c r="D1236" s="20">
        <v>2025</v>
      </c>
      <c r="E1236" s="21">
        <f t="shared" si="114"/>
        <v>45902</v>
      </c>
      <c r="F1236" s="20">
        <v>588.71</v>
      </c>
      <c r="G1236" s="20">
        <v>11116700</v>
      </c>
      <c r="H1236" s="20">
        <v>586.05999999999995</v>
      </c>
      <c r="I1236" s="20">
        <v>588.79999999999995</v>
      </c>
      <c r="J1236" s="22">
        <v>583.66999999999996</v>
      </c>
      <c r="K1236" s="2">
        <f t="shared" si="115"/>
        <v>165078.86928872627</v>
      </c>
      <c r="L1236" s="2">
        <f>IF(B1236&lt;&gt;B1235,L1235*(1+Dashboard!$G$5)+Dashboard!$G$6, L1235)</f>
        <v>157187.78246296788</v>
      </c>
      <c r="M1236">
        <f t="shared" si="113"/>
        <v>0</v>
      </c>
      <c r="N1236">
        <f t="shared" si="116"/>
        <v>280.40778870534945</v>
      </c>
      <c r="O1236">
        <f>IF(B1236&lt;&gt;B1235, Dashboard!$L$6,0)</f>
        <v>1859.7282542371197</v>
      </c>
      <c r="P1236">
        <f t="shared" si="117"/>
        <v>268.67829525950634</v>
      </c>
      <c r="Q1236">
        <f>IF(B1236&lt;&gt;B1235,IF(F1236&lt;=AVERAGE(F1214:F1235),Dashboard!$N$6-Dashboard!$G$7,Dashboard!$N$6+Dashboard!$G$7),0)</f>
        <v>2232.609610169322</v>
      </c>
      <c r="R1236">
        <f t="shared" si="118"/>
        <v>266.87450336421909</v>
      </c>
    </row>
    <row r="1237" spans="1:18" x14ac:dyDescent="0.3">
      <c r="A1237" s="1">
        <v>45725</v>
      </c>
      <c r="B1237">
        <v>9</v>
      </c>
      <c r="C1237" s="19">
        <v>3</v>
      </c>
      <c r="D1237" s="20">
        <v>2025</v>
      </c>
      <c r="E1237" s="21">
        <f t="shared" si="114"/>
        <v>45903</v>
      </c>
      <c r="F1237" s="20">
        <v>591.72</v>
      </c>
      <c r="G1237" s="20">
        <v>8205922</v>
      </c>
      <c r="H1237" s="20">
        <v>590.80999999999995</v>
      </c>
      <c r="I1237" s="20">
        <v>592.23</v>
      </c>
      <c r="J1237" s="22">
        <v>588.78</v>
      </c>
      <c r="K1237" s="2">
        <f t="shared" si="115"/>
        <v>165922.89673272939</v>
      </c>
      <c r="L1237" s="2">
        <f>IF(B1237&lt;&gt;B1236,L1236*(1+Dashboard!$G$5)+Dashboard!$G$6, L1236)</f>
        <v>157187.78246296788</v>
      </c>
      <c r="M1237">
        <f t="shared" si="113"/>
        <v>0</v>
      </c>
      <c r="N1237">
        <f t="shared" si="116"/>
        <v>280.40778870534945</v>
      </c>
      <c r="O1237">
        <f>IF(B1237&lt;&gt;B1236, Dashboard!$L$6,0)</f>
        <v>0</v>
      </c>
      <c r="P1237">
        <f t="shared" si="117"/>
        <v>268.67829525950634</v>
      </c>
      <c r="Q1237">
        <f>IF(B1237&lt;&gt;B1236,IF(F1237&lt;=AVERAGE(F1215:F1236),Dashboard!$N$6-Dashboard!$G$7,Dashboard!$N$6+Dashboard!$G$7),0)</f>
        <v>0</v>
      </c>
      <c r="R1237">
        <f t="shared" si="118"/>
        <v>266.87450336421909</v>
      </c>
    </row>
    <row r="1238" spans="1:18" x14ac:dyDescent="0.3">
      <c r="A1238" s="1">
        <v>45756</v>
      </c>
      <c r="B1238">
        <v>9</v>
      </c>
      <c r="C1238" s="19">
        <v>4</v>
      </c>
      <c r="D1238" s="20">
        <v>2025</v>
      </c>
      <c r="E1238" s="21">
        <f t="shared" si="114"/>
        <v>45904</v>
      </c>
      <c r="F1238" s="20">
        <v>596.59</v>
      </c>
      <c r="G1238" s="20">
        <v>8045575</v>
      </c>
      <c r="H1238" s="20">
        <v>592.47</v>
      </c>
      <c r="I1238" s="20">
        <v>596.77</v>
      </c>
      <c r="J1238" s="22">
        <v>591.6</v>
      </c>
      <c r="K1238" s="2">
        <f t="shared" si="115"/>
        <v>167288.48266372443</v>
      </c>
      <c r="L1238" s="2">
        <f>IF(B1238&lt;&gt;B1237,L1237*(1+Dashboard!$G$5)+Dashboard!$G$6, L1237)</f>
        <v>157187.78246296788</v>
      </c>
      <c r="M1238">
        <f t="shared" si="113"/>
        <v>0</v>
      </c>
      <c r="N1238">
        <f t="shared" si="116"/>
        <v>280.40778870534945</v>
      </c>
      <c r="O1238">
        <f>IF(B1238&lt;&gt;B1237, Dashboard!$L$6,0)</f>
        <v>0</v>
      </c>
      <c r="P1238">
        <f t="shared" si="117"/>
        <v>268.67829525950634</v>
      </c>
      <c r="Q1238">
        <f>IF(B1238&lt;&gt;B1237,IF(F1238&lt;=AVERAGE(F1216:F1237),Dashboard!$N$6-Dashboard!$G$7,Dashboard!$N$6+Dashboard!$G$7),0)</f>
        <v>0</v>
      </c>
      <c r="R1238">
        <f t="shared" si="118"/>
        <v>266.87450336421909</v>
      </c>
    </row>
    <row r="1239" spans="1:18" x14ac:dyDescent="0.3">
      <c r="A1239" s="1">
        <v>45786</v>
      </c>
      <c r="B1239">
        <v>9</v>
      </c>
      <c r="C1239" s="19">
        <v>5</v>
      </c>
      <c r="D1239" s="20">
        <v>2025</v>
      </c>
      <c r="E1239" s="21">
        <f t="shared" si="114"/>
        <v>45905</v>
      </c>
      <c r="F1239" s="20">
        <v>594.96</v>
      </c>
      <c r="G1239" s="20">
        <v>6641512</v>
      </c>
      <c r="H1239" s="20">
        <v>598.91</v>
      </c>
      <c r="I1239" s="20">
        <v>599.6</v>
      </c>
      <c r="J1239" s="22">
        <v>591.45000000000005</v>
      </c>
      <c r="K1239" s="2">
        <f t="shared" si="115"/>
        <v>166831.41796813472</v>
      </c>
      <c r="L1239" s="2">
        <f>IF(B1239&lt;&gt;B1238,L1238*(1+Dashboard!$G$5)+Dashboard!$G$6, L1238)</f>
        <v>157187.78246296788</v>
      </c>
      <c r="M1239">
        <f t="shared" si="113"/>
        <v>0</v>
      </c>
      <c r="N1239">
        <f t="shared" si="116"/>
        <v>280.40778870534945</v>
      </c>
      <c r="O1239">
        <f>IF(B1239&lt;&gt;B1238, Dashboard!$L$6,0)</f>
        <v>0</v>
      </c>
      <c r="P1239">
        <f t="shared" si="117"/>
        <v>268.67829525950634</v>
      </c>
      <c r="Q1239">
        <f>IF(B1239&lt;&gt;B1238,IF(F1239&lt;=AVERAGE(F1217:F1238),Dashboard!$N$6-Dashboard!$G$7,Dashboard!$N$6+Dashboard!$G$7),0)</f>
        <v>0</v>
      </c>
      <c r="R1239">
        <f t="shared" si="118"/>
        <v>266.87450336421909</v>
      </c>
    </row>
    <row r="1240" spans="1:18" x14ac:dyDescent="0.3">
      <c r="A1240" s="1">
        <v>45878</v>
      </c>
      <c r="B1240">
        <v>9</v>
      </c>
      <c r="C1240" s="19">
        <v>8</v>
      </c>
      <c r="D1240" s="20">
        <v>2025</v>
      </c>
      <c r="E1240" s="21">
        <f t="shared" si="114"/>
        <v>45908</v>
      </c>
      <c r="F1240" s="20">
        <v>596.5</v>
      </c>
      <c r="G1240" s="20">
        <v>9472235</v>
      </c>
      <c r="H1240" s="20">
        <v>596.30999999999995</v>
      </c>
      <c r="I1240" s="20">
        <v>597.41</v>
      </c>
      <c r="J1240" s="22">
        <v>595.03</v>
      </c>
      <c r="K1240" s="2">
        <f t="shared" si="115"/>
        <v>167263.24596274094</v>
      </c>
      <c r="L1240" s="2">
        <f>IF(B1240&lt;&gt;B1239,L1239*(1+Dashboard!$G$5)+Dashboard!$G$6, L1239)</f>
        <v>157187.78246296788</v>
      </c>
      <c r="M1240">
        <f t="shared" si="113"/>
        <v>0</v>
      </c>
      <c r="N1240">
        <f t="shared" si="116"/>
        <v>280.40778870534945</v>
      </c>
      <c r="O1240">
        <f>IF(B1240&lt;&gt;B1239, Dashboard!$L$6,0)</f>
        <v>0</v>
      </c>
      <c r="P1240">
        <f t="shared" si="117"/>
        <v>268.67829525950634</v>
      </c>
      <c r="Q1240">
        <f>IF(B1240&lt;&gt;B1239,IF(F1240&lt;=AVERAGE(F1218:F1239),Dashboard!$N$6-Dashboard!$G$7,Dashboard!$N$6+Dashboard!$G$7),0)</f>
        <v>0</v>
      </c>
      <c r="R1240">
        <f t="shared" si="118"/>
        <v>266.87450336421909</v>
      </c>
    </row>
    <row r="1241" spans="1:18" x14ac:dyDescent="0.3">
      <c r="A1241" s="1">
        <v>45909</v>
      </c>
      <c r="B1241">
        <v>9</v>
      </c>
      <c r="C1241" s="19">
        <v>9</v>
      </c>
      <c r="D1241" s="20">
        <v>2025</v>
      </c>
      <c r="E1241" s="21">
        <f t="shared" si="114"/>
        <v>45909</v>
      </c>
      <c r="F1241" s="20">
        <v>597.95000000000005</v>
      </c>
      <c r="G1241" s="20">
        <v>7844787</v>
      </c>
      <c r="H1241" s="20">
        <v>596.61</v>
      </c>
      <c r="I1241" s="20">
        <v>598.37</v>
      </c>
      <c r="J1241" s="22">
        <v>595.01</v>
      </c>
      <c r="K1241" s="2">
        <f t="shared" si="115"/>
        <v>167669.83725636371</v>
      </c>
      <c r="L1241" s="2">
        <f>IF(B1241&lt;&gt;B1240,L1240*(1+Dashboard!$G$5)+Dashboard!$G$6, L1240)</f>
        <v>157187.78246296788</v>
      </c>
      <c r="M1241">
        <f t="shared" ref="M1241:M1248" si="119">IF(B1241&lt;&gt;B1240,IF((L1241-K1241&gt;0),L1241-K1241,0),0)</f>
        <v>0</v>
      </c>
      <c r="N1241">
        <f t="shared" si="116"/>
        <v>280.40778870534945</v>
      </c>
      <c r="O1241">
        <f>IF(B1241&lt;&gt;B1240, Dashboard!$L$6,0)</f>
        <v>0</v>
      </c>
      <c r="P1241">
        <f t="shared" si="117"/>
        <v>268.67829525950634</v>
      </c>
      <c r="Q1241">
        <f>IF(B1241&lt;&gt;B1240,IF(F1241&lt;=AVERAGE(F1219:F1240),Dashboard!$N$6-Dashboard!$G$7,Dashboard!$N$6+Dashboard!$G$7),0)</f>
        <v>0</v>
      </c>
      <c r="R1241">
        <f t="shared" si="118"/>
        <v>266.87450336421909</v>
      </c>
    </row>
    <row r="1242" spans="1:18" x14ac:dyDescent="0.3">
      <c r="A1242" s="1">
        <v>45939</v>
      </c>
      <c r="B1242">
        <v>9</v>
      </c>
      <c r="C1242" s="19">
        <v>10</v>
      </c>
      <c r="D1242" s="20">
        <v>2025</v>
      </c>
      <c r="E1242" s="21">
        <f t="shared" si="114"/>
        <v>45910</v>
      </c>
      <c r="F1242" s="20">
        <v>599.67999999999995</v>
      </c>
      <c r="G1242" s="20">
        <v>21641070</v>
      </c>
      <c r="H1242" s="20">
        <v>600.91999999999996</v>
      </c>
      <c r="I1242" s="20">
        <v>601.75</v>
      </c>
      <c r="J1242" s="22">
        <v>598.16</v>
      </c>
      <c r="K1242" s="2">
        <f t="shared" si="115"/>
        <v>168154.94273082394</v>
      </c>
      <c r="L1242" s="2">
        <f>IF(B1242&lt;&gt;B1241,L1241*(1+Dashboard!$G$5)+Dashboard!$G$6, L1241)</f>
        <v>157187.78246296788</v>
      </c>
      <c r="M1242">
        <f t="shared" si="119"/>
        <v>0</v>
      </c>
      <c r="N1242">
        <f t="shared" si="116"/>
        <v>280.40778870534945</v>
      </c>
      <c r="O1242">
        <f>IF(B1242&lt;&gt;B1241, Dashboard!$L$6,0)</f>
        <v>0</v>
      </c>
      <c r="P1242">
        <f t="shared" si="117"/>
        <v>268.67829525950634</v>
      </c>
      <c r="Q1242">
        <f>IF(B1242&lt;&gt;B1241,IF(F1242&lt;=AVERAGE(F1220:F1241),Dashboard!$N$6-Dashboard!$G$7,Dashboard!$N$6+Dashboard!$G$7),0)</f>
        <v>0</v>
      </c>
      <c r="R1242">
        <f t="shared" si="118"/>
        <v>266.87450336421909</v>
      </c>
    </row>
    <row r="1243" spans="1:18" x14ac:dyDescent="0.3">
      <c r="A1243" s="1">
        <v>45970</v>
      </c>
      <c r="B1243">
        <v>9</v>
      </c>
      <c r="C1243" s="19">
        <v>11</v>
      </c>
      <c r="D1243" s="20">
        <v>2025</v>
      </c>
      <c r="E1243" s="21">
        <f t="shared" si="114"/>
        <v>45911</v>
      </c>
      <c r="F1243" s="20">
        <v>604.57000000000005</v>
      </c>
      <c r="G1243" s="20">
        <v>9109717</v>
      </c>
      <c r="H1243" s="20">
        <v>601.42999999999995</v>
      </c>
      <c r="I1243" s="20">
        <v>605.23</v>
      </c>
      <c r="J1243" s="22">
        <v>600.89</v>
      </c>
      <c r="K1243" s="2">
        <f t="shared" si="115"/>
        <v>169526.13681759313</v>
      </c>
      <c r="L1243" s="2">
        <f>IF(B1243&lt;&gt;B1242,L1242*(1+Dashboard!$G$5)+Dashboard!$G$6, L1242)</f>
        <v>157187.78246296788</v>
      </c>
      <c r="M1243">
        <f t="shared" si="119"/>
        <v>0</v>
      </c>
      <c r="N1243">
        <f t="shared" si="116"/>
        <v>280.40778870534945</v>
      </c>
      <c r="O1243">
        <f>IF(B1243&lt;&gt;B1242, Dashboard!$L$6,0)</f>
        <v>0</v>
      </c>
      <c r="P1243">
        <f t="shared" si="117"/>
        <v>268.67829525950634</v>
      </c>
      <c r="Q1243">
        <f>IF(B1243&lt;&gt;B1242,IF(F1243&lt;=AVERAGE(F1221:F1242),Dashboard!$N$6-Dashboard!$G$7,Dashboard!$N$6+Dashboard!$G$7),0)</f>
        <v>0</v>
      </c>
      <c r="R1243">
        <f t="shared" si="118"/>
        <v>266.87450336421909</v>
      </c>
    </row>
    <row r="1244" spans="1:18" x14ac:dyDescent="0.3">
      <c r="A1244" s="1">
        <v>46000</v>
      </c>
      <c r="B1244">
        <v>9</v>
      </c>
      <c r="C1244" s="19">
        <v>12</v>
      </c>
      <c r="D1244" s="20">
        <v>2025</v>
      </c>
      <c r="E1244" s="21">
        <f t="shared" si="114"/>
        <v>45912</v>
      </c>
      <c r="F1244" s="20">
        <v>604.44000000000005</v>
      </c>
      <c r="G1244" s="20">
        <v>8130498</v>
      </c>
      <c r="H1244" s="20">
        <v>604.59</v>
      </c>
      <c r="I1244" s="20">
        <v>605.98</v>
      </c>
      <c r="J1244" s="22">
        <v>603.95000000000005</v>
      </c>
      <c r="K1244" s="2">
        <f t="shared" si="115"/>
        <v>169489.68380506145</v>
      </c>
      <c r="L1244" s="2">
        <f>IF(B1244&lt;&gt;B1243,L1243*(1+Dashboard!$G$5)+Dashboard!$G$6, L1243)</f>
        <v>157187.78246296788</v>
      </c>
      <c r="M1244">
        <f t="shared" si="119"/>
        <v>0</v>
      </c>
      <c r="N1244">
        <f t="shared" si="116"/>
        <v>280.40778870534945</v>
      </c>
      <c r="O1244">
        <f>IF(B1244&lt;&gt;B1243, Dashboard!$L$6,0)</f>
        <v>0</v>
      </c>
      <c r="P1244">
        <f t="shared" si="117"/>
        <v>268.67829525950634</v>
      </c>
      <c r="Q1244">
        <f>IF(B1244&lt;&gt;B1243,IF(F1244&lt;=AVERAGE(F1222:F1243),Dashboard!$N$6-Dashboard!$G$7,Dashboard!$N$6+Dashboard!$G$7),0)</f>
        <v>0</v>
      </c>
      <c r="R1244">
        <f t="shared" si="118"/>
        <v>266.87450336421909</v>
      </c>
    </row>
    <row r="1245" spans="1:18" x14ac:dyDescent="0.3">
      <c r="A1245" t="s">
        <v>9</v>
      </c>
      <c r="B1245">
        <v>9</v>
      </c>
      <c r="C1245" s="19">
        <v>15</v>
      </c>
      <c r="D1245" s="20">
        <v>2025</v>
      </c>
      <c r="E1245" s="21">
        <f t="shared" si="114"/>
        <v>45915</v>
      </c>
      <c r="F1245" s="20">
        <v>607.59</v>
      </c>
      <c r="G1245" s="20">
        <v>7710693</v>
      </c>
      <c r="H1245" s="20">
        <v>606.47</v>
      </c>
      <c r="I1245" s="20">
        <v>607.77</v>
      </c>
      <c r="J1245" s="22">
        <v>606.20000000000005</v>
      </c>
      <c r="K1245" s="2">
        <f t="shared" si="115"/>
        <v>170372.96833948328</v>
      </c>
      <c r="L1245" s="2">
        <f>IF(B1245&lt;&gt;B1244,L1244*(1+Dashboard!$G$5)+Dashboard!$G$6, L1244)</f>
        <v>157187.78246296788</v>
      </c>
      <c r="M1245">
        <f t="shared" si="119"/>
        <v>0</v>
      </c>
      <c r="N1245">
        <f t="shared" si="116"/>
        <v>280.40778870534945</v>
      </c>
      <c r="O1245">
        <f>IF(B1245&lt;&gt;B1244, Dashboard!$L$6,0)</f>
        <v>0</v>
      </c>
      <c r="P1245">
        <f t="shared" si="117"/>
        <v>268.67829525950634</v>
      </c>
      <c r="Q1245">
        <f>IF(B1245&lt;&gt;B1244,IF(F1245&lt;=AVERAGE(F1223:F1244),Dashboard!$N$6-Dashboard!$G$7,Dashboard!$N$6+Dashboard!$G$7),0)</f>
        <v>0</v>
      </c>
      <c r="R1245">
        <f t="shared" si="118"/>
        <v>266.87450336421909</v>
      </c>
    </row>
    <row r="1246" spans="1:18" x14ac:dyDescent="0.3">
      <c r="A1246" t="s">
        <v>8</v>
      </c>
      <c r="B1246">
        <v>9</v>
      </c>
      <c r="C1246" s="19">
        <v>16</v>
      </c>
      <c r="D1246" s="20">
        <v>2025</v>
      </c>
      <c r="E1246" s="21">
        <f t="shared" si="114"/>
        <v>45916</v>
      </c>
      <c r="F1246" s="20">
        <v>606.79</v>
      </c>
      <c r="G1246" s="20">
        <v>6393185</v>
      </c>
      <c r="H1246" s="20">
        <v>608.16</v>
      </c>
      <c r="I1246" s="20">
        <v>608.41999999999996</v>
      </c>
      <c r="J1246" s="22">
        <v>606.06089999999995</v>
      </c>
      <c r="K1246" s="2">
        <f t="shared" si="115"/>
        <v>170148.64210851898</v>
      </c>
      <c r="L1246" s="2">
        <f>IF(B1246&lt;&gt;B1245,L1245*(1+Dashboard!$G$5)+Dashboard!$G$6, L1245)</f>
        <v>157187.78246296788</v>
      </c>
      <c r="M1246">
        <f t="shared" si="119"/>
        <v>0</v>
      </c>
      <c r="N1246">
        <f t="shared" si="116"/>
        <v>280.40778870534945</v>
      </c>
      <c r="O1246">
        <f>IF(B1246&lt;&gt;B1245, Dashboard!$L$6,0)</f>
        <v>0</v>
      </c>
      <c r="P1246">
        <f t="shared" si="117"/>
        <v>268.67829525950634</v>
      </c>
      <c r="Q1246">
        <f>IF(B1246&lt;&gt;B1245,IF(F1246&lt;=AVERAGE(F1224:F1245),Dashboard!$N$6-Dashboard!$G$7,Dashboard!$N$6+Dashboard!$G$7),0)</f>
        <v>0</v>
      </c>
      <c r="R1246">
        <f t="shared" si="118"/>
        <v>266.87450336421909</v>
      </c>
    </row>
    <row r="1247" spans="1:18" x14ac:dyDescent="0.3">
      <c r="A1247" t="s">
        <v>7</v>
      </c>
      <c r="B1247">
        <v>9</v>
      </c>
      <c r="C1247" s="19">
        <v>17</v>
      </c>
      <c r="D1247" s="20">
        <v>2025</v>
      </c>
      <c r="E1247" s="21">
        <f t="shared" si="114"/>
        <v>45917</v>
      </c>
      <c r="F1247" s="20">
        <v>606.09</v>
      </c>
      <c r="G1247" s="20">
        <v>11613630</v>
      </c>
      <c r="H1247" s="20">
        <v>606.84</v>
      </c>
      <c r="I1247" s="20">
        <v>608.33000000000004</v>
      </c>
      <c r="J1247" s="22">
        <v>601.54999999999995</v>
      </c>
      <c r="K1247" s="2">
        <f t="shared" si="115"/>
        <v>169952.35665642525</v>
      </c>
      <c r="L1247" s="2">
        <f>IF(B1247&lt;&gt;B1246,L1246*(1+Dashboard!$G$5)+Dashboard!$G$6, L1246)</f>
        <v>157187.78246296788</v>
      </c>
      <c r="M1247">
        <f t="shared" si="119"/>
        <v>0</v>
      </c>
      <c r="N1247">
        <f t="shared" si="116"/>
        <v>280.40778870534945</v>
      </c>
      <c r="O1247">
        <f>IF(B1247&lt;&gt;B1246, Dashboard!$L$6,0)</f>
        <v>0</v>
      </c>
      <c r="P1247">
        <f t="shared" si="117"/>
        <v>268.67829525950634</v>
      </c>
      <c r="Q1247">
        <f>IF(B1247&lt;&gt;B1246,IF(F1247&lt;=AVERAGE(F1225:F1246),Dashboard!$N$6-Dashboard!$G$7,Dashboard!$N$6+Dashboard!$G$7),0)</f>
        <v>0</v>
      </c>
      <c r="R1247">
        <f t="shared" si="118"/>
        <v>266.87450336421909</v>
      </c>
    </row>
    <row r="1248" spans="1:18" x14ac:dyDescent="0.3">
      <c r="A1248" t="s">
        <v>6</v>
      </c>
      <c r="B1248">
        <v>9</v>
      </c>
      <c r="C1248" s="19">
        <v>18</v>
      </c>
      <c r="D1248" s="20">
        <v>2025</v>
      </c>
      <c r="E1248" s="21">
        <f t="shared" si="114"/>
        <v>45918</v>
      </c>
      <c r="F1248" s="20">
        <v>608.94000000000005</v>
      </c>
      <c r="G1248" s="20">
        <v>11057540</v>
      </c>
      <c r="H1248" s="20">
        <v>608.54999999999995</v>
      </c>
      <c r="I1248" s="20">
        <v>611.30999999999995</v>
      </c>
      <c r="J1248" s="22">
        <v>607.07000000000005</v>
      </c>
      <c r="K1248" s="2">
        <f t="shared" si="115"/>
        <v>170751.5188542355</v>
      </c>
      <c r="L1248" s="2">
        <f>IF(B1248&lt;&gt;B1247,L1247*(1+Dashboard!$G$5)+Dashboard!$G$6, L1247)</f>
        <v>157187.78246296788</v>
      </c>
      <c r="M1248">
        <f t="shared" si="119"/>
        <v>0</v>
      </c>
      <c r="N1248">
        <f t="shared" si="116"/>
        <v>280.40778870534945</v>
      </c>
      <c r="O1248">
        <f>IF(B1248&lt;&gt;B1247, Dashboard!$L$6,0)</f>
        <v>0</v>
      </c>
      <c r="P1248">
        <f t="shared" si="117"/>
        <v>268.67829525950634</v>
      </c>
      <c r="Q1248">
        <f>IF(B1248&lt;&gt;B1247,IF(F1248&lt;=AVERAGE(F1226:F1247),Dashboard!$N$6-Dashboard!$G$7,Dashboard!$N$6+Dashboard!$G$7),0)</f>
        <v>0</v>
      </c>
      <c r="R1248">
        <f t="shared" si="118"/>
        <v>266.87450336421909</v>
      </c>
    </row>
    <row r="1249" spans="14:14" x14ac:dyDescent="0.3">
      <c r="N1249" s="3"/>
    </row>
  </sheetData>
  <autoFilter ref="A1:O1248" xr:uid="{00000000-0009-0000-0000-000001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7D4E-BC36-43CF-BEC2-24684C236910}">
  <sheetPr codeName="Sheet3"/>
  <dimension ref="F5:P9"/>
  <sheetViews>
    <sheetView tabSelected="1" workbookViewId="0">
      <selection activeCell="M18" sqref="M18"/>
    </sheetView>
  </sheetViews>
  <sheetFormatPr defaultRowHeight="14.4" x14ac:dyDescent="0.3"/>
  <cols>
    <col min="6" max="6" width="26.21875" bestFit="1" customWidth="1"/>
    <col min="7" max="7" width="9.77734375" bestFit="1" customWidth="1"/>
    <col min="9" max="9" width="11" bestFit="1" customWidth="1"/>
    <col min="10" max="10" width="21.21875" customWidth="1"/>
    <col min="11" max="11" width="11" bestFit="1" customWidth="1"/>
    <col min="12" max="12" width="16" customWidth="1"/>
    <col min="13" max="13" width="11.5546875" customWidth="1"/>
    <col min="14" max="14" width="15.109375" customWidth="1"/>
  </cols>
  <sheetData>
    <row r="5" spans="6:16" x14ac:dyDescent="0.3">
      <c r="F5" s="4" t="s">
        <v>771</v>
      </c>
      <c r="G5" s="9">
        <v>8.8000000000000005E-3</v>
      </c>
      <c r="H5" s="5"/>
      <c r="I5" s="4"/>
      <c r="J5" s="4" t="s">
        <v>767</v>
      </c>
      <c r="K5" s="4"/>
      <c r="L5" s="4" t="s">
        <v>766</v>
      </c>
      <c r="M5" s="4"/>
      <c r="N5" s="4" t="s">
        <v>768</v>
      </c>
      <c r="O5" s="4"/>
      <c r="P5" s="4"/>
    </row>
    <row r="6" spans="6:16" x14ac:dyDescent="0.3">
      <c r="F6" s="4" t="s">
        <v>772</v>
      </c>
      <c r="G6" s="6">
        <v>2000</v>
      </c>
      <c r="H6" s="5"/>
      <c r="I6" s="4"/>
      <c r="J6" s="7"/>
      <c r="K6" s="8" t="s">
        <v>774</v>
      </c>
      <c r="L6" s="6">
        <v>1859.7282542371197</v>
      </c>
      <c r="M6" s="8" t="s">
        <v>775</v>
      </c>
      <c r="N6" s="6">
        <v>1732.609610169322</v>
      </c>
      <c r="O6" s="4"/>
      <c r="P6" s="4"/>
    </row>
    <row r="7" spans="6:16" x14ac:dyDescent="0.3">
      <c r="F7" s="4" t="s">
        <v>770</v>
      </c>
      <c r="G7" s="6">
        <v>500</v>
      </c>
      <c r="H7" s="5"/>
      <c r="I7" s="4" t="s">
        <v>776</v>
      </c>
      <c r="J7" s="6">
        <f>SUM(Raw!M:M)</f>
        <v>109723.96695976748</v>
      </c>
      <c r="K7" s="4"/>
      <c r="L7" s="6">
        <f>SUM(Raw!O:O)</f>
        <v>109723.96699999017</v>
      </c>
      <c r="M7" s="4"/>
      <c r="N7" s="6">
        <f>SUM(Raw!Q:Q)</f>
        <v>109723.96699999014</v>
      </c>
      <c r="O7" s="4"/>
      <c r="P7" s="4"/>
    </row>
    <row r="8" spans="6:16" x14ac:dyDescent="0.3">
      <c r="F8" s="5" t="s">
        <v>769</v>
      </c>
      <c r="G8" s="6">
        <v>2000</v>
      </c>
      <c r="H8" s="5"/>
      <c r="I8" s="5" t="s">
        <v>777</v>
      </c>
      <c r="J8" s="5">
        <f>COUNTIF(Raw!M:M,"&gt;0")</f>
        <v>38</v>
      </c>
      <c r="K8" s="5"/>
      <c r="L8" s="5">
        <f>COUNTIF(Raw!O:O,"&gt;0")</f>
        <v>59</v>
      </c>
      <c r="M8" s="5"/>
      <c r="N8" s="5">
        <f>COUNTIF(Raw!Q:Q,"&gt;0")</f>
        <v>59</v>
      </c>
      <c r="O8" s="5"/>
      <c r="P8" s="4"/>
    </row>
    <row r="9" spans="6:16" x14ac:dyDescent="0.3">
      <c r="H9" s="5"/>
      <c r="I9" s="4" t="s">
        <v>773</v>
      </c>
      <c r="J9" s="11">
        <f>Raw!N1248*Raw!$F1248</f>
        <v>170751.5188542355</v>
      </c>
      <c r="K9" s="11"/>
      <c r="L9" s="11">
        <f>Raw!P1248*Raw!$F1248</f>
        <v>163608.96111532379</v>
      </c>
      <c r="M9" s="12"/>
      <c r="N9" s="11">
        <f>Raw!R1248*Raw!$F1248</f>
        <v>162510.56007860758</v>
      </c>
      <c r="O9" s="4"/>
      <c r="P9" s="4"/>
    </row>
  </sheetData>
  <scenarios current="0" show="0">
    <scenario name="法二" locked="1" count="1" user="Jin Xin" comment="Created by Jin Xin on 24/9/2025">
      <inputCells r="L6" val="1239" numFmtId="164"/>
    </scenario>
    <scenario name="发三" locked="1" count="1" user="Jin Xin" comment="Created by Jin Xin on 24/9/2025">
      <inputCells r="N6" val="1400" numFmtId="164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lve_L7_to_J7_Safe">
                <anchor moveWithCells="1" sizeWithCells="1">
                  <from>
                    <xdr:col>11</xdr:col>
                    <xdr:colOff>76200</xdr:colOff>
                    <xdr:row>10</xdr:row>
                    <xdr:rowOff>68580</xdr:rowOff>
                  </from>
                  <to>
                    <xdr:col>11</xdr:col>
                    <xdr:colOff>1051560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3.Solve_N7_to_J7_Safe">
                <anchor moveWithCells="1" sizeWithCells="1">
                  <from>
                    <xdr:col>13</xdr:col>
                    <xdr:colOff>15240</xdr:colOff>
                    <xdr:row>10</xdr:row>
                    <xdr:rowOff>38100</xdr:rowOff>
                  </from>
                  <to>
                    <xdr:col>13</xdr:col>
                    <xdr:colOff>990600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 Jin</dc:creator>
  <cp:lastModifiedBy>Jin Xin</cp:lastModifiedBy>
  <dcterms:created xsi:type="dcterms:W3CDTF">2025-09-19T13:19:07Z</dcterms:created>
  <dcterms:modified xsi:type="dcterms:W3CDTF">2025-09-24T01:01:25Z</dcterms:modified>
</cp:coreProperties>
</file>